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azv\Documents\"/>
    </mc:Choice>
  </mc:AlternateContent>
  <xr:revisionPtr revIDLastSave="0" documentId="8_{300272D6-2936-493D-86D3-AEE66A1CD01B}" xr6:coauthVersionLast="47" xr6:coauthVersionMax="47" xr10:uidLastSave="{00000000-0000-0000-0000-000000000000}"/>
  <bookViews>
    <workbookView xWindow="-108" yWindow="-108" windowWidth="23256" windowHeight="12576" activeTab="1" xr2:uid="{F26392C8-E973-4D04-AECA-18169AEA6A6F}"/>
  </bookViews>
  <sheets>
    <sheet name="Levels" sheetId="1" r:id="rId1"/>
    <sheet name="Creators" sheetId="4" r:id="rId2"/>
    <sheet name="Dashboard" sheetId="5" r:id="rId3"/>
    <sheet name="Featured" sheetId="6" r:id="rId4"/>
    <sheet name="About" sheetId="7" r:id="rId5"/>
  </sheets>
  <calcPr calcId="0"/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2" i="4"/>
  <c r="C869" i="1"/>
  <c r="C1601" i="1"/>
  <c r="C3654" i="1"/>
  <c r="C4068" i="1"/>
  <c r="C4828" i="1"/>
  <c r="C5139" i="1"/>
  <c r="C7400" i="1"/>
  <c r="C7437" i="1"/>
  <c r="C7897" i="1"/>
  <c r="C8021" i="1"/>
  <c r="C8650" i="1"/>
  <c r="C8775" i="1"/>
  <c r="C8776" i="1"/>
  <c r="C8840" i="1"/>
  <c r="C8841" i="1"/>
</calcChain>
</file>

<file path=xl/sharedStrings.xml><?xml version="1.0" encoding="utf-8"?>
<sst xmlns="http://schemas.openxmlformats.org/spreadsheetml/2006/main" count="30644" uniqueCount="15174">
  <si>
    <t>Level Name</t>
  </si>
  <si>
    <t>Creator</t>
  </si>
  <si>
    <t>Song</t>
  </si>
  <si>
    <t>ID</t>
  </si>
  <si>
    <t>Tier</t>
  </si>
  <si>
    <t>Enjoyment</t>
  </si>
  <si>
    <t>Clubstep</t>
  </si>
  <si>
    <t>RobTop</t>
  </si>
  <si>
    <t>Theory of Everything 2</t>
  </si>
  <si>
    <t>Deadlocked</t>
  </si>
  <si>
    <t>demon park</t>
  </si>
  <si>
    <t>M2coL</t>
  </si>
  <si>
    <t>Time Machine</t>
  </si>
  <si>
    <t>To the Grave</t>
  </si>
  <si>
    <t>-</t>
  </si>
  <si>
    <t>The Nightmare</t>
  </si>
  <si>
    <t>Jax</t>
  </si>
  <si>
    <t>Polargeist</t>
  </si>
  <si>
    <t>THE LIGHTNING ROAD</t>
  </si>
  <si>
    <t>timeless real</t>
  </si>
  <si>
    <t>Dry Out</t>
  </si>
  <si>
    <t>Extreme Park</t>
  </si>
  <si>
    <t>Rabbitical</t>
  </si>
  <si>
    <t>Jumper</t>
  </si>
  <si>
    <t>Super Cycles</t>
  </si>
  <si>
    <t>Cycles</t>
  </si>
  <si>
    <t>yStep</t>
  </si>
  <si>
    <t>TheRealDarnoc</t>
  </si>
  <si>
    <t>xStep</t>
  </si>
  <si>
    <t>OFFline</t>
  </si>
  <si>
    <t>Spawn</t>
  </si>
  <si>
    <t>demon world</t>
  </si>
  <si>
    <t>superhexagon</t>
  </si>
  <si>
    <t>hell and heaven</t>
  </si>
  <si>
    <t>PIS</t>
  </si>
  <si>
    <t>Crazy</t>
  </si>
  <si>
    <t>Can't Let Go</t>
  </si>
  <si>
    <t>Parallel World</t>
  </si>
  <si>
    <t>69 machine</t>
  </si>
  <si>
    <t>Stereo Madness</t>
  </si>
  <si>
    <t>FINAL DESTINATION</t>
  </si>
  <si>
    <t>Red sun</t>
  </si>
  <si>
    <t>mrlee</t>
  </si>
  <si>
    <t>Silent Hill</t>
  </si>
  <si>
    <t>MaJackO</t>
  </si>
  <si>
    <t>Silent Hill (Dubstep)</t>
  </si>
  <si>
    <t>x Zone</t>
  </si>
  <si>
    <t>Hextec Flow</t>
  </si>
  <si>
    <t>black off</t>
  </si>
  <si>
    <t>Vlacc</t>
  </si>
  <si>
    <t>XYZ step</t>
  </si>
  <si>
    <t>Coke</t>
  </si>
  <si>
    <t>demon of python</t>
  </si>
  <si>
    <t>Tagging</t>
  </si>
  <si>
    <t>TM Super Hard Mix</t>
  </si>
  <si>
    <t>Death Cycles</t>
  </si>
  <si>
    <t>DemonBestGG</t>
  </si>
  <si>
    <t>dark hell</t>
  </si>
  <si>
    <t>Partition</t>
  </si>
  <si>
    <t>X mas Party</t>
  </si>
  <si>
    <t>Bicycle</t>
  </si>
  <si>
    <t>Back</t>
  </si>
  <si>
    <t>the extreme maze</t>
  </si>
  <si>
    <t>Base After Base</t>
  </si>
  <si>
    <t>Clutterfunk V2</t>
  </si>
  <si>
    <t>Clutterfunk</t>
  </si>
  <si>
    <t>ClutterFactory</t>
  </si>
  <si>
    <t>robtop</t>
  </si>
  <si>
    <t>cycles castle</t>
  </si>
  <si>
    <t>Beautiful Chaos</t>
  </si>
  <si>
    <t>Cathedral</t>
  </si>
  <si>
    <t>hard core</t>
  </si>
  <si>
    <t>tunar98</t>
  </si>
  <si>
    <t>Extreme Fantasy</t>
  </si>
  <si>
    <t>Lightning world</t>
  </si>
  <si>
    <t>psychic escape</t>
  </si>
  <si>
    <t>The Ambitious Trip</t>
  </si>
  <si>
    <t>Twinkle</t>
  </si>
  <si>
    <t>Hiroquet</t>
  </si>
  <si>
    <t>Bad touch</t>
  </si>
  <si>
    <t>Fake Factory</t>
  </si>
  <si>
    <t>The Carrot</t>
  </si>
  <si>
    <t>ICE Carbon Zust</t>
  </si>
  <si>
    <t>TheRealZust</t>
  </si>
  <si>
    <t>SIMG Factorial 4</t>
  </si>
  <si>
    <t>LunarSimg</t>
  </si>
  <si>
    <t>demons dry out</t>
  </si>
  <si>
    <t>caution</t>
  </si>
  <si>
    <t>pg1004</t>
  </si>
  <si>
    <t>Back on Track</t>
  </si>
  <si>
    <t>Maximum Risk</t>
  </si>
  <si>
    <t>FunnyGame</t>
  </si>
  <si>
    <t>Club of rome</t>
  </si>
  <si>
    <t>demon road</t>
  </si>
  <si>
    <t>VeryInactive</t>
  </si>
  <si>
    <t>Is 1st hell gate 1</t>
  </si>
  <si>
    <t>dhk2725</t>
  </si>
  <si>
    <t>Katapult</t>
  </si>
  <si>
    <t>MasK463</t>
  </si>
  <si>
    <t>Code Name Factory</t>
  </si>
  <si>
    <t>ruined</t>
  </si>
  <si>
    <t>dizzy</t>
  </si>
  <si>
    <t>Operation</t>
  </si>
  <si>
    <t>Dark Tramuia</t>
  </si>
  <si>
    <t>Extreme way</t>
  </si>
  <si>
    <t>BEkID1442</t>
  </si>
  <si>
    <t>eacker hacker V2</t>
  </si>
  <si>
    <t>swiftness</t>
  </si>
  <si>
    <t>zaRIKU</t>
  </si>
  <si>
    <t>Distant Stars</t>
  </si>
  <si>
    <t>Dimensional</t>
  </si>
  <si>
    <t>Architecture</t>
  </si>
  <si>
    <t>Rabb2t</t>
  </si>
  <si>
    <t>Cycles v2 S</t>
  </si>
  <si>
    <t>X Park</t>
  </si>
  <si>
    <t>Definite Integral</t>
  </si>
  <si>
    <t>torrential</t>
  </si>
  <si>
    <t>Ruined Planet</t>
  </si>
  <si>
    <t>Equinox</t>
  </si>
  <si>
    <t>Magic Square</t>
  </si>
  <si>
    <t>Crescendo</t>
  </si>
  <si>
    <t>Theory of Everything</t>
  </si>
  <si>
    <t>wayless</t>
  </si>
  <si>
    <t>hard of everything</t>
  </si>
  <si>
    <t>iILoBeeIi</t>
  </si>
  <si>
    <t>Time Adventure</t>
  </si>
  <si>
    <t>Legend of Andromeda</t>
  </si>
  <si>
    <t>Demon machine</t>
  </si>
  <si>
    <t>HelQus</t>
  </si>
  <si>
    <t>D of Eything</t>
  </si>
  <si>
    <t>dorabae choose way4</t>
  </si>
  <si>
    <t>DORABAE</t>
  </si>
  <si>
    <t>back of everything</t>
  </si>
  <si>
    <t>mystery</t>
  </si>
  <si>
    <t>demon jumper</t>
  </si>
  <si>
    <t>Theory of something</t>
  </si>
  <si>
    <t>Lyod</t>
  </si>
  <si>
    <t>RAINBOW final</t>
  </si>
  <si>
    <t>ZelLink</t>
  </si>
  <si>
    <t>destiny of birth</t>
  </si>
  <si>
    <t>BurstStar</t>
  </si>
  <si>
    <t>allure of choice</t>
  </si>
  <si>
    <t>The Last Showdown</t>
  </si>
  <si>
    <t>demon step</t>
  </si>
  <si>
    <t>elemelon</t>
  </si>
  <si>
    <t>Sky Realm</t>
  </si>
  <si>
    <t>SpArTa</t>
  </si>
  <si>
    <t>Hardcore flight</t>
  </si>
  <si>
    <t>PMCreatorArco</t>
  </si>
  <si>
    <t>Dawn of Darkness</t>
  </si>
  <si>
    <t>MidNight2</t>
  </si>
  <si>
    <t>Demon Park 2</t>
  </si>
  <si>
    <t>All small</t>
  </si>
  <si>
    <t>Tremendousdash</t>
  </si>
  <si>
    <t>Horror maze</t>
  </si>
  <si>
    <t>HARD DEMON</t>
  </si>
  <si>
    <t>Theory of Jumping</t>
  </si>
  <si>
    <t>Lucky dice V 1</t>
  </si>
  <si>
    <t>Mad palace</t>
  </si>
  <si>
    <t>lightning zone</t>
  </si>
  <si>
    <t>SIMG Factorial 5</t>
  </si>
  <si>
    <t>Extreme super world</t>
  </si>
  <si>
    <t>Theory Park</t>
  </si>
  <si>
    <t>Clustery</t>
  </si>
  <si>
    <t>days of everything</t>
  </si>
  <si>
    <t>SHADOW</t>
  </si>
  <si>
    <t>Surrealism</t>
  </si>
  <si>
    <t>foxtail socks</t>
  </si>
  <si>
    <t>Lightbulbb</t>
  </si>
  <si>
    <t>cycle of everything</t>
  </si>
  <si>
    <t>Doctor killer</t>
  </si>
  <si>
    <t>Super Of Everything</t>
  </si>
  <si>
    <t>SUMMER seasons</t>
  </si>
  <si>
    <t>Armageddon</t>
  </si>
  <si>
    <t>zirokabi</t>
  </si>
  <si>
    <t>Bossfight - Milky Ways</t>
  </si>
  <si>
    <t>the pulse</t>
  </si>
  <si>
    <t>Experience D</t>
  </si>
  <si>
    <t>demon cycles</t>
  </si>
  <si>
    <t>Pink Biscuit</t>
  </si>
  <si>
    <t>SIMG Factorial EX</t>
  </si>
  <si>
    <t>Black Park</t>
  </si>
  <si>
    <t>Stereo Demoness</t>
  </si>
  <si>
    <t>Atrocities Area</t>
  </si>
  <si>
    <t>horror machine</t>
  </si>
  <si>
    <t>deluxeedition</t>
  </si>
  <si>
    <t>JiJangs</t>
  </si>
  <si>
    <t>The Antarctic Man</t>
  </si>
  <si>
    <t>hacker fly</t>
  </si>
  <si>
    <t>Pressure</t>
  </si>
  <si>
    <t>TrueNature</t>
  </si>
  <si>
    <t>Paranormal</t>
  </si>
  <si>
    <t>ZenthicAlpha</t>
  </si>
  <si>
    <t>Decrescendo</t>
  </si>
  <si>
    <t>titanium</t>
  </si>
  <si>
    <t>Forgot Castle</t>
  </si>
  <si>
    <t>Myinus</t>
  </si>
  <si>
    <t>night jumper V2</t>
  </si>
  <si>
    <t>FALL seasons</t>
  </si>
  <si>
    <t>bizarre milestone</t>
  </si>
  <si>
    <t>BIOhazard</t>
  </si>
  <si>
    <t>The First Miracle</t>
  </si>
  <si>
    <t>SIMG Factorial 6</t>
  </si>
  <si>
    <t>Demon Sunrise</t>
  </si>
  <si>
    <t>nothing world</t>
  </si>
  <si>
    <t>ThisIsPailyn</t>
  </si>
  <si>
    <t>demon forest</t>
  </si>
  <si>
    <t>Demon Park Remix</t>
  </si>
  <si>
    <t>Blown in Knight</t>
  </si>
  <si>
    <t>StarQuake</t>
  </si>
  <si>
    <t>From Dusk Till Dawn</t>
  </si>
  <si>
    <t>ddays</t>
  </si>
  <si>
    <t>ice cave</t>
  </si>
  <si>
    <t>Red Root</t>
  </si>
  <si>
    <t>{dj-N} Beginning of Time {RmX}</t>
  </si>
  <si>
    <t>HazardSector 1</t>
  </si>
  <si>
    <t>rapid lightning</t>
  </si>
  <si>
    <t>Xstep v2</t>
  </si>
  <si>
    <t>IIINePtunEIII</t>
  </si>
  <si>
    <t>absolute  zero</t>
  </si>
  <si>
    <t>promptness star</t>
  </si>
  <si>
    <t>Hazardsector 2</t>
  </si>
  <si>
    <t>Stardust</t>
  </si>
  <si>
    <t>BlackP2sFull</t>
  </si>
  <si>
    <t>Clutterfunk v2</t>
  </si>
  <si>
    <t>galaxy power</t>
  </si>
  <si>
    <t>Mr Mr</t>
  </si>
  <si>
    <t>Electroman Adventures</t>
  </si>
  <si>
    <t>Theory of every v2</t>
  </si>
  <si>
    <t>Back on Mountain</t>
  </si>
  <si>
    <t>Blood prophecy</t>
  </si>
  <si>
    <t>EleCtRoFacTOrY</t>
  </si>
  <si>
    <t>T3KU</t>
  </si>
  <si>
    <t>Requiem</t>
  </si>
  <si>
    <t>Fatal</t>
  </si>
  <si>
    <t>Apocalypse Eve</t>
  </si>
  <si>
    <t>Element 54 Xe</t>
  </si>
  <si>
    <t>Impulse</t>
  </si>
  <si>
    <t>MrCheeseTigrr</t>
  </si>
  <si>
    <t>cyber paradise</t>
  </si>
  <si>
    <t>THE DEMON RUSH</t>
  </si>
  <si>
    <t>HazardSector X</t>
  </si>
  <si>
    <t>i  specialjumper  i</t>
  </si>
  <si>
    <t>GGtime</t>
  </si>
  <si>
    <t>SIMG Factorial 7</t>
  </si>
  <si>
    <t>Crazy Bolt</t>
  </si>
  <si>
    <t>xStep Advance</t>
  </si>
  <si>
    <t>Electroman Adven v2</t>
  </si>
  <si>
    <t>the end gate</t>
  </si>
  <si>
    <t>Gw Luxemburg</t>
  </si>
  <si>
    <t>ElEcmEtAl</t>
  </si>
  <si>
    <t>honor step</t>
  </si>
  <si>
    <t>Electro rand</t>
  </si>
  <si>
    <t>IceStream</t>
  </si>
  <si>
    <t>HazardSector 4</t>
  </si>
  <si>
    <t>Ice of dawn</t>
  </si>
  <si>
    <t>destiny of nature</t>
  </si>
  <si>
    <t>Clubstep v2</t>
  </si>
  <si>
    <t>insane club</t>
  </si>
  <si>
    <t>Windings</t>
  </si>
  <si>
    <t>element 1 H</t>
  </si>
  <si>
    <t>disappear</t>
  </si>
  <si>
    <t>Ice hell escape</t>
  </si>
  <si>
    <t>Minemario</t>
  </si>
  <si>
    <t>[TMM43] Ultimate Destruction</t>
  </si>
  <si>
    <t>HazardSector 5</t>
  </si>
  <si>
    <t>Angel demon</t>
  </si>
  <si>
    <t>kudabe</t>
  </si>
  <si>
    <t>ClownStep</t>
  </si>
  <si>
    <t>Gw north pole</t>
  </si>
  <si>
    <t>Radioactive Demon</t>
  </si>
  <si>
    <t>Demon Of Hell</t>
  </si>
  <si>
    <t>Nuclear Explode</t>
  </si>
  <si>
    <t>Natural step</t>
  </si>
  <si>
    <t>DevilStep</t>
  </si>
  <si>
    <t>pg clubstep</t>
  </si>
  <si>
    <t>Pixel Parade</t>
  </si>
  <si>
    <t>Jeyzor</t>
  </si>
  <si>
    <t>Laboratory 1</t>
  </si>
  <si>
    <t>Alphabet X</t>
  </si>
  <si>
    <t>SIMG Factorial 8</t>
  </si>
  <si>
    <t>OUTSTEEL</t>
  </si>
  <si>
    <t>emiliax</t>
  </si>
  <si>
    <t>HazardSector Finale</t>
  </si>
  <si>
    <t>Maze Of Xbox</t>
  </si>
  <si>
    <t>season2 Lv3 Hell</t>
  </si>
  <si>
    <t>IamXstep</t>
  </si>
  <si>
    <t>palace of legend</t>
  </si>
  <si>
    <t>RealKamijo</t>
  </si>
  <si>
    <t>Clubdrop</t>
  </si>
  <si>
    <t>appear</t>
  </si>
  <si>
    <t>Way of the Darkness</t>
  </si>
  <si>
    <t>Demon Attack</t>
  </si>
  <si>
    <t>Darkstep</t>
  </si>
  <si>
    <t>Watch in Chaos</t>
  </si>
  <si>
    <t>demon mixed</t>
  </si>
  <si>
    <t>RealOggY</t>
  </si>
  <si>
    <t>firefall</t>
  </si>
  <si>
    <t>Ultra Theory</t>
  </si>
  <si>
    <t>WizTicFX</t>
  </si>
  <si>
    <t>Hydroman Adventure</t>
  </si>
  <si>
    <t>BlazeJcy</t>
  </si>
  <si>
    <t>Element 53 I</t>
  </si>
  <si>
    <t>Ragnarok</t>
  </si>
  <si>
    <t>Forbidden</t>
  </si>
  <si>
    <t>Neuron Connect</t>
  </si>
  <si>
    <t>GW Vatican</t>
  </si>
  <si>
    <t>Naraka Avici</t>
  </si>
  <si>
    <t>Demone hero</t>
  </si>
  <si>
    <t>XYZ Step Infinity</t>
  </si>
  <si>
    <t>OrcaSN</t>
  </si>
  <si>
    <t>i coldrhydhmland i</t>
  </si>
  <si>
    <t>Fantasy Adventure R</t>
  </si>
  <si>
    <t>-Electroman adventures-</t>
  </si>
  <si>
    <t>frozen castle</t>
  </si>
  <si>
    <t>Aftermath</t>
  </si>
  <si>
    <t>zStep</t>
  </si>
  <si>
    <t>Midnight Club Party</t>
  </si>
  <si>
    <t>YunHaSeu14</t>
  </si>
  <si>
    <t>Gloomy Morning</t>
  </si>
  <si>
    <t>Chaos Madness</t>
  </si>
  <si>
    <t>PunkySoul</t>
  </si>
  <si>
    <t>Over Direction</t>
  </si>
  <si>
    <t>Ratstep</t>
  </si>
  <si>
    <t>X Club</t>
  </si>
  <si>
    <t>KeiAs</t>
  </si>
  <si>
    <t>Nether step</t>
  </si>
  <si>
    <t>clup adventure</t>
  </si>
  <si>
    <t>AmoungPequeno</t>
  </si>
  <si>
    <t>Final Step</t>
  </si>
  <si>
    <t>unknown step</t>
  </si>
  <si>
    <t>ClutterStep</t>
  </si>
  <si>
    <t>twinkling world</t>
  </si>
  <si>
    <t>Gelt</t>
  </si>
  <si>
    <t>Twilight Step</t>
  </si>
  <si>
    <t>pipe step</t>
  </si>
  <si>
    <t>vismuth</t>
  </si>
  <si>
    <t>Restricted Area</t>
  </si>
  <si>
    <t>IcICleFacTOrY</t>
  </si>
  <si>
    <t>ShadowFunk</t>
  </si>
  <si>
    <t>DaddePro</t>
  </si>
  <si>
    <t>ElectroDynamix</t>
  </si>
  <si>
    <t>Riot</t>
  </si>
  <si>
    <t>Phantom Step</t>
  </si>
  <si>
    <t>Twilight Step V2</t>
  </si>
  <si>
    <t>Clubstep Demon</t>
  </si>
  <si>
    <t>Dark Park</t>
  </si>
  <si>
    <t>Ripplez Adventures</t>
  </si>
  <si>
    <t>GW Russia</t>
  </si>
  <si>
    <t>Operation: Evolution</t>
  </si>
  <si>
    <t>military</t>
  </si>
  <si>
    <t>Crystal Cavern</t>
  </si>
  <si>
    <t>Active Interaction</t>
  </si>
  <si>
    <t>Lunar Interaction</t>
  </si>
  <si>
    <t>Clubstep EX</t>
  </si>
  <si>
    <t>13 Electroman Adv</t>
  </si>
  <si>
    <t>Death Step</t>
  </si>
  <si>
    <t>DarnoCant let go</t>
  </si>
  <si>
    <t>Apologiest</t>
  </si>
  <si>
    <t>Thunder Interaction</t>
  </si>
  <si>
    <t>InsanityStep</t>
  </si>
  <si>
    <t>Jabbagrullo</t>
  </si>
  <si>
    <t>Higgs</t>
  </si>
  <si>
    <t>Chains of Spacetime</t>
  </si>
  <si>
    <t>DeathFunk</t>
  </si>
  <si>
    <t>Genesis</t>
  </si>
  <si>
    <t>Demon Elite</t>
  </si>
  <si>
    <t>J0Ni</t>
  </si>
  <si>
    <t>element 74 LA</t>
  </si>
  <si>
    <t>Miniature</t>
  </si>
  <si>
    <t>Forgotten Tea</t>
  </si>
  <si>
    <t>Triangle Out</t>
  </si>
  <si>
    <t>GREEN DEMON</t>
  </si>
  <si>
    <t>UnderFunk</t>
  </si>
  <si>
    <t>ICE Carbon Diablo X</t>
  </si>
  <si>
    <t>Silent Hill V2</t>
  </si>
  <si>
    <t>[Silent Hill Dubstep]*</t>
  </si>
  <si>
    <t>Active Factory 2</t>
  </si>
  <si>
    <t>space travel</t>
  </si>
  <si>
    <t>Electrodynamix</t>
  </si>
  <si>
    <t>Deadmau5tep</t>
  </si>
  <si>
    <t>Electrodynamix v2</t>
  </si>
  <si>
    <t>Chaotic</t>
  </si>
  <si>
    <t>crazy cpace 3</t>
  </si>
  <si>
    <t>Luna Moonlit</t>
  </si>
  <si>
    <t>Stereodynamix</t>
  </si>
  <si>
    <t>seeker of demon</t>
  </si>
  <si>
    <t>Lights And Thunder</t>
  </si>
  <si>
    <t>SpiralDynamix</t>
  </si>
  <si>
    <t>Digital Genesis</t>
  </si>
  <si>
    <t>VENZA</t>
  </si>
  <si>
    <t>Hahaha Insane Map</t>
  </si>
  <si>
    <t>RealHaHaHa</t>
  </si>
  <si>
    <t>DarnocDynamix</t>
  </si>
  <si>
    <t>ddaysii</t>
  </si>
  <si>
    <t>Clockwork</t>
  </si>
  <si>
    <t>Three forts</t>
  </si>
  <si>
    <t>electro ufo mix</t>
  </si>
  <si>
    <t>time pressure</t>
  </si>
  <si>
    <t>AeonAir</t>
  </si>
  <si>
    <t>Flappy Weird</t>
  </si>
  <si>
    <t>TheSuperbot</t>
  </si>
  <si>
    <t>MadLazor</t>
  </si>
  <si>
    <t>electronical escape</t>
  </si>
  <si>
    <t>Castle</t>
  </si>
  <si>
    <t>The JanuS Miracle</t>
  </si>
  <si>
    <t>Megadere</t>
  </si>
  <si>
    <t>How to Clutterfunk</t>
  </si>
  <si>
    <t>Neon Dynamics</t>
  </si>
  <si>
    <t>Dimension Machine</t>
  </si>
  <si>
    <t>Primary Maze</t>
  </si>
  <si>
    <t>Future of Clubstep</t>
  </si>
  <si>
    <t>Rob Buck</t>
  </si>
  <si>
    <t>noobas adventures</t>
  </si>
  <si>
    <t>noobas</t>
  </si>
  <si>
    <t>Dark Matter</t>
  </si>
  <si>
    <t>XlectroDynamix</t>
  </si>
  <si>
    <t>Clubflow</t>
  </si>
  <si>
    <t>TheoryStep</t>
  </si>
  <si>
    <t>Rek3dge</t>
  </si>
  <si>
    <t>ExtremeDynamix</t>
  </si>
  <si>
    <t>ericys1</t>
  </si>
  <si>
    <t>CrepusculeDynamix</t>
  </si>
  <si>
    <t>crepuscole</t>
  </si>
  <si>
    <t>neon sawblade</t>
  </si>
  <si>
    <t>Glittering</t>
  </si>
  <si>
    <t>the nightmare road</t>
  </si>
  <si>
    <t>Force Network</t>
  </si>
  <si>
    <t>DarnoClub Step</t>
  </si>
  <si>
    <t>11 Demon EA</t>
  </si>
  <si>
    <t>ElectroDux</t>
  </si>
  <si>
    <t>AntiMatter</t>
  </si>
  <si>
    <t>ClubStepin</t>
  </si>
  <si>
    <t>Kerko</t>
  </si>
  <si>
    <t>Traffic Trauma</t>
  </si>
  <si>
    <t>a  space trip</t>
  </si>
  <si>
    <t>Maleficent</t>
  </si>
  <si>
    <t>ClubstepDynamix</t>
  </si>
  <si>
    <t>project EX</t>
  </si>
  <si>
    <t>Demon Mix</t>
  </si>
  <si>
    <t>Tec</t>
  </si>
  <si>
    <t>12 Clutterfunk</t>
  </si>
  <si>
    <t>RobTuxDynamix</t>
  </si>
  <si>
    <t>area nys15</t>
  </si>
  <si>
    <t>M A T R I X</t>
  </si>
  <si>
    <t>SH3RIFFO</t>
  </si>
  <si>
    <t>FunkStep</t>
  </si>
  <si>
    <t>dawns room</t>
  </si>
  <si>
    <t>endless wisdom</t>
  </si>
  <si>
    <t>Treasure Mine</t>
  </si>
  <si>
    <t>Dr. Phonics - Code Red</t>
  </si>
  <si>
    <t>I wanna be the bosh</t>
  </si>
  <si>
    <t>ruwkTl1</t>
  </si>
  <si>
    <t>DeathGate</t>
  </si>
  <si>
    <t>Supreme Lab A</t>
  </si>
  <si>
    <t>RIDE 01</t>
  </si>
  <si>
    <t>EricysDynamix</t>
  </si>
  <si>
    <t>prohibited prison</t>
  </si>
  <si>
    <t>Snambs</t>
  </si>
  <si>
    <t>JumpStep</t>
  </si>
  <si>
    <t>Club Beatz</t>
  </si>
  <si>
    <t>xJadztax</t>
  </si>
  <si>
    <t>Accelerando</t>
  </si>
  <si>
    <t>ViPriN</t>
  </si>
  <si>
    <t>DemoNov</t>
  </si>
  <si>
    <t>Lenov</t>
  </si>
  <si>
    <t>Supreme Lab X</t>
  </si>
  <si>
    <t>absolute atom</t>
  </si>
  <si>
    <t>SIMG Factorial 9</t>
  </si>
  <si>
    <t>Ultimate Drive</t>
  </si>
  <si>
    <t>Velocissimo</t>
  </si>
  <si>
    <t>The Castle</t>
  </si>
  <si>
    <t>Nocturne</t>
  </si>
  <si>
    <t>Recursive Glee</t>
  </si>
  <si>
    <t>Asylum</t>
  </si>
  <si>
    <t>Vermillion</t>
  </si>
  <si>
    <t>Divisi</t>
  </si>
  <si>
    <t>wiLd dRivE</t>
  </si>
  <si>
    <t>Ghost</t>
  </si>
  <si>
    <t>-586rick- Sandstorm</t>
  </si>
  <si>
    <t>MADHOUSE</t>
  </si>
  <si>
    <t>Supreme Lab 69</t>
  </si>
  <si>
    <t>CybericDemon</t>
  </si>
  <si>
    <t>Robstep</t>
  </si>
  <si>
    <t>Lights speed</t>
  </si>
  <si>
    <t>club step re</t>
  </si>
  <si>
    <t>funk spirit</t>
  </si>
  <si>
    <t>noobas adv 3 unreal</t>
  </si>
  <si>
    <t>Overclock</t>
  </si>
  <si>
    <t>Ultimato</t>
  </si>
  <si>
    <t>RobTuxStep</t>
  </si>
  <si>
    <t>Deadly ClubStep</t>
  </si>
  <si>
    <t>Digital Cycels</t>
  </si>
  <si>
    <t>ClubBeatz</t>
  </si>
  <si>
    <t>Bleached Heart</t>
  </si>
  <si>
    <t>RegularDays</t>
  </si>
  <si>
    <t>Worlds Coexistence</t>
  </si>
  <si>
    <t>Theory of Infinity</t>
  </si>
  <si>
    <t>Mechanic Downforce</t>
  </si>
  <si>
    <t>VIP Black</t>
  </si>
  <si>
    <t>overdrive</t>
  </si>
  <si>
    <t>noobastep</t>
  </si>
  <si>
    <t>invisible clubstep</t>
  </si>
  <si>
    <t>Demon in the house</t>
  </si>
  <si>
    <t>catgirlBlitz</t>
  </si>
  <si>
    <t>Hexagon Force</t>
  </si>
  <si>
    <t>Supreme Lab Origins</t>
  </si>
  <si>
    <t>Fly to Next World</t>
  </si>
  <si>
    <t>Electrodrome</t>
  </si>
  <si>
    <t>Glittershroom</t>
  </si>
  <si>
    <t>Hello Demon</t>
  </si>
  <si>
    <t>crazy S M remake</t>
  </si>
  <si>
    <t>Electronic Demon</t>
  </si>
  <si>
    <t>Sumsar</t>
  </si>
  <si>
    <t>cant let fly</t>
  </si>
  <si>
    <t>Samzzx2YT</t>
  </si>
  <si>
    <t>The Flight</t>
  </si>
  <si>
    <t>JerkRat</t>
  </si>
  <si>
    <t>Forte</t>
  </si>
  <si>
    <t>LAST STEP</t>
  </si>
  <si>
    <t>Evasium622</t>
  </si>
  <si>
    <t>Possessed</t>
  </si>
  <si>
    <t>Pavilion Zenith</t>
  </si>
  <si>
    <t>Minesap</t>
  </si>
  <si>
    <t>moon adventure</t>
  </si>
  <si>
    <t>CrazyStep</t>
  </si>
  <si>
    <t>noobaman adventures</t>
  </si>
  <si>
    <t>Mech Track</t>
  </si>
  <si>
    <t>Times Of Revolution</t>
  </si>
  <si>
    <t>To The Stars</t>
  </si>
  <si>
    <t>Clubstep Modified</t>
  </si>
  <si>
    <t>Piece Of CAKE</t>
  </si>
  <si>
    <t>DarKnix</t>
  </si>
  <si>
    <t>dorabaedifficult2</t>
  </si>
  <si>
    <t>XtREmE MacHine RM</t>
  </si>
  <si>
    <t>DeathZone</t>
  </si>
  <si>
    <t>Theory of EX v2</t>
  </si>
  <si>
    <t>Death park r</t>
  </si>
  <si>
    <t>funk world</t>
  </si>
  <si>
    <t>electrodynamix v2</t>
  </si>
  <si>
    <t>Madman123</t>
  </si>
  <si>
    <t>electroparty</t>
  </si>
  <si>
    <t>Winters FURY</t>
  </si>
  <si>
    <t>Oblivion</t>
  </si>
  <si>
    <t>deadly clubstep easy</t>
  </si>
  <si>
    <t>Buck Force</t>
  </si>
  <si>
    <t>Stereo Whiteness</t>
  </si>
  <si>
    <t>final Demon</t>
  </si>
  <si>
    <t>Jo2000</t>
  </si>
  <si>
    <t>ClubForce</t>
  </si>
  <si>
    <t>Fortissimo</t>
  </si>
  <si>
    <t>Steam Chamber</t>
  </si>
  <si>
    <t>hell gate</t>
  </si>
  <si>
    <t>Root4jun</t>
  </si>
  <si>
    <t>Demon of Time</t>
  </si>
  <si>
    <t>Hexagon Force v2</t>
  </si>
  <si>
    <t>ForceDynamix</t>
  </si>
  <si>
    <t>Cant Let Troll</t>
  </si>
  <si>
    <t>Defectum</t>
  </si>
  <si>
    <t>Cant Let Go Rmx</t>
  </si>
  <si>
    <t>Dragon Force</t>
  </si>
  <si>
    <t>soRakami</t>
  </si>
  <si>
    <t>Super Hexagon</t>
  </si>
  <si>
    <t>Hexagon Universe</t>
  </si>
  <si>
    <t>Verde</t>
  </si>
  <si>
    <t>B L A Z E</t>
  </si>
  <si>
    <t>Arcane Void</t>
  </si>
  <si>
    <t>Nox</t>
  </si>
  <si>
    <t>Decagon Force</t>
  </si>
  <si>
    <t>Dako</t>
  </si>
  <si>
    <t>Laser Room</t>
  </si>
  <si>
    <t>hexagon country</t>
  </si>
  <si>
    <t>hexagon force v3</t>
  </si>
  <si>
    <t>Noriega</t>
  </si>
  <si>
    <t>Duet</t>
  </si>
  <si>
    <t>Catacomb</t>
  </si>
  <si>
    <t>Roobas adventure</t>
  </si>
  <si>
    <t>Demon Sky</t>
  </si>
  <si>
    <t>HexagonFunk</t>
  </si>
  <si>
    <t>SMBlacktime</t>
  </si>
  <si>
    <t>electronic clubstep</t>
  </si>
  <si>
    <t>SlopeStep</t>
  </si>
  <si>
    <t>Gamerespawn</t>
  </si>
  <si>
    <t>line land</t>
  </si>
  <si>
    <t>Collaboration</t>
  </si>
  <si>
    <t>saRy</t>
  </si>
  <si>
    <t>element chamber</t>
  </si>
  <si>
    <t>D0meR</t>
  </si>
  <si>
    <t>Cyberspace</t>
  </si>
  <si>
    <t>Robs Club</t>
  </si>
  <si>
    <t>Water Temple</t>
  </si>
  <si>
    <t>Michigun</t>
  </si>
  <si>
    <t>MetalCore</t>
  </si>
  <si>
    <t>DuoCore - Dignity</t>
  </si>
  <si>
    <t>Unstable</t>
  </si>
  <si>
    <t>Zeroniumm</t>
  </si>
  <si>
    <t>ClubWorld</t>
  </si>
  <si>
    <t>Dry Fake</t>
  </si>
  <si>
    <t>GMDcmys1022</t>
  </si>
  <si>
    <t>Electro Clubbin</t>
  </si>
  <si>
    <t>MrNeon</t>
  </si>
  <si>
    <t>Antimatter</t>
  </si>
  <si>
    <t>area nys15 the 4</t>
  </si>
  <si>
    <t>nys</t>
  </si>
  <si>
    <t>Electric Mine</t>
  </si>
  <si>
    <t>Shadows of Hell</t>
  </si>
  <si>
    <t>Project J</t>
  </si>
  <si>
    <t>Psicho Forest</t>
  </si>
  <si>
    <t>Crazy xStep</t>
  </si>
  <si>
    <t>Dorami</t>
  </si>
  <si>
    <t>Code Red</t>
  </si>
  <si>
    <t>EDSJustin</t>
  </si>
  <si>
    <t>ClubNeon</t>
  </si>
  <si>
    <t>theory of troll</t>
  </si>
  <si>
    <t>Cycle Of Space</t>
  </si>
  <si>
    <t>TimeCore</t>
  </si>
  <si>
    <t>noobatropolis</t>
  </si>
  <si>
    <t>Frozen Palace</t>
  </si>
  <si>
    <t>Crazy Clutterfunk</t>
  </si>
  <si>
    <t>theory of botany</t>
  </si>
  <si>
    <t>Atlas</t>
  </si>
  <si>
    <t>extreme chaos</t>
  </si>
  <si>
    <t>nether</t>
  </si>
  <si>
    <t>Velodrome</t>
  </si>
  <si>
    <t>Days Journey</t>
  </si>
  <si>
    <t>X Force</t>
  </si>
  <si>
    <t>The GClub</t>
  </si>
  <si>
    <t>Championship</t>
  </si>
  <si>
    <t>Supreme CoLab</t>
  </si>
  <si>
    <t>dorabaedifficult4</t>
  </si>
  <si>
    <t>Slopefunk</t>
  </si>
  <si>
    <t>Nitro Clubstep</t>
  </si>
  <si>
    <t>Electric Flare</t>
  </si>
  <si>
    <t>Cox</t>
  </si>
  <si>
    <t>Electroboy Extreme</t>
  </si>
  <si>
    <t>Potatoguy Adven 3</t>
  </si>
  <si>
    <t>BearWare</t>
  </si>
  <si>
    <t>VuLtRAGon</t>
  </si>
  <si>
    <t>Space Club</t>
  </si>
  <si>
    <t>Chaotic Wires</t>
  </si>
  <si>
    <t>Theory of Oblivion</t>
  </si>
  <si>
    <t>Hexagon Road</t>
  </si>
  <si>
    <t>8Bit Core</t>
  </si>
  <si>
    <t>Valley of Dreams</t>
  </si>
  <si>
    <t>System Break</t>
  </si>
  <si>
    <t>Crazy Clubstep</t>
  </si>
  <si>
    <t>Monstrosity</t>
  </si>
  <si>
    <t>iBurger</t>
  </si>
  <si>
    <t>Doomsday II</t>
  </si>
  <si>
    <t>Final Sector</t>
  </si>
  <si>
    <t>cataclysm 1</t>
  </si>
  <si>
    <t>Abyssal Ruins</t>
  </si>
  <si>
    <t>Lazer Degree</t>
  </si>
  <si>
    <t>DemonMKer</t>
  </si>
  <si>
    <t>Necropolis</t>
  </si>
  <si>
    <t>Security Breach</t>
  </si>
  <si>
    <t>ASonicMen</t>
  </si>
  <si>
    <t>Oblivion Force</t>
  </si>
  <si>
    <t>Cosmic Journey</t>
  </si>
  <si>
    <t>NitroMan adventures</t>
  </si>
  <si>
    <t>Deadly Theorystep</t>
  </si>
  <si>
    <t>Cycles V Hard</t>
  </si>
  <si>
    <t>DenDennisCool</t>
  </si>
  <si>
    <t>Significant</t>
  </si>
  <si>
    <t>Monster City</t>
  </si>
  <si>
    <t>SilverSoul</t>
  </si>
  <si>
    <t>Fallen Sky</t>
  </si>
  <si>
    <t>Jormakeisari</t>
  </si>
  <si>
    <t>Blade Dance</t>
  </si>
  <si>
    <t>Red World</t>
  </si>
  <si>
    <t>Theory of Anarchy</t>
  </si>
  <si>
    <t>Insendium</t>
  </si>
  <si>
    <t>Lake of Fire</t>
  </si>
  <si>
    <t>weoweoteo</t>
  </si>
  <si>
    <t>XyyStep</t>
  </si>
  <si>
    <t>SIMG Factorial 10</t>
  </si>
  <si>
    <t>Creeper Force</t>
  </si>
  <si>
    <t>CreeperMILK</t>
  </si>
  <si>
    <t>Gigas Shocked</t>
  </si>
  <si>
    <t>Cataclysmic Chaos</t>
  </si>
  <si>
    <t>The Hazard Factory</t>
  </si>
  <si>
    <t>Duxagon Force</t>
  </si>
  <si>
    <t>MiracleFunk</t>
  </si>
  <si>
    <t>Ggb0y</t>
  </si>
  <si>
    <t>HydroCity</t>
  </si>
  <si>
    <t>Zorochase</t>
  </si>
  <si>
    <t>Punk Hazard</t>
  </si>
  <si>
    <t>RoXion</t>
  </si>
  <si>
    <t>WeoTheory</t>
  </si>
  <si>
    <t>WazE</t>
  </si>
  <si>
    <t>Clubbin</t>
  </si>
  <si>
    <t>Digital Universe X</t>
  </si>
  <si>
    <t>Fire Temple</t>
  </si>
  <si>
    <t>insidious step</t>
  </si>
  <si>
    <t>GrindCore</t>
  </si>
  <si>
    <t>Lets Get Down (Dubstep)</t>
  </si>
  <si>
    <t>demonic clubstep</t>
  </si>
  <si>
    <t>Creatorchess</t>
  </si>
  <si>
    <t>Shadow Temple</t>
  </si>
  <si>
    <t>ToE 2 v2</t>
  </si>
  <si>
    <t>polarmanzues</t>
  </si>
  <si>
    <t>Gloomy City</t>
  </si>
  <si>
    <t>BlackCat</t>
  </si>
  <si>
    <t>DeCode</t>
  </si>
  <si>
    <t>-Endgame-</t>
  </si>
  <si>
    <t>Cosmic dreamer</t>
  </si>
  <si>
    <t>CdlAwesomeMe</t>
  </si>
  <si>
    <t>Cosmic Dreamer</t>
  </si>
  <si>
    <t>Club Force</t>
  </si>
  <si>
    <t>RealSoulDash</t>
  </si>
  <si>
    <t>ToE II v2</t>
  </si>
  <si>
    <t>Chaotic Overdrive</t>
  </si>
  <si>
    <t>Havok</t>
  </si>
  <si>
    <t>-Chaotic-</t>
  </si>
  <si>
    <t>Eternity</t>
  </si>
  <si>
    <t>Eternity [Techno]</t>
  </si>
  <si>
    <t>S T O R M</t>
  </si>
  <si>
    <t>Chaoz Impact</t>
  </si>
  <si>
    <t>ParagonX9 - Chaoz Impact</t>
  </si>
  <si>
    <t>Alien World</t>
  </si>
  <si>
    <t>Roboland</t>
  </si>
  <si>
    <t>IiI Demon Shade IiI</t>
  </si>
  <si>
    <t>NiTro451</t>
  </si>
  <si>
    <t>System Split - F-777</t>
  </si>
  <si>
    <t>Path of the shadows</t>
  </si>
  <si>
    <t>Dark angel</t>
  </si>
  <si>
    <t>Terminus M</t>
  </si>
  <si>
    <t>Dark Angel - F-777</t>
  </si>
  <si>
    <t>Theory of SkriLLex</t>
  </si>
  <si>
    <t>Skrillex GD Remix2</t>
  </si>
  <si>
    <t>Ascend</t>
  </si>
  <si>
    <t>EnV - Uprise</t>
  </si>
  <si>
    <t>Regret</t>
  </si>
  <si>
    <t>CubeDasher</t>
  </si>
  <si>
    <t>{dj-N} Regret</t>
  </si>
  <si>
    <t>Doramis Processing</t>
  </si>
  <si>
    <t>Blast Processing</t>
  </si>
  <si>
    <t>Final Stage</t>
  </si>
  <si>
    <t>Insomnia</t>
  </si>
  <si>
    <t>Fijiwiji- Insomnia (F-777 RMX)</t>
  </si>
  <si>
    <t>Nitronic Freedom</t>
  </si>
  <si>
    <t>Infernoplex</t>
  </si>
  <si>
    <t>Pokemon Showdown</t>
  </si>
  <si>
    <t>meromelon</t>
  </si>
  <si>
    <t>TheFatRat - Windfall</t>
  </si>
  <si>
    <t>Voyager II</t>
  </si>
  <si>
    <t>evolution of music</t>
  </si>
  <si>
    <t>{dj-N} Evolution of Music</t>
  </si>
  <si>
    <t>Chaoz Airflow</t>
  </si>
  <si>
    <t>ParagonX9 - Chaoz Airflow</t>
  </si>
  <si>
    <t>Uprise</t>
  </si>
  <si>
    <t>Bonus Level</t>
  </si>
  <si>
    <t>TheKris</t>
  </si>
  <si>
    <t>EnV - Bonus Level</t>
  </si>
  <si>
    <t>Golden Haze</t>
  </si>
  <si>
    <t>Detious - Golden Haze (Prev)</t>
  </si>
  <si>
    <t>Speed Racer</t>
  </si>
  <si>
    <t>Astro Agent</t>
  </si>
  <si>
    <t>Mega Man 2 Dr. Wily Elite</t>
  </si>
  <si>
    <t>Teatherd soul</t>
  </si>
  <si>
    <t>WOOGI Fantasy</t>
  </si>
  <si>
    <t>WOOGI1411</t>
  </si>
  <si>
    <t>F-777 - Adventure Fantasy</t>
  </si>
  <si>
    <t>trance impact</t>
  </si>
  <si>
    <t>jct</t>
  </si>
  <si>
    <t>up speed</t>
  </si>
  <si>
    <t>Center of Existence</t>
  </si>
  <si>
    <t>{dj-N} Center of Existence</t>
  </si>
  <si>
    <t>Final Battle</t>
  </si>
  <si>
    <t>-Final Battle-</t>
  </si>
  <si>
    <t>R U I N S</t>
  </si>
  <si>
    <t>Xtrullor - Supernova</t>
  </si>
  <si>
    <t>winterbliss</t>
  </si>
  <si>
    <t>Etzer</t>
  </si>
  <si>
    <t>CC Winterbliss Remix</t>
  </si>
  <si>
    <t>TOE III</t>
  </si>
  <si>
    <t>CrisanGD</t>
  </si>
  <si>
    <t>Nethercore</t>
  </si>
  <si>
    <t>Sinusoidal Depleneration</t>
  </si>
  <si>
    <t>island of miracle</t>
  </si>
  <si>
    <t>Sound of Infinity - F-777</t>
  </si>
  <si>
    <t>Cataclysm</t>
  </si>
  <si>
    <t>At the Speed of Light</t>
  </si>
  <si>
    <t>hell valley</t>
  </si>
  <si>
    <t>Glouti</t>
  </si>
  <si>
    <t>WILAY</t>
  </si>
  <si>
    <t>Pearlescent</t>
  </si>
  <si>
    <t>Rublock5</t>
  </si>
  <si>
    <t>EnV - Pearlescent</t>
  </si>
  <si>
    <t>Chaoz Memory</t>
  </si>
  <si>
    <t>Memoried</t>
  </si>
  <si>
    <t>Theory of FirePower</t>
  </si>
  <si>
    <t>Dr. Phonics - Firepower</t>
  </si>
  <si>
    <t>Silent clubstep</t>
  </si>
  <si>
    <t>TheRealSailent</t>
  </si>
  <si>
    <t>Breakthrough</t>
  </si>
  <si>
    <t>Hinds</t>
  </si>
  <si>
    <t>ParagonX9 - Infiltration</t>
  </si>
  <si>
    <t>line land remake</t>
  </si>
  <si>
    <t>-Time Machine-</t>
  </si>
  <si>
    <t>TRANSIT</t>
  </si>
  <si>
    <t>xcy7</t>
  </si>
  <si>
    <t>S U P E R N O V A</t>
  </si>
  <si>
    <t>OverZero</t>
  </si>
  <si>
    <t>Ditched Machine</t>
  </si>
  <si>
    <t>Lets Bounce</t>
  </si>
  <si>
    <t>Theory of Insomnia</t>
  </si>
  <si>
    <t>The Caverns</t>
  </si>
  <si>
    <t>Pasiblitz</t>
  </si>
  <si>
    <t>Fire Aura</t>
  </si>
  <si>
    <t>~{Fire Aura}~</t>
  </si>
  <si>
    <t>Electrodynamix II</t>
  </si>
  <si>
    <t>iv4n24</t>
  </si>
  <si>
    <t>{dj-N} Electrodynamix</t>
  </si>
  <si>
    <t>Megaman Dynamix</t>
  </si>
  <si>
    <t>Pollapo</t>
  </si>
  <si>
    <t>Mind Control</t>
  </si>
  <si>
    <t>Lalter</t>
  </si>
  <si>
    <t>~EnV~Heaven Rd. 2 (Ng mix)</t>
  </si>
  <si>
    <t>Intercept</t>
  </si>
  <si>
    <t>{dj-N} Intercept 2</t>
  </si>
  <si>
    <t>Cosmic Dreamer V2</t>
  </si>
  <si>
    <t>Toxic GD</t>
  </si>
  <si>
    <t>Legend of heroes</t>
  </si>
  <si>
    <t>Power Factory</t>
  </si>
  <si>
    <t>Nine Circles</t>
  </si>
  <si>
    <t>Zobros</t>
  </si>
  <si>
    <t>NK - Nine Circles</t>
  </si>
  <si>
    <t>Club Impact</t>
  </si>
  <si>
    <t>INSERT COIN</t>
  </si>
  <si>
    <t>Crystal of Miracle</t>
  </si>
  <si>
    <t>Clubstep X</t>
  </si>
  <si>
    <t>{dj-N} Club Step</t>
  </si>
  <si>
    <t>clubstep part 2</t>
  </si>
  <si>
    <t>WhitePartyhat</t>
  </si>
  <si>
    <t>Royal Fungus</t>
  </si>
  <si>
    <t>-Love shuttle-</t>
  </si>
  <si>
    <t>Affright</t>
  </si>
  <si>
    <t>The Hell World</t>
  </si>
  <si>
    <t>INTERCEPT</t>
  </si>
  <si>
    <t>Iid4sh3riI</t>
  </si>
  <si>
    <t>Blue Marine</t>
  </si>
  <si>
    <t>ChaozAF</t>
  </si>
  <si>
    <t>ParagonX9 - Blue Marine</t>
  </si>
  <si>
    <t>Curse Calling</t>
  </si>
  <si>
    <t>-Control: Mind-</t>
  </si>
  <si>
    <t>Stalemate</t>
  </si>
  <si>
    <t>KzX - Stalemate</t>
  </si>
  <si>
    <t>Demonic Uprise</t>
  </si>
  <si>
    <t>SUOMI</t>
  </si>
  <si>
    <t>Sentinel</t>
  </si>
  <si>
    <t>Angelism</t>
  </si>
  <si>
    <t>simple walk</t>
  </si>
  <si>
    <t>Uranus Fantasy</t>
  </si>
  <si>
    <t>GuraNuS</t>
  </si>
  <si>
    <t>Solar Skyline</t>
  </si>
  <si>
    <t>Solar Rain</t>
  </si>
  <si>
    <t>The Final Hour</t>
  </si>
  <si>
    <t>Supersonic</t>
  </si>
  <si>
    <t>Ludicrous Speed - F-777</t>
  </si>
  <si>
    <t>Lava Temple</t>
  </si>
  <si>
    <t>Chaotic Hell</t>
  </si>
  <si>
    <t>MrSaturnuz</t>
  </si>
  <si>
    <t>Neon Overdrive</t>
  </si>
  <si>
    <t>chaoz impact</t>
  </si>
  <si>
    <t>Hellaven</t>
  </si>
  <si>
    <t>Clasi</t>
  </si>
  <si>
    <t>WOOGI Jumper</t>
  </si>
  <si>
    <t>insomnia dreams</t>
  </si>
  <si>
    <t>Insomnia Dreams</t>
  </si>
  <si>
    <t>Theory of Dynamix</t>
  </si>
  <si>
    <t>Aqueous</t>
  </si>
  <si>
    <t>Critical Mass</t>
  </si>
  <si>
    <t>Twoots</t>
  </si>
  <si>
    <t>Haunted</t>
  </si>
  <si>
    <t>Dr Raszagal Pheonix</t>
  </si>
  <si>
    <t>Raszagal</t>
  </si>
  <si>
    <t>Crunchy Apple</t>
  </si>
  <si>
    <t>Wobbly Tooth, Crunchy Apple</t>
  </si>
  <si>
    <t>Snow temple</t>
  </si>
  <si>
    <t>Mystic Impact</t>
  </si>
  <si>
    <t>partyt r igng</t>
  </si>
  <si>
    <t>Partyt r Igng!</t>
  </si>
  <si>
    <t>Inferno Unleashed</t>
  </si>
  <si>
    <t>Paladin</t>
  </si>
  <si>
    <t>EnV - Paladin</t>
  </si>
  <si>
    <t>comeback of cycles</t>
  </si>
  <si>
    <t>yakine</t>
  </si>
  <si>
    <t>Castlepania</t>
  </si>
  <si>
    <t>Xeraton</t>
  </si>
  <si>
    <t>Windy Landscape</t>
  </si>
  <si>
    <t>Party Terror</t>
  </si>
  <si>
    <t>Nether Sector</t>
  </si>
  <si>
    <t>F-777 - Sonic Blaster</t>
  </si>
  <si>
    <t>SunRise</t>
  </si>
  <si>
    <t>RoWey</t>
  </si>
  <si>
    <t>Backstabber - F-777</t>
  </si>
  <si>
    <t>Sparks Fury</t>
  </si>
  <si>
    <t>-Lightspeed-</t>
  </si>
  <si>
    <t>Vee</t>
  </si>
  <si>
    <t>Mazl</t>
  </si>
  <si>
    <t>EnV - Vee</t>
  </si>
  <si>
    <t>resident evil</t>
  </si>
  <si>
    <t>Resident evil Theme</t>
  </si>
  <si>
    <t>FuryStep</t>
  </si>
  <si>
    <t>Speed of Light</t>
  </si>
  <si>
    <t>TheRealSalad</t>
  </si>
  <si>
    <t>Nitrox Tesla</t>
  </si>
  <si>
    <t>Vibrancy</t>
  </si>
  <si>
    <t>PTB10</t>
  </si>
  <si>
    <t>Severe winter</t>
  </si>
  <si>
    <t>-Village up north-</t>
  </si>
  <si>
    <t>Juffin</t>
  </si>
  <si>
    <t>Acropolis</t>
  </si>
  <si>
    <t>From the Future</t>
  </si>
  <si>
    <t>Soulwind</t>
  </si>
  <si>
    <t>Aztech + Lockyn: Soulwind</t>
  </si>
  <si>
    <t>Theory of OverTime</t>
  </si>
  <si>
    <t>touhou: night of nights</t>
  </si>
  <si>
    <t>Hyper Fantasy</t>
  </si>
  <si>
    <t>Super Hyper Can Can</t>
  </si>
  <si>
    <t>Death Note</t>
  </si>
  <si>
    <t>Ruf</t>
  </si>
  <si>
    <t>Death Note Dubstep [SB]</t>
  </si>
  <si>
    <t>ELECTRODISE</t>
  </si>
  <si>
    <t>-API- Paradise on E [REMIX]</t>
  </si>
  <si>
    <t>Database eRrOr</t>
  </si>
  <si>
    <t>Goodbye GD</t>
  </si>
  <si>
    <t>Fake A Doom</t>
  </si>
  <si>
    <t>TheFatRat - Unity</t>
  </si>
  <si>
    <t>Fairydust</t>
  </si>
  <si>
    <t>mkComic</t>
  </si>
  <si>
    <t>NK - Fairydust</t>
  </si>
  <si>
    <t>9Step</t>
  </si>
  <si>
    <t>Demonic Burst</t>
  </si>
  <si>
    <t>Venomite</t>
  </si>
  <si>
    <t>Sunset Park Act 3 - (Sonic TT)</t>
  </si>
  <si>
    <t>Ethereal Circles</t>
  </si>
  <si>
    <t>System Split</t>
  </si>
  <si>
    <t>Picha</t>
  </si>
  <si>
    <t>Parallel Run</t>
  </si>
  <si>
    <t>Dhafin</t>
  </si>
  <si>
    <t>-Run!-</t>
  </si>
  <si>
    <t>Death Theory</t>
  </si>
  <si>
    <t>Ocean Scuba</t>
  </si>
  <si>
    <t>rhythmic machine</t>
  </si>
  <si>
    <t>ANOTHER</t>
  </si>
  <si>
    <t>Dream Game</t>
  </si>
  <si>
    <t>demondoomvn</t>
  </si>
  <si>
    <t>This Game RmX Off Vocal</t>
  </si>
  <si>
    <t>Lockout</t>
  </si>
  <si>
    <t>Codex</t>
  </si>
  <si>
    <t>Cry of Soul</t>
  </si>
  <si>
    <t>Nitronic Chaos</t>
  </si>
  <si>
    <t>Chrome Castle</t>
  </si>
  <si>
    <t>DWShin</t>
  </si>
  <si>
    <t>-=My Future=-</t>
  </si>
  <si>
    <t>DemonTheory</t>
  </si>
  <si>
    <t>Steampunk</t>
  </si>
  <si>
    <t>Helix - Archetype</t>
  </si>
  <si>
    <t>Demon Swinging</t>
  </si>
  <si>
    <t>Cane Swinging</t>
  </si>
  <si>
    <t>FuryFunk</t>
  </si>
  <si>
    <t>hamsin-makou</t>
  </si>
  <si>
    <t>HyperioxX</t>
  </si>
  <si>
    <t>Rlol</t>
  </si>
  <si>
    <t>ParagonX9 - HyperioxX</t>
  </si>
  <si>
    <t>Toxic Sewers</t>
  </si>
  <si>
    <t>Superopi</t>
  </si>
  <si>
    <t>-Toxic sewers-</t>
  </si>
  <si>
    <t>The G Theory</t>
  </si>
  <si>
    <t>dynamo</t>
  </si>
  <si>
    <t>Platinum Adventure</t>
  </si>
  <si>
    <t>Jerry4</t>
  </si>
  <si>
    <t>Dark Ruins</t>
  </si>
  <si>
    <t>Angelism2</t>
  </si>
  <si>
    <t>Haunted World</t>
  </si>
  <si>
    <t>-Haunted woods-</t>
  </si>
  <si>
    <t>pandemonium</t>
  </si>
  <si>
    <t>aurumble</t>
  </si>
  <si>
    <t>Cosmic Overdrive</t>
  </si>
  <si>
    <t>Flaklypa</t>
  </si>
  <si>
    <t>Rameses B - Flaklypa</t>
  </si>
  <si>
    <t>Theory Drive</t>
  </si>
  <si>
    <t>Espii</t>
  </si>
  <si>
    <t>LinkTheGamer</t>
  </si>
  <si>
    <t>Tuxedo</t>
  </si>
  <si>
    <t>Tuxedo Lightsaber Battle</t>
  </si>
  <si>
    <t>Five nights Pollapo</t>
  </si>
  <si>
    <t>{Midnight}</t>
  </si>
  <si>
    <t>Switchblade</t>
  </si>
  <si>
    <t>SwitchBlade(WIP)</t>
  </si>
  <si>
    <t>Forsaken Neon</t>
  </si>
  <si>
    <t>Insomnia v2</t>
  </si>
  <si>
    <t>Toxic Numbers</t>
  </si>
  <si>
    <t>ParagonX9 - No. 5 (NG Edit)</t>
  </si>
  <si>
    <t>The Big Black</t>
  </si>
  <si>
    <t>alexANDgame</t>
  </si>
  <si>
    <t>The quick brown fox-the big bl</t>
  </si>
  <si>
    <t>The Shredder</t>
  </si>
  <si>
    <t>Sandstorm</t>
  </si>
  <si>
    <t>-The Shredder-</t>
  </si>
  <si>
    <t>Radio Breakers</t>
  </si>
  <si>
    <t>Terron</t>
  </si>
  <si>
    <t>-RadioCutter-</t>
  </si>
  <si>
    <t>colorghasm</t>
  </si>
  <si>
    <t>Sector 13</t>
  </si>
  <si>
    <t>joarZ</t>
  </si>
  <si>
    <t>Astronaut - 13 (Rukkus Remix)</t>
  </si>
  <si>
    <t>Theory of visible v2</t>
  </si>
  <si>
    <t>BlueLite</t>
  </si>
  <si>
    <t>Carbon Faze</t>
  </si>
  <si>
    <t>Explore The Core</t>
  </si>
  <si>
    <t>Countdown</t>
  </si>
  <si>
    <t>Zechla</t>
  </si>
  <si>
    <t>Redux</t>
  </si>
  <si>
    <t>The Realistic</t>
  </si>
  <si>
    <t>softable</t>
  </si>
  <si>
    <t>Realistik - 211</t>
  </si>
  <si>
    <t>Crispy road</t>
  </si>
  <si>
    <t>Z3nithGD</t>
  </si>
  <si>
    <t>F-777 - Crispyness</t>
  </si>
  <si>
    <t>Face Of Death</t>
  </si>
  <si>
    <t>DarkZoneTV</t>
  </si>
  <si>
    <t>Wobbly Teeth</t>
  </si>
  <si>
    <t>Brutal Velocity</t>
  </si>
  <si>
    <t>-Velocity Wings-</t>
  </si>
  <si>
    <t>Figures</t>
  </si>
  <si>
    <t>~NK~ Figures</t>
  </si>
  <si>
    <t>Glitch Gremlin</t>
  </si>
  <si>
    <t>Bossfight - Glitch Gremlin</t>
  </si>
  <si>
    <t>Toxic Ruins</t>
  </si>
  <si>
    <t>Hexagon force v6</t>
  </si>
  <si>
    <t>Jawbreaker</t>
  </si>
  <si>
    <t>NK - Jawbreaker</t>
  </si>
  <si>
    <t>Astronaut 13</t>
  </si>
  <si>
    <t>SpeedCore</t>
  </si>
  <si>
    <t>XTHANEX</t>
  </si>
  <si>
    <t>Headrush</t>
  </si>
  <si>
    <t>~NK~ "Headrush"</t>
  </si>
  <si>
    <t>classic</t>
  </si>
  <si>
    <t>VERSU5</t>
  </si>
  <si>
    <t>NK - Classical</t>
  </si>
  <si>
    <t>Horntail Cave</t>
  </si>
  <si>
    <t>{Kavi} Horntail (Dnb Mix)</t>
  </si>
  <si>
    <t>Speed of Light II</t>
  </si>
  <si>
    <t>Silhouette</t>
  </si>
  <si>
    <t>Xarostep V3</t>
  </si>
  <si>
    <t>Xaro</t>
  </si>
  <si>
    <t>Poltergeist</t>
  </si>
  <si>
    <t>Andromeda GMD</t>
  </si>
  <si>
    <t>NK - Poltergeist (OLD mix)</t>
  </si>
  <si>
    <t>shambler</t>
  </si>
  <si>
    <t>loogiah</t>
  </si>
  <si>
    <t>Problematic</t>
  </si>
  <si>
    <t>~NK~ Problematic</t>
  </si>
  <si>
    <t>Dark Disco</t>
  </si>
  <si>
    <t>Iridium</t>
  </si>
  <si>
    <t>The Ultimate Phase</t>
  </si>
  <si>
    <t>The Final Phase</t>
  </si>
  <si>
    <t>Infiltrated</t>
  </si>
  <si>
    <t>Ember</t>
  </si>
  <si>
    <t>F-777 - Viper (Full)</t>
  </si>
  <si>
    <t>Classical</t>
  </si>
  <si>
    <t>Hakkou</t>
  </si>
  <si>
    <t>Crystal Power</t>
  </si>
  <si>
    <t>{dj-N} The Power</t>
  </si>
  <si>
    <t>Another Cataclysm</t>
  </si>
  <si>
    <t>Findexi</t>
  </si>
  <si>
    <t>Final Theory X</t>
  </si>
  <si>
    <t>{dj-N} Theory of Everything XL</t>
  </si>
  <si>
    <t>Swing Squad</t>
  </si>
  <si>
    <t>RayOriens</t>
  </si>
  <si>
    <t>HyperZone</t>
  </si>
  <si>
    <t>Crystal fall</t>
  </si>
  <si>
    <t>Sunny Happiness</t>
  </si>
  <si>
    <t>Hare Hare Yukai (RMX)</t>
  </si>
  <si>
    <t>Neonbreak</t>
  </si>
  <si>
    <t>Zelda9912</t>
  </si>
  <si>
    <t>Sequence</t>
  </si>
  <si>
    <t>Sequence WIP</t>
  </si>
  <si>
    <t>Hot Pursuit</t>
  </si>
  <si>
    <t>One More Thing</t>
  </si>
  <si>
    <t>Usermatt18</t>
  </si>
  <si>
    <t>Zenith - One More Thing</t>
  </si>
  <si>
    <t>FuryDynamix</t>
  </si>
  <si>
    <t>Radioactive</t>
  </si>
  <si>
    <t>-Radioactive-</t>
  </si>
  <si>
    <t>Cataclysmic drive</t>
  </si>
  <si>
    <t>TheRealArtee</t>
  </si>
  <si>
    <t>SkyLine</t>
  </si>
  <si>
    <t>Evil</t>
  </si>
  <si>
    <t>IiDeaychawooiI</t>
  </si>
  <si>
    <t>~NK~ Evil</t>
  </si>
  <si>
    <t>Arcanum</t>
  </si>
  <si>
    <t>Legacy</t>
  </si>
  <si>
    <t>Fear Me</t>
  </si>
  <si>
    <t>CrisPy Dash</t>
  </si>
  <si>
    <t>~NK~ Fear Me (NGADm Entry)</t>
  </si>
  <si>
    <t>radioactive</t>
  </si>
  <si>
    <t>ClubStep Nightmares</t>
  </si>
  <si>
    <t>{dj-N} Robotic Nightmares</t>
  </si>
  <si>
    <t>ElectroMan II</t>
  </si>
  <si>
    <t>-Electroman Adventures V2-</t>
  </si>
  <si>
    <t>Cyborg Rhythm</t>
  </si>
  <si>
    <t>The Bridge</t>
  </si>
  <si>
    <t>T3mpl4te</t>
  </si>
  <si>
    <t>The Mechanism</t>
  </si>
  <si>
    <t>TriAxis</t>
  </si>
  <si>
    <t>Acceleradiant</t>
  </si>
  <si>
    <t>BIANOX</t>
  </si>
  <si>
    <t>Be Gone Mr. Gawne</t>
  </si>
  <si>
    <t>Mega Buster</t>
  </si>
  <si>
    <t>Dr Wilys Stage 1 (Remix)</t>
  </si>
  <si>
    <t>Liberation</t>
  </si>
  <si>
    <t>Pwnzified</t>
  </si>
  <si>
    <t>Level One</t>
  </si>
  <si>
    <t>Crimson Flare</t>
  </si>
  <si>
    <t>Grey Trap</t>
  </si>
  <si>
    <t>Mechanic Megaforce</t>
  </si>
  <si>
    <t>TecHNeT</t>
  </si>
  <si>
    <t>Demonic Morning</t>
  </si>
  <si>
    <t>Leksitoo</t>
  </si>
  <si>
    <t>-Glorious morning-</t>
  </si>
  <si>
    <t>Colorful OverNight</t>
  </si>
  <si>
    <t>Tobu - Colors</t>
  </si>
  <si>
    <t>The Nightmare Realm</t>
  </si>
  <si>
    <t>EternaswipVMAX</t>
  </si>
  <si>
    <t>QuantumDynamix</t>
  </si>
  <si>
    <t>Bass Knight</t>
  </si>
  <si>
    <t>Chaos</t>
  </si>
  <si>
    <t>Oskux</t>
  </si>
  <si>
    <t>Reunion</t>
  </si>
  <si>
    <t>Collain - Reunion</t>
  </si>
  <si>
    <t>Frozen Space</t>
  </si>
  <si>
    <t>Aquatias</t>
  </si>
  <si>
    <t>Area 13</t>
  </si>
  <si>
    <t>Down Bass</t>
  </si>
  <si>
    <t>Spectruh</t>
  </si>
  <si>
    <t>~NK~ DEV-BassDownLow Remix</t>
  </si>
  <si>
    <t>Plasma Pulse</t>
  </si>
  <si>
    <t>Giron</t>
  </si>
  <si>
    <t>Show No Tears</t>
  </si>
  <si>
    <t>effot</t>
  </si>
  <si>
    <t>ozpectro</t>
  </si>
  <si>
    <t>Summer Breeze</t>
  </si>
  <si>
    <t>Milk Party Hype</t>
  </si>
  <si>
    <t>nasgubb</t>
  </si>
  <si>
    <t>Overpowered</t>
  </si>
  <si>
    <t>Fairy Dynamix</t>
  </si>
  <si>
    <t>kukizi</t>
  </si>
  <si>
    <t>Infrared</t>
  </si>
  <si>
    <t>ParagonX9 - Red 13</t>
  </si>
  <si>
    <t>Archetype</t>
  </si>
  <si>
    <t>dudley</t>
  </si>
  <si>
    <t>Spaghetti Slide</t>
  </si>
  <si>
    <t>Namtar</t>
  </si>
  <si>
    <t>Spaghetti On The Side</t>
  </si>
  <si>
    <t>Hazardsector Reborn</t>
  </si>
  <si>
    <t>Tippymang0</t>
  </si>
  <si>
    <t>Melody of Violins</t>
  </si>
  <si>
    <t>Dance Of The Violins</t>
  </si>
  <si>
    <t>Venom</t>
  </si>
  <si>
    <t>fractured circles</t>
  </si>
  <si>
    <t>artimiel</t>
  </si>
  <si>
    <t>~NK~ Fracture</t>
  </si>
  <si>
    <t>Dangerous ClubStep</t>
  </si>
  <si>
    <t>BPbungis</t>
  </si>
  <si>
    <t>Toxin Lab II</t>
  </si>
  <si>
    <t>UltraSonic</t>
  </si>
  <si>
    <t>Demon Dawn</t>
  </si>
  <si>
    <t>Forbidden sector</t>
  </si>
  <si>
    <t>Flirt Drive</t>
  </si>
  <si>
    <t>hyp3rdemente</t>
  </si>
  <si>
    <t>Flirt Flirt Oh It Hurts</t>
  </si>
  <si>
    <t>SoundWave</t>
  </si>
  <si>
    <t>GlowRoad</t>
  </si>
  <si>
    <t>Death Moon</t>
  </si>
  <si>
    <t>Caustic</t>
  </si>
  <si>
    <t>Crimson Chamber</t>
  </si>
  <si>
    <t>NiceNike</t>
  </si>
  <si>
    <t>Sine Wavs</t>
  </si>
  <si>
    <t>NK - Sine Wavs</t>
  </si>
  <si>
    <t>Voluto</t>
  </si>
  <si>
    <t>MoltenPunch</t>
  </si>
  <si>
    <t>Wonderpunch</t>
  </si>
  <si>
    <t>Lunar Dream</t>
  </si>
  <si>
    <t>HotoCot</t>
  </si>
  <si>
    <t>Duality</t>
  </si>
  <si>
    <t>Dark Sea</t>
  </si>
  <si>
    <t>Rainbow Dust V2</t>
  </si>
  <si>
    <t>Tygrysek</t>
  </si>
  <si>
    <t>~EnV~Chaoz Fantasy RMX</t>
  </si>
  <si>
    <t>Snow v2</t>
  </si>
  <si>
    <t>-Snow!-</t>
  </si>
  <si>
    <t>Stabber</t>
  </si>
  <si>
    <t>DesTicY</t>
  </si>
  <si>
    <t>Radiotion</t>
  </si>
  <si>
    <t>Sadness</t>
  </si>
  <si>
    <t>IHogartI</t>
  </si>
  <si>
    <t>Instant Reaction</t>
  </si>
  <si>
    <t>Rain Hell</t>
  </si>
  <si>
    <t>SwagzZilla</t>
  </si>
  <si>
    <t>{dj-N} Rain Full</t>
  </si>
  <si>
    <t>Grind District</t>
  </si>
  <si>
    <t>-Grind District-</t>
  </si>
  <si>
    <t>Sharp Road</t>
  </si>
  <si>
    <t>Hyper Demon Mix</t>
  </si>
  <si>
    <t>Enderloning</t>
  </si>
  <si>
    <t>Bye bye Mr Gawne</t>
  </si>
  <si>
    <t>Lucoraf</t>
  </si>
  <si>
    <t>ReActive</t>
  </si>
  <si>
    <t>8o</t>
  </si>
  <si>
    <t>Jomekka - Eighto</t>
  </si>
  <si>
    <t>Rebirth</t>
  </si>
  <si>
    <t>TrueChaos</t>
  </si>
  <si>
    <t>Infinite Definition</t>
  </si>
  <si>
    <t>Wolfkami</t>
  </si>
  <si>
    <t>Toxic Airflow</t>
  </si>
  <si>
    <t>Surv</t>
  </si>
  <si>
    <t>steam blaster</t>
  </si>
  <si>
    <t>Future demoness</t>
  </si>
  <si>
    <t>Devoid</t>
  </si>
  <si>
    <t>Hdow</t>
  </si>
  <si>
    <t>Resurrection</t>
  </si>
  <si>
    <t>Party Crasher</t>
  </si>
  <si>
    <t>Theory of Duality</t>
  </si>
  <si>
    <t>LazerBlitz</t>
  </si>
  <si>
    <t>Lo1cker</t>
  </si>
  <si>
    <t>Combo Breaker</t>
  </si>
  <si>
    <t>Skitten</t>
  </si>
  <si>
    <t>-Combo Breaker-</t>
  </si>
  <si>
    <t>Dead Moon</t>
  </si>
  <si>
    <t>Bearticzz</t>
  </si>
  <si>
    <t>Hellish Aspect</t>
  </si>
  <si>
    <t>LyoNa</t>
  </si>
  <si>
    <t>Theory of IntercepT</t>
  </si>
  <si>
    <t>Noxious Ruins</t>
  </si>
  <si>
    <t>IIExenityII</t>
  </si>
  <si>
    <t>Mastermind</t>
  </si>
  <si>
    <t>Hurricane Dimension</t>
  </si>
  <si>
    <t>Dark Spear</t>
  </si>
  <si>
    <t>Wander of Thought - F-777</t>
  </si>
  <si>
    <t>Chasing Light</t>
  </si>
  <si>
    <t>stardust1971</t>
  </si>
  <si>
    <t>Arcanum Rift</t>
  </si>
  <si>
    <t>Geometry Dash</t>
  </si>
  <si>
    <t>Prosperity</t>
  </si>
  <si>
    <t>Happyyyy~!! (HappyGTR mix)</t>
  </si>
  <si>
    <t>sharp</t>
  </si>
  <si>
    <t>kaval</t>
  </si>
  <si>
    <t>Realistik - ill Sharp Minor</t>
  </si>
  <si>
    <t>Butterfly Effect</t>
  </si>
  <si>
    <t>Linco</t>
  </si>
  <si>
    <t>Fallen Dynasty</t>
  </si>
  <si>
    <t>EnV - Dynasty (Preview)</t>
  </si>
  <si>
    <t>Alfheim</t>
  </si>
  <si>
    <t>SAO - Crossing Field RMX</t>
  </si>
  <si>
    <t>Chaoz Twilight</t>
  </si>
  <si>
    <t>RyanAB</t>
  </si>
  <si>
    <t>ParagonX9 - Chaoz Twilight</t>
  </si>
  <si>
    <t>The Four Elements</t>
  </si>
  <si>
    <t>Eiken</t>
  </si>
  <si>
    <t>-conclusion-</t>
  </si>
  <si>
    <t>Cosmonaut 21</t>
  </si>
  <si>
    <t>Pennutoh</t>
  </si>
  <si>
    <t>Evolution Night</t>
  </si>
  <si>
    <t>Total Oblivion</t>
  </si>
  <si>
    <t>Golden Hope</t>
  </si>
  <si>
    <t>Sourcream</t>
  </si>
  <si>
    <t>Core Overdrive</t>
  </si>
  <si>
    <t>SalMosA</t>
  </si>
  <si>
    <t>Crimson Clutter</t>
  </si>
  <si>
    <t>RedUniverse</t>
  </si>
  <si>
    <t>~NK~ "Sweet Dreams" FULL</t>
  </si>
  <si>
    <t>Serpents Shrine</t>
  </si>
  <si>
    <t>LmAnubis</t>
  </si>
  <si>
    <t>XS - Eclipse</t>
  </si>
  <si>
    <t>Creacionist</t>
  </si>
  <si>
    <t>Bryan1150</t>
  </si>
  <si>
    <t>LightWave</t>
  </si>
  <si>
    <t>Splenetic</t>
  </si>
  <si>
    <t>Theory of WOOGI</t>
  </si>
  <si>
    <t>Uranus Fantasy II</t>
  </si>
  <si>
    <t>Audio Excursion</t>
  </si>
  <si>
    <t>GoodSmile</t>
  </si>
  <si>
    <t>{dj-N} Journey Into Sound</t>
  </si>
  <si>
    <t>Primordial Chamber</t>
  </si>
  <si>
    <t>MeRlO CreatoR</t>
  </si>
  <si>
    <t>Vega</t>
  </si>
  <si>
    <t>Velocci</t>
  </si>
  <si>
    <t>BrainFreeze</t>
  </si>
  <si>
    <t>AnnoyingBaby</t>
  </si>
  <si>
    <t>Brainbite</t>
  </si>
  <si>
    <t>JellyStep</t>
  </si>
  <si>
    <t>iIJellyBeanIi</t>
  </si>
  <si>
    <t>Stardust Pillar</t>
  </si>
  <si>
    <t>The Caverns II</t>
  </si>
  <si>
    <t>Galatic Fragility</t>
  </si>
  <si>
    <t>TeamSmokeWeed</t>
  </si>
  <si>
    <t>[TMM43] Eurodancer</t>
  </si>
  <si>
    <t>Restricted Zone</t>
  </si>
  <si>
    <t>Space Circles</t>
  </si>
  <si>
    <t>~NK~ Spaceman</t>
  </si>
  <si>
    <t>Technical Reactor</t>
  </si>
  <si>
    <t>whitepythor</t>
  </si>
  <si>
    <t>Techno Reactor [Original]</t>
  </si>
  <si>
    <t>Dark Angel</t>
  </si>
  <si>
    <t>Doomsday X</t>
  </si>
  <si>
    <t>Voyager III</t>
  </si>
  <si>
    <t>StandOff</t>
  </si>
  <si>
    <t>Uninstall</t>
  </si>
  <si>
    <t>DiamonD</t>
  </si>
  <si>
    <t>Sound of Infinity</t>
  </si>
  <si>
    <t>MattMrn</t>
  </si>
  <si>
    <t>screamroom</t>
  </si>
  <si>
    <t>GMD Condor</t>
  </si>
  <si>
    <t>Xtrullor - Screamroom</t>
  </si>
  <si>
    <t>Hallucinations</t>
  </si>
  <si>
    <t>Ludicrous</t>
  </si>
  <si>
    <t>The Hallucination</t>
  </si>
  <si>
    <t>The end of the world</t>
  </si>
  <si>
    <t>Draykonic</t>
  </si>
  <si>
    <t>{dj-N} Alls Lost [Full Ver.]</t>
  </si>
  <si>
    <t>Tempest</t>
  </si>
  <si>
    <t>Triadic</t>
  </si>
  <si>
    <t>SkyLand</t>
  </si>
  <si>
    <t>Forsaken Crypts</t>
  </si>
  <si>
    <t>Green Dragon</t>
  </si>
  <si>
    <t>Starship Showdown</t>
  </si>
  <si>
    <t>Light Years</t>
  </si>
  <si>
    <t>xSmokes</t>
  </si>
  <si>
    <t>electric offline</t>
  </si>
  <si>
    <t>Deathrun Rebirth</t>
  </si>
  <si>
    <t>carapa22</t>
  </si>
  <si>
    <t>Tricksters Funhouse</t>
  </si>
  <si>
    <t>-Clownparty remix-</t>
  </si>
  <si>
    <t>Malfunction</t>
  </si>
  <si>
    <t>Haru</t>
  </si>
  <si>
    <t>Paracosm Circles</t>
  </si>
  <si>
    <t>N1XO</t>
  </si>
  <si>
    <t>Paracosm</t>
  </si>
  <si>
    <t>Escape Area 51</t>
  </si>
  <si>
    <t>s1naptico</t>
  </si>
  <si>
    <t>Eighto</t>
  </si>
  <si>
    <t>eskim0</t>
  </si>
  <si>
    <t>Ultimate Demon Mix</t>
  </si>
  <si>
    <t>Sonic Chamber</t>
  </si>
  <si>
    <t>GMDElite</t>
  </si>
  <si>
    <t>Glow Storm</t>
  </si>
  <si>
    <t>ParagonX9 - Chaoz Fantasy</t>
  </si>
  <si>
    <t>DeltaNova</t>
  </si>
  <si>
    <t>Awake - Supernova</t>
  </si>
  <si>
    <t>Ultraviolet</t>
  </si>
  <si>
    <t>Bionic Button</t>
  </si>
  <si>
    <t>Bionic Belly Button</t>
  </si>
  <si>
    <t>Sharp Minor</t>
  </si>
  <si>
    <t>StarDoom</t>
  </si>
  <si>
    <t>Digitalzero</t>
  </si>
  <si>
    <t>mecha blaster</t>
  </si>
  <si>
    <t>Electric Landscape</t>
  </si>
  <si>
    <t>TamaN</t>
  </si>
  <si>
    <t>Skullbreaker</t>
  </si>
  <si>
    <t>DashingInfinity</t>
  </si>
  <si>
    <t>Critical Fusion</t>
  </si>
  <si>
    <t>Overdrive</t>
  </si>
  <si>
    <t>Dark Star</t>
  </si>
  <si>
    <t>styro2</t>
  </si>
  <si>
    <t>Dark Star Dance (M LPiT)</t>
  </si>
  <si>
    <t>Rainbow Future</t>
  </si>
  <si>
    <t>Sundivine</t>
  </si>
  <si>
    <t>Futuristic Road</t>
  </si>
  <si>
    <t>MaxiS9</t>
  </si>
  <si>
    <t>Rupture</t>
  </si>
  <si>
    <t>Jekko</t>
  </si>
  <si>
    <t>-Rupture-</t>
  </si>
  <si>
    <t>Pyromaniac</t>
  </si>
  <si>
    <t>DubStep</t>
  </si>
  <si>
    <t>CreatorRC</t>
  </si>
  <si>
    <t>The Void</t>
  </si>
  <si>
    <t>Uprush</t>
  </si>
  <si>
    <t>DTS - The Edge ft. Lockyn</t>
  </si>
  <si>
    <t>SkyBlaster</t>
  </si>
  <si>
    <t>Bloodbath</t>
  </si>
  <si>
    <t>Titanium</t>
  </si>
  <si>
    <t>Megaman9</t>
  </si>
  <si>
    <t>Iron God: Sakupen Hell Yes RMX</t>
  </si>
  <si>
    <t>Wander of thought</t>
  </si>
  <si>
    <t>Forsaken Neon v2</t>
  </si>
  <si>
    <t>The Prototype</t>
  </si>
  <si>
    <t>Active sewers</t>
  </si>
  <si>
    <t>The Massacre</t>
  </si>
  <si>
    <t>The massacre (chipsounds)</t>
  </si>
  <si>
    <t>Speed Test</t>
  </si>
  <si>
    <t>AbstractDark</t>
  </si>
  <si>
    <t>Catastrophic</t>
  </si>
  <si>
    <t>Time Shrine</t>
  </si>
  <si>
    <t>{dj-N} The End of Time</t>
  </si>
  <si>
    <t>Sweet Dreams</t>
  </si>
  <si>
    <t>Zeus9</t>
  </si>
  <si>
    <t>Hypers End</t>
  </si>
  <si>
    <t>SmK - Climax</t>
  </si>
  <si>
    <t>Down bass</t>
  </si>
  <si>
    <t>Phantomech2</t>
  </si>
  <si>
    <t>Windy Circles</t>
  </si>
  <si>
    <t>Milkshake Run</t>
  </si>
  <si>
    <t>System Lockdown</t>
  </si>
  <si>
    <t>Rezurrection</t>
  </si>
  <si>
    <t>DreamLand Mark II</t>
  </si>
  <si>
    <t>Solar Circles</t>
  </si>
  <si>
    <t>D4rkGryf</t>
  </si>
  <si>
    <t>[J] - Solar Wind</t>
  </si>
  <si>
    <t>Wrandering</t>
  </si>
  <si>
    <t>The Robotic Rush</t>
  </si>
  <si>
    <t>Dark Hell</t>
  </si>
  <si>
    <t>LaZye</t>
  </si>
  <si>
    <t>Syobon Action</t>
  </si>
  <si>
    <t>sweetdude</t>
  </si>
  <si>
    <t>Cheetahmen (Action 52)</t>
  </si>
  <si>
    <t>FireFrost Rebirth</t>
  </si>
  <si>
    <t>EnV - FireFrost</t>
  </si>
  <si>
    <t>genesis</t>
  </si>
  <si>
    <t>Jakedoggd</t>
  </si>
  <si>
    <t>The Dragons lair</t>
  </si>
  <si>
    <t>Blue Hell</t>
  </si>
  <si>
    <t>FinalEscape</t>
  </si>
  <si>
    <t>Shadow Monster</t>
  </si>
  <si>
    <t>Riqirez</t>
  </si>
  <si>
    <t>Planet Circles</t>
  </si>
  <si>
    <t>Liccho</t>
  </si>
  <si>
    <t>~NK~ "PlaneT Ten" (wip)</t>
  </si>
  <si>
    <t>The dungeon</t>
  </si>
  <si>
    <t>EthanMG</t>
  </si>
  <si>
    <t>Super Dubstep Mario</t>
  </si>
  <si>
    <t>Laser Box</t>
  </si>
  <si>
    <t>Secret Box</t>
  </si>
  <si>
    <t>ForestHell</t>
  </si>
  <si>
    <t>A new system</t>
  </si>
  <si>
    <t>Crispinus</t>
  </si>
  <si>
    <t>MadHouse</t>
  </si>
  <si>
    <t>GREEN</t>
  </si>
  <si>
    <t>Forest Temple</t>
  </si>
  <si>
    <t>Dark Demon</t>
  </si>
  <si>
    <t>GDAndreZ</t>
  </si>
  <si>
    <t>Ruined Journey</t>
  </si>
  <si>
    <t>Earthquake</t>
  </si>
  <si>
    <t>crackmiklox</t>
  </si>
  <si>
    <t>Burning hell</t>
  </si>
  <si>
    <t>FraudPlayer</t>
  </si>
  <si>
    <t>Ultra Paracosm</t>
  </si>
  <si>
    <t>iIiRulasiIi</t>
  </si>
  <si>
    <t>Dance Massacre</t>
  </si>
  <si>
    <t>Flock</t>
  </si>
  <si>
    <t>Sparklic Ocean</t>
  </si>
  <si>
    <t>Jindotgae</t>
  </si>
  <si>
    <t>MeatGrinder</t>
  </si>
  <si>
    <t>Deadlocked X</t>
  </si>
  <si>
    <t>F-777 - Deadlocked (Full)</t>
  </si>
  <si>
    <t>Err0r325</t>
  </si>
  <si>
    <t>Dobs 325</t>
  </si>
  <si>
    <t>Night of Demon</t>
  </si>
  <si>
    <t>Metallic Torment</t>
  </si>
  <si>
    <t>Blender</t>
  </si>
  <si>
    <t>dragon temple</t>
  </si>
  <si>
    <t>KR0N0S</t>
  </si>
  <si>
    <t>F-777 Dark Dragon Fire</t>
  </si>
  <si>
    <t>the darkness</t>
  </si>
  <si>
    <t>Xtrullor - Earthsplitter</t>
  </si>
  <si>
    <t>Glittery Ruins</t>
  </si>
  <si>
    <t>the last survivor</t>
  </si>
  <si>
    <t>Xandy77</t>
  </si>
  <si>
    <t>ParagonX9 - Chaoz Survivor</t>
  </si>
  <si>
    <t>OmegaPlex</t>
  </si>
  <si>
    <t>Alter</t>
  </si>
  <si>
    <t>Dark Realm</t>
  </si>
  <si>
    <t>Chaos Attack</t>
  </si>
  <si>
    <t>haunted factory</t>
  </si>
  <si>
    <t>Manix648</t>
  </si>
  <si>
    <t>AfterAirflow</t>
  </si>
  <si>
    <t>DreamEater</t>
  </si>
  <si>
    <t>DiabolicForce</t>
  </si>
  <si>
    <t>Hate Everything</t>
  </si>
  <si>
    <t>El Dorado</t>
  </si>
  <si>
    <t>-ThunderZone v2-</t>
  </si>
  <si>
    <t>Hazardous Sanctuary</t>
  </si>
  <si>
    <t>Zyzyx</t>
  </si>
  <si>
    <t>the colour factory</t>
  </si>
  <si>
    <t>Opak</t>
  </si>
  <si>
    <t>Forbidden Palace</t>
  </si>
  <si>
    <t>Azure Sky</t>
  </si>
  <si>
    <t>Noxious Ruins II</t>
  </si>
  <si>
    <t>EnV - Sanctuary</t>
  </si>
  <si>
    <t>Rustles Reaction</t>
  </si>
  <si>
    <t>Rustle</t>
  </si>
  <si>
    <t>Endorphin</t>
  </si>
  <si>
    <t>Cosmic Dolphin</t>
  </si>
  <si>
    <t>haunted</t>
  </si>
  <si>
    <t>ghostface</t>
  </si>
  <si>
    <t>For Matilda 2</t>
  </si>
  <si>
    <t>Dancing Cloud</t>
  </si>
  <si>
    <t>Rebellion</t>
  </si>
  <si>
    <t>Galactic Blackout</t>
  </si>
  <si>
    <t>Black0ut</t>
  </si>
  <si>
    <t>Revenge</t>
  </si>
  <si>
    <t>Conclusion</t>
  </si>
  <si>
    <t>final doomsday</t>
  </si>
  <si>
    <t>Luminum</t>
  </si>
  <si>
    <t>Frozen Jawbreaker</t>
  </si>
  <si>
    <t>ItzMika</t>
  </si>
  <si>
    <t>Ultra Fairydust</t>
  </si>
  <si>
    <t>BlitzVortex</t>
  </si>
  <si>
    <t>The Force</t>
  </si>
  <si>
    <t>Infinite Run</t>
  </si>
  <si>
    <t>Spectex</t>
  </si>
  <si>
    <t>deadlocked v2</t>
  </si>
  <si>
    <t>mystic Fantasy</t>
  </si>
  <si>
    <t>S1l3nce</t>
  </si>
  <si>
    <t>Fire Star</t>
  </si>
  <si>
    <t>Dans2jours</t>
  </si>
  <si>
    <t>Ginseng</t>
  </si>
  <si>
    <t>iIFrostIi</t>
  </si>
  <si>
    <t>EnV - Ginseng</t>
  </si>
  <si>
    <t>Wonder Cosm</t>
  </si>
  <si>
    <t>Ex Machina</t>
  </si>
  <si>
    <t>SariaGD</t>
  </si>
  <si>
    <t>disposers demons</t>
  </si>
  <si>
    <t>eduardopro7</t>
  </si>
  <si>
    <t>Armadyne</t>
  </si>
  <si>
    <t>Transonic</t>
  </si>
  <si>
    <t>Grizzly</t>
  </si>
  <si>
    <t>Ulasp</t>
  </si>
  <si>
    <t>Grizzly(WIP)</t>
  </si>
  <si>
    <t>Metallic World</t>
  </si>
  <si>
    <t>Dashtrict</t>
  </si>
  <si>
    <t>Toxic</t>
  </si>
  <si>
    <t>Shizennoaki</t>
  </si>
  <si>
    <t>Fort Castle</t>
  </si>
  <si>
    <t>-Sky Fortress-</t>
  </si>
  <si>
    <t>landect</t>
  </si>
  <si>
    <t>Nightmare</t>
  </si>
  <si>
    <t>iIiEupeNoxiIi</t>
  </si>
  <si>
    <t>Viper</t>
  </si>
  <si>
    <t>Ecstasy</t>
  </si>
  <si>
    <t>Matterz</t>
  </si>
  <si>
    <t>HyPerTehnO</t>
  </si>
  <si>
    <t>Infertehno</t>
  </si>
  <si>
    <t>AfterSonic</t>
  </si>
  <si>
    <t>TheFakeLogik</t>
  </si>
  <si>
    <t>Ichor</t>
  </si>
  <si>
    <t>Xtrullor - Ichor</t>
  </si>
  <si>
    <t>Bass Warrior</t>
  </si>
  <si>
    <t>Demonic Uprise v2</t>
  </si>
  <si>
    <t>Labnity</t>
  </si>
  <si>
    <t>Crying Souls</t>
  </si>
  <si>
    <t>Knobbelboy</t>
  </si>
  <si>
    <t>Cry</t>
  </si>
  <si>
    <t>Bass Cave</t>
  </si>
  <si>
    <t>bloodshot</t>
  </si>
  <si>
    <t>The Final Mission</t>
  </si>
  <si>
    <t>haoN</t>
  </si>
  <si>
    <t>A Tiny Spaceships Final Missi</t>
  </si>
  <si>
    <t>Discord</t>
  </si>
  <si>
    <t>The Dungeon II</t>
  </si>
  <si>
    <t>Night vision</t>
  </si>
  <si>
    <t>SuperNova</t>
  </si>
  <si>
    <t>Infinite Power</t>
  </si>
  <si>
    <t>TheFatRat - Infinite Power</t>
  </si>
  <si>
    <t>Another Infinity</t>
  </si>
  <si>
    <t>Tundra</t>
  </si>
  <si>
    <t>Static Charge</t>
  </si>
  <si>
    <t>TheRealSquizz</t>
  </si>
  <si>
    <t>Geometrical Domi V2</t>
  </si>
  <si>
    <t>Nik Gambardella</t>
  </si>
  <si>
    <t>Geometrical Dominator</t>
  </si>
  <si>
    <t>Ultra Circles</t>
  </si>
  <si>
    <t>The Final Stage</t>
  </si>
  <si>
    <t>Serponge</t>
  </si>
  <si>
    <t>Not dead YET!</t>
  </si>
  <si>
    <t>Blood Menace</t>
  </si>
  <si>
    <t>Comodo</t>
  </si>
  <si>
    <t>Neverending</t>
  </si>
  <si>
    <t>MANRAY</t>
  </si>
  <si>
    <t>Manray!</t>
  </si>
  <si>
    <t>Nightrush</t>
  </si>
  <si>
    <t>Jenkins</t>
  </si>
  <si>
    <t>Blooming nightshade</t>
  </si>
  <si>
    <t>ViPeR SysteM</t>
  </si>
  <si>
    <t>Quiken</t>
  </si>
  <si>
    <t>bloody room</t>
  </si>
  <si>
    <t>f3lixsram</t>
  </si>
  <si>
    <t>Demonic Bass</t>
  </si>
  <si>
    <t>Miniman2098</t>
  </si>
  <si>
    <t>Reduxien</t>
  </si>
  <si>
    <t>Nightmare Realm II</t>
  </si>
  <si>
    <t>The Dragons Lair</t>
  </si>
  <si>
    <t>Round 1</t>
  </si>
  <si>
    <t>Zypher</t>
  </si>
  <si>
    <t>Phantomech</t>
  </si>
  <si>
    <t>-Ricochet Love-</t>
  </si>
  <si>
    <t>legendary</t>
  </si>
  <si>
    <t>Land3x</t>
  </si>
  <si>
    <t>Sine wavs</t>
  </si>
  <si>
    <t>Purple Caverns</t>
  </si>
  <si>
    <t>Screamroom</t>
  </si>
  <si>
    <t>Massacre</t>
  </si>
  <si>
    <t>SirHadoken</t>
  </si>
  <si>
    <t>Moonstone</t>
  </si>
  <si>
    <t>ReaperTheory</t>
  </si>
  <si>
    <t>EVAD3</t>
  </si>
  <si>
    <t>Nexus</t>
  </si>
  <si>
    <t>{dj-N} Nexus 2</t>
  </si>
  <si>
    <t>Particle accelerator</t>
  </si>
  <si>
    <t>La Campanella Nu Rave</t>
  </si>
  <si>
    <t>Astral Field</t>
  </si>
  <si>
    <t>xSkylighter</t>
  </si>
  <si>
    <t>Lust</t>
  </si>
  <si>
    <t>Artillery</t>
  </si>
  <si>
    <t>Cosmic Punch</t>
  </si>
  <si>
    <t>Water castle</t>
  </si>
  <si>
    <t>DawnRoad II</t>
  </si>
  <si>
    <t>KireiMirai</t>
  </si>
  <si>
    <t>infinite circles</t>
  </si>
  <si>
    <t>startor</t>
  </si>
  <si>
    <t>electronic clubstep2</t>
  </si>
  <si>
    <t>mrjaakko</t>
  </si>
  <si>
    <t>Escape the Core</t>
  </si>
  <si>
    <t>Legendary</t>
  </si>
  <si>
    <t>brighyama</t>
  </si>
  <si>
    <t>Big Blast</t>
  </si>
  <si>
    <t>Alex084</t>
  </si>
  <si>
    <t>Remember</t>
  </si>
  <si>
    <t>Phantom Ensemble</t>
  </si>
  <si>
    <t>DeCodeX</t>
  </si>
  <si>
    <t>Slipstream</t>
  </si>
  <si>
    <t>goose</t>
  </si>
  <si>
    <t>Syobon Action 2</t>
  </si>
  <si>
    <t>Noisebringer - CheetahMEN</t>
  </si>
  <si>
    <t>Crackdown Draft</t>
  </si>
  <si>
    <t>Bossfight - Okiba Crackdown</t>
  </si>
  <si>
    <t>Ebony</t>
  </si>
  <si>
    <t>B0UNC3 - Paradise on E[Fi</t>
  </si>
  <si>
    <t>Techno Blaster</t>
  </si>
  <si>
    <t>Defiant</t>
  </si>
  <si>
    <t>infinite circles v2</t>
  </si>
  <si>
    <t>GMDomy</t>
  </si>
  <si>
    <t>The experiment ii</t>
  </si>
  <si>
    <t>NachoLag</t>
  </si>
  <si>
    <t>Tria.</t>
  </si>
  <si>
    <t>Bastion Adventure</t>
  </si>
  <si>
    <t>Krizard</t>
  </si>
  <si>
    <t>Bastion (Xtrullor Remix)</t>
  </si>
  <si>
    <t>Ego Death</t>
  </si>
  <si>
    <t>Lucidal</t>
  </si>
  <si>
    <t>AfterShock</t>
  </si>
  <si>
    <t>Eradicator</t>
  </si>
  <si>
    <t>Deevoo</t>
  </si>
  <si>
    <t>Stalker</t>
  </si>
  <si>
    <t>oraviram</t>
  </si>
  <si>
    <t>-Stalker-</t>
  </si>
  <si>
    <t>Okibae Breakdown</t>
  </si>
  <si>
    <t>Water Kingdom</t>
  </si>
  <si>
    <t>Elzeko</t>
  </si>
  <si>
    <t>Disco Caverns</t>
  </si>
  <si>
    <t>CairoX</t>
  </si>
  <si>
    <t>~BH~ Hells Maw</t>
  </si>
  <si>
    <t>Elemental Melons</t>
  </si>
  <si>
    <t>123Ev4n</t>
  </si>
  <si>
    <t>Elemelons</t>
  </si>
  <si>
    <t>Elemelons 2</t>
  </si>
  <si>
    <t>Neon Cluster</t>
  </si>
  <si>
    <t>ParagonX9 - Defection</t>
  </si>
  <si>
    <t>newayz</t>
  </si>
  <si>
    <t>Bassroom</t>
  </si>
  <si>
    <t>HoriZon Lights</t>
  </si>
  <si>
    <t>Anima Vendit</t>
  </si>
  <si>
    <t>Demigod</t>
  </si>
  <si>
    <t>Split the System</t>
  </si>
  <si>
    <t>EthanLX</t>
  </si>
  <si>
    <t>Elemental Stones</t>
  </si>
  <si>
    <t>Freedom Flame</t>
  </si>
  <si>
    <t>{dj-N} Freedom of Trance</t>
  </si>
  <si>
    <t>Pits Of Hell</t>
  </si>
  <si>
    <t>GD virus</t>
  </si>
  <si>
    <t>Asteroid</t>
  </si>
  <si>
    <t>MuLhM</t>
  </si>
  <si>
    <t>Procyon Naos</t>
  </si>
  <si>
    <t>LuisGX12</t>
  </si>
  <si>
    <t>Nine Deaths</t>
  </si>
  <si>
    <t>shademirai</t>
  </si>
  <si>
    <t>NK - Nine Circles (Xtrullor Remix)</t>
  </si>
  <si>
    <t>sound journey</t>
  </si>
  <si>
    <t>RealZober</t>
  </si>
  <si>
    <t>MasterLocked</t>
  </si>
  <si>
    <t>ML500</t>
  </si>
  <si>
    <t>DemonDynamix</t>
  </si>
  <si>
    <t>Mental Torture</t>
  </si>
  <si>
    <t>SeveranceD</t>
  </si>
  <si>
    <t>Chaotic system</t>
  </si>
  <si>
    <t>lezicuv</t>
  </si>
  <si>
    <t>Step4enko</t>
  </si>
  <si>
    <t>The confession</t>
  </si>
  <si>
    <t>B u r n</t>
  </si>
  <si>
    <t>Acid Ruins</t>
  </si>
  <si>
    <t>Pressure Chamber</t>
  </si>
  <si>
    <t>Crossing v2</t>
  </si>
  <si>
    <t>Ryan LC</t>
  </si>
  <si>
    <t>Enlightenment</t>
  </si>
  <si>
    <t>GDSpeed</t>
  </si>
  <si>
    <t>Toxic Demise</t>
  </si>
  <si>
    <t>lNitroxin</t>
  </si>
  <si>
    <t>Fermion</t>
  </si>
  <si>
    <t>Formula X</t>
  </si>
  <si>
    <t>Luvi - Tem um Flinq no meu Fl (Digex Remix)</t>
  </si>
  <si>
    <t>Diamond Cave 2</t>
  </si>
  <si>
    <t>Envy</t>
  </si>
  <si>
    <t>Exotic Breeze</t>
  </si>
  <si>
    <t>Sweet Deception</t>
  </si>
  <si>
    <t>Firewall</t>
  </si>
  <si>
    <t>sheol</t>
  </si>
  <si>
    <t>Xtrullor   Panda Party - Sheol</t>
  </si>
  <si>
    <t>Plasma Pulse II</t>
  </si>
  <si>
    <t>Z Quarters</t>
  </si>
  <si>
    <t>ReflexPrince</t>
  </si>
  <si>
    <t>DrAkcel</t>
  </si>
  <si>
    <t>Crimson Cavern</t>
  </si>
  <si>
    <t>willy5000</t>
  </si>
  <si>
    <t>Scarlet Devil</t>
  </si>
  <si>
    <t>Lunatic Princess (Raigon Mix)</t>
  </si>
  <si>
    <t>Chaoz airflow 2</t>
  </si>
  <si>
    <t>Tronzeki</t>
  </si>
  <si>
    <t>The RealistiK</t>
  </si>
  <si>
    <t>mountain flowers</t>
  </si>
  <si>
    <t>OrBiTaL</t>
  </si>
  <si>
    <t>Mountain Flowers - F-777</t>
  </si>
  <si>
    <t>Infernity</t>
  </si>
  <si>
    <t>Dimensional Chaos</t>
  </si>
  <si>
    <t>TMNGaming</t>
  </si>
  <si>
    <t>Level Three [Melodic Electro]</t>
  </si>
  <si>
    <t>Disco Dimensions</t>
  </si>
  <si>
    <t>Asymmetry</t>
  </si>
  <si>
    <t>ViperMega</t>
  </si>
  <si>
    <t>RedDragoN1404</t>
  </si>
  <si>
    <t>Motu</t>
  </si>
  <si>
    <t>QuantumWave</t>
  </si>
  <si>
    <t>lumpy</t>
  </si>
  <si>
    <t>Trexy</t>
  </si>
  <si>
    <t>Midnight Sun</t>
  </si>
  <si>
    <t>xKore - Event Horizon</t>
  </si>
  <si>
    <t>Hellaven II</t>
  </si>
  <si>
    <t>Project Inferno</t>
  </si>
  <si>
    <t>Antique Circles</t>
  </si>
  <si>
    <t>Ultra Drivers</t>
  </si>
  <si>
    <t>Milky Ways Redux</t>
  </si>
  <si>
    <t>EuroChannel</t>
  </si>
  <si>
    <t>CarnicoGG</t>
  </si>
  <si>
    <t>Horror Hate</t>
  </si>
  <si>
    <t>Acousticophobia</t>
  </si>
  <si>
    <t>Nine Circles XII</t>
  </si>
  <si>
    <t>Rustam</t>
  </si>
  <si>
    <t>Ultimate Circles</t>
  </si>
  <si>
    <t>Drift</t>
  </si>
  <si>
    <t>F-777 - Double Jump</t>
  </si>
  <si>
    <t>Glacial sanctuary</t>
  </si>
  <si>
    <t>SHOWDOWN</t>
  </si>
  <si>
    <t>xKore - Showdown</t>
  </si>
  <si>
    <t>-sirius-</t>
  </si>
  <si>
    <t>Crackdown</t>
  </si>
  <si>
    <t>Celeste Cave</t>
  </si>
  <si>
    <t>Ranar</t>
  </si>
  <si>
    <t>Shining Caverns</t>
  </si>
  <si>
    <t>Brandonlarkin</t>
  </si>
  <si>
    <t>THE SUPREME LAB</t>
  </si>
  <si>
    <t>AureoShock</t>
  </si>
  <si>
    <t>Shots Fired (Mafia Pineapple Remix)</t>
  </si>
  <si>
    <t>climactic</t>
  </si>
  <si>
    <t>Non4med</t>
  </si>
  <si>
    <t>ColorNova</t>
  </si>
  <si>
    <t>Lucid</t>
  </si>
  <si>
    <t>Lucid (Original Mix)</t>
  </si>
  <si>
    <t>Galaxy Way</t>
  </si>
  <si>
    <t>NeroFX</t>
  </si>
  <si>
    <t>SlaughterHouse</t>
  </si>
  <si>
    <t>End of the Circles</t>
  </si>
  <si>
    <t>This Game RmX off v</t>
  </si>
  <si>
    <t>Dark Anarchy</t>
  </si>
  <si>
    <t>Flask</t>
  </si>
  <si>
    <t>csx42</t>
  </si>
  <si>
    <t>Fort Flsk</t>
  </si>
  <si>
    <t>Purple Heat</t>
  </si>
  <si>
    <t>Feko9</t>
  </si>
  <si>
    <t>Cosmic Rage</t>
  </si>
  <si>
    <t>Mechanical Bits</t>
  </si>
  <si>
    <t>URean</t>
  </si>
  <si>
    <t>Chemical Reaction</t>
  </si>
  <si>
    <t>gluewis</t>
  </si>
  <si>
    <t>Toxin Lab III</t>
  </si>
  <si>
    <t>The Prophetius</t>
  </si>
  <si>
    <t>GammAndrew</t>
  </si>
  <si>
    <t>Retro Circles</t>
  </si>
  <si>
    <t>Nacho21</t>
  </si>
  <si>
    <t>FuryLocked</t>
  </si>
  <si>
    <t>xKore - Magnum (FULL)</t>
  </si>
  <si>
    <t>Invisible Light</t>
  </si>
  <si>
    <t>~NK~ Blacklight FULL</t>
  </si>
  <si>
    <t>MoonStone</t>
  </si>
  <si>
    <t>chipzz</t>
  </si>
  <si>
    <t>Circulatum</t>
  </si>
  <si>
    <t>Avelinz</t>
  </si>
  <si>
    <t>Rift</t>
  </si>
  <si>
    <t>chaosxstream</t>
  </si>
  <si>
    <t>Crispy Reaction</t>
  </si>
  <si>
    <t>DoomsDay</t>
  </si>
  <si>
    <t>ElectricBass</t>
  </si>
  <si>
    <t>glowing system</t>
  </si>
  <si>
    <t>CookiZz</t>
  </si>
  <si>
    <t>Circumnavigating the Glob</t>
  </si>
  <si>
    <t>Selaphobia</t>
  </si>
  <si>
    <t>PenguSit</t>
  </si>
  <si>
    <t>Hells Reciever</t>
  </si>
  <si>
    <t>WalkerTech</t>
  </si>
  <si>
    <t>Inexistence</t>
  </si>
  <si>
    <t>Fynzyme</t>
  </si>
  <si>
    <t>Sequential Existence</t>
  </si>
  <si>
    <t>Invisible Deadlocked</t>
  </si>
  <si>
    <t>KrmaL</t>
  </si>
  <si>
    <t>Deadlocked v2</t>
  </si>
  <si>
    <t>Small</t>
  </si>
  <si>
    <t>Galaxin Speedway</t>
  </si>
  <si>
    <t>TheRealThawe</t>
  </si>
  <si>
    <t>MeltDown</t>
  </si>
  <si>
    <t>~NK~ "Meltdown"</t>
  </si>
  <si>
    <t>Efetis Belis</t>
  </si>
  <si>
    <t>This Isnt Science Rocket (2015 Edition)</t>
  </si>
  <si>
    <t>The Legend</t>
  </si>
  <si>
    <t>ISariaI</t>
  </si>
  <si>
    <t>Lost Legends</t>
  </si>
  <si>
    <t>TDChris02</t>
  </si>
  <si>
    <t>Metal Shock III</t>
  </si>
  <si>
    <t>Supernova</t>
  </si>
  <si>
    <t>Zanek184</t>
  </si>
  <si>
    <t>AnotherCircles</t>
  </si>
  <si>
    <t>Quasar</t>
  </si>
  <si>
    <t>Allan</t>
  </si>
  <si>
    <t>Warhead</t>
  </si>
  <si>
    <t>Spilled Milk</t>
  </si>
  <si>
    <t>ErisethSP</t>
  </si>
  <si>
    <t>Hydragon</t>
  </si>
  <si>
    <t>MalZir</t>
  </si>
  <si>
    <t>Redemption</t>
  </si>
  <si>
    <t>Hellish Melody</t>
  </si>
  <si>
    <t>Squid Melody [Red Version]</t>
  </si>
  <si>
    <t>Line Apocalypse</t>
  </si>
  <si>
    <t>HDJump</t>
  </si>
  <si>
    <t>Wulzy</t>
  </si>
  <si>
    <t>silhouette</t>
  </si>
  <si>
    <t>Detious &amp; Lockyn - Allure</t>
  </si>
  <si>
    <t>Deadlocked V2</t>
  </si>
  <si>
    <t>Dark nebula</t>
  </si>
  <si>
    <t>distorsion</t>
  </si>
  <si>
    <t>Level Four [Electro]</t>
  </si>
  <si>
    <t>IBlaster</t>
  </si>
  <si>
    <t>Tamii</t>
  </si>
  <si>
    <t>Hyper Blaster</t>
  </si>
  <si>
    <t>Jbeast15</t>
  </si>
  <si>
    <t>Ichor II</t>
  </si>
  <si>
    <t>Nwolc</t>
  </si>
  <si>
    <t>Rising Storm</t>
  </si>
  <si>
    <t>9Theory</t>
  </si>
  <si>
    <t>Beneath</t>
  </si>
  <si>
    <t>GeoMEtryManGD</t>
  </si>
  <si>
    <t>GameForGame</t>
  </si>
  <si>
    <t>Magic Lab</t>
  </si>
  <si>
    <t>GrenAde</t>
  </si>
  <si>
    <t>Catastrophe</t>
  </si>
  <si>
    <t>Shaolin warrior</t>
  </si>
  <si>
    <t>F-777 - Shaolin Warrior</t>
  </si>
  <si>
    <t>Colorful Caverns II</t>
  </si>
  <si>
    <t>VeXyn</t>
  </si>
  <si>
    <t>System Crash</t>
  </si>
  <si>
    <t>cry</t>
  </si>
  <si>
    <t>Milky Ways</t>
  </si>
  <si>
    <t>Adiale</t>
  </si>
  <si>
    <t>Geminorum</t>
  </si>
  <si>
    <t>SheolZ</t>
  </si>
  <si>
    <t>xtobe5</t>
  </si>
  <si>
    <t>Metal Genesis</t>
  </si>
  <si>
    <t>OPEN</t>
  </si>
  <si>
    <t>GDFrotzn</t>
  </si>
  <si>
    <t>Counter-Strike (ROTCT Mix)</t>
  </si>
  <si>
    <t>Hyper Blast</t>
  </si>
  <si>
    <t>Ryder</t>
  </si>
  <si>
    <t>- climax -</t>
  </si>
  <si>
    <t>fin</t>
  </si>
  <si>
    <t>Rearmed</t>
  </si>
  <si>
    <t>[ Electro ] Unarmed Ft. Emily</t>
  </si>
  <si>
    <t>Tomb of the Ancients</t>
  </si>
  <si>
    <t>The New Phonics</t>
  </si>
  <si>
    <t>Exile</t>
  </si>
  <si>
    <t>AfterLocked</t>
  </si>
  <si>
    <t>Mineber</t>
  </si>
  <si>
    <t>Horizon</t>
  </si>
  <si>
    <t>Mylon</t>
  </si>
  <si>
    <t>Energize</t>
  </si>
  <si>
    <t>Voidless</t>
  </si>
  <si>
    <t>Lullaby /Remix</t>
  </si>
  <si>
    <t>the blood room</t>
  </si>
  <si>
    <t>xsebasfnx</t>
  </si>
  <si>
    <t>Mechanical Nightmare</t>
  </si>
  <si>
    <t>Desert Temple</t>
  </si>
  <si>
    <t>Morocco</t>
  </si>
  <si>
    <t>Unitika</t>
  </si>
  <si>
    <t>M3nhHu3</t>
  </si>
  <si>
    <t>Paracosm XII</t>
  </si>
  <si>
    <t>RheaSilvia</t>
  </si>
  <si>
    <t>PainStep</t>
  </si>
  <si>
    <t>Zephyrs Madness</t>
  </si>
  <si>
    <t>Zephyr</t>
  </si>
  <si>
    <t>Reanimation</t>
  </si>
  <si>
    <t>Reanimate - (Warak) ~imadjinari remix</t>
  </si>
  <si>
    <t>Blad3M</t>
  </si>
  <si>
    <t>Eternity Reactor</t>
  </si>
  <si>
    <t>Chrono Eternity (BD Rmx)</t>
  </si>
  <si>
    <t>Corruption</t>
  </si>
  <si>
    <t>G4lvatron</t>
  </si>
  <si>
    <t>Vengeance</t>
  </si>
  <si>
    <t>Pursuit</t>
  </si>
  <si>
    <t>Th04</t>
  </si>
  <si>
    <t>The Adventure</t>
  </si>
  <si>
    <t>EnIgMaTiC</t>
  </si>
  <si>
    <t>Berkoo</t>
  </si>
  <si>
    <t>Enigma</t>
  </si>
  <si>
    <t>SwitchBlade</t>
  </si>
  <si>
    <t>Permafrost Caverns</t>
  </si>
  <si>
    <t>Theory of XoanoN</t>
  </si>
  <si>
    <t>Corrosive</t>
  </si>
  <si>
    <t>Lit Fuse</t>
  </si>
  <si>
    <t>Twister</t>
  </si>
  <si>
    <t>Caramel Orange</t>
  </si>
  <si>
    <t>Final Redux</t>
  </si>
  <si>
    <t>Theory Of Alchemy</t>
  </si>
  <si>
    <t>Spaghetti Cave</t>
  </si>
  <si>
    <t>Dark Sparks</t>
  </si>
  <si>
    <t>Richzilla</t>
  </si>
  <si>
    <t>Celestial Radiance</t>
  </si>
  <si>
    <t>{dj-N} Call the PoPo!</t>
  </si>
  <si>
    <t>ML ElectroRemix</t>
  </si>
  <si>
    <t>Astronaut 14</t>
  </si>
  <si>
    <t>Axrus</t>
  </si>
  <si>
    <t>Pyrex</t>
  </si>
  <si>
    <t>Dark Angels</t>
  </si>
  <si>
    <t>GdTheTactiq</t>
  </si>
  <si>
    <t>StarStep</t>
  </si>
  <si>
    <t>The Hell Factory</t>
  </si>
  <si>
    <t>TeamN2</t>
  </si>
  <si>
    <t>Flawless Wings of Yatagarasu</t>
  </si>
  <si>
    <t>Blaster</t>
  </si>
  <si>
    <t>moufi</t>
  </si>
  <si>
    <t>BloodRoom</t>
  </si>
  <si>
    <t>herozombie80</t>
  </si>
  <si>
    <t>Second Science</t>
  </si>
  <si>
    <t>CoolCreeper</t>
  </si>
  <si>
    <t>Technolocked</t>
  </si>
  <si>
    <t>Dudex</t>
  </si>
  <si>
    <t>The Undying</t>
  </si>
  <si>
    <t>Undertale Undyne the Undying</t>
  </si>
  <si>
    <t>TITANIUM CORE</t>
  </si>
  <si>
    <t>Phantom</t>
  </si>
  <si>
    <t>Phantom - (WF1)/F-777</t>
  </si>
  <si>
    <t>Quantum Blender</t>
  </si>
  <si>
    <t>Chaoz Airflow v2</t>
  </si>
  <si>
    <t>Night Terrors</t>
  </si>
  <si>
    <t>Megalovania</t>
  </si>
  <si>
    <t>Megalovania (Rmx) Loop</t>
  </si>
  <si>
    <t>Aurora</t>
  </si>
  <si>
    <t>Nano Rush</t>
  </si>
  <si>
    <t>color rage</t>
  </si>
  <si>
    <t>legitshot</t>
  </si>
  <si>
    <t>Cyber Temple</t>
  </si>
  <si>
    <t>Durendal</t>
  </si>
  <si>
    <t>HubDubs</t>
  </si>
  <si>
    <t>potatoplayer</t>
  </si>
  <si>
    <t>_H3ll0_W0rld_</t>
  </si>
  <si>
    <t>Motion</t>
  </si>
  <si>
    <t>Lunatic Doom Machine</t>
  </si>
  <si>
    <t>SrGuillester</t>
  </si>
  <si>
    <t>Metallic OverDrive</t>
  </si>
  <si>
    <t>izhar</t>
  </si>
  <si>
    <t>InfernopleX</t>
  </si>
  <si>
    <t>XxAviilaxX</t>
  </si>
  <si>
    <t>Absolute Meltdown</t>
  </si>
  <si>
    <t>Pan</t>
  </si>
  <si>
    <t>Synthesis Reaction</t>
  </si>
  <si>
    <t>Gloomy Purgatory</t>
  </si>
  <si>
    <t>Deadly Sins</t>
  </si>
  <si>
    <t>Windflow II</t>
  </si>
  <si>
    <t>TheFatRat - Monody (feat. Laura Brehm)</t>
  </si>
  <si>
    <t>Lemons</t>
  </si>
  <si>
    <t>Satanic Pit</t>
  </si>
  <si>
    <t>Happy Days</t>
  </si>
  <si>
    <t>Cursed Mansion</t>
  </si>
  <si>
    <t>GirlyDash</t>
  </si>
  <si>
    <t>Ghosts of Haunted Halls</t>
  </si>
  <si>
    <t>Kurumi City</t>
  </si>
  <si>
    <t>Grindery</t>
  </si>
  <si>
    <t>-Rivals-</t>
  </si>
  <si>
    <t>Psychosis</t>
  </si>
  <si>
    <t>---Spiders---</t>
  </si>
  <si>
    <t>Driproom</t>
  </si>
  <si>
    <t>Entwined Room</t>
  </si>
  <si>
    <t>The Edge Of Glory</t>
  </si>
  <si>
    <t>Complex</t>
  </si>
  <si>
    <t>Paradox</t>
  </si>
  <si>
    <t>mirajune</t>
  </si>
  <si>
    <t>Deadlocked v3</t>
  </si>
  <si>
    <t>A Bizarre Phantasm</t>
  </si>
  <si>
    <t>Goukisan - Betrayal of Fate</t>
  </si>
  <si>
    <t>Blood Sacrifice</t>
  </si>
  <si>
    <t>Ominous</t>
  </si>
  <si>
    <t>Spu7Nix</t>
  </si>
  <si>
    <t>Awakening</t>
  </si>
  <si>
    <t>Spaze - Awakening</t>
  </si>
  <si>
    <t>Rip it</t>
  </si>
  <si>
    <t>Larsen</t>
  </si>
  <si>
    <t>Circles Evolution</t>
  </si>
  <si>
    <t>Burnout</t>
  </si>
  <si>
    <t>Bonetrousle</t>
  </si>
  <si>
    <t>Bonescuffle (Undertale Remix)</t>
  </si>
  <si>
    <t>Obscurum</t>
  </si>
  <si>
    <t>Pulsate</t>
  </si>
  <si>
    <t>WeIrDmAgGeDoN</t>
  </si>
  <si>
    <t>Itsbeensolong(fnaf2)-tlt</t>
  </si>
  <si>
    <t>Tiger</t>
  </si>
  <si>
    <t>Alkatraz</t>
  </si>
  <si>
    <t>Fusion</t>
  </si>
  <si>
    <t>Milky Caverns</t>
  </si>
  <si>
    <t>CarterN2000</t>
  </si>
  <si>
    <t>Moon adventure 4</t>
  </si>
  <si>
    <t>The Tempest</t>
  </si>
  <si>
    <t>Symmetrik &amp; Geoplex - Tempest</t>
  </si>
  <si>
    <t>Elements X</t>
  </si>
  <si>
    <t>MetalCore V2</t>
  </si>
  <si>
    <t>RIP IT</t>
  </si>
  <si>
    <t>Galzo</t>
  </si>
  <si>
    <t>dongchi</t>
  </si>
  <si>
    <t>Bass Lab</t>
  </si>
  <si>
    <t>furyhell</t>
  </si>
  <si>
    <t>TheTrueSanji</t>
  </si>
  <si>
    <t>Pneumatic Tokyo</t>
  </si>
  <si>
    <t>Sechsan</t>
  </si>
  <si>
    <t>EnV - Pneumatic Tokyo</t>
  </si>
  <si>
    <t>ChipWorld</t>
  </si>
  <si>
    <t>Untitled chipsounds</t>
  </si>
  <si>
    <t>Abandoned Machine</t>
  </si>
  <si>
    <t>Shocksidian</t>
  </si>
  <si>
    <t>Excursion</t>
  </si>
  <si>
    <t>KingmanTV</t>
  </si>
  <si>
    <t>EnV - RPM</t>
  </si>
  <si>
    <t>Chaos Reactor</t>
  </si>
  <si>
    <t>KarelTheGreat</t>
  </si>
  <si>
    <t>Dangerous</t>
  </si>
  <si>
    <t>Hidden Dangers [DUBSTEP]</t>
  </si>
  <si>
    <t>Nemesis</t>
  </si>
  <si>
    <t>Florent</t>
  </si>
  <si>
    <t>Arachnid Temple</t>
  </si>
  <si>
    <t>Lord of the Koopas</t>
  </si>
  <si>
    <t>SiriusX</t>
  </si>
  <si>
    <t>Space Battle</t>
  </si>
  <si>
    <t>Electric Facility</t>
  </si>
  <si>
    <t>Hard electro attempt</t>
  </si>
  <si>
    <t>Hallucinogenic</t>
  </si>
  <si>
    <t>MaxK</t>
  </si>
  <si>
    <t>Trepidation</t>
  </si>
  <si>
    <t>Sword Dance</t>
  </si>
  <si>
    <t>aidancrdbl</t>
  </si>
  <si>
    <t>Bleed</t>
  </si>
  <si>
    <t>Gaero</t>
  </si>
  <si>
    <t>KzX - Dead End</t>
  </si>
  <si>
    <t>Superior Sequence</t>
  </si>
  <si>
    <t>Freshery</t>
  </si>
  <si>
    <t>F-777 - Not Afraid</t>
  </si>
  <si>
    <t>System Splitter</t>
  </si>
  <si>
    <t>jaffytaffy</t>
  </si>
  <si>
    <t>Devour</t>
  </si>
  <si>
    <t>Wolfstep</t>
  </si>
  <si>
    <t>Triple flask</t>
  </si>
  <si>
    <t>Gaster</t>
  </si>
  <si>
    <t>Gaster Theme (Rmx Loop)</t>
  </si>
  <si>
    <t>Astique</t>
  </si>
  <si>
    <t>Optical</t>
  </si>
  <si>
    <t>{dj-N} The Beginning of Time</t>
  </si>
  <si>
    <t>diffraction</t>
  </si>
  <si>
    <t>ArgumShock</t>
  </si>
  <si>
    <t>The Cosmos</t>
  </si>
  <si>
    <t>Actino Rise</t>
  </si>
  <si>
    <t>Norcda Childa</t>
  </si>
  <si>
    <t>Leinad421</t>
  </si>
  <si>
    <t>Galactic dream</t>
  </si>
  <si>
    <t>iIHalogenIi</t>
  </si>
  <si>
    <t>The Prison</t>
  </si>
  <si>
    <t>Aetherite Twilight</t>
  </si>
  <si>
    <t>Crystal Temple</t>
  </si>
  <si>
    <t>BGames</t>
  </si>
  <si>
    <t>Party Dance</t>
  </si>
  <si>
    <t>-Dance-Off-</t>
  </si>
  <si>
    <t>Lazer City II</t>
  </si>
  <si>
    <t>Backstabber</t>
  </si>
  <si>
    <t>Captains Voyage</t>
  </si>
  <si>
    <t>Captains march</t>
  </si>
  <si>
    <t>MirageXVII</t>
  </si>
  <si>
    <t>Galaxy Journey</t>
  </si>
  <si>
    <t>Exploring Space</t>
  </si>
  <si>
    <t>Cheesecake</t>
  </si>
  <si>
    <t>Carrot Juice</t>
  </si>
  <si>
    <t>The Future Lab</t>
  </si>
  <si>
    <t>Spacelocked</t>
  </si>
  <si>
    <t>Silver Lining</t>
  </si>
  <si>
    <t>Skyless</t>
  </si>
  <si>
    <t>Immortal Ichor</t>
  </si>
  <si>
    <t>Brimstone</t>
  </si>
  <si>
    <t>Monody Caverns</t>
  </si>
  <si>
    <t>iDarkBy11</t>
  </si>
  <si>
    <t>Void Realm</t>
  </si>
  <si>
    <t>GrindZone</t>
  </si>
  <si>
    <t>PhaNtOm SySteM</t>
  </si>
  <si>
    <t>TrueCopa</t>
  </si>
  <si>
    <t>NeuroShock</t>
  </si>
  <si>
    <t>Gusearth</t>
  </si>
  <si>
    <t>Dark RainBow Rebirth</t>
  </si>
  <si>
    <t>Comodence</t>
  </si>
  <si>
    <t>Fridge</t>
  </si>
  <si>
    <t>Kappa Boss Fight</t>
  </si>
  <si>
    <t>joarZ - Wombo Combo! (Original Mix)</t>
  </si>
  <si>
    <t>Confetti</t>
  </si>
  <si>
    <t>Jayuff</t>
  </si>
  <si>
    <t>X</t>
  </si>
  <si>
    <t>Holography</t>
  </si>
  <si>
    <t>Foxtrox</t>
  </si>
  <si>
    <t>Fox-trot Fletcher</t>
  </si>
  <si>
    <t>Quadcore</t>
  </si>
  <si>
    <t>Verna</t>
  </si>
  <si>
    <t>Dissonance</t>
  </si>
  <si>
    <t>Sadism</t>
  </si>
  <si>
    <t>I Like Your Face</t>
  </si>
  <si>
    <t>Deadly Impact</t>
  </si>
  <si>
    <t>Zenith</t>
  </si>
  <si>
    <t>Migueword</t>
  </si>
  <si>
    <t>Ancient Temple</t>
  </si>
  <si>
    <t>Dual Knight</t>
  </si>
  <si>
    <t>Zkad</t>
  </si>
  <si>
    <t>Eurodancer</t>
  </si>
  <si>
    <t>Silentroom</t>
  </si>
  <si>
    <t>ZepherGD</t>
  </si>
  <si>
    <t>Wisdom</t>
  </si>
  <si>
    <t>Otorimasu</t>
  </si>
  <si>
    <t>Dog of Wisdom (Remix) [feat. Joe Gran] [Red Version]</t>
  </si>
  <si>
    <t>Xtravagant</t>
  </si>
  <si>
    <t>TheFatRat - Telescope</t>
  </si>
  <si>
    <t>crystal lining</t>
  </si>
  <si>
    <t>Titanity</t>
  </si>
  <si>
    <t>Infinity Hypothesis</t>
  </si>
  <si>
    <t>Axion</t>
  </si>
  <si>
    <t>Hubtos</t>
  </si>
  <si>
    <t>BattleTown</t>
  </si>
  <si>
    <t>Andro3d</t>
  </si>
  <si>
    <t>-BattleTown-</t>
  </si>
  <si>
    <t>I Dream in Pixels</t>
  </si>
  <si>
    <t>Metalface221</t>
  </si>
  <si>
    <t>"I Dream in Pixels" - Previews</t>
  </si>
  <si>
    <t>Fragment</t>
  </si>
  <si>
    <t>Fairy Realm</t>
  </si>
  <si>
    <t>New Supersonic</t>
  </si>
  <si>
    <t>CronosMx</t>
  </si>
  <si>
    <t>ascension</t>
  </si>
  <si>
    <t>wamiq</t>
  </si>
  <si>
    <t>Conical Depression</t>
  </si>
  <si>
    <t>The Final Race</t>
  </si>
  <si>
    <t>Domyeah - Final Race</t>
  </si>
  <si>
    <t>Blacklight</t>
  </si>
  <si>
    <t>Panda Party Pro</t>
  </si>
  <si>
    <t>Quarnii</t>
  </si>
  <si>
    <t>JitterClick</t>
  </si>
  <si>
    <t>Simple Sight (Piercing Lazer Instrumental)</t>
  </si>
  <si>
    <t>Ultimate Showdown</t>
  </si>
  <si>
    <t>Lonely travel</t>
  </si>
  <si>
    <t>The Undertakers Daughter instrumental</t>
  </si>
  <si>
    <t>Sky temple</t>
  </si>
  <si>
    <t>Taken</t>
  </si>
  <si>
    <t>Steel Flare</t>
  </si>
  <si>
    <t>Voltage Blast</t>
  </si>
  <si>
    <t>~NK~ VS TI:. Amity</t>
  </si>
  <si>
    <t>ancient force</t>
  </si>
  <si>
    <t>belic</t>
  </si>
  <si>
    <t>Sidestep</t>
  </si>
  <si>
    <t>ChaSe</t>
  </si>
  <si>
    <t>Momentum</t>
  </si>
  <si>
    <t>DuoCore - The Furious</t>
  </si>
  <si>
    <t>Abbadon</t>
  </si>
  <si>
    <t>The demolisher</t>
  </si>
  <si>
    <t>Electro Hive</t>
  </si>
  <si>
    <t>RadiationV2</t>
  </si>
  <si>
    <t>Chrono Sanctuary</t>
  </si>
  <si>
    <t>Candyland</t>
  </si>
  <si>
    <t>Uncle Melkers Grab Bag</t>
  </si>
  <si>
    <t>GDSkele</t>
  </si>
  <si>
    <t>Ruined Galaxy</t>
  </si>
  <si>
    <t>Vapen</t>
  </si>
  <si>
    <t>last hope</t>
  </si>
  <si>
    <t>Unlocked</t>
  </si>
  <si>
    <t>Y</t>
  </si>
  <si>
    <t>geomania</t>
  </si>
  <si>
    <t>X Adventure</t>
  </si>
  <si>
    <t>Shockwave</t>
  </si>
  <si>
    <t>trelle</t>
  </si>
  <si>
    <t>Theory of the Past</t>
  </si>
  <si>
    <t>frozen sector</t>
  </si>
  <si>
    <t>Techno Blast</t>
  </si>
  <si>
    <t>Gryllex</t>
  </si>
  <si>
    <t>Z</t>
  </si>
  <si>
    <t>Hell Above</t>
  </si>
  <si>
    <t>Maboflo</t>
  </si>
  <si>
    <t>Domyeah - Escape from Hell</t>
  </si>
  <si>
    <t>Dem Travel</t>
  </si>
  <si>
    <t>Skybound</t>
  </si>
  <si>
    <t>love baba</t>
  </si>
  <si>
    <t>The Empire Of Toads</t>
  </si>
  <si>
    <t>Crimson Comodo</t>
  </si>
  <si>
    <t>Dismal</t>
  </si>
  <si>
    <t>Beyond The Nature</t>
  </si>
  <si>
    <t>JonathanGD</t>
  </si>
  <si>
    <t>Jumper - Beyond The Walls</t>
  </si>
  <si>
    <t>Endorphin Rush</t>
  </si>
  <si>
    <t>DuoCore - Endorphins</t>
  </si>
  <si>
    <t>Divigate</t>
  </si>
  <si>
    <t>Impact Of Emotions</t>
  </si>
  <si>
    <t>Cyber Chaos</t>
  </si>
  <si>
    <t>Retention</t>
  </si>
  <si>
    <t>Multex - Gravity</t>
  </si>
  <si>
    <t>Soulless</t>
  </si>
  <si>
    <t>Your best nightmare (Rmx) Loop</t>
  </si>
  <si>
    <t>Dear Nostalgists</t>
  </si>
  <si>
    <t>Final Destination</t>
  </si>
  <si>
    <t>Dynamo</t>
  </si>
  <si>
    <t>Electrodise X</t>
  </si>
  <si>
    <t>Hellish Trip</t>
  </si>
  <si>
    <t>Funky Road</t>
  </si>
  <si>
    <t>VeritY</t>
  </si>
  <si>
    <t>The Calling (feat. Laura Brehm)</t>
  </si>
  <si>
    <t>Rivals</t>
  </si>
  <si>
    <t>Breaker</t>
  </si>
  <si>
    <t>FusionX</t>
  </si>
  <si>
    <t>TrueOmega</t>
  </si>
  <si>
    <t>Machina</t>
  </si>
  <si>
    <t>Acidulus 8</t>
  </si>
  <si>
    <t>14Circles</t>
  </si>
  <si>
    <t>Abyss 2 - F-777</t>
  </si>
  <si>
    <t>Insomnia II</t>
  </si>
  <si>
    <t>Visatura</t>
  </si>
  <si>
    <t>iI Flow Ii</t>
  </si>
  <si>
    <t>Mechanical Torment</t>
  </si>
  <si>
    <t>JeyBreak</t>
  </si>
  <si>
    <t>Axthicy</t>
  </si>
  <si>
    <t>Fallen</t>
  </si>
  <si>
    <t>jellorain</t>
  </si>
  <si>
    <t>Falldown</t>
  </si>
  <si>
    <t>Milk Party Redux</t>
  </si>
  <si>
    <t>Advanced Airflow</t>
  </si>
  <si>
    <t>AcropoliX</t>
  </si>
  <si>
    <t>Souls TRK</t>
  </si>
  <si>
    <t>The Catalyst</t>
  </si>
  <si>
    <t>Reflection</t>
  </si>
  <si>
    <t>JoarZ x Zion - Reflection (Original Mix)</t>
  </si>
  <si>
    <t>Falling Sky</t>
  </si>
  <si>
    <t>NightXStalker</t>
  </si>
  <si>
    <t>The Furious</t>
  </si>
  <si>
    <t>Glistening Nebula</t>
  </si>
  <si>
    <t>The Archangel</t>
  </si>
  <si>
    <t>A747</t>
  </si>
  <si>
    <t>Photovoltaic</t>
  </si>
  <si>
    <t>Ziege</t>
  </si>
  <si>
    <t>Seabers</t>
  </si>
  <si>
    <t>Sphero</t>
  </si>
  <si>
    <t>Rampage</t>
  </si>
  <si>
    <t>---Fury---</t>
  </si>
  <si>
    <t>Kill Stealer</t>
  </si>
  <si>
    <t>Dzeser</t>
  </si>
  <si>
    <t>-Killstealer-</t>
  </si>
  <si>
    <t>Phobos</t>
  </si>
  <si>
    <t>[Phobos]*</t>
  </si>
  <si>
    <t>Earthquake ii</t>
  </si>
  <si>
    <t>Agility</t>
  </si>
  <si>
    <t>FillipsMen</t>
  </si>
  <si>
    <t>Shattered</t>
  </si>
  <si>
    <t>Alphar</t>
  </si>
  <si>
    <t>Team A</t>
  </si>
  <si>
    <t>Jolt</t>
  </si>
  <si>
    <t>Ghost House</t>
  </si>
  <si>
    <t>Flora</t>
  </si>
  <si>
    <t>Conspicuous</t>
  </si>
  <si>
    <t>-Conspicuous-</t>
  </si>
  <si>
    <t>Circus Maniacus</t>
  </si>
  <si>
    <t>EpicLucas</t>
  </si>
  <si>
    <t>Paradise</t>
  </si>
  <si>
    <t>~EnV~On The Move!(NG Cut)</t>
  </si>
  <si>
    <t>Omicron</t>
  </si>
  <si>
    <t>Buzztone Symphony</t>
  </si>
  <si>
    <t>Red World Rebirth</t>
  </si>
  <si>
    <t>Fusion II</t>
  </si>
  <si>
    <t>Pentakill</t>
  </si>
  <si>
    <t>Different Heaven - Pentakill</t>
  </si>
  <si>
    <t>Stormfront</t>
  </si>
  <si>
    <t>---Steel Terror---</t>
  </si>
  <si>
    <t>Plasma Pulse III</t>
  </si>
  <si>
    <t>Right In</t>
  </si>
  <si>
    <t>Trollfacedash</t>
  </si>
  <si>
    <t>Cheeto</t>
  </si>
  <si>
    <t>Toy Town</t>
  </si>
  <si>
    <t>Heartbeat</t>
  </si>
  <si>
    <t>AleeXhey</t>
  </si>
  <si>
    <t>Heartbeat (Original Mix)</t>
  </si>
  <si>
    <t>Blitz Smash</t>
  </si>
  <si>
    <t>Anger Storm</t>
  </si>
  <si>
    <t>Carnage</t>
  </si>
  <si>
    <t>Vulcan</t>
  </si>
  <si>
    <t>DuoCore - Carnage</t>
  </si>
  <si>
    <t>Dog of Wisdom 2</t>
  </si>
  <si>
    <t>DrallumGC</t>
  </si>
  <si>
    <t>Betrayal of Fate</t>
  </si>
  <si>
    <t>Sector 1077</t>
  </si>
  <si>
    <t>Fast as Lightning X</t>
  </si>
  <si>
    <t>Oridion</t>
  </si>
  <si>
    <t>-grindfury-</t>
  </si>
  <si>
    <t>Takeoff</t>
  </si>
  <si>
    <t>Jet Set</t>
  </si>
  <si>
    <t>Enigmatic</t>
  </si>
  <si>
    <t>I Said Baaah</t>
  </si>
  <si>
    <t>Azazal - I Said Meow</t>
  </si>
  <si>
    <t>Arcade Punk</t>
  </si>
  <si>
    <t>-Arcade Punk-</t>
  </si>
  <si>
    <t>Pentagram</t>
  </si>
  <si>
    <t>aqu4rius</t>
  </si>
  <si>
    <t>Sky Party</t>
  </si>
  <si>
    <t>Punkbuster</t>
  </si>
  <si>
    <t>Platnuu</t>
  </si>
  <si>
    <t>Dasomi</t>
  </si>
  <si>
    <t>~Mountains~</t>
  </si>
  <si>
    <t>Dance Zone</t>
  </si>
  <si>
    <t>Spectrum Switch</t>
  </si>
  <si>
    <t>Chipparoony</t>
  </si>
  <si>
    <t>CandleLight</t>
  </si>
  <si>
    <t>HalloweenStep</t>
  </si>
  <si>
    <t>Allegiance</t>
  </si>
  <si>
    <t>nikroplays</t>
  </si>
  <si>
    <t>I Got No Time</t>
  </si>
  <si>
    <t>Frosk</t>
  </si>
  <si>
    <t>Paradoxy</t>
  </si>
  <si>
    <t>Kaito</t>
  </si>
  <si>
    <t>ParagonX9 -Polar 240 /Rmx</t>
  </si>
  <si>
    <t>Endless World</t>
  </si>
  <si>
    <t>Xtrullor - Reverie</t>
  </si>
  <si>
    <t>SUBVERSIVE</t>
  </si>
  <si>
    <t>Snowr33de</t>
  </si>
  <si>
    <t>a new theory</t>
  </si>
  <si>
    <t>SoulzGaming</t>
  </si>
  <si>
    <t>Frozen Peak</t>
  </si>
  <si>
    <t>Astral Journey</t>
  </si>
  <si>
    <t>DuGouda</t>
  </si>
  <si>
    <t>Quark</t>
  </si>
  <si>
    <t>Catalyst [Electro]</t>
  </si>
  <si>
    <t>Leminscate</t>
  </si>
  <si>
    <t>GD Quasar</t>
  </si>
  <si>
    <t>Ribbit</t>
  </si>
  <si>
    <t>Dem Journey</t>
  </si>
  <si>
    <t>Anki &amp; Kabuki - Come Alive</t>
  </si>
  <si>
    <t>Hyper drivers</t>
  </si>
  <si>
    <t>Chaotic Machine</t>
  </si>
  <si>
    <t>GeometryJosh2</t>
  </si>
  <si>
    <t>Cosmic Calamity</t>
  </si>
  <si>
    <t>The Flawless</t>
  </si>
  <si>
    <t>Digital Shockwave</t>
  </si>
  <si>
    <t>Future Circles</t>
  </si>
  <si>
    <t>Gold Temple</t>
  </si>
  <si>
    <t>Zelda II: Palace Theme (Xtrullor Remix)</t>
  </si>
  <si>
    <t>Clutterfunk II</t>
  </si>
  <si>
    <t>-Clutterfunk Part 2-</t>
  </si>
  <si>
    <t>New Age Blizzard</t>
  </si>
  <si>
    <t>Frozen Caves of Camanis</t>
  </si>
  <si>
    <t>Acceleron</t>
  </si>
  <si>
    <t>Ferdefunky</t>
  </si>
  <si>
    <t>Badland</t>
  </si>
  <si>
    <t>Cosmorush 21</t>
  </si>
  <si>
    <t>Compound</t>
  </si>
  <si>
    <t>Gradient Horizon</t>
  </si>
  <si>
    <t>Sacred</t>
  </si>
  <si>
    <t>Airtime</t>
  </si>
  <si>
    <t>Now Were Talkin</t>
  </si>
  <si>
    <t>Bloodbath Z</t>
  </si>
  <si>
    <t>Engion</t>
  </si>
  <si>
    <t>Star Chaser</t>
  </si>
  <si>
    <t>disp</t>
  </si>
  <si>
    <t>EnV - Green With Me</t>
  </si>
  <si>
    <t>Rose At Dawn</t>
  </si>
  <si>
    <t>Underground</t>
  </si>
  <si>
    <t>Cyberpunk Love</t>
  </si>
  <si>
    <t>Huakai</t>
  </si>
  <si>
    <t>Digital zombie</t>
  </si>
  <si>
    <t>Mortality Sector</t>
  </si>
  <si>
    <t>Myo0</t>
  </si>
  <si>
    <t>Quest For Perfection</t>
  </si>
  <si>
    <t>Luminous Genocide</t>
  </si>
  <si>
    <t>MrLorenzo</t>
  </si>
  <si>
    <t>Realm :M3KYR (Sndtrk) MD2015</t>
  </si>
  <si>
    <t>Continuum</t>
  </si>
  <si>
    <t>Vindimaitrix</t>
  </si>
  <si>
    <t>OpteX</t>
  </si>
  <si>
    <t>Vigor</t>
  </si>
  <si>
    <t>Torment</t>
  </si>
  <si>
    <t>Butterfly</t>
  </si>
  <si>
    <t>Stereophonic System</t>
  </si>
  <si>
    <t>-Stereophonic sound-</t>
  </si>
  <si>
    <t>amp up</t>
  </si>
  <si>
    <t>SourCream II</t>
  </si>
  <si>
    <t>A New Kind of Sound</t>
  </si>
  <si>
    <t>The Hell Zone</t>
  </si>
  <si>
    <t>Stormfly</t>
  </si>
  <si>
    <t>Beautiful Now</t>
  </si>
  <si>
    <t>ValentInsanity</t>
  </si>
  <si>
    <t>Zedd - Beautiful Now (Cochu Remix)</t>
  </si>
  <si>
    <t>BreakthroughX</t>
  </si>
  <si>
    <t>Mirror Force</t>
  </si>
  <si>
    <t>DEAF KEV - Invincible</t>
  </si>
  <si>
    <t>Speed Test II</t>
  </si>
  <si>
    <t>Audio Extraction</t>
  </si>
  <si>
    <t>Quantum Force</t>
  </si>
  <si>
    <t>Darwin</t>
  </si>
  <si>
    <t>-Hexagon Force-</t>
  </si>
  <si>
    <t>Anthelion</t>
  </si>
  <si>
    <t>Lucky Coin</t>
  </si>
  <si>
    <t>The Purgatory</t>
  </si>
  <si>
    <t>Epitheton</t>
  </si>
  <si>
    <t>EnV - Anubis</t>
  </si>
  <si>
    <t>Traction</t>
  </si>
  <si>
    <t>Danque</t>
  </si>
  <si>
    <t>mayhem</t>
  </si>
  <si>
    <t>---Digital Mayhem---</t>
  </si>
  <si>
    <t>Team X</t>
  </si>
  <si>
    <t>talia</t>
  </si>
  <si>
    <t>The Seven Seas</t>
  </si>
  <si>
    <t>Peton</t>
  </si>
  <si>
    <t>Sail Ahoy</t>
  </si>
  <si>
    <t>Sakupen Hell</t>
  </si>
  <si>
    <t>TrusTa</t>
  </si>
  <si>
    <t>Disarray</t>
  </si>
  <si>
    <t>Fira - Asleep On The Horizon</t>
  </si>
  <si>
    <t>Duelo Maestro</t>
  </si>
  <si>
    <t>~:Lunar Abyss:~</t>
  </si>
  <si>
    <t>Nitrogen</t>
  </si>
  <si>
    <t>Mantis Shrimp Showdown</t>
  </si>
  <si>
    <t>Keyblade</t>
  </si>
  <si>
    <t>NK - Underground</t>
  </si>
  <si>
    <t>SkyBreaker</t>
  </si>
  <si>
    <t>enlex</t>
  </si>
  <si>
    <t>Snow Realm</t>
  </si>
  <si>
    <t>Nicki1202</t>
  </si>
  <si>
    <t>Winterbliss</t>
  </si>
  <si>
    <t>Hate War</t>
  </si>
  <si>
    <t>After Catabath</t>
  </si>
  <si>
    <t>BoyoftheCones</t>
  </si>
  <si>
    <t>Cosmos</t>
  </si>
  <si>
    <t>Galaxy Breaker</t>
  </si>
  <si>
    <t>Mordax</t>
  </si>
  <si>
    <t>Star77</t>
  </si>
  <si>
    <t>Sysmique Locked</t>
  </si>
  <si>
    <t>jakerz95</t>
  </si>
  <si>
    <t>LightStorm</t>
  </si>
  <si>
    <t>A Ghostly Palace</t>
  </si>
  <si>
    <t>Intergalactic</t>
  </si>
  <si>
    <t>R3YGA</t>
  </si>
  <si>
    <t>Torrential Tribute</t>
  </si>
  <si>
    <t>Electronica</t>
  </si>
  <si>
    <t>Lullaby De Amor</t>
  </si>
  <si>
    <t>Falling Up</t>
  </si>
  <si>
    <t>Time Leaper</t>
  </si>
  <si>
    <t>SupremeLocked</t>
  </si>
  <si>
    <t>Forests Of Sherwood</t>
  </si>
  <si>
    <t>DysprosiaX</t>
  </si>
  <si>
    <t>Our Last Hope</t>
  </si>
  <si>
    <t>Ebb</t>
  </si>
  <si>
    <t>Hide &amp; Seek</t>
  </si>
  <si>
    <t>Endorphins</t>
  </si>
  <si>
    <t>One Punch</t>
  </si>
  <si>
    <t>Shig</t>
  </si>
  <si>
    <t>---Punch---</t>
  </si>
  <si>
    <t>Despair</t>
  </si>
  <si>
    <t>System Rift</t>
  </si>
  <si>
    <t>---Accelerate---</t>
  </si>
  <si>
    <t>Pengy Cantina</t>
  </si>
  <si>
    <t>Cantina</t>
  </si>
  <si>
    <t>RAMBreaker</t>
  </si>
  <si>
    <t>Volcanic Rush</t>
  </si>
  <si>
    <t>The Elysium</t>
  </si>
  <si>
    <t>The Badland</t>
  </si>
  <si>
    <t>Edicts</t>
  </si>
  <si>
    <t>Mantis Massacre</t>
  </si>
  <si>
    <t>Noctaliium</t>
  </si>
  <si>
    <t>VoltWave</t>
  </si>
  <si>
    <t>nainteils</t>
  </si>
  <si>
    <t>Turbo</t>
  </si>
  <si>
    <t>Shatter</t>
  </si>
  <si>
    <t>Careless</t>
  </si>
  <si>
    <t>Spaze - Careless</t>
  </si>
  <si>
    <t>Azure Dusk</t>
  </si>
  <si>
    <t>WeakneSs</t>
  </si>
  <si>
    <t>De7roit</t>
  </si>
  <si>
    <t>Intrinsic (Xtrullor remix)</t>
  </si>
  <si>
    <t>Cybershock</t>
  </si>
  <si>
    <t>ElectroStatic</t>
  </si>
  <si>
    <t>Fallen Kingdom (Full)</t>
  </si>
  <si>
    <t>hi</t>
  </si>
  <si>
    <t>Ruption</t>
  </si>
  <si>
    <t>alkali</t>
  </si>
  <si>
    <t>Breakout</t>
  </si>
  <si>
    <t>Relevate</t>
  </si>
  <si>
    <t>NickMarZ</t>
  </si>
  <si>
    <t>Bossfight - Elevatia</t>
  </si>
  <si>
    <t>Level Up</t>
  </si>
  <si>
    <t>HexagonDashers</t>
  </si>
  <si>
    <t>DOCTOR VOX - Level Up [Argofox]</t>
  </si>
  <si>
    <t>Evil Cherry</t>
  </si>
  <si>
    <t>Shadow temple</t>
  </si>
  <si>
    <t>N4xoL</t>
  </si>
  <si>
    <t>Goukisan - Betrayal of Fear</t>
  </si>
  <si>
    <t>Fexty</t>
  </si>
  <si>
    <t>lSkyJax</t>
  </si>
  <si>
    <t>Unjust Life</t>
  </si>
  <si>
    <t>shaggy23</t>
  </si>
  <si>
    <t>Unjust Life DnB [AB]</t>
  </si>
  <si>
    <t>Spectra</t>
  </si>
  <si>
    <t>Resistance</t>
  </si>
  <si>
    <t>Dex Arson - Immunity</t>
  </si>
  <si>
    <t>Nico99</t>
  </si>
  <si>
    <t>Massacre (Original Mix)</t>
  </si>
  <si>
    <t>Valor</t>
  </si>
  <si>
    <t>Malware</t>
  </si>
  <si>
    <t>---Malware---</t>
  </si>
  <si>
    <t>ShatteR</t>
  </si>
  <si>
    <t>aftermath</t>
  </si>
  <si>
    <t>Dem Voyage</t>
  </si>
  <si>
    <t>Promises</t>
  </si>
  <si>
    <t>The Yatagarasu</t>
  </si>
  <si>
    <t>SSJ3 - Nuclear Fusion REDUX</t>
  </si>
  <si>
    <t>Hippity Hop</t>
  </si>
  <si>
    <t>Hop</t>
  </si>
  <si>
    <t>Phollos</t>
  </si>
  <si>
    <t>HeLL</t>
  </si>
  <si>
    <t>Electroman Insanity</t>
  </si>
  <si>
    <t>TheDevon</t>
  </si>
  <si>
    <t>Techno Driver</t>
  </si>
  <si>
    <t>Limitless</t>
  </si>
  <si>
    <t>Invincible</t>
  </si>
  <si>
    <t>GD Jose</t>
  </si>
  <si>
    <t>simple cup</t>
  </si>
  <si>
    <t>haizenberg</t>
  </si>
  <si>
    <t>Critical Core</t>
  </si>
  <si>
    <t>RedPed</t>
  </si>
  <si>
    <t>Turbine</t>
  </si>
  <si>
    <t>rafer</t>
  </si>
  <si>
    <t>BadLands</t>
  </si>
  <si>
    <t>Phaser</t>
  </si>
  <si>
    <t>Dex Arson - All Party</t>
  </si>
  <si>
    <t>Sublime</t>
  </si>
  <si>
    <t>Times Sublime</t>
  </si>
  <si>
    <t>Dark Heaven</t>
  </si>
  <si>
    <t>Electric Type</t>
  </si>
  <si>
    <t>felixen</t>
  </si>
  <si>
    <t>Fusion Bolt</t>
  </si>
  <si>
    <t>AlphaSonic</t>
  </si>
  <si>
    <t>high noon</t>
  </si>
  <si>
    <t>Sunset Showdown</t>
  </si>
  <si>
    <t>Larga Espera</t>
  </si>
  <si>
    <t>Aurora Theory (Preview)</t>
  </si>
  <si>
    <t>Azure Paralyzer</t>
  </si>
  <si>
    <t>Guitar Vs. Piano 1.2</t>
  </si>
  <si>
    <t>Fracture</t>
  </si>
  <si>
    <t>dragnalus</t>
  </si>
  <si>
    <t>Windswept Prospect</t>
  </si>
  <si>
    <t>Blood Temple</t>
  </si>
  <si>
    <t>-Boneyard-</t>
  </si>
  <si>
    <t>Universal Remote</t>
  </si>
  <si>
    <t>Sad Machine (Ardor Remix)</t>
  </si>
  <si>
    <t>Athanatos</t>
  </si>
  <si>
    <t>The Falling Mysts</t>
  </si>
  <si>
    <t>Elite Z Rebirth</t>
  </si>
  <si>
    <t>Serendipity</t>
  </si>
  <si>
    <t>SVMMIT - Sojourn</t>
  </si>
  <si>
    <t>DeltaFunk</t>
  </si>
  <si>
    <t>DeadLine</t>
  </si>
  <si>
    <t>Danolex</t>
  </si>
  <si>
    <t>Tremble</t>
  </si>
  <si>
    <t>The Ultimate Core</t>
  </si>
  <si>
    <t>Trump Circles</t>
  </si>
  <si>
    <t>The Great Trump Wall</t>
  </si>
  <si>
    <t>Osiris</t>
  </si>
  <si>
    <t>Xtrullor - Event Horizon</t>
  </si>
  <si>
    <t>Deadbeat</t>
  </si>
  <si>
    <t>Mega Redux</t>
  </si>
  <si>
    <t>Mega Man 10-Wily Stage 1 Redux</t>
  </si>
  <si>
    <t>cats rise</t>
  </si>
  <si>
    <t>Canonblade - Degenerate</t>
  </si>
  <si>
    <t>Mario Temple</t>
  </si>
  <si>
    <t>DavJT</t>
  </si>
  <si>
    <t>Super Mario World - Castle Theme Remix</t>
  </si>
  <si>
    <t>Dark Rain</t>
  </si>
  <si>
    <t>doritos1</t>
  </si>
  <si>
    <t>Flat Major</t>
  </si>
  <si>
    <t>EndLevel</t>
  </si>
  <si>
    <t>The Last Zone</t>
  </si>
  <si>
    <t>Altin</t>
  </si>
  <si>
    <t>Robotnik Rave Party</t>
  </si>
  <si>
    <t>Gammaray</t>
  </si>
  <si>
    <t>Phantoms Manor</t>
  </si>
  <si>
    <t>flame exterion</t>
  </si>
  <si>
    <t>---King Dedede Theme---</t>
  </si>
  <si>
    <t>M A N I X</t>
  </si>
  <si>
    <t>Cubed - Red Shift</t>
  </si>
  <si>
    <t>Hyenada</t>
  </si>
  <si>
    <t>Meilleur</t>
  </si>
  <si>
    <t>Chasm</t>
  </si>
  <si>
    <t>Omega</t>
  </si>
  <si>
    <t>mega tsunami</t>
  </si>
  <si>
    <t>Mega Tsunami</t>
  </si>
  <si>
    <t>pokemon showdown II</t>
  </si>
  <si>
    <t>Pokmon Epic - Master Red</t>
  </si>
  <si>
    <t>Metal Crusher</t>
  </si>
  <si>
    <t>Metal Crusher (Rmx v.2) Loop</t>
  </si>
  <si>
    <t>Impetus</t>
  </si>
  <si>
    <t>Sonic Wave</t>
  </si>
  <si>
    <t>lSunix</t>
  </si>
  <si>
    <t>VorteX</t>
  </si>
  <si>
    <t>albinomaster</t>
  </si>
  <si>
    <t>InsanitY</t>
  </si>
  <si>
    <t>Robot Language</t>
  </si>
  <si>
    <t>Accelero</t>
  </si>
  <si>
    <t>poison</t>
  </si>
  <si>
    <t>Turbo Festival</t>
  </si>
  <si>
    <t>Liftoff</t>
  </si>
  <si>
    <t>Microcosm</t>
  </si>
  <si>
    <t>Funky Soul</t>
  </si>
  <si>
    <t>Getting in the Mood</t>
  </si>
  <si>
    <t>Cosmic Dimension</t>
  </si>
  <si>
    <t>AfterBirth</t>
  </si>
  <si>
    <t>KzX - Reminiscence</t>
  </si>
  <si>
    <t>incandescence</t>
  </si>
  <si>
    <t>Enceladus GD</t>
  </si>
  <si>
    <t>Guiltiness</t>
  </si>
  <si>
    <t>ThorMode</t>
  </si>
  <si>
    <t>System Fusion</t>
  </si>
  <si>
    <t>Spliced</t>
  </si>
  <si>
    <t>Dex Arson - Embers Ft. Stacey Hunt</t>
  </si>
  <si>
    <t>Equilibrium</t>
  </si>
  <si>
    <t>SkiesCore</t>
  </si>
  <si>
    <t>Outbreaker</t>
  </si>
  <si>
    <t>Subterranean</t>
  </si>
  <si>
    <t>Time to Oil Up (Hakans Theme)</t>
  </si>
  <si>
    <t>Propulsion</t>
  </si>
  <si>
    <t>Voksius</t>
  </si>
  <si>
    <t>Within The Sadness (1f1n1ty RMX)</t>
  </si>
  <si>
    <t>Jumble</t>
  </si>
  <si>
    <t>Bassboost</t>
  </si>
  <si>
    <t>Lit Bro</t>
  </si>
  <si>
    <t>The Megastorm</t>
  </si>
  <si>
    <t>KrAzY mAcHiNe</t>
  </si>
  <si>
    <t>Be Exuberant</t>
  </si>
  <si>
    <t>MrKoolTrix</t>
  </si>
  <si>
    <t>Get Up, Fellas!</t>
  </si>
  <si>
    <t>Tribal Tribulation</t>
  </si>
  <si>
    <t>-Cannibal-</t>
  </si>
  <si>
    <t>Galactic</t>
  </si>
  <si>
    <t>Zambi - Broken Lines</t>
  </si>
  <si>
    <t>Artificial Ascent</t>
  </si>
  <si>
    <t>Surface</t>
  </si>
  <si>
    <t>Voyager</t>
  </si>
  <si>
    <t>Warpspeed</t>
  </si>
  <si>
    <t>Zaphkiel</t>
  </si>
  <si>
    <t>Hypoxic</t>
  </si>
  <si>
    <t>schady</t>
  </si>
  <si>
    <t>TakeDown</t>
  </si>
  <si>
    <t>The White Knife</t>
  </si>
  <si>
    <t>iAstriX</t>
  </si>
  <si>
    <t>The White Knife (Original Mix)</t>
  </si>
  <si>
    <t>Surge of Emotions</t>
  </si>
  <si>
    <t>TAK - PAE-KI (meganeko Remix)</t>
  </si>
  <si>
    <t>Phantom Bullet</t>
  </si>
  <si>
    <t>Ignite Drumstep RmX off v</t>
  </si>
  <si>
    <t>Wasteland</t>
  </si>
  <si>
    <t>Arcadelocked</t>
  </si>
  <si>
    <t>Tongii</t>
  </si>
  <si>
    <t>XYZ</t>
  </si>
  <si>
    <t>Bouncy BitHouse</t>
  </si>
  <si>
    <t>Dreams</t>
  </si>
  <si>
    <t>Infernal Abyss</t>
  </si>
  <si>
    <t>Future Knight</t>
  </si>
  <si>
    <t>Domyeah - Knight of the Future</t>
  </si>
  <si>
    <t>Tabby</t>
  </si>
  <si>
    <t>Azazal- Tabby</t>
  </si>
  <si>
    <t>Puzzle trials</t>
  </si>
  <si>
    <t>Dr. Finkelfrackens Cure</t>
  </si>
  <si>
    <t>Hatred</t>
  </si>
  <si>
    <t>AZuLer4</t>
  </si>
  <si>
    <t>The Crimson Depths</t>
  </si>
  <si>
    <t>nehegas</t>
  </si>
  <si>
    <t>SW50ZXJzdGVsbGFy</t>
  </si>
  <si>
    <t>Skystrike</t>
  </si>
  <si>
    <t>Kuiper</t>
  </si>
  <si>
    <t>Disconnected</t>
  </si>
  <si>
    <t>Hi Y3ti - Heaven</t>
  </si>
  <si>
    <t>Slaughterhouse</t>
  </si>
  <si>
    <t>IcEDCave</t>
  </si>
  <si>
    <t>Tennobyte - Fly Away</t>
  </si>
  <si>
    <t>Blast Furnace</t>
  </si>
  <si>
    <t>Samifying</t>
  </si>
  <si>
    <t>Vibration</t>
  </si>
  <si>
    <t>Epoch</t>
  </si>
  <si>
    <t>Fluore</t>
  </si>
  <si>
    <t>ColBreakz - 2011</t>
  </si>
  <si>
    <t>Roar of Time</t>
  </si>
  <si>
    <t>Mechanical Showdown</t>
  </si>
  <si>
    <t>Stomping Ground</t>
  </si>
  <si>
    <t>Hyper Space</t>
  </si>
  <si>
    <t>The Last Symphony</t>
  </si>
  <si>
    <t>Artificial Ideology</t>
  </si>
  <si>
    <t>wowzers holy</t>
  </si>
  <si>
    <t>Fake A Might</t>
  </si>
  <si>
    <t>Contradiction</t>
  </si>
  <si>
    <t>Lanthanium</t>
  </si>
  <si>
    <t>Fury0313</t>
  </si>
  <si>
    <t>FaifBass</t>
  </si>
  <si>
    <t>NucleusCore34</t>
  </si>
  <si>
    <t>Disordered</t>
  </si>
  <si>
    <t>Sharks</t>
  </si>
  <si>
    <t>Disordered worlds</t>
  </si>
  <si>
    <t>Wolfram alpha</t>
  </si>
  <si>
    <t>Need You</t>
  </si>
  <si>
    <t>Ember Island - Need You (vd Rmx)</t>
  </si>
  <si>
    <t>KillerZone</t>
  </si>
  <si>
    <t>Dex Arson - Lady Killer Instrumental</t>
  </si>
  <si>
    <t>Prismatic</t>
  </si>
  <si>
    <t>Purple Kingdom</t>
  </si>
  <si>
    <t>xQuadrant</t>
  </si>
  <si>
    <t>Not a care for the world...</t>
  </si>
  <si>
    <t>Clubstep Reborn</t>
  </si>
  <si>
    <t>Prototype</t>
  </si>
  <si>
    <t>Straw</t>
  </si>
  <si>
    <t>Theory of a Remix</t>
  </si>
  <si>
    <t>Demonicity - 90BPM</t>
  </si>
  <si>
    <t>Club Chamber</t>
  </si>
  <si>
    <t>Wub A Dub Dub</t>
  </si>
  <si>
    <t>Danzmen</t>
  </si>
  <si>
    <t>Unnamed 7</t>
  </si>
  <si>
    <t>Sunlit Thunderscapes</t>
  </si>
  <si>
    <t>Advance</t>
  </si>
  <si>
    <t>Geometrical Insanity</t>
  </si>
  <si>
    <t>Yatagarasu</t>
  </si>
  <si>
    <t>Mega Plasmatical</t>
  </si>
  <si>
    <t>AlterGame X</t>
  </si>
  <si>
    <t>Energy Boost</t>
  </si>
  <si>
    <t>Netvideo</t>
  </si>
  <si>
    <t>Final Epilogue</t>
  </si>
  <si>
    <t>Lunar Intoxication</t>
  </si>
  <si>
    <t>Cyclic</t>
  </si>
  <si>
    <t>Delirium</t>
  </si>
  <si>
    <t>Coded Carnage</t>
  </si>
  <si>
    <t>gecko0</t>
  </si>
  <si>
    <t>The Noise Crew</t>
  </si>
  <si>
    <t>Fluid</t>
  </si>
  <si>
    <t>Fluid Dynamics</t>
  </si>
  <si>
    <t>Clash</t>
  </si>
  <si>
    <t>GmD SamUL</t>
  </si>
  <si>
    <t>Over the Moon</t>
  </si>
  <si>
    <t>The Farewell</t>
  </si>
  <si>
    <t>Infinite Dungeon 1 &amp; 2 (1f1n1ty Remix)</t>
  </si>
  <si>
    <t>UpCity</t>
  </si>
  <si>
    <t>Crystal Tokyo</t>
  </si>
  <si>
    <t>ABLAZE</t>
  </si>
  <si>
    <t>SimilarAMZ</t>
  </si>
  <si>
    <t>[DN] Summer Has Come!</t>
  </si>
  <si>
    <t>The End</t>
  </si>
  <si>
    <t>Popcorn</t>
  </si>
  <si>
    <t>PUNYASO - Popcorn (ColBreakz Remix)</t>
  </si>
  <si>
    <t>ElevatioN</t>
  </si>
  <si>
    <t>Impact X</t>
  </si>
  <si>
    <t>Identity</t>
  </si>
  <si>
    <t>ILRELL</t>
  </si>
  <si>
    <t>Infernum</t>
  </si>
  <si>
    <t>FingerDash v2</t>
  </si>
  <si>
    <t>Fingerdash</t>
  </si>
  <si>
    <t>Spook Tunes</t>
  </si>
  <si>
    <t>Undertale - Ghost Battle/Dummy! Remix</t>
  </si>
  <si>
    <t>Arcturus</t>
  </si>
  <si>
    <t>Intensa</t>
  </si>
  <si>
    <t>The Final Lair</t>
  </si>
  <si>
    <t>Wake The Dragon</t>
  </si>
  <si>
    <t>Catalina</t>
  </si>
  <si>
    <t>Jazz Jackrabbit Remix</t>
  </si>
  <si>
    <t>DzRAS</t>
  </si>
  <si>
    <t>Lemonade</t>
  </si>
  <si>
    <t>FreeFall II</t>
  </si>
  <si>
    <t>Monsterfest</t>
  </si>
  <si>
    <t>Reveal</t>
  </si>
  <si>
    <t>Stardevoir</t>
  </si>
  <si>
    <t>Shuriken</t>
  </si>
  <si>
    <t>Panda Eyes X FYER - Shuriken</t>
  </si>
  <si>
    <t>Abandoned Kingdom</t>
  </si>
  <si>
    <t>Success</t>
  </si>
  <si>
    <t>Canonblade - Success</t>
  </si>
  <si>
    <t>Castle of Redemption</t>
  </si>
  <si>
    <t>Grabajusz</t>
  </si>
  <si>
    <t>Heavenly Horrors</t>
  </si>
  <si>
    <t>Lockdown</t>
  </si>
  <si>
    <t>FREEDOM</t>
  </si>
  <si>
    <t>MrPPs</t>
  </si>
  <si>
    <t>Reality Check Through The Skull</t>
  </si>
  <si>
    <t>Chrome Complex X</t>
  </si>
  <si>
    <t>Gust Dive</t>
  </si>
  <si>
    <t>Killing Spree</t>
  </si>
  <si>
    <t>Danola</t>
  </si>
  <si>
    <t>Dex Arson - Rampage</t>
  </si>
  <si>
    <t>Defiance</t>
  </si>
  <si>
    <t>Jaasim</t>
  </si>
  <si>
    <t>Domyeah - ToE 3</t>
  </si>
  <si>
    <t>The Bad Day</t>
  </si>
  <si>
    <t>Yoruonomi</t>
  </si>
  <si>
    <t>HotLand</t>
  </si>
  <si>
    <t>Dead Space III</t>
  </si>
  <si>
    <t>Flaashy</t>
  </si>
  <si>
    <t>Astronaut - 13 (FlashYizz Remix) (VIP)</t>
  </si>
  <si>
    <t>CopperHead</t>
  </si>
  <si>
    <t>The Vigor</t>
  </si>
  <si>
    <t>NASHII</t>
  </si>
  <si>
    <t>Zafari</t>
  </si>
  <si>
    <t>Africa calls</t>
  </si>
  <si>
    <t>Eff</t>
  </si>
  <si>
    <t>Undertale (Kabuki Remix)</t>
  </si>
  <si>
    <t>Ganymede</t>
  </si>
  <si>
    <t>Mulpan</t>
  </si>
  <si>
    <t>Domyeah - Final Boss</t>
  </si>
  <si>
    <t>Instant Execution</t>
  </si>
  <si>
    <t>Plexidit</t>
  </si>
  <si>
    <t>Relentless</t>
  </si>
  <si>
    <t>GeoSlam1</t>
  </si>
  <si>
    <t>The Dark</t>
  </si>
  <si>
    <t>Inception</t>
  </si>
  <si>
    <t>Spaze - Deception</t>
  </si>
  <si>
    <t>FingerDash v3</t>
  </si>
  <si>
    <t>Toxin Lab IV</t>
  </si>
  <si>
    <t>FallOut</t>
  </si>
  <si>
    <t>Snowfall</t>
  </si>
  <si>
    <t>Intoxication</t>
  </si>
  <si>
    <t>swfcapslock2</t>
  </si>
  <si>
    <t>The Hydragaryu</t>
  </si>
  <si>
    <t>Space Meow</t>
  </si>
  <si>
    <t>Tryple &amp; Azazal - Meowter Space</t>
  </si>
  <si>
    <t>Matilda the Machine</t>
  </si>
  <si>
    <t>Moon Stride</t>
  </si>
  <si>
    <t>Farewell</t>
  </si>
  <si>
    <t>Underings</t>
  </si>
  <si>
    <t>Niflheim</t>
  </si>
  <si>
    <t>Another World</t>
  </si>
  <si>
    <t>HyperSonic</t>
  </si>
  <si>
    <t>ColBreakz - 10000</t>
  </si>
  <si>
    <t>Photosynthesis</t>
  </si>
  <si>
    <t>FuZe</t>
  </si>
  <si>
    <t>Mirror Tempest</t>
  </si>
  <si>
    <t>JustMatt101</t>
  </si>
  <si>
    <t>Bausha Vortex</t>
  </si>
  <si>
    <t>Doom Blade</t>
  </si>
  <si>
    <t>drakeghast</t>
  </si>
  <si>
    <t>Pow Pow</t>
  </si>
  <si>
    <t>IyuriI</t>
  </si>
  <si>
    <t>Bow Wow</t>
  </si>
  <si>
    <t>Noir</t>
  </si>
  <si>
    <t>Penttagram</t>
  </si>
  <si>
    <t>Iridescent</t>
  </si>
  <si>
    <t>Albatross</t>
  </si>
  <si>
    <t>Panda Eyes - Highscore</t>
  </si>
  <si>
    <t>Milkshake Draft</t>
  </si>
  <si>
    <t>Milkshake - [Bossfight Remix]</t>
  </si>
  <si>
    <t>FlashFunk</t>
  </si>
  <si>
    <t>Djoxy</t>
  </si>
  <si>
    <t>Samourai</t>
  </si>
  <si>
    <t>Tectonic Blitz</t>
  </si>
  <si>
    <t>BlastWAve</t>
  </si>
  <si>
    <t>One</t>
  </si>
  <si>
    <t>Ragnarus</t>
  </si>
  <si>
    <t>LazyTown - We Are Number One (Dubstep Remix)</t>
  </si>
  <si>
    <t>Hypernova</t>
  </si>
  <si>
    <t>The Bouncy</t>
  </si>
  <si>
    <t>SanSan</t>
  </si>
  <si>
    <t>Bronks</t>
  </si>
  <si>
    <t>Starline</t>
  </si>
  <si>
    <t>Failure444</t>
  </si>
  <si>
    <t>Kernel Trap</t>
  </si>
  <si>
    <t>[LC] - Faulty Apparatus</t>
  </si>
  <si>
    <t>cinematic metal</t>
  </si>
  <si>
    <t>loserchik67</t>
  </si>
  <si>
    <t>Rose At Twilight</t>
  </si>
  <si>
    <t>Horntail Cave II</t>
  </si>
  <si>
    <t>ARANEO</t>
  </si>
  <si>
    <t>Hexennacht ~P~</t>
  </si>
  <si>
    <t>Volken Turbo</t>
  </si>
  <si>
    <t>Spark</t>
  </si>
  <si>
    <t>PotatoBaby</t>
  </si>
  <si>
    <t>Little Flame</t>
  </si>
  <si>
    <t>Transcendence</t>
  </si>
  <si>
    <t>Pauze</t>
  </si>
  <si>
    <t>Factorial</t>
  </si>
  <si>
    <t>District X</t>
  </si>
  <si>
    <t>xPix3lest</t>
  </si>
  <si>
    <t>EXPONENTIA</t>
  </si>
  <si>
    <t>JustL3o</t>
  </si>
  <si>
    <t>MeatMelter</t>
  </si>
  <si>
    <t>Beast Mode</t>
  </si>
  <si>
    <t>Feels</t>
  </si>
  <si>
    <t>ColBreakz &amp; Boiria - Feelings</t>
  </si>
  <si>
    <t>Lucidum</t>
  </si>
  <si>
    <t>Xtrullor - Nirmiti</t>
  </si>
  <si>
    <t>Erebus</t>
  </si>
  <si>
    <t>BoldStep</t>
  </si>
  <si>
    <t>Solar Eclipse</t>
  </si>
  <si>
    <t>Terbium - Solstice</t>
  </si>
  <si>
    <t>Uninhabited</t>
  </si>
  <si>
    <t>JacobROso</t>
  </si>
  <si>
    <t>Cyber fight</t>
  </si>
  <si>
    <t>Mood Swings</t>
  </si>
  <si>
    <t>Pawlogates</t>
  </si>
  <si>
    <t>Troglodyte (Original Mix)</t>
  </si>
  <si>
    <t>Atmos</t>
  </si>
  <si>
    <t>Code Breaker</t>
  </si>
  <si>
    <t>Starbooy</t>
  </si>
  <si>
    <t>Dimension</t>
  </si>
  <si>
    <t>Archdemon</t>
  </si>
  <si>
    <t>Some Chords (A-Ok remix)</t>
  </si>
  <si>
    <t>Deimos</t>
  </si>
  <si>
    <t>Titan Dance</t>
  </si>
  <si>
    <t>Juhou</t>
  </si>
  <si>
    <t>Cybernetics</t>
  </si>
  <si>
    <t>Primal Redux</t>
  </si>
  <si>
    <t>Ad Honorem</t>
  </si>
  <si>
    <t>Echonox</t>
  </si>
  <si>
    <t>Insurgent [MSB] (NGADM)</t>
  </si>
  <si>
    <t>WratH</t>
  </si>
  <si>
    <t>Xtrullor - Birth of the Sun</t>
  </si>
  <si>
    <t>Embers</t>
  </si>
  <si>
    <t>itsBorto</t>
  </si>
  <si>
    <t>Castle Dedede</t>
  </si>
  <si>
    <t>Pl4sma</t>
  </si>
  <si>
    <t>Kirbys Dreamland N64</t>
  </si>
  <si>
    <t>Technokinetic</t>
  </si>
  <si>
    <t>FastRefleksX</t>
  </si>
  <si>
    <t>Delete</t>
  </si>
  <si>
    <t>Mission MADISON</t>
  </si>
  <si>
    <t>AgentJDN</t>
  </si>
  <si>
    <t>� M</t>
  </si>
  <si>
    <t>K A A B I I</t>
  </si>
  <si>
    <t>Kirby Dubstep Remix | ColBreakz - Gourmet Race</t>
  </si>
  <si>
    <t>Strike 3</t>
  </si>
  <si>
    <t>Milkshake</t>
  </si>
  <si>
    <t>JolTwave</t>
  </si>
  <si>
    <t>Andromeda</t>
  </si>
  <si>
    <t>Zedd - Ignite (cloudfield Bootleg)</t>
  </si>
  <si>
    <t>frustration</t>
  </si>
  <si>
    <t>Salvation</t>
  </si>
  <si>
    <t>Cybernetic Showdown</t>
  </si>
  <si>
    <t>Saguaro</t>
  </si>
  <si>
    <t>Decimation</t>
  </si>
  <si>
    <t>TechnitiuM</t>
  </si>
  <si>
    <t>Compact</t>
  </si>
  <si>
    <t>Extrox</t>
  </si>
  <si>
    <t>VOX - joarZ</t>
  </si>
  <si>
    <t>The Colossus</t>
  </si>
  <si>
    <t>Emphatic Outcry CUT</t>
  </si>
  <si>
    <t>Chaoz Twilight II</t>
  </si>
  <si>
    <t>faster</t>
  </si>
  <si>
    <t>Tutone</t>
  </si>
  <si>
    <t>Predawn</t>
  </si>
  <si>
    <t>Lucent</t>
  </si>
  <si>
    <t>Temple of Destiny</t>
  </si>
  <si>
    <t>Esencia</t>
  </si>
  <si>
    <t>Pipenachho</t>
  </si>
  <si>
    <t>Fearless</t>
  </si>
  <si>
    <t>Psynapse</t>
  </si>
  <si>
    <t>HyperDimension</t>
  </si>
  <si>
    <t>Verve</t>
  </si>
  <si>
    <t>Once More - F-777</t>
  </si>
  <si>
    <t>Hyperchasm</t>
  </si>
  <si>
    <t>Jomekka - Eighto [Dubstep RMX]</t>
  </si>
  <si>
    <t>polychromatic</t>
  </si>
  <si>
    <t>! ! Ghost of Jupiter</t>
  </si>
  <si>
    <t>Incipient</t>
  </si>
  <si>
    <t>Rainfall II</t>
  </si>
  <si>
    <t>NeyvaShift</t>
  </si>
  <si>
    <t>rainState</t>
  </si>
  <si>
    <t>Brilliance</t>
  </si>
  <si>
    <t>Bossfight - Sonder</t>
  </si>
  <si>
    <t>Vaporize</t>
  </si>
  <si>
    <t>Headlight</t>
  </si>
  <si>
    <t>Dark Travel</t>
  </si>
  <si>
    <t>Dark Matter Suite (1f1n1ty + LOrbSheddy Remix)</t>
  </si>
  <si>
    <t>Mhanz</t>
  </si>
  <si>
    <t>Ena</t>
  </si>
  <si>
    <t>Terror Factory</t>
  </si>
  <si>
    <t>Korita</t>
  </si>
  <si>
    <t>Twisted Tranquility</t>
  </si>
  <si>
    <t>Flukester</t>
  </si>
  <si>
    <t>2k9 battle jam</t>
  </si>
  <si>
    <t>Frontlines</t>
  </si>
  <si>
    <t>[ Electro ] Frontlines</t>
  </si>
  <si>
    <t>chaoz impact II</t>
  </si>
  <si>
    <t>Formidable Guardians</t>
  </si>
  <si>
    <t>Cosmocat</t>
  </si>
  <si>
    <t>Devil Vortex</t>
  </si>
  <si>
    <t>Weeping Demon</t>
  </si>
  <si>
    <t>Blue Impact</t>
  </si>
  <si>
    <t>AnGelS</t>
  </si>
  <si>
    <t>Angels</t>
  </si>
  <si>
    <t>Light Knight</t>
  </si>
  <si>
    <t>Tech City</t>
  </si>
  <si>
    <t>wlfn</t>
  </si>
  <si>
    <t>Le surmenage</t>
  </si>
  <si>
    <t>Charisma [Melodic EDM]</t>
  </si>
  <si>
    <t>Adust</t>
  </si>
  <si>
    <t>Bossfight - Adust</t>
  </si>
  <si>
    <t>PanaSonic</t>
  </si>
  <si>
    <t>TheShadowRealm</t>
  </si>
  <si>
    <t>life</t>
  </si>
  <si>
    <t>Salaxium</t>
  </si>
  <si>
    <t>Veva</t>
  </si>
  <si>
    <t>NecroDynamix</t>
  </si>
  <si>
    <t>HelpegasuS</t>
  </si>
  <si>
    <t>SubSonic</t>
  </si>
  <si>
    <t>SpeedBreaker</t>
  </si>
  <si>
    <t>Anubis Gate</t>
  </si>
  <si>
    <t>F5night</t>
  </si>
  <si>
    <t>Xtrullor - Jnana</t>
  </si>
  <si>
    <t>The Secret Box</t>
  </si>
  <si>
    <t>TEMPEST</t>
  </si>
  <si>
    <t>Diabolical Error</t>
  </si>
  <si>
    <t>SARY NEVER CLEAR</t>
  </si>
  <si>
    <t>IIKugelBlitZII</t>
  </si>
  <si>
    <t>Perpetual Grind</t>
  </si>
  <si>
    <t>JFZDash</t>
  </si>
  <si>
    <t>Adrenaline Stream</t>
  </si>
  <si>
    <t>MikeWheelerFan</t>
  </si>
  <si>
    <t>Mystic Spell</t>
  </si>
  <si>
    <t>MeGaTech</t>
  </si>
  <si>
    <t>LeocreatorX</t>
  </si>
  <si>
    <t>Asmodeus</t>
  </si>
  <si>
    <t>Vexiion</t>
  </si>
  <si>
    <t>Amen</t>
  </si>
  <si>
    <t>Its Raining Men Remix - The Living Tombstone ft. Eilemonty</t>
  </si>
  <si>
    <t>SourCream</t>
  </si>
  <si>
    <t>Riky2610</t>
  </si>
  <si>
    <t>Blagatex</t>
  </si>
  <si>
    <t>Jeopardous</t>
  </si>
  <si>
    <t>TD Epic</t>
  </si>
  <si>
    <t>Xtrullor - Chemical Rage</t>
  </si>
  <si>
    <t>HyperFlux</t>
  </si>
  <si>
    <t>Refraction</t>
  </si>
  <si>
    <t>Novalis</t>
  </si>
  <si>
    <t>Fractured Galaxy</t>
  </si>
  <si>
    <t>Emperors</t>
  </si>
  <si>
    <t>AmorAltra</t>
  </si>
  <si>
    <t>Aeonian</t>
  </si>
  <si>
    <t>iIiViRuZiIi</t>
  </si>
  <si>
    <t>SmK - Evolve</t>
  </si>
  <si>
    <t>Cordelia</t>
  </si>
  <si>
    <t>unravel Dubstep Full Remix</t>
  </si>
  <si>
    <t>Zuron</t>
  </si>
  <si>
    <t>Fabrication</t>
  </si>
  <si>
    <t>Old School</t>
  </si>
  <si>
    <t>Development</t>
  </si>
  <si>
    <t>Prodigious</t>
  </si>
  <si>
    <t>Syunide</t>
  </si>
  <si>
    <t>Black Blizzard</t>
  </si>
  <si>
    <t>B</t>
  </si>
  <si>
    <t>motleyorc</t>
  </si>
  <si>
    <t>Beep Beep</t>
  </si>
  <si>
    <t>Kamikaze</t>
  </si>
  <si>
    <t>Incinerator</t>
  </si>
  <si>
    <t>GDSlimJim</t>
  </si>
  <si>
    <t>uranium</t>
  </si>
  <si>
    <t>Minimi427</t>
  </si>
  <si>
    <t>Dream Reaper</t>
  </si>
  <si>
    <t>A Day On The Sun</t>
  </si>
  <si>
    <t>Proximity</t>
  </si>
  <si>
    <t>Millennium</t>
  </si>
  <si>
    <t>Subsequent</t>
  </si>
  <si>
    <t>SES</t>
  </si>
  <si>
    <t>Two Invisible Eyes</t>
  </si>
  <si>
    <t>Elisione</t>
  </si>
  <si>
    <t>Heart Beat</t>
  </si>
  <si>
    <t>ColBreakz - HeartBeat</t>
  </si>
  <si>
    <t>Luyten</t>
  </si>
  <si>
    <t>Zanna83</t>
  </si>
  <si>
    <t>Volare</t>
  </si>
  <si>
    <t>Undertale - Finale (Bentendo64 cover)</t>
  </si>
  <si>
    <t>Cyber Abyss</t>
  </si>
  <si>
    <t>Flex</t>
  </si>
  <si>
    <t>Goukisan - Rock Orchestra2</t>
  </si>
  <si>
    <t>Debug</t>
  </si>
  <si>
    <t>Fault</t>
  </si>
  <si>
    <t>Canonblade - Debug</t>
  </si>
  <si>
    <t>Overcharged</t>
  </si>
  <si>
    <t>Azazal - Whisker</t>
  </si>
  <si>
    <t>Demented</t>
  </si>
  <si>
    <t>beptile</t>
  </si>
  <si>
    <t>Blood Sugar</t>
  </si>
  <si>
    <t>Ramen Carnage</t>
  </si>
  <si>
    <t>Pow X</t>
  </si>
  <si>
    <t>Azazal - Dont Give A Meow</t>
  </si>
  <si>
    <t>Ninja Cat</t>
  </si>
  <si>
    <t>Sillow</t>
  </si>
  <si>
    <t>Veteris Iniuria</t>
  </si>
  <si>
    <t>Vral</t>
  </si>
  <si>
    <t>EnV - Reign</t>
  </si>
  <si>
    <t>Space Dance</t>
  </si>
  <si>
    <t>Loltad</t>
  </si>
  <si>
    <t>Creo - Sphere</t>
  </si>
  <si>
    <t>Invasive</t>
  </si>
  <si>
    <t>Squall7</t>
  </si>
  <si>
    <t>Deception Dive</t>
  </si>
  <si>
    <t>BurgeraX: Scorpion [Drum &amp; Bass]</t>
  </si>
  <si>
    <t>Subterranean Animism</t>
  </si>
  <si>
    <t>EVW</t>
  </si>
  <si>
    <t>Sahara</t>
  </si>
  <si>
    <t>-DuneRiders-</t>
  </si>
  <si>
    <t>The Universe</t>
  </si>
  <si>
    <t>Domyeah - Inner Battle</t>
  </si>
  <si>
    <t>Driver</t>
  </si>
  <si>
    <t>Operation Megan</t>
  </si>
  <si>
    <t>Zyzyx - Pixel Jungle</t>
  </si>
  <si>
    <t>Step To Hell</t>
  </si>
  <si>
    <t>Eclipse</t>
  </si>
  <si>
    <t>SaabS</t>
  </si>
  <si>
    <t>Apache</t>
  </si>
  <si>
    <t>TheJosiahTurner</t>
  </si>
  <si>
    <t>Overvolt</t>
  </si>
  <si>
    <t>SpellBound</t>
  </si>
  <si>
    <t>~:Spinning Galaxies:~</t>
  </si>
  <si>
    <t>TOE IV</t>
  </si>
  <si>
    <t>Theory of Everything IV {Fan Made}</t>
  </si>
  <si>
    <t>Ride</t>
  </si>
  <si>
    <t>21 Pilots - Ride {Domyeah Remix}</t>
  </si>
  <si>
    <t>PogChamp Boss Fight</t>
  </si>
  <si>
    <t>BurgeraX: Jitter [Glitch Hop]</t>
  </si>
  <si>
    <t>MasterGame</t>
  </si>
  <si>
    <t>Hyrule Field</t>
  </si>
  <si>
    <t>Spacial Rend</t>
  </si>
  <si>
    <t>AzuretheCat</t>
  </si>
  <si>
    <t>Tokyo Nights</t>
  </si>
  <si>
    <t>Jghost</t>
  </si>
  <si>
    <t>*In Her Eyes* / ZeRo BaSs</t>
  </si>
  <si>
    <t>Velocity II</t>
  </si>
  <si>
    <t>jacr360</t>
  </si>
  <si>
    <t>Xplosives22</t>
  </si>
  <si>
    <t>TheDiabolicalWaffle - Without Fear (Headphone Heaven Remix)</t>
  </si>
  <si>
    <t>ColorLand</t>
  </si>
  <si>
    <t>BitZel</t>
  </si>
  <si>
    <t>Banished</t>
  </si>
  <si>
    <t>Titan dance</t>
  </si>
  <si>
    <t>Tartofrez</t>
  </si>
  <si>
    <t>Natures Essence</t>
  </si>
  <si>
    <t>-Glorious Morning 2-</t>
  </si>
  <si>
    <t>Phosphorus</t>
  </si>
  <si>
    <t>Azazal - Pounce</t>
  </si>
  <si>
    <t>Stressed Out</t>
  </si>
  <si>
    <t>Stressed Out [Chiptune]</t>
  </si>
  <si>
    <t>Smoothie</t>
  </si>
  <si>
    <t>Serpent</t>
  </si>
  <si>
    <t>gergedan</t>
  </si>
  <si>
    <t>Saturn V</t>
  </si>
  <si>
    <t>RuSH</t>
  </si>
  <si>
    <t>Zoroa</t>
  </si>
  <si>
    <t>Zedd - Spectrum | Remix</t>
  </si>
  <si>
    <t>Ghost Temple</t>
  </si>
  <si>
    <t>NEW SUPER MARIO 64 REMIX!</t>
  </si>
  <si>
    <t>Pulverize</t>
  </si>
  <si>
    <t>manu123890</t>
  </si>
  <si>
    <t>---Ground Pound---</t>
  </si>
  <si>
    <t>Antre of Darkness</t>
  </si>
  <si>
    <t>vrymer</t>
  </si>
  <si>
    <t>Carnivores</t>
  </si>
  <si>
    <t>Space DementiA</t>
  </si>
  <si>
    <t>Hazard</t>
  </si>
  <si>
    <t>Jacques Melissa - O-oh hi-i t-there, J-J-Jaclyn</t>
  </si>
  <si>
    <t>Electrodynamixer</t>
  </si>
  <si>
    <t>Spirit Shackle</t>
  </si>
  <si>
    <t>Soul Snatcher</t>
  </si>
  <si>
    <t>Temporium</t>
  </si>
  <si>
    <t>Taut Strings</t>
  </si>
  <si>
    <t>EquinoX</t>
  </si>
  <si>
    <t>99percent</t>
  </si>
  <si>
    <t>Shut Eye - Nerf This! (feat. D.Va)</t>
  </si>
  <si>
    <t>Rewind</t>
  </si>
  <si>
    <t>Awzer</t>
  </si>
  <si>
    <t>I Got No Time [Instrumental]</t>
  </si>
  <si>
    <t>Arctic Arena</t>
  </si>
  <si>
    <t>Eclipsed</t>
  </si>
  <si>
    <t>Humitas Galacticas</t>
  </si>
  <si>
    <t>cloudfield - Start Again</t>
  </si>
  <si>
    <t>Jajagarasu</t>
  </si>
  <si>
    <t>PlebKIngdom</t>
  </si>
  <si>
    <t>Shredder</t>
  </si>
  <si>
    <t>Annon</t>
  </si>
  <si>
    <t>Aqua Vanessa</t>
  </si>
  <si>
    <t>Oblivion Sword</t>
  </si>
  <si>
    <t>Piseto</t>
  </si>
  <si>
    <t>ConfuZion</t>
  </si>
  <si>
    <t>TheRealRow</t>
  </si>
  <si>
    <t>Confuzzled</t>
  </si>
  <si>
    <t>Mechanic</t>
  </si>
  <si>
    <t>- Cord Cutter -</t>
  </si>
  <si>
    <t>Repulsion</t>
  </si>
  <si>
    <t>Chlorines</t>
  </si>
  <si>
    <t>Psybot - Enhanced</t>
  </si>
  <si>
    <t>Dilation</t>
  </si>
  <si>
    <t>nampac</t>
  </si>
  <si>
    <t>Melodic Travel</t>
  </si>
  <si>
    <t>R3XX3R</t>
  </si>
  <si>
    <t>Calm Craggy Area (1f1n1ty Remix)</t>
  </si>
  <si>
    <t>Taplika III</t>
  </si>
  <si>
    <t>Ambition</t>
  </si>
  <si>
    <t>Hyenaedon</t>
  </si>
  <si>
    <t>Temple of Doom</t>
  </si>
  <si>
    <t>PrismVoyager47</t>
  </si>
  <si>
    <t>Nami - By The Sword</t>
  </si>
  <si>
    <t>Taimiri</t>
  </si>
  <si>
    <t>drag me with you</t>
  </si>
  <si>
    <t>StyX</t>
  </si>
  <si>
    <t>Whirl</t>
  </si>
  <si>
    <t>ToE IV</t>
  </si>
  <si>
    <t>Magnitude</t>
  </si>
  <si>
    <t>Shutter</t>
  </si>
  <si>
    <t>Twin Valley</t>
  </si>
  <si>
    <t>Gouns</t>
  </si>
  <si>
    <t>ColBreakz - Twinrova</t>
  </si>
  <si>
    <t>Collision</t>
  </si>
  <si>
    <t>The Behemoth</t>
  </si>
  <si>
    <t>Spaze - Underworld</t>
  </si>
  <si>
    <t>Nerf this</t>
  </si>
  <si>
    <t>Kitty</t>
  </si>
  <si>
    <t>---Kitty---</t>
  </si>
  <si>
    <t>Blade of Justice</t>
  </si>
  <si>
    <t>Wild West</t>
  </si>
  <si>
    <t>Xtrullor - Karma (feat. Albert Hyrnen)</t>
  </si>
  <si>
    <t>The Radiance</t>
  </si>
  <si>
    <t>Custi</t>
  </si>
  <si>
    <t>Ante Meridiem</t>
  </si>
  <si>
    <t>K A N G</t>
  </si>
  <si>
    <t>kang131</t>
  </si>
  <si>
    <t>The Hell Dignity</t>
  </si>
  <si>
    <t>Crash Course</t>
  </si>
  <si>
    <t>Viricent</t>
  </si>
  <si>
    <t>---Crash---</t>
  </si>
  <si>
    <t>Chrome Clutter</t>
  </si>
  <si>
    <t>Bossfight - Mescalink</t>
  </si>
  <si>
    <t>Spacelocked II</t>
  </si>
  <si>
    <t>Hydra</t>
  </si>
  <si>
    <t>G Force</t>
  </si>
  <si>
    <t>Event Horizon</t>
  </si>
  <si>
    <t>ShiFt</t>
  </si>
  <si>
    <t>Sector X</t>
  </si>
  <si>
    <t>Saao - Final Impact (Impact VIP)</t>
  </si>
  <si>
    <t>the Debug</t>
  </si>
  <si>
    <t>SuperSanik</t>
  </si>
  <si>
    <t>LIEB</t>
  </si>
  <si>
    <t>The Colossus II</t>
  </si>
  <si>
    <t>Best Friends</t>
  </si>
  <si>
    <t>Zak Senpai</t>
  </si>
  <si>
    <t>Wubbaduck &amp; ColBreakz - Friends</t>
  </si>
  <si>
    <t>Hydraulic Overdrive</t>
  </si>
  <si>
    <t>Xyriak</t>
  </si>
  <si>
    <t>Mystic</t>
  </si>
  <si>
    <t>Crunchy Town</t>
  </si>
  <si>
    <t>CastriX</t>
  </si>
  <si>
    <t>helheim</t>
  </si>
  <si>
    <t>The NamK</t>
  </si>
  <si>
    <t>-Lines Fading-</t>
  </si>
  <si>
    <t>Instantaneous</t>
  </si>
  <si>
    <t>Primal Knight</t>
  </si>
  <si>
    <t>Spunch</t>
  </si>
  <si>
    <t>jazari</t>
  </si>
  <si>
    <t>Computer Blues</t>
  </si>
  <si>
    <t>Lightning</t>
  </si>
  <si>
    <t>Devastation</t>
  </si>
  <si>
    <t>Messorem Alba</t>
  </si>
  <si>
    <t>Weightless</t>
  </si>
  <si>
    <t>rreimu</t>
  </si>
  <si>
    <t>Asau</t>
  </si>
  <si>
    <t>Horuseus</t>
  </si>
  <si>
    <t>Tremor</t>
  </si>
  <si>
    <t>mystiric</t>
  </si>
  <si>
    <t>Excessive Compliment</t>
  </si>
  <si>
    <t>pulsar</t>
  </si>
  <si>
    <t>iIAkariIi</t>
  </si>
  <si>
    <t>Elquiness</t>
  </si>
  <si>
    <t>Blue Velvet</t>
  </si>
  <si>
    <t>Carnage Mode</t>
  </si>
  <si>
    <t>Tears BREAKER</t>
  </si>
  <si>
    <t>Jorgitto16</t>
  </si>
  <si>
    <t>Geoplex - Chimera</t>
  </si>
  <si>
    <t>mechanical temple</t>
  </si>
  <si>
    <t>Inergy</t>
  </si>
  <si>
    <t>The Antimatter</t>
  </si>
  <si>
    <t>Insidious</t>
  </si>
  <si>
    <t>C.U.R.E. (Concentrated Unmaking Robotic Entity)</t>
  </si>
  <si>
    <t>Cyber Planet</t>
  </si>
  <si>
    <t>The Kriotube</t>
  </si>
  <si>
    <t>Deliquescence</t>
  </si>
  <si>
    <t>Souls [Melodic EDM]</t>
  </si>
  <si>
    <t>Bitcoin</t>
  </si>
  <si>
    <t>SpAcEd OuT</t>
  </si>
  <si>
    <t>Star Bling</t>
  </si>
  <si>
    <t>Spectacle</t>
  </si>
  <si>
    <t>Stormy979</t>
  </si>
  <si>
    <t>Detious - Divinity</t>
  </si>
  <si>
    <t>Eden Decision</t>
  </si>
  <si>
    <t>Stamina</t>
  </si>
  <si>
    <t>xKore - Eden</t>
  </si>
  <si>
    <t>Nerves</t>
  </si>
  <si>
    <t>Alex1304</t>
  </si>
  <si>
    <t>Titanium buster</t>
  </si>
  <si>
    <t>Words Words Words</t>
  </si>
  <si>
    <t>Lisa Mitchell - Neopolitan Dreams (dhb Remix)</t>
  </si>
  <si>
    <t>OwO</t>
  </si>
  <si>
    <t>Tranquillity</t>
  </si>
  <si>
    <t>Prism Outbreak</t>
  </si>
  <si>
    <t>fayaddd</t>
  </si>
  <si>
    <t>Cronos</t>
  </si>
  <si>
    <t>Panda Eyes - Colorblind</t>
  </si>
  <si>
    <t>ZAPHKIEL</t>
  </si>
  <si>
    <t>Spectral</t>
  </si>
  <si>
    <t>CreatorLW</t>
  </si>
  <si>
    <t>Speedbreaker - F-777</t>
  </si>
  <si>
    <t>Gear III</t>
  </si>
  <si>
    <t>Attack</t>
  </si>
  <si>
    <t>Nitronic Blitz</t>
  </si>
  <si>
    <t>mikeymonke</t>
  </si>
  <si>
    <t>Godmode</t>
  </si>
  <si>
    <t>Marwec</t>
  </si>
  <si>
    <t>Shut Eye - Divinity</t>
  </si>
  <si>
    <t>Crunchy Town II</t>
  </si>
  <si>
    <t>The Maze Of Mayonnaise</t>
  </si>
  <si>
    <t>Anarchy</t>
  </si>
  <si>
    <t>Dark Abyss</t>
  </si>
  <si>
    <t>Solstice</t>
  </si>
  <si>
    <t>Creo - Shape of the Sun</t>
  </si>
  <si>
    <t>RippLeZ</t>
  </si>
  <si>
    <t>Argon</t>
  </si>
  <si>
    <t>NecropoliX</t>
  </si>
  <si>
    <t>Gotta Go FAST</t>
  </si>
  <si>
    <t>The Seventh Flame</t>
  </si>
  <si>
    <t>Bossfight - Nowise</t>
  </si>
  <si>
    <t>Popsicle</t>
  </si>
  <si>
    <t>VICT &amp; Kabuki - Popsicle!</t>
  </si>
  <si>
    <t>Nitro Festival</t>
  </si>
  <si>
    <t>Nine CircleX</t>
  </si>
  <si>
    <t>Cosmical Delusions</t>
  </si>
  <si>
    <t>Geoplex - Florescence</t>
  </si>
  <si>
    <t>Boundless</t>
  </si>
  <si>
    <t>Intrinsic</t>
  </si>
  <si>
    <t>Prism Break</t>
  </si>
  <si>
    <t>cloudfield - Nostalgia</t>
  </si>
  <si>
    <t>Petrified Factory</t>
  </si>
  <si>
    <t>Chord Cutter</t>
  </si>
  <si>
    <t>Diffuse</t>
  </si>
  <si>
    <t>Yellow and Purple</t>
  </si>
  <si>
    <t>Horizon Zero</t>
  </si>
  <si>
    <t>BlastiXGD</t>
  </si>
  <si>
    <t>Cosmic Reality</t>
  </si>
  <si>
    <t>Chrysanthenum</t>
  </si>
  <si>
    <t>Reunomi</t>
  </si>
  <si>
    <t>Chaoz Fantasy Romos Remix</t>
  </si>
  <si>
    <t>Paradox Theory</t>
  </si>
  <si>
    <t>Promethium</t>
  </si>
  <si>
    <t>arcatexx</t>
  </si>
  <si>
    <t>Endless</t>
  </si>
  <si>
    <t>luisilloRS</t>
  </si>
  <si>
    <t>ColBreakz - Paradise</t>
  </si>
  <si>
    <t>Darkness Keeper</t>
  </si>
  <si>
    <t>X&amp;HE - Soulstorm</t>
  </si>
  <si>
    <t>darker drop</t>
  </si>
  <si>
    <t>Detonate</t>
  </si>
  <si>
    <t>Fulgurance</t>
  </si>
  <si>
    <t>ColBreakz - Arcade</t>
  </si>
  <si>
    <t>Astral Drifter</t>
  </si>
  <si>
    <t>GoodGame</t>
  </si>
  <si>
    <t>Power</t>
  </si>
  <si>
    <t>ToxYc</t>
  </si>
  <si>
    <t>Fiber</t>
  </si>
  <si>
    <t>Potest Etiam</t>
  </si>
  <si>
    <t>Wakanding</t>
  </si>
  <si>
    <t>Empower</t>
  </si>
  <si>
    <t>Steel Doom</t>
  </si>
  <si>
    <t>The Hell Origin</t>
  </si>
  <si>
    <t>MalFunction</t>
  </si>
  <si>
    <t>Jirk</t>
  </si>
  <si>
    <t>Poltergeist Reborn</t>
  </si>
  <si>
    <t>ThePrimeEvil</t>
  </si>
  <si>
    <t>Lost</t>
  </si>
  <si>
    <t>F-777 - A Lost World</t>
  </si>
  <si>
    <t>Utopian Delusions</t>
  </si>
  <si>
    <t>nahuel2998</t>
  </si>
  <si>
    <t>SmK - Virtual World</t>
  </si>
  <si>
    <t>Shrill Hallway</t>
  </si>
  <si>
    <t>Hyperio Technia</t>
  </si>
  <si>
    <t>Creo - Challenger</t>
  </si>
  <si>
    <t>Hypnotic Travel</t>
  </si>
  <si>
    <t>The Scrap Boy OFF VOCAL</t>
  </si>
  <si>
    <t>Whisper</t>
  </si>
  <si>
    <t>E V A C U A T I O N</t>
  </si>
  <si>
    <t>Nosef</t>
  </si>
  <si>
    <t>Reapers</t>
  </si>
  <si>
    <t>Zafkiel7</t>
  </si>
  <si>
    <t>Glory</t>
  </si>
  <si>
    <t>Evasion</t>
  </si>
  <si>
    <t>Dexterity</t>
  </si>
  <si>
    <t>Great Goblet</t>
  </si>
  <si>
    <t>fruitsnack</t>
  </si>
  <si>
    <t>Preyfour - Revolver</t>
  </si>
  <si>
    <t>Hidden Powers</t>
  </si>
  <si>
    <t>Ultimate Driving</t>
  </si>
  <si>
    <t>Tonight</t>
  </si>
  <si>
    <t>Hyperion</t>
  </si>
  <si>
    <t>Cadrega City</t>
  </si>
  <si>
    <t>BuTiTi II</t>
  </si>
  <si>
    <t>SaVrey</t>
  </si>
  <si>
    <t>Ellisha</t>
  </si>
  <si>
    <t>Proxima</t>
  </si>
  <si>
    <t>Cendrillon</t>
  </si>
  <si>
    <t>Bei lun</t>
  </si>
  <si>
    <t>Shuffle49</t>
  </si>
  <si>
    <t>---Killing Spree---</t>
  </si>
  <si>
    <t>Gasoline Stage</t>
  </si>
  <si>
    <t>Gasoline Rainbows [ext]</t>
  </si>
  <si>
    <t>Glowy</t>
  </si>
  <si>
    <t>Blast Reloaded</t>
  </si>
  <si>
    <t>Like a Blast!</t>
  </si>
  <si>
    <t>Turbo Fury</t>
  </si>
  <si>
    <t>In The Tigers Den</t>
  </si>
  <si>
    <t>Dreamland Tour</t>
  </si>
  <si>
    <t>Ackr0</t>
  </si>
  <si>
    <t>Adrenaline Chamber</t>
  </si>
  <si>
    <t>VecToRx GD</t>
  </si>
  <si>
    <t>Stalemate Redux</t>
  </si>
  <si>
    <t>Hell Karma</t>
  </si>
  <si>
    <t>Alchemist</t>
  </si>
  <si>
    <t>Digital Descent</t>
  </si>
  <si>
    <t>Blitz</t>
  </si>
  <si>
    <t>Speed of Energy</t>
  </si>
  <si>
    <t>MikyFC</t>
  </si>
  <si>
    <t>A New Energy - F-777</t>
  </si>
  <si>
    <t>Fiery cauldron</t>
  </si>
  <si>
    <t>Ultimate Bowser(Epic Remix)</t>
  </si>
  <si>
    <t>Rainbow Euphoria</t>
  </si>
  <si>
    <t>Euphoria {Dj-Abbic}</t>
  </si>
  <si>
    <t>ThresholD</t>
  </si>
  <si>
    <t>Knots</t>
  </si>
  <si>
    <t>BurgeraX: Bloodthirst [Dubstep]</t>
  </si>
  <si>
    <t>StrikerZ</t>
  </si>
  <si>
    <t>Sharkarie</t>
  </si>
  <si>
    <t>-Striker-</t>
  </si>
  <si>
    <t>Magistral</t>
  </si>
  <si>
    <t>Darixen</t>
  </si>
  <si>
    <t>ColBreakz - 15000 (ft. Miss Lina)</t>
  </si>
  <si>
    <t>Zed</t>
  </si>
  <si>
    <t>KrazyKako9</t>
  </si>
  <si>
    <t>Annihilation</t>
  </si>
  <si>
    <t>Theory of Visible v3</t>
  </si>
  <si>
    <t>Sparkler - Theory Of Everything 3 Remix</t>
  </si>
  <si>
    <t>Moira Rises</t>
  </si>
  <si>
    <t>Wake Up</t>
  </si>
  <si>
    <t>Terrorific Factory</t>
  </si>
  <si>
    <t>zZoomks</t>
  </si>
  <si>
    <t>Sharks - Shining Space</t>
  </si>
  <si>
    <t>Anti Quiescent</t>
  </si>
  <si>
    <t>Amplification</t>
  </si>
  <si>
    <t>AvaKai</t>
  </si>
  <si>
    <t>Boss Theme Remix (KRtD)</t>
  </si>
  <si>
    <t>Zone X</t>
  </si>
  <si>
    <t>Luma</t>
  </si>
  <si>
    <t>Luminous</t>
  </si>
  <si>
    <t>Factory Realm X</t>
  </si>
  <si>
    <t>Postersland</t>
  </si>
  <si>
    <t>IJBSI</t>
  </si>
  <si>
    <t>Insadious</t>
  </si>
  <si>
    <t>MaxiKD</t>
  </si>
  <si>
    <t>Active (2012 World End Edit)</t>
  </si>
  <si>
    <t>Evolution</t>
  </si>
  <si>
    <t>Slap Squad</t>
  </si>
  <si>
    <t>Dex Arson - Slap Squad Ft Svi</t>
  </si>
  <si>
    <t>KaIZo</t>
  </si>
  <si>
    <t>Electrosonic</t>
  </si>
  <si>
    <t>Impel</t>
  </si>
  <si>
    <t>Dasher3000</t>
  </si>
  <si>
    <t>Interstellar</t>
  </si>
  <si>
    <t>TECHnos</t>
  </si>
  <si>
    <t>stubbypinata</t>
  </si>
  <si>
    <t>Stormbringer</t>
  </si>
  <si>
    <t>Desperado</t>
  </si>
  <si>
    <t>Scardian</t>
  </si>
  <si>
    <t>[TC] Hope Will Come Again</t>
  </si>
  <si>
    <t>Superium</t>
  </si>
  <si>
    <t>neogamerGD</t>
  </si>
  <si>
    <t>I Cant Fix You</t>
  </si>
  <si>
    <t>IronIngot</t>
  </si>
  <si>
    <t>I Cant Fix You feat. Crusher-P</t>
  </si>
  <si>
    <t>Paranoia</t>
  </si>
  <si>
    <t>FaekI</t>
  </si>
  <si>
    <t>ColBreakz - Thinking With Portals</t>
  </si>
  <si>
    <t>Victoire</t>
  </si>
  <si>
    <t>Ragedance</t>
  </si>
  <si>
    <t>Sky tech</t>
  </si>
  <si>
    <t>Anatomic</t>
  </si>
  <si>
    <t>Geoplex - Eminence</t>
  </si>
  <si>
    <t>Homicide</t>
  </si>
  <si>
    <t>Colorful Corruption</t>
  </si>
  <si>
    <t>Deadlocked 2017</t>
  </si>
  <si>
    <t>Cutter knife</t>
  </si>
  <si>
    <t>Dynamic System</t>
  </si>
  <si>
    <t>Canonblade - Evli Whiskey</t>
  </si>
  <si>
    <t>Zeus</t>
  </si>
  <si>
    <t>{dj-N} God Complex Rmx</t>
  </si>
  <si>
    <t>TeaM Z</t>
  </si>
  <si>
    <t>Quantum Processing</t>
  </si>
  <si>
    <t>Twilight Darkness</t>
  </si>
  <si>
    <t>Grim Grinning Ghosts (Feat. CrusherP and Corpse Husband)</t>
  </si>
  <si>
    <t>Buff This</t>
  </si>
  <si>
    <t>M O A B</t>
  </si>
  <si>
    <t>Sminx</t>
  </si>
  <si>
    <t>Energy Drive</t>
  </si>
  <si>
    <t>Technocosmix</t>
  </si>
  <si>
    <t>NexAxel</t>
  </si>
  <si>
    <t>Electrodynamix 2</t>
  </si>
  <si>
    <t>Nowise</t>
  </si>
  <si>
    <t>Light Within</t>
  </si>
  <si>
    <t>Sir Doge</t>
  </si>
  <si>
    <t>BurgeraX: Radiate Remake (Panda Eyes) [Dubstep]</t>
  </si>
  <si>
    <t>Extinction</t>
  </si>
  <si>
    <t>Pyrolysis (Original Mix)</t>
  </si>
  <si>
    <t>ThermoDynamix</t>
  </si>
  <si>
    <t>flash</t>
  </si>
  <si>
    <t>{dj-N} Thermodynamix</t>
  </si>
  <si>
    <t>Spectral Slumber</t>
  </si>
  <si>
    <t>Weep</t>
  </si>
  <si>
    <t>wless</t>
  </si>
  <si>
    <t>La Llorona</t>
  </si>
  <si>
    <t>Bandit</t>
  </si>
  <si>
    <t>---Bandit---</t>
  </si>
  <si>
    <t>Mechora</t>
  </si>
  <si>
    <t>Sxap</t>
  </si>
  <si>
    <t>Pijatelo</t>
  </si>
  <si>
    <t>Toccata</t>
  </si>
  <si>
    <t>Buried Angel</t>
  </si>
  <si>
    <t>Archangel</t>
  </si>
  <si>
    <t>Affix</t>
  </si>
  <si>
    <t>Come With Me</t>
  </si>
  <si>
    <t>KaoS</t>
  </si>
  <si>
    <t>Samoht</t>
  </si>
  <si>
    <t>Pumpkin Moon</t>
  </si>
  <si>
    <t>Dead Lands</t>
  </si>
  <si>
    <t>PaC</t>
  </si>
  <si>
    <t>Dex Arson - Rampage (ColBreakz Remix)</t>
  </si>
  <si>
    <t>Artificial Dream</t>
  </si>
  <si>
    <t>Spaze - Dreams</t>
  </si>
  <si>
    <t>ShutterPoint</t>
  </si>
  <si>
    <t>Thomartin</t>
  </si>
  <si>
    <t>Tisment &amp; ColBreakz - Silent Storm</t>
  </si>
  <si>
    <t>Bloodshed</t>
  </si>
  <si>
    <t>Maximum (Original Mix)</t>
  </si>
  <si>
    <t>Encore</t>
  </si>
  <si>
    <t>ZephiroX</t>
  </si>
  <si>
    <t>Deaths Grasp</t>
  </si>
  <si>
    <t>VagrantXXI</t>
  </si>
  <si>
    <t>The Yanderes Puppet Show</t>
  </si>
  <si>
    <t>A Little Smile</t>
  </si>
  <si>
    <t>Alfred PKNess</t>
  </si>
  <si>
    <t>Furious Flames</t>
  </si>
  <si>
    <t>Woah</t>
  </si>
  <si>
    <t>WILD</t>
  </si>
  <si>
    <t>Plasma Pulse Finale</t>
  </si>
  <si>
    <t>Underworld</t>
  </si>
  <si>
    <t>hfcRed</t>
  </si>
  <si>
    <t>Dark illusion</t>
  </si>
  <si>
    <t>Extermination</t>
  </si>
  <si>
    <t>Spaze - Believe</t>
  </si>
  <si>
    <t>The Forbidden</t>
  </si>
  <si>
    <t>InfiniteR88</t>
  </si>
  <si>
    <t>Uproar</t>
  </si>
  <si>
    <t>EnZore</t>
  </si>
  <si>
    <t>Ravitex &amp; TeslaX - Night Bullet</t>
  </si>
  <si>
    <t>Kotoruption</t>
  </si>
  <si>
    <t>Kotori-Nanamori(Sharks remix)</t>
  </si>
  <si>
    <t>Terminal Void</t>
  </si>
  <si>
    <t>Last Judgement</t>
  </si>
  <si>
    <t>{dj-N} halo4remix.com</t>
  </si>
  <si>
    <t>Last Breath</t>
  </si>
  <si>
    <t>The Under Machinary</t>
  </si>
  <si>
    <t>FreakEd7</t>
  </si>
  <si>
    <t>Welcome To War</t>
  </si>
  <si>
    <t>OSIRIS GD</t>
  </si>
  <si>
    <t>Irritation</t>
  </si>
  <si>
    <t>Abscond</t>
  </si>
  <si>
    <t>cloudfield - Run Away</t>
  </si>
  <si>
    <t>First Blood</t>
  </si>
  <si>
    <t>---Explosion Noise---</t>
  </si>
  <si>
    <t>Killbot</t>
  </si>
  <si>
    <t>AAAAAAAAAAAAAAAAAAAA</t>
  </si>
  <si>
    <t>Mujigae</t>
  </si>
  <si>
    <t>YGYoshI</t>
  </si>
  <si>
    <t>Lazarus</t>
  </si>
  <si>
    <t>onnikonna</t>
  </si>
  <si>
    <t>Mater Infinitum - Part II</t>
  </si>
  <si>
    <t>LastLocked</t>
  </si>
  <si>
    <t>Beta Drivers</t>
  </si>
  <si>
    <t>ABATE</t>
  </si>
  <si>
    <t>Slowing Down</t>
  </si>
  <si>
    <t>Action</t>
  </si>
  <si>
    <t>Lyal</t>
  </si>
  <si>
    <t>Players</t>
  </si>
  <si>
    <t>Thermodynamix</t>
  </si>
  <si>
    <t>Tarantula</t>
  </si>
  <si>
    <t>DonutTV</t>
  </si>
  <si>
    <t>Holy War</t>
  </si>
  <si>
    <t>Colored Desperation</t>
  </si>
  <si>
    <t>RoyalP</t>
  </si>
  <si>
    <t>EVVK</t>
  </si>
  <si>
    <t>Revontuli</t>
  </si>
  <si>
    <t>N</t>
  </si>
  <si>
    <t>Reversed</t>
  </si>
  <si>
    <t>Divinitude</t>
  </si>
  <si>
    <t>Zied00Z</t>
  </si>
  <si>
    <t>Detious - Divinity (VIP)</t>
  </si>
  <si>
    <t>Hyper II</t>
  </si>
  <si>
    <t>SerenoGD</t>
  </si>
  <si>
    <t>Creo - Rivals</t>
  </si>
  <si>
    <t>NewVille</t>
  </si>
  <si>
    <t>Solar Split</t>
  </si>
  <si>
    <t>Shambolic</t>
  </si>
  <si>
    <t>night party</t>
  </si>
  <si>
    <t>TheFatRat - Dancing Naked</t>
  </si>
  <si>
    <t>Goukisan - Betrayal of Fear (TeslaX remix)</t>
  </si>
  <si>
    <t>Acid Rush</t>
  </si>
  <si>
    <t>Mountain King</t>
  </si>
  <si>
    <t>~Hall Of The Mountain King~</t>
  </si>
  <si>
    <t>Infernal Gust</t>
  </si>
  <si>
    <t>!-Anemotaxis-!</t>
  </si>
  <si>
    <t>Vociferous Energy</t>
  </si>
  <si>
    <t>Awakening Horus</t>
  </si>
  <si>
    <t>Creo - Ahead Of The Curve</t>
  </si>
  <si>
    <t>Despacito Circles</t>
  </si>
  <si>
    <t>Ground Zero</t>
  </si>
  <si>
    <t>Freestyle</t>
  </si>
  <si>
    <t>Balloons</t>
  </si>
  <si>
    <t>Astro Soda</t>
  </si>
  <si>
    <t>Rejuvenated</t>
  </si>
  <si>
    <t>Rejuvenate</t>
  </si>
  <si>
    <t>Stereo</t>
  </si>
  <si>
    <t>Astral Fusion</t>
  </si>
  <si>
    <t>Kozu44</t>
  </si>
  <si>
    <t>8o X</t>
  </si>
  <si>
    <t>Basic after basic</t>
  </si>
  <si>
    <t>AlterGame XVII</t>
  </si>
  <si>
    <t>Shadow Queen Pt. 2 Remix</t>
  </si>
  <si>
    <t>Heidrun</t>
  </si>
  <si>
    <t>TonyGato</t>
  </si>
  <si>
    <t>Hookers &amp; Ice Cream</t>
  </si>
  <si>
    <t>DeluDe</t>
  </si>
  <si>
    <t>Empyrean</t>
  </si>
  <si>
    <t>radiant aura</t>
  </si>
  <si>
    <t>Shaday</t>
  </si>
  <si>
    <t>Gamma</t>
  </si>
  <si>
    <t>MindCap</t>
  </si>
  <si>
    <t>ElectroMagnetic</t>
  </si>
  <si>
    <t>Orange Juice</t>
  </si>
  <si>
    <t>EEK! + Lockyn - Glacier Galaxy</t>
  </si>
  <si>
    <t>xMisery</t>
  </si>
  <si>
    <t>Violently X</t>
  </si>
  <si>
    <t>Rampant</t>
  </si>
  <si>
    <t>Haria</t>
  </si>
  <si>
    <t>The Nebula II</t>
  </si>
  <si>
    <t>arcGMD</t>
  </si>
  <si>
    <t>Afterwolf</t>
  </si>
  <si>
    <t>Alpheia</t>
  </si>
  <si>
    <t>cloudfield - Snow</t>
  </si>
  <si>
    <t>Vehement</t>
  </si>
  <si>
    <t>balli</t>
  </si>
  <si>
    <t>Creo - Dune</t>
  </si>
  <si>
    <t>Glebuxa</t>
  </si>
  <si>
    <t>ZyThorn</t>
  </si>
  <si>
    <t>LAN Party</t>
  </si>
  <si>
    <t>Supercalifragilistic</t>
  </si>
  <si>
    <t>Beat-em Up</t>
  </si>
  <si>
    <t>Herbivorous</t>
  </si>
  <si>
    <t>VolteX</t>
  </si>
  <si>
    <t>Rising Down</t>
  </si>
  <si>
    <t>Mechanical Drive</t>
  </si>
  <si>
    <t>Creo - Showdown</t>
  </si>
  <si>
    <t>Fragmented Calamity</t>
  </si>
  <si>
    <t>PTyXaLPHaZ</t>
  </si>
  <si>
    <t>Urbanstep &amp; Micah Martin - Parallel (Volterix Remix)</t>
  </si>
  <si>
    <t>Ethereal</t>
  </si>
  <si>
    <t>LuxiGD</t>
  </si>
  <si>
    <t>Glimpse</t>
  </si>
  <si>
    <t>Evolve</t>
  </si>
  <si>
    <t>Thermo Speed</t>
  </si>
  <si>
    <t>Nottus</t>
  </si>
  <si>
    <t>Distinctive</t>
  </si>
  <si>
    <t>Gears of a King</t>
  </si>
  <si>
    <t>Spectral Tentation</t>
  </si>
  <si>
    <t>DiscJoker</t>
  </si>
  <si>
    <t>Civic</t>
  </si>
  <si>
    <t>LuichoX</t>
  </si>
  <si>
    <t>Waluigi Pinball Remix</t>
  </si>
  <si>
    <t>Red</t>
  </si>
  <si>
    <t>Atomic Madness</t>
  </si>
  <si>
    <t>Power Trip [ Geometry Dash SubZero ]</t>
  </si>
  <si>
    <t>S c r e a M</t>
  </si>
  <si>
    <t>dudeXmas</t>
  </si>
  <si>
    <t>Summit</t>
  </si>
  <si>
    <t>Devourer Of Gods</t>
  </si>
  <si>
    <t>Soverney</t>
  </si>
  <si>
    <t>Dex Arson - Bipolar [Bossfight Remix]</t>
  </si>
  <si>
    <t>Hostile Apocalypse</t>
  </si>
  <si>
    <t>Feint - Lift (Instrumental)</t>
  </si>
  <si>
    <t>The Gate</t>
  </si>
  <si>
    <t>Psyse</t>
  </si>
  <si>
    <t>Isotope</t>
  </si>
  <si>
    <t>Fiesta</t>
  </si>
  <si>
    <t>Astreans</t>
  </si>
  <si>
    <t>MrSpaghetti</t>
  </si>
  <si>
    <t>Appearance</t>
  </si>
  <si>
    <t>crossblade</t>
  </si>
  <si>
    <t>Pulsar</t>
  </si>
  <si>
    <t>nestorboy</t>
  </si>
  <si>
    <t>Volterix - Pulsar</t>
  </si>
  <si>
    <t>SuperioxX</t>
  </si>
  <si>
    <t>Polarbeahr</t>
  </si>
  <si>
    <t>Haunt</t>
  </si>
  <si>
    <t>Pinball Panic</t>
  </si>
  <si>
    <t>TeamHFC</t>
  </si>
  <si>
    <t>Mythical descent</t>
  </si>
  <si>
    <t>Erruvent</t>
  </si>
  <si>
    <t>Dank Travle</t>
  </si>
  <si>
    <t>BobbleHeads--_--(4:20)</t>
  </si>
  <si>
    <t>Dynamic Glow</t>
  </si>
  <si>
    <t>The Bread</t>
  </si>
  <si>
    <t>Overheat</t>
  </si>
  <si>
    <t>Bossfight - Nock Em</t>
  </si>
  <si>
    <t>Thanatos</t>
  </si>
  <si>
    <t>Holy Pirate Crusaders</t>
  </si>
  <si>
    <t>Rewired</t>
  </si>
  <si>
    <t>Glitch City</t>
  </si>
  <si>
    <t>The Showdown</t>
  </si>
  <si>
    <t>Optonix</t>
  </si>
  <si>
    <t>Dark Rivalry</t>
  </si>
  <si>
    <t>CholeriX</t>
  </si>
  <si>
    <t>shifted patterns</t>
  </si>
  <si>
    <t>Sikatsuka</t>
  </si>
  <si>
    <t>Transistor</t>
  </si>
  <si>
    <t>-= Infiltration =-</t>
  </si>
  <si>
    <t>CraZy</t>
  </si>
  <si>
    <t>Circus Contraption - Charmed Im Sure (DirtyPaws Remix) (NEW MIX) (Instrumental)</t>
  </si>
  <si>
    <t>Fire level</t>
  </si>
  <si>
    <t>Phase</t>
  </si>
  <si>
    <t>Falkuma</t>
  </si>
  <si>
    <t>FinalCode</t>
  </si>
  <si>
    <t>Demonicat</t>
  </si>
  <si>
    <t>Jammer</t>
  </si>
  <si>
    <t>TokkiGD</t>
  </si>
  <si>
    <t>Ithacropolis</t>
  </si>
  <si>
    <t>BIGMAC77</t>
  </si>
  <si>
    <t>Capricious Accord</t>
  </si>
  <si>
    <t>Cthulu</t>
  </si>
  <si>
    <t>ColBreakz - 3000</t>
  </si>
  <si>
    <t>Direction II</t>
  </si>
  <si>
    <t>Swift Run</t>
  </si>
  <si>
    <t>Lets Run!</t>
  </si>
  <si>
    <t>Fusion Flare</t>
  </si>
  <si>
    <t>Inside</t>
  </si>
  <si>
    <t>Stay Inside Me</t>
  </si>
  <si>
    <t>L E G O</t>
  </si>
  <si>
    <t>Kinetic Bypass</t>
  </si>
  <si>
    <t>Guardian</t>
  </si>
  <si>
    <t>The Deathless</t>
  </si>
  <si>
    <t>Hyper District</t>
  </si>
  <si>
    <t>abdula</t>
  </si>
  <si>
    <t>Undergound</t>
  </si>
  <si>
    <t>Dread Intrusion</t>
  </si>
  <si>
    <t>Nock</t>
  </si>
  <si>
    <t>Oblivious</t>
  </si>
  <si>
    <t>spark</t>
  </si>
  <si>
    <t>TheFatRat - Oblivion (feat. Lola Blanc)</t>
  </si>
  <si>
    <t>Descend</t>
  </si>
  <si>
    <t>Cirtrax</t>
  </si>
  <si>
    <t>Steel Butterfly</t>
  </si>
  <si>
    <t>Subwoofer</t>
  </si>
  <si>
    <t>Oxytoxic</t>
  </si>
  <si>
    <t>Surge of Memories</t>
  </si>
  <si>
    <t>L a M b E n T</t>
  </si>
  <si>
    <t>Nickalopogas</t>
  </si>
  <si>
    <t>HexaForce</t>
  </si>
  <si>
    <t>Vortex of Time</t>
  </si>
  <si>
    <t>plusxenon</t>
  </si>
  <si>
    <t>TheFatRat - Time Lapse</t>
  </si>
  <si>
    <t>N/A</t>
  </si>
  <si>
    <t>Steel Gear</t>
  </si>
  <si>
    <t>{dj-N} Three Step</t>
  </si>
  <si>
    <t>ColBreakz &amp; Ramstar - Frozen Heart</t>
  </si>
  <si>
    <t>Komodo</t>
  </si>
  <si>
    <t>Silver Shade</t>
  </si>
  <si>
    <t>Zylenox</t>
  </si>
  <si>
    <t>Dark Conviction</t>
  </si>
  <si>
    <t>Doom</t>
  </si>
  <si>
    <t>AutoNick</t>
  </si>
  <si>
    <t>Chronos</t>
  </si>
  <si>
    <t>Timekeeper</t>
  </si>
  <si>
    <t>Digital Monster</t>
  </si>
  <si>
    <t>Yerylik</t>
  </si>
  <si>
    <t>Satellite</t>
  </si>
  <si>
    <t>Opac</t>
  </si>
  <si>
    <t>Yendis</t>
  </si>
  <si>
    <t>The Demolition Zone</t>
  </si>
  <si>
    <t>SpKale</t>
  </si>
  <si>
    <t>Spacial Rift</t>
  </si>
  <si>
    <t>PerkyPenguiN</t>
  </si>
  <si>
    <t>Y I K E S</t>
  </si>
  <si>
    <t>GETZUCCED</t>
  </si>
  <si>
    <t>Sentience Uprising</t>
  </si>
  <si>
    <t>Hyper Paracosm</t>
  </si>
  <si>
    <t>~NK~ "TruthOrDare" featJrounds</t>
  </si>
  <si>
    <t>Immortals</t>
  </si>
  <si>
    <t>TriPodX</t>
  </si>
  <si>
    <t>Orogenesis (Original Mix)</t>
  </si>
  <si>
    <t>Generic</t>
  </si>
  <si>
    <t>EspiDev - Reverie</t>
  </si>
  <si>
    <t>Knocking Bird</t>
  </si>
  <si>
    <t>FlyingChickN</t>
  </si>
  <si>
    <t>Torrential Storm</t>
  </si>
  <si>
    <t>xKstrol</t>
  </si>
  <si>
    <t>Showdown</t>
  </si>
  <si>
    <t>QuantumFlux</t>
  </si>
  <si>
    <t>Taniyaun</t>
  </si>
  <si>
    <t>Epilogue</t>
  </si>
  <si>
    <t>The Scarlet Sun</t>
  </si>
  <si>
    <t>Creo - In Circles</t>
  </si>
  <si>
    <t>Souring</t>
  </si>
  <si>
    <t>At Pass</t>
  </si>
  <si>
    <t>panic attack</t>
  </si>
  <si>
    <t>Resplendent Obsession</t>
  </si>
  <si>
    <t>Propel</t>
  </si>
  <si>
    <t>Hyper314</t>
  </si>
  <si>
    <t>Eminent</t>
  </si>
  <si>
    <t>RealTrueLogic</t>
  </si>
  <si>
    <t>Lazurite</t>
  </si>
  <si>
    <t>Hann</t>
  </si>
  <si>
    <t>Bloodlust</t>
  </si>
  <si>
    <t>Acid Rush II</t>
  </si>
  <si>
    <t>Creo - Rock Thing</t>
  </si>
  <si>
    <t>Paroxysm</t>
  </si>
  <si>
    <t>Atmosphere</t>
  </si>
  <si>
    <t>VoidSquad</t>
  </si>
  <si>
    <t>Borderline</t>
  </si>
  <si>
    <t>dungeon escape</t>
  </si>
  <si>
    <t>netherdon</t>
  </si>
  <si>
    <t>Ice Temple</t>
  </si>
  <si>
    <t>Ecstatic</t>
  </si>
  <si>
    <t>DarkSide</t>
  </si>
  <si>
    <t>Xtrullor - Samsara</t>
  </si>
  <si>
    <t>Stellar Dubstep</t>
  </si>
  <si>
    <t>Fury of Speed</t>
  </si>
  <si>
    <t>NateRaven</t>
  </si>
  <si>
    <t>Dualviper</t>
  </si>
  <si>
    <t>Majesty</t>
  </si>
  <si>
    <t>Polar beat</t>
  </si>
  <si>
    <t>Dex Arson - Bipolar (Bossfight Remix)</t>
  </si>
  <si>
    <t>Hecatomb</t>
  </si>
  <si>
    <t>Destiny</t>
  </si>
  <si>
    <t>ColBreakz &amp; Boiria - Future Life</t>
  </si>
  <si>
    <t>Superstrike</t>
  </si>
  <si>
    <t>Neon Drive</t>
  </si>
  <si>
    <t>Amidon</t>
  </si>
  <si>
    <t>Lets Stomp!</t>
  </si>
  <si>
    <t>Zdoof</t>
  </si>
  <si>
    <t>Zyzyx - Lost it All</t>
  </si>
  <si>
    <t>ApocalypseAfterParty</t>
  </si>
  <si>
    <t>WHErwin</t>
  </si>
  <si>
    <t>Sacred Fire</t>
  </si>
  <si>
    <t>CreatorAurum</t>
  </si>
  <si>
    <t>Bit Reaper</t>
  </si>
  <si>
    <t>Nostalgia</t>
  </si>
  <si>
    <t>Hellcat</t>
  </si>
  <si>
    <t>Phoenix Rising</t>
  </si>
  <si>
    <t>Sugar Rush</t>
  </si>
  <si>
    <t>KyoYuh</t>
  </si>
  <si>
    <t>ColBreakz - GoodBye</t>
  </si>
  <si>
    <t>Prismogenesis</t>
  </si>
  <si>
    <t>iZappeR</t>
  </si>
  <si>
    <t>Astronomical Alchemy</t>
  </si>
  <si>
    <t>Animus</t>
  </si>
  <si>
    <t>distortt</t>
  </si>
  <si>
    <t>Lycanthropy (Original Mix)</t>
  </si>
  <si>
    <t>Solarion</t>
  </si>
  <si>
    <t>Jackafish1</t>
  </si>
  <si>
    <t>Rebirth II</t>
  </si>
  <si>
    <t>Exilium</t>
  </si>
  <si>
    <t>redwn</t>
  </si>
  <si>
    <t>Saao - Pirate Attack</t>
  </si>
  <si>
    <t>Detonation</t>
  </si>
  <si>
    <t>Killstealer</t>
  </si>
  <si>
    <t>Vertigo</t>
  </si>
  <si>
    <t>notLevo</t>
  </si>
  <si>
    <t>~Always~</t>
  </si>
  <si>
    <t>Dark matter</t>
  </si>
  <si>
    <t>GlodenGD</t>
  </si>
  <si>
    <t>immersion</t>
  </si>
  <si>
    <t>God Mode</t>
  </si>
  <si>
    <t>Slap Squad II</t>
  </si>
  <si>
    <t>Follow me Remix</t>
  </si>
  <si>
    <t>Lacheln</t>
  </si>
  <si>
    <t>Game Over</t>
  </si>
  <si>
    <t>Wobbliest Apple</t>
  </si>
  <si>
    <t>plastic memories</t>
  </si>
  <si>
    <t>Volatile</t>
  </si>
  <si>
    <t>TheTrueEclipse</t>
  </si>
  <si>
    <t>Detious   Lockyn - Gradient</t>
  </si>
  <si>
    <t>PartiDoraFunnyMul</t>
  </si>
  <si>
    <t>Boomerang</t>
  </si>
  <si>
    <t>Explorers</t>
  </si>
  <si>
    <t>~NK~ Into the Light</t>
  </si>
  <si>
    <t>Pound Town</t>
  </si>
  <si>
    <t>Robotic nightmares</t>
  </si>
  <si>
    <t>GMDDEEPSPACE</t>
  </si>
  <si>
    <t>starShip Showdown</t>
  </si>
  <si>
    <t>BlastX</t>
  </si>
  <si>
    <t>KuraiYonaka</t>
  </si>
  <si>
    <t>Leight Weight</t>
  </si>
  <si>
    <t>Chiand</t>
  </si>
  <si>
    <t>Nelly</t>
  </si>
  <si>
    <t>Filaret</t>
  </si>
  <si>
    <t>---Reaper RD2012---</t>
  </si>
  <si>
    <t>Overture</t>
  </si>
  <si>
    <t>azasuh2</t>
  </si>
  <si>
    <t>[Melodic Dubstep] Freedom (Original Mix) [Reborn EP]</t>
  </si>
  <si>
    <t>Algorithmic</t>
  </si>
  <si>
    <t>Laststep</t>
  </si>
  <si>
    <t>Impetuous</t>
  </si>
  <si>
    <t>Morphizn</t>
  </si>
  <si>
    <t>Game Time</t>
  </si>
  <si>
    <t>Blippblipp (modern 8bit)</t>
  </si>
  <si>
    <t>Absent</t>
  </si>
  <si>
    <t>-Absent-</t>
  </si>
  <si>
    <t>Achondrite</t>
  </si>
  <si>
    <t>~BH~ Aurora Theory</t>
  </si>
  <si>
    <t>Titania</t>
  </si>
  <si>
    <t>Xrullor - Dropping Fish</t>
  </si>
  <si>
    <t>Titan Complex</t>
  </si>
  <si>
    <t>TCTeam</t>
  </si>
  <si>
    <t>Future Funk</t>
  </si>
  <si>
    <t>Whats a Future Funk?</t>
  </si>
  <si>
    <t>Commitment</t>
  </si>
  <si>
    <t>Dakkuro</t>
  </si>
  <si>
    <t>Under lavaland</t>
  </si>
  <si>
    <t>Heroes Never Die</t>
  </si>
  <si>
    <t>Jovc</t>
  </si>
  <si>
    <t>Penultimate Phase</t>
  </si>
  <si>
    <t>Lemuria</t>
  </si>
  <si>
    <t>Arysta</t>
  </si>
  <si>
    <t>Coarse</t>
  </si>
  <si>
    <t>Vulgarity</t>
  </si>
  <si>
    <t>Teknold Blast</t>
  </si>
  <si>
    <t>Kortex Kasm</t>
  </si>
  <si>
    <t>Technical Rush</t>
  </si>
  <si>
    <t>Running in the 90s</t>
  </si>
  <si>
    <t>Running In The 90s RMX</t>
  </si>
  <si>
    <t>Oculus</t>
  </si>
  <si>
    <t>Mecha Mayhem</t>
  </si>
  <si>
    <t>Duster</t>
  </si>
  <si>
    <t>Torch121</t>
  </si>
  <si>
    <t>-Race Around the Desert-</t>
  </si>
  <si>
    <t>Tile Dysfunction</t>
  </si>
  <si>
    <t>Projectile</t>
  </si>
  <si>
    <t>Memorial</t>
  </si>
  <si>
    <t>i can see you now</t>
  </si>
  <si>
    <t>Piccadilly circus</t>
  </si>
  <si>
    <t>AirForce</t>
  </si>
  <si>
    <t>BurgeraX: Journey [Future Bass]</t>
  </si>
  <si>
    <t>Xenomorphosis</t>
  </si>
  <si>
    <t>~BH~ Cosminox</t>
  </si>
  <si>
    <t>TG</t>
  </si>
  <si>
    <t>[Glitch-Hop?] Homestuck - Candles and Clockwork | Ilrell Remix</t>
  </si>
  <si>
    <t>ATMarbl</t>
  </si>
  <si>
    <t>Marbl</t>
  </si>
  <si>
    <t>Frizzantino Vibes</t>
  </si>
  <si>
    <t>cYsmix - Moonlight Sonata</t>
  </si>
  <si>
    <t>stigma</t>
  </si>
  <si>
    <t>neigefeu</t>
  </si>
  <si>
    <t>Ziroikabi</t>
  </si>
  <si>
    <t>PixelSonic</t>
  </si>
  <si>
    <t>fhewi</t>
  </si>
  <si>
    <t>Kanade</t>
  </si>
  <si>
    <t>Staps</t>
  </si>
  <si>
    <t>Kotori &amp; Similar Outskirts - Numazu (Sharks Remix)</t>
  </si>
  <si>
    <t>CONVERGENCE</t>
  </si>
  <si>
    <t>DIVERGENCE</t>
  </si>
  <si>
    <t>Viridian</t>
  </si>
  <si>
    <t>Sunburn (Original Mix)</t>
  </si>
  <si>
    <t>Rate Demon</t>
  </si>
  <si>
    <t>Magmatic Caverns</t>
  </si>
  <si>
    <t>Metalic Destruction</t>
  </si>
  <si>
    <t>Akunakunn</t>
  </si>
  <si>
    <t>StyX II</t>
  </si>
  <si>
    <t>Rocket Fuel</t>
  </si>
  <si>
    <t>Vortex II</t>
  </si>
  <si>
    <t>Destruction of God</t>
  </si>
  <si>
    <t>Relayx</t>
  </si>
  <si>
    <t>Abandoned Hell</t>
  </si>
  <si>
    <t>DamianosKabanos</t>
  </si>
  <si>
    <t>Es Dilar Nos</t>
  </si>
  <si>
    <t>Evans-yoshitaka</t>
  </si>
  <si>
    <t>MINE</t>
  </si>
  <si>
    <t>Punyaso - Minecraft Story Mode</t>
  </si>
  <si>
    <t>Goodbye II</t>
  </si>
  <si>
    <t>Freyda</t>
  </si>
  <si>
    <t>calm</t>
  </si>
  <si>
    <t>Geometric Dimension</t>
  </si>
  <si>
    <t>Delta Interface</t>
  </si>
  <si>
    <t>for the DELTA</t>
  </si>
  <si>
    <t>Blast Insanity</t>
  </si>
  <si>
    <t>Cosmique</t>
  </si>
  <si>
    <t>Eihm</t>
  </si>
  <si>
    <t>Rothman Adventures</t>
  </si>
  <si>
    <t>Rapid Rush</t>
  </si>
  <si>
    <t>Spaze - Family</t>
  </si>
  <si>
    <t>Melodic Rythm</t>
  </si>
  <si>
    <t>ItzMezzo</t>
  </si>
  <si>
    <t>Catalyze</t>
  </si>
  <si>
    <t>Banette</t>
  </si>
  <si>
    <t>Love</t>
  </si>
  <si>
    <t>Wod</t>
  </si>
  <si>
    <t>The Lost Existence</t>
  </si>
  <si>
    <t>Eta Carinae</t>
  </si>
  <si>
    <t>Nanogon</t>
  </si>
  <si>
    <t>Apocalyptic</t>
  </si>
  <si>
    <t>ReYzen</t>
  </si>
  <si>
    <t>Utopia II</t>
  </si>
  <si>
    <t>Leafparfait</t>
  </si>
  <si>
    <t>cloudfield - Fantasy (ft. Reichuu)</t>
  </si>
  <si>
    <t>Pimpa</t>
  </si>
  <si>
    <t>G3ingo</t>
  </si>
  <si>
    <t>Antrax - Counter-Strike (Original Mix)</t>
  </si>
  <si>
    <t>Energetic</t>
  </si>
  <si>
    <t>Infinity Showdown</t>
  </si>
  <si>
    <t>Shatt3rium</t>
  </si>
  <si>
    <t>Lost dunes</t>
  </si>
  <si>
    <t>Impudence</t>
  </si>
  <si>
    <t>Isogon (Original Mix)</t>
  </si>
  <si>
    <t>EnvY</t>
  </si>
  <si>
    <t>ColBreakz - Gold Ring</t>
  </si>
  <si>
    <t>Apexwolf</t>
  </si>
  <si>
    <t>cYsmix - Peer Gynt</t>
  </si>
  <si>
    <t>ThermoNuclear</t>
  </si>
  <si>
    <t>juandeman</t>
  </si>
  <si>
    <t>Aphecture</t>
  </si>
  <si>
    <t>MaxyLAND</t>
  </si>
  <si>
    <t>satellite II</t>
  </si>
  <si>
    <t>BOSS 3 Electro</t>
  </si>
  <si>
    <t>Xender Game</t>
  </si>
  <si>
    <t>SensitiviTy</t>
  </si>
  <si>
    <t>Howler</t>
  </si>
  <si>
    <t>Purgatory</t>
  </si>
  <si>
    <t>Conchetumare X</t>
  </si>
  <si>
    <t>Fear Factory 2009</t>
  </si>
  <si>
    <t>Enantiomorphs</t>
  </si>
  <si>
    <t>lucasyecla99</t>
  </si>
  <si>
    <t>SAKKARA</t>
  </si>
  <si>
    <t>Depressure</t>
  </si>
  <si>
    <t>Silentium Gradas</t>
  </si>
  <si>
    <t>Party Ride</t>
  </si>
  <si>
    <t>Zajicek</t>
  </si>
  <si>
    <t>Killgore</t>
  </si>
  <si>
    <t>TeCh BliTz</t>
  </si>
  <si>
    <t>FozaeKitty</t>
  </si>
  <si>
    <t>Teminite - Energize (Novacore Remix)</t>
  </si>
  <si>
    <t>Resplendent</t>
  </si>
  <si>
    <t>{Runaway}</t>
  </si>
  <si>
    <t>Heat Wave</t>
  </si>
  <si>
    <t>Robline</t>
  </si>
  <si>
    <t>Iiwosii</t>
  </si>
  <si>
    <t>Crimson Planet</t>
  </si>
  <si>
    <t>Hyper Force</t>
  </si>
  <si>
    <t>DangerKat</t>
  </si>
  <si>
    <t>ABCDEFGHIJKLMNOPQRS</t>
  </si>
  <si>
    <t>NeoSweet</t>
  </si>
  <si>
    <t>ColBreakz - 30.000</t>
  </si>
  <si>
    <t>Alt F4</t>
  </si>
  <si>
    <t>Off</t>
  </si>
  <si>
    <t>ColBreakz - 40.000</t>
  </si>
  <si>
    <t>Soul Feeder</t>
  </si>
  <si>
    <t>Battle of Marx</t>
  </si>
  <si>
    <t>GuThrie</t>
  </si>
  <si>
    <t>StevenKsttle</t>
  </si>
  <si>
    <t>Sharks - Shining Space (VIP)</t>
  </si>
  <si>
    <t>Steel Speed</t>
  </si>
  <si>
    <t>Flack3005</t>
  </si>
  <si>
    <t>Animatronics</t>
  </si>
  <si>
    <t>FlacoGD</t>
  </si>
  <si>
    <t>Mission MADISON II</t>
  </si>
  <si>
    <t>Valent - Mutual [Future Bass]</t>
  </si>
  <si>
    <t>Inscape</t>
  </si>
  <si>
    <t>omegasm</t>
  </si>
  <si>
    <t>heatherhayes</t>
  </si>
  <si>
    <t>Holy Power</t>
  </si>
  <si>
    <t>Pyra</t>
  </si>
  <si>
    <t>rotten core</t>
  </si>
  <si>
    <t>Alexcont</t>
  </si>
  <si>
    <t>DirtyPaws - Rotten Core (Original Mix)</t>
  </si>
  <si>
    <t>Abandoned Planet</t>
  </si>
  <si>
    <t>Overdose</t>
  </si>
  <si>
    <t>Arb</t>
  </si>
  <si>
    <t>Zambi - Black Beard</t>
  </si>
  <si>
    <t>Akedo Tokyo</t>
  </si>
  <si>
    <t>Tokyo Takedown</t>
  </si>
  <si>
    <t>Bass</t>
  </si>
  <si>
    <t>Hexhammer</t>
  </si>
  <si>
    <t>Space lights II</t>
  </si>
  <si>
    <t>Negligence</t>
  </si>
  <si>
    <t>NGs DnB</t>
  </si>
  <si>
    <t>Skrrah</t>
  </si>
  <si>
    <t>VirtualCrack</t>
  </si>
  <si>
    <t>Sharks - The Ting Goes Dubstep</t>
  </si>
  <si>
    <t>JK</t>
  </si>
  <si>
    <t>Just Kidding! [Glitch Hop]</t>
  </si>
  <si>
    <t>Revolution</t>
  </si>
  <si>
    <t>niremasit</t>
  </si>
  <si>
    <t>Nuetronium</t>
  </si>
  <si>
    <t>DeathStep</t>
  </si>
  <si>
    <t>RehanZ</t>
  </si>
  <si>
    <t>F-777 - Dubstepah</t>
  </si>
  <si>
    <t>Croissant</t>
  </si>
  <si>
    <t>Cadence</t>
  </si>
  <si>
    <t>Ezel142</t>
  </si>
  <si>
    <t>Delerium</t>
  </si>
  <si>
    <t>[Dubstep] Falkuma</t>
  </si>
  <si>
    <t>Vapors</t>
  </si>
  <si>
    <t>YakobNugget</t>
  </si>
  <si>
    <t>Vapor</t>
  </si>
  <si>
    <t>The Reign Of Moira</t>
  </si>
  <si>
    <t>Gaero - Howl</t>
  </si>
  <si>
    <t>Recollection</t>
  </si>
  <si>
    <t>TeamNoX</t>
  </si>
  <si>
    <t>Chasing Clouds [Future Bass]</t>
  </si>
  <si>
    <t>kowareta</t>
  </si>
  <si>
    <t>Gablor</t>
  </si>
  <si>
    <t>Surge of Creations</t>
  </si>
  <si>
    <t>Koraii - Sanctuary</t>
  </si>
  <si>
    <t>Blast Parallax</t>
  </si>
  <si>
    <t>DuoCore - Beyond</t>
  </si>
  <si>
    <t>hot purZuit</t>
  </si>
  <si>
    <t>rafer300</t>
  </si>
  <si>
    <t>ObamA RebirtH</t>
  </si>
  <si>
    <t>Chainsaw</t>
  </si>
  <si>
    <t>Waffl3X</t>
  </si>
  <si>
    <t>Countercurse Mantra</t>
  </si>
  <si>
    <t>Mandragora</t>
  </si>
  <si>
    <t>Boom headshot</t>
  </si>
  <si>
    <t>One Click Headshot</t>
  </si>
  <si>
    <t>Missing Benefits</t>
  </si>
  <si>
    <t>T G I</t>
  </si>
  <si>
    <t>{dj-N} Bitch Punch</t>
  </si>
  <si>
    <t>Electronomium</t>
  </si>
  <si>
    <t>Electron</t>
  </si>
  <si>
    <t>Infinitude</t>
  </si>
  <si>
    <t>Alphastorm</t>
  </si>
  <si>
    <t>Driftin</t>
  </si>
  <si>
    <t>Wav</t>
  </si>
  <si>
    <t>Citadel of the Skies</t>
  </si>
  <si>
    <t>Final Boss</t>
  </si>
  <si>
    <t>Firepower</t>
  </si>
  <si>
    <t>ylliee</t>
  </si>
  <si>
    <t>Recoiled</t>
  </si>
  <si>
    <t>Rumble</t>
  </si>
  <si>
    <t>TECHnos II</t>
  </si>
  <si>
    <t>Starlight Carnival</t>
  </si>
  <si>
    <t>{dj-N} Electrodynamix 2</t>
  </si>
  <si>
    <t>Celestial Force</t>
  </si>
  <si>
    <t>Periodic Elements</t>
  </si>
  <si>
    <t>DreamTide</t>
  </si>
  <si>
    <t>Astronomous Night</t>
  </si>
  <si>
    <t>Hero of Time</t>
  </si>
  <si>
    <t>Ross12344</t>
  </si>
  <si>
    <t>The Legendary Hero RmX</t>
  </si>
  <si>
    <t>Keldeo</t>
  </si>
  <si>
    <t>Masterale</t>
  </si>
  <si>
    <t>BurgeraX: Hamburgore [Drum &amp; Bass]</t>
  </si>
  <si>
    <t>Bosshunter</t>
  </si>
  <si>
    <t>-Bosshunter-</t>
  </si>
  <si>
    <t>Clastica</t>
  </si>
  <si>
    <t>Sonar</t>
  </si>
  <si>
    <t>Optation</t>
  </si>
  <si>
    <t>SourCream Zero</t>
  </si>
  <si>
    <t>Dark Star Core</t>
  </si>
  <si>
    <t>Aquamarine</t>
  </si>
  <si>
    <t>Geoplex - Enduring</t>
  </si>
  <si>
    <t>Blast Engine</t>
  </si>
  <si>
    <t>ColBreakz</t>
  </si>
  <si>
    <t>Zyplex</t>
  </si>
  <si>
    <t>BBBBBBBBBBBBBBBBBBBB</t>
  </si>
  <si>
    <t>Geometrical Beats</t>
  </si>
  <si>
    <t>KittyDoge</t>
  </si>
  <si>
    <t>Teminite - Beastmode</t>
  </si>
  <si>
    <t>FurY</t>
  </si>
  <si>
    <t>Inundation</t>
  </si>
  <si>
    <t>Flux Point (Original Mix) [Cloudburst EP]</t>
  </si>
  <si>
    <t>Pixel Thingy</t>
  </si>
  <si>
    <t>Pixel Blending</t>
  </si>
  <si>
    <t>Boreal Lights</t>
  </si>
  <si>
    <t>Xtrullor &amp; HeliXiX - The One Who Flies</t>
  </si>
  <si>
    <t>Awesome Sauce</t>
  </si>
  <si>
    <t>Bossfight - Elevatia (meganeko Remix)</t>
  </si>
  <si>
    <t>Polarity</t>
  </si>
  <si>
    <t>Wayfinder</t>
  </si>
  <si>
    <t>Biru</t>
  </si>
  <si>
    <t>Aeolia</t>
  </si>
  <si>
    <t>BreakZ</t>
  </si>
  <si>
    <t>BlueRimz</t>
  </si>
  <si>
    <t>CraZy II</t>
  </si>
  <si>
    <t>Circus Contraption - Come To The Circus (DirtyPaws Remix)</t>
  </si>
  <si>
    <t>JAM</t>
  </si>
  <si>
    <t>LucaRmd</t>
  </si>
  <si>
    <t>VPN</t>
  </si>
  <si>
    <t>Crystal Blizzard</t>
  </si>
  <si>
    <t>Creo - Crystallize</t>
  </si>
  <si>
    <t>Mii Channel</t>
  </si>
  <si>
    <t>Mii Channel - (GPZ Remix)</t>
  </si>
  <si>
    <t>Teminite - Earthquake</t>
  </si>
  <si>
    <t>Phases</t>
  </si>
  <si>
    <t>Incidius</t>
  </si>
  <si>
    <t>-Sinking Feeling-</t>
  </si>
  <si>
    <t>Dreamy Abyss</t>
  </si>
  <si>
    <t>RENAISSANCE</t>
  </si>
  <si>
    <t>Strelizia</t>
  </si>
  <si>
    <t>Engine Breakdown</t>
  </si>
  <si>
    <t>Dark World Remix</t>
  </si>
  <si>
    <t>Osaka Nights</t>
  </si>
  <si>
    <t>*Angel Of Destiny* / ZeRo BaSs</t>
  </si>
  <si>
    <t>VendetTa</t>
  </si>
  <si>
    <t>ZenThriXGD</t>
  </si>
  <si>
    <t>Deuce</t>
  </si>
  <si>
    <t>AI TECHno</t>
  </si>
  <si>
    <t>Maxie25</t>
  </si>
  <si>
    <t>StreetWise</t>
  </si>
  <si>
    <t>Fletzer</t>
  </si>
  <si>
    <t>-StreetWise-</t>
  </si>
  <si>
    <t>Nadji</t>
  </si>
  <si>
    <t>Fun</t>
  </si>
  <si>
    <t>P4R7Y-1997 (Short version)</t>
  </si>
  <si>
    <t>Tengu Wind</t>
  </si>
  <si>
    <t>Shemo</t>
  </si>
  <si>
    <t>Spirit of the Lilies</t>
  </si>
  <si>
    <t>Wynn</t>
  </si>
  <si>
    <t>Syndicate</t>
  </si>
  <si>
    <t>JustBasic</t>
  </si>
  <si>
    <t>Intricate</t>
  </si>
  <si>
    <t>AnnoGlow</t>
  </si>
  <si>
    <t>Lemons - Mango (ELEPS REMIX)</t>
  </si>
  <si>
    <t>The Theory</t>
  </si>
  <si>
    <t>Star Power</t>
  </si>
  <si>
    <t>CarlosArt16</t>
  </si>
  <si>
    <t>There</t>
  </si>
  <si>
    <t>INK MACHINE III</t>
  </si>
  <si>
    <t>Annihilation Nation</t>
  </si>
  <si>
    <t>-Pain Engine-</t>
  </si>
  <si>
    <t>Volume</t>
  </si>
  <si>
    <t>Exploration of Styles EP - Pump Up The Volume</t>
  </si>
  <si>
    <t>Indra Electro</t>
  </si>
  <si>
    <t>chona026</t>
  </si>
  <si>
    <t>Tornado</t>
  </si>
  <si>
    <t>Grimoire Heart</t>
  </si>
  <si>
    <t>{Rose} Remastered</t>
  </si>
  <si>
    <t>SINGULARITY</t>
  </si>
  <si>
    <t>Idols</t>
  </si>
  <si>
    <t>"Stars"</t>
  </si>
  <si>
    <t>Beast Mayhem II</t>
  </si>
  <si>
    <t>HHyper</t>
  </si>
  <si>
    <t>EnV - Dynasty</t>
  </si>
  <si>
    <t>the fairydust</t>
  </si>
  <si>
    <t>Hyperyard</t>
  </si>
  <si>
    <t>Shipyard</t>
  </si>
  <si>
    <t>Karasu</t>
  </si>
  <si>
    <t>Zalgaryth</t>
  </si>
  <si>
    <t>Wokaja</t>
  </si>
  <si>
    <t>Visible Ray</t>
  </si>
  <si>
    <t>KrampuX</t>
  </si>
  <si>
    <t>Cocco Bello</t>
  </si>
  <si>
    <t>InsidiouS</t>
  </si>
  <si>
    <t>Wintter</t>
  </si>
  <si>
    <t>ALESDA! - Insidious</t>
  </si>
  <si>
    <t>Breakout Redux</t>
  </si>
  <si>
    <t>Waivve</t>
  </si>
  <si>
    <t>Pumped Up Kicks</t>
  </si>
  <si>
    <t>Aurora (Original Mix)</t>
  </si>
  <si>
    <t>Apache Airflow</t>
  </si>
  <si>
    <t>Despacito OMG OwO</t>
  </si>
  <si>
    <t>Leaves &amp; Flowers</t>
  </si>
  <si>
    <t>GuThrie II</t>
  </si>
  <si>
    <t>Cool Bananas</t>
  </si>
  <si>
    <t>Bakuretsu</t>
  </si>
  <si>
    <t>Fairfax</t>
  </si>
  <si>
    <t>Kalameet</t>
  </si>
  <si>
    <t>Penombre</t>
  </si>
  <si>
    <t>PopCorn</t>
  </si>
  <si>
    <t>1 PoinT 9</t>
  </si>
  <si>
    <t>Mr Extinction</t>
  </si>
  <si>
    <t>Let it Burn (8-bit)</t>
  </si>
  <si>
    <t>prismatic</t>
  </si>
  <si>
    <t>Abandoned Land</t>
  </si>
  <si>
    <t>Magic Trip</t>
  </si>
  <si>
    <t>TWO</t>
  </si>
  <si>
    <t>skungang</t>
  </si>
  <si>
    <t>Azazal - Scratch</t>
  </si>
  <si>
    <t>Ancestral Calamity</t>
  </si>
  <si>
    <t>Scourge of The Universe</t>
  </si>
  <si>
    <t>Psycho Burst</t>
  </si>
  <si>
    <t>qiomiin</t>
  </si>
  <si>
    <t>Ion</t>
  </si>
  <si>
    <t>magicianxx</t>
  </si>
  <si>
    <t>Dasein</t>
  </si>
  <si>
    <t>cloudfield - Raining</t>
  </si>
  <si>
    <t>Wings Of Angel</t>
  </si>
  <si>
    <t>Mysterious Sleeper</t>
  </si>
  <si>
    <t>PYTHON</t>
  </si>
  <si>
    <t>Vaddow</t>
  </si>
  <si>
    <t>Energy Magmatic</t>
  </si>
  <si>
    <t>flap</t>
  </si>
  <si>
    <t>Yes (csx42 Remix)</t>
  </si>
  <si>
    <t>Audio Expulsion</t>
  </si>
  <si>
    <t>BlindFold</t>
  </si>
  <si>
    <t>lioleo</t>
  </si>
  <si>
    <t>Waterflame - Endgame [RMX]</t>
  </si>
  <si>
    <t>Secrets</t>
  </si>
  <si>
    <t>GiaMmiX</t>
  </si>
  <si>
    <t>Ti�sto &amp; KSHMR - Secrets (Cover)</t>
  </si>
  <si>
    <t>Rainfall III</t>
  </si>
  <si>
    <t>Polish Alphabet</t>
  </si>
  <si>
    <t>AxolotlCamellia</t>
  </si>
  <si>
    <t>If</t>
  </si>
  <si>
    <t>Kanons</t>
  </si>
  <si>
    <t>DanZmen</t>
  </si>
  <si>
    <t>Ultimate Rider</t>
  </si>
  <si>
    <t>Cromulent</t>
  </si>
  <si>
    <t>Digital Combo</t>
  </si>
  <si>
    <t>Shredageddon</t>
  </si>
  <si>
    <t>Animatronics II</t>
  </si>
  <si>
    <t>---U So Mad---</t>
  </si>
  <si>
    <t>iSparki</t>
  </si>
  <si>
    <t>Epsilon</t>
  </si>
  <si>
    <t>Team Proxima</t>
  </si>
  <si>
    <t>Forrest Gamp</t>
  </si>
  <si>
    <t>Meat Rush</t>
  </si>
  <si>
    <t>Have a Drink</t>
  </si>
  <si>
    <t>---Bottled Entropy---</t>
  </si>
  <si>
    <t>the challenge</t>
  </si>
  <si>
    <t>RobTop - Random Song 06 (NeXuS RMX)</t>
  </si>
  <si>
    <t>Dark Flare</t>
  </si>
  <si>
    <t>RadioCutter</t>
  </si>
  <si>
    <t>Ineffable</t>
  </si>
  <si>
    <t>Astro Rush</t>
  </si>
  <si>
    <t>Agils</t>
  </si>
  <si>
    <t>Cadrega Mode</t>
  </si>
  <si>
    <t>Soul Knight</t>
  </si>
  <si>
    <t>gdParallax</t>
  </si>
  <si>
    <t>SSJ3 - Night of Nights</t>
  </si>
  <si>
    <t>Blind Faith</t>
  </si>
  <si>
    <t>Rhythmical</t>
  </si>
  <si>
    <t>Jetstream!</t>
  </si>
  <si>
    <t>Combo Ambition</t>
  </si>
  <si>
    <t>Lunaura</t>
  </si>
  <si>
    <t>Polli</t>
  </si>
  <si>
    <t>Amp It Up</t>
  </si>
  <si>
    <t>Another Easy Demon</t>
  </si>
  <si>
    <t>BranSilver</t>
  </si>
  <si>
    <t>Color Flashin</t>
  </si>
  <si>
    <t>Sycro</t>
  </si>
  <si>
    <t>Point Blank</t>
  </si>
  <si>
    <t>Thorny Path</t>
  </si>
  <si>
    <t>Konsi</t>
  </si>
  <si>
    <t>WOW</t>
  </si>
  <si>
    <t>Ethereal Jaunt</t>
  </si>
  <si>
    <t>Namorog x Galyax x Syrge - Discover</t>
  </si>
  <si>
    <t>yeet of dOOM</t>
  </si>
  <si>
    <t>I Think That If Androids Have Dreams Then They Probably Have Nightmares Too</t>
  </si>
  <si>
    <t>Boss 4 Laser eye</t>
  </si>
  <si>
    <t>Zeptonix - Firestorm</t>
  </si>
  <si>
    <t>Voices</t>
  </si>
  <si>
    <t>Sharks - Voices</t>
  </si>
  <si>
    <t>Gang Plank Hell</t>
  </si>
  <si>
    <t>Donkey Kong Country - Gang-Plank Galleon</t>
  </si>
  <si>
    <t>Paradigm</t>
  </si>
  <si>
    <t>IshikiI</t>
  </si>
  <si>
    <t>Haste</t>
  </si>
  <si>
    <t>Death Breaker</t>
  </si>
  <si>
    <t>Terminal Break</t>
  </si>
  <si>
    <t>BackWash II</t>
  </si>
  <si>
    <t>PleoSlim RMD</t>
  </si>
  <si>
    <t>Cosmic Dream</t>
  </si>
  <si>
    <t>Impulse Drop</t>
  </si>
  <si>
    <t>Quixotic (Original Mix)</t>
  </si>
  <si>
    <t>iTill</t>
  </si>
  <si>
    <t>ZeeToss</t>
  </si>
  <si>
    <t>PPaper PPlanes</t>
  </si>
  <si>
    <t>Fate of Ninja</t>
  </si>
  <si>
    <t>Morce</t>
  </si>
  <si>
    <t>Generic Wave</t>
  </si>
  <si>
    <t>Photovoltaic II</t>
  </si>
  <si>
    <t>Detious - Telluric (Original Mix)</t>
  </si>
  <si>
    <t>Darawolf</t>
  </si>
  <si>
    <t>Bushwhack</t>
  </si>
  <si>
    <t>GluttonY</t>
  </si>
  <si>
    <t>Dex Arson Vs Charlie Zane - Nexus</t>
  </si>
  <si>
    <t>Ultrapink</t>
  </si>
  <si>
    <t>Vanquish</t>
  </si>
  <si>
    <t>Aloe and Vera</t>
  </si>
  <si>
    <t>DeniPol</t>
  </si>
  <si>
    <t>Accelerate</t>
  </si>
  <si>
    <t>ZubWill</t>
  </si>
  <si>
    <t>Big Boom</t>
  </si>
  <si>
    <t>Magnetum</t>
  </si>
  <si>
    <t>Teminite &amp; Starr Chen - Fireflies (Zyzyx Remix)</t>
  </si>
  <si>
    <t>GtNoMn</t>
  </si>
  <si>
    <t>SyQual</t>
  </si>
  <si>
    <t>Abyss of Darkness</t>
  </si>
  <si>
    <t>Exen</t>
  </si>
  <si>
    <t>End Line</t>
  </si>
  <si>
    <t>End of the World</t>
  </si>
  <si>
    <t>theory of Furious</t>
  </si>
  <si>
    <t>Klafterno</t>
  </si>
  <si>
    <t>Carnage Disco</t>
  </si>
  <si>
    <t>Inspirative</t>
  </si>
  <si>
    <t>Terror Ruin</t>
  </si>
  <si>
    <t>PalomitaJump</t>
  </si>
  <si>
    <t>Omnir Release</t>
  </si>
  <si>
    <t>Chael - Nightmare (VIP 2017)</t>
  </si>
  <si>
    <t>in Silico</t>
  </si>
  <si>
    <t>Nuclear Flash (Mega Man 2)</t>
  </si>
  <si>
    <t>Elemental Chaos</t>
  </si>
  <si>
    <t>zinkzeta</t>
  </si>
  <si>
    <t>Heartless</t>
  </si>
  <si>
    <t>Against the God</t>
  </si>
  <si>
    <t>Xtrullor - Arcana</t>
  </si>
  <si>
    <t>Nebulae</t>
  </si>
  <si>
    <t>Sakana</t>
  </si>
  <si>
    <t>Malware II</t>
  </si>
  <si>
    <t>UltraSans</t>
  </si>
  <si>
    <t>i Promise</t>
  </si>
  <si>
    <t>Nero - Promises (SKYWRD remix)</t>
  </si>
  <si>
    <t>OuT oF nAmE iDeAs</t>
  </si>
  <si>
    <t>After Having a Coffee</t>
  </si>
  <si>
    <t>Overlord</t>
  </si>
  <si>
    <t>Kohtpojiep</t>
  </si>
  <si>
    <t>soclb - Infertehno 2</t>
  </si>
  <si>
    <t>VapoRub</t>
  </si>
  <si>
    <t>Glaid</t>
  </si>
  <si>
    <t>Enuresis</t>
  </si>
  <si>
    <t>Creo - Exoplanet</t>
  </si>
  <si>
    <t>Yanny</t>
  </si>
  <si>
    <t>Chom</t>
  </si>
  <si>
    <t>Neon City</t>
  </si>
  <si>
    <t>WSKKung</t>
  </si>
  <si>
    <t>Unfixable</t>
  </si>
  <si>
    <t>Alex112300</t>
  </si>
  <si>
    <t>Quiddity</t>
  </si>
  <si>
    <t>Shape of the Sun</t>
  </si>
  <si>
    <t>TechnoLaser</t>
  </si>
  <si>
    <t>GirlyAle02</t>
  </si>
  <si>
    <t>FyH</t>
  </si>
  <si>
    <t>Stevstyles</t>
  </si>
  <si>
    <t>Five hours 2</t>
  </si>
  <si>
    <t>An Expression</t>
  </si>
  <si>
    <t>Deathro - Through the Eye of a Prism [csx42 Remix]</t>
  </si>
  <si>
    <t>Space Magic</t>
  </si>
  <si>
    <t>Sound of Silence</t>
  </si>
  <si>
    <t>Attack on Titan - Call of Silence (Apollo Remix)</t>
  </si>
  <si>
    <t>Ventura</t>
  </si>
  <si>
    <t>teamodyssey</t>
  </si>
  <si>
    <t>xKore + Nechura - Alien</t>
  </si>
  <si>
    <t>GridLocked</t>
  </si>
  <si>
    <t>Plevel</t>
  </si>
  <si>
    <t>Djdvd17</t>
  </si>
  <si>
    <t>Jacques Melissa - Tarnished imagination</t>
  </si>
  <si>
    <t>Chaotic Hyperdrive</t>
  </si>
  <si>
    <t>Horsepower</t>
  </si>
  <si>
    <t>EricVanWilderman III</t>
  </si>
  <si>
    <t>Desert Shift</t>
  </si>
  <si>
    <t>CreatorDiana</t>
  </si>
  <si>
    <t>Creo - Aura</t>
  </si>
  <si>
    <t>Linear Accelerator</t>
  </si>
  <si>
    <t>NOEM</t>
  </si>
  <si>
    <t>Cloud72</t>
  </si>
  <si>
    <t>Hallucinate</t>
  </si>
  <si>
    <t>Zephir</t>
  </si>
  <si>
    <t>Emergence</t>
  </si>
  <si>
    <t>Lipz</t>
  </si>
  <si>
    <t>BackWash III</t>
  </si>
  <si>
    <t>Quadrivia &amp; lia;quo?Tamamushiiro?</t>
  </si>
  <si>
    <t>Saw Of Destruction 2</t>
  </si>
  <si>
    <t>InsaneJohnson</t>
  </si>
  <si>
    <t>Caribdis</t>
  </si>
  <si>
    <t>IAHN - Parasite</t>
  </si>
  <si>
    <t>Red Belly</t>
  </si>
  <si>
    <t>Teminite &amp; Evilwave - Rattlesnake</t>
  </si>
  <si>
    <t>Elastic Sequence</t>
  </si>
  <si>
    <t>InterChange</t>
  </si>
  <si>
    <t>The Death Moon</t>
  </si>
  <si>
    <t>Akame GD</t>
  </si>
  <si>
    <t>Stay Before Im Gawne</t>
  </si>
  <si>
    <t>Rockstr99</t>
  </si>
  <si>
    <t>Astral Nebula</t>
  </si>
  <si>
    <t>Viking Arena (Hexhammer Remix)</t>
  </si>
  <si>
    <t>Antitheus</t>
  </si>
  <si>
    <t>Deep Travel</t>
  </si>
  <si>
    <t>Ugly Fuel OFF VOCAL</t>
  </si>
  <si>
    <t>Empanadas Fugaces</t>
  </si>
  <si>
    <t>Looou</t>
  </si>
  <si>
    <t>Arcanic Status</t>
  </si>
  <si>
    <t>Sound Of Infinity</t>
  </si>
  <si>
    <t>Nebulous Journey</t>
  </si>
  <si>
    <t>CorroX</t>
  </si>
  <si>
    <t>Floating</t>
  </si>
  <si>
    <t>Unearthed</t>
  </si>
  <si>
    <t>Late to the Party</t>
  </si>
  <si>
    <t>mbed</t>
  </si>
  <si>
    <t>Fir3wall</t>
  </si>
  <si>
    <t>kiroshi</t>
  </si>
  <si>
    <t>Velocity Tater</t>
  </si>
  <si>
    <t>Smarted</t>
  </si>
  <si>
    <t>Load</t>
  </si>
  <si>
    <t>Inex</t>
  </si>
  <si>
    <t>ZelfTix</t>
  </si>
  <si>
    <t>Scorched</t>
  </si>
  <si>
    <t>equist</t>
  </si>
  <si>
    <t>TechnoMancy</t>
  </si>
  <si>
    <t>Sanctuary</t>
  </si>
  <si>
    <t>VrageraGD</t>
  </si>
  <si>
    <t>FranSum</t>
  </si>
  <si>
    <t>Zerenity</t>
  </si>
  <si>
    <t>Disconnect</t>
  </si>
  <si>
    <t>Deception</t>
  </si>
  <si>
    <t>Sky Fortress</t>
  </si>
  <si>
    <t>Subtle Choice</t>
  </si>
  <si>
    <t>Lineated Pearlescent</t>
  </si>
  <si>
    <t>Party Them</t>
  </si>
  <si>
    <t>Texic</t>
  </si>
  <si>
    <t>Astaria</t>
  </si>
  <si>
    <t>victorinoxX</t>
  </si>
  <si>
    <t>spyware</t>
  </si>
  <si>
    <t>Limen</t>
  </si>
  <si>
    <t>Raw, Unfiltered Calamity</t>
  </si>
  <si>
    <t>fartu masti</t>
  </si>
  <si>
    <t>Galuss</t>
  </si>
  <si>
    <t>Mystification</t>
  </si>
  <si>
    <t>Creo - Enigma</t>
  </si>
  <si>
    <t>paella</t>
  </si>
  <si>
    <t>Cyberize</t>
  </si>
  <si>
    <t>nano love</t>
  </si>
  <si>
    <t>Glitched Dreams</t>
  </si>
  <si>
    <t>Frightful Melody</t>
  </si>
  <si>
    <t>Undertale - Spider Dance (Muffets Theme)</t>
  </si>
  <si>
    <t>Intensa Emozione</t>
  </si>
  <si>
    <t>iIsane</t>
  </si>
  <si>
    <t>Autumn Travel</t>
  </si>
  <si>
    <t>JamAttack</t>
  </si>
  <si>
    <t>Doop</t>
  </si>
  <si>
    <t>wormfodder</t>
  </si>
  <si>
    <t>Paper Mario 2 Doopliss Rocked!</t>
  </si>
  <si>
    <t>Winter Memory</t>
  </si>
  <si>
    <t>Frametrapped</t>
  </si>
  <si>
    <t>Whitehead</t>
  </si>
  <si>
    <t>Virtual Riot - Show Up Ft Virus Syndicate (Sharks Remix)</t>
  </si>
  <si>
    <t>WorsT LvL EveR MadE</t>
  </si>
  <si>
    <t>eedion &amp; FluxFlame - All I Need (90 Miles Remix)</t>
  </si>
  <si>
    <t>Harmonic Fantasy</t>
  </si>
  <si>
    <t>Virtual Riot Ft. PRXZM - In My Head (ALESDA! Bootleg)</t>
  </si>
  <si>
    <t>Valhalla</t>
  </si>
  <si>
    <t>The Hell Field</t>
  </si>
  <si>
    <t>Fractalize</t>
  </si>
  <si>
    <t>What comes in mind</t>
  </si>
  <si>
    <t>Sounds</t>
  </si>
  <si>
    <t>Sharks - Light</t>
  </si>
  <si>
    <t>super probably level</t>
  </si>
  <si>
    <t>Get smooshed!</t>
  </si>
  <si>
    <t>Frostbound</t>
  </si>
  <si>
    <t>On The Edge</t>
  </si>
  <si>
    <t>Dark Vortex</t>
  </si>
  <si>
    <t>Nostalgic Travel</t>
  </si>
  <si>
    <t>TeamThrowback</t>
  </si>
  <si>
    <t>Full Coffee</t>
  </si>
  <si>
    <t>Milos482</t>
  </si>
  <si>
    <t>Sigma</t>
  </si>
  <si>
    <t>Beastmode</t>
  </si>
  <si>
    <t>Another</t>
  </si>
  <si>
    <t>DONTHOLDBACK</t>
  </si>
  <si>
    <t>Auditory Breaker</t>
  </si>
  <si>
    <t>Glitch Goblin</t>
  </si>
  <si>
    <t>iNubble</t>
  </si>
  <si>
    <t>Cua</t>
  </si>
  <si>
    <t>MrClyde</t>
  </si>
  <si>
    <t>Gaero - Blood Haiku</t>
  </si>
  <si>
    <t>Diamond Rose</t>
  </si>
  <si>
    <t>MrMeurick</t>
  </si>
  <si>
    <t>shapes and beats</t>
  </si>
  <si>
    <t>Bubbly Blast</t>
  </si>
  <si>
    <t>Curryrice - Bubble Soap (Redeilia remix)</t>
  </si>
  <si>
    <t>Cynthia</t>
  </si>
  <si>
    <t>Brush Rush</t>
  </si>
  <si>
    <t>KgZ- Black Snow (Violin Lead)</t>
  </si>
  <si>
    <t>Azu</t>
  </si>
  <si>
    <t>Telekol</t>
  </si>
  <si>
    <t>Encroachment</t>
  </si>
  <si>
    <t>NeoN 18</t>
  </si>
  <si>
    <t>Cepkep</t>
  </si>
  <si>
    <t>Rokioto</t>
  </si>
  <si>
    <t>Anesthesia</t>
  </si>
  <si>
    <t>Removed Submission</t>
  </si>
  <si>
    <t>All I Do Is Spam (BrokenDiss)</t>
  </si>
  <si>
    <t>Daybreaker</t>
  </si>
  <si>
    <t>-Daybreaker-</t>
  </si>
  <si>
    <t>f150</t>
  </si>
  <si>
    <t>Zagato</t>
  </si>
  <si>
    <t>Capsize</t>
  </si>
  <si>
    <t>Teminite - Ascent</t>
  </si>
  <si>
    <t>Electro Cat</t>
  </si>
  <si>
    <t>Teminite - Shockwave</t>
  </si>
  <si>
    <t>MEMORY</t>
  </si>
  <si>
    <t>Korea</t>
  </si>
  <si>
    <t>DJ-M Ah_Ri_Rang (RMX)</t>
  </si>
  <si>
    <t>Quantum Variations</t>
  </si>
  <si>
    <t>BeatCoin</t>
  </si>
  <si>
    <t>Tesseract</t>
  </si>
  <si>
    <t>iiLuna</t>
  </si>
  <si>
    <t>LOLLAPALOOZA</t>
  </si>
  <si>
    <t>IAHN - Winter Vacation (Original Mix)</t>
  </si>
  <si>
    <t>Astronaut - 13 (FlashYizz Remix)</t>
  </si>
  <si>
    <t>Lucid Nightmares</t>
  </si>
  <si>
    <t>Wack</t>
  </si>
  <si>
    <t>NOVEMBER</t>
  </si>
  <si>
    <t>Champion</t>
  </si>
  <si>
    <t>Minity</t>
  </si>
  <si>
    <t>Pokemon GYM Battle [Remix]</t>
  </si>
  <si>
    <t>Zodiac</t>
  </si>
  <si>
    <t>Clickbait</t>
  </si>
  <si>
    <t>Soluble</t>
  </si>
  <si>
    <t>smohcs</t>
  </si>
  <si>
    <t>durianhead</t>
  </si>
  <si>
    <t>Yume Nikki: Snow World</t>
  </si>
  <si>
    <t>MELTDOWN</t>
  </si>
  <si>
    <t>-Meltdown-</t>
  </si>
  <si>
    <t>Audio Avenue</t>
  </si>
  <si>
    <t>Chiptune Audio Avenue</t>
  </si>
  <si>
    <t>Stella</t>
  </si>
  <si>
    <t>Flosia</t>
  </si>
  <si>
    <t>Paper Skies - Inverted</t>
  </si>
  <si>
    <t>Boss V Devourers</t>
  </si>
  <si>
    <t>Derpcat - Sonorous</t>
  </si>
  <si>
    <t>Ecriptic II</t>
  </si>
  <si>
    <t>xCaptain</t>
  </si>
  <si>
    <t>Crisis Complex</t>
  </si>
  <si>
    <t>Silverize</t>
  </si>
  <si>
    <t>Surgeragon</t>
  </si>
  <si>
    <t>Polygonal Array</t>
  </si>
  <si>
    <t>Dimension Warp</t>
  </si>
  <si>
    <t>F-777 - Life</t>
  </si>
  <si>
    <t>ARRE Robot</t>
  </si>
  <si>
    <t>ParagonX9 - Infinity</t>
  </si>
  <si>
    <t>Arctic Lights</t>
  </si>
  <si>
    <t>~NK~ Untitled beat</t>
  </si>
  <si>
    <t>Dash N Xplodes</t>
  </si>
  <si>
    <t>cherryteam</t>
  </si>
  <si>
    <t>half light</t>
  </si>
  <si>
    <t>[TMM43] The 7th Day</t>
  </si>
  <si>
    <t>Scream</t>
  </si>
  <si>
    <t>SleyGD</t>
  </si>
  <si>
    <t>Malancolie</t>
  </si>
  <si>
    <t>Dragon Slayer</t>
  </si>
  <si>
    <t>Crushed To Bits (Save The Princess)</t>
  </si>
  <si>
    <t>Necromancer</t>
  </si>
  <si>
    <t>Cool</t>
  </si>
  <si>
    <t>Bossfight - Captain Cool</t>
  </si>
  <si>
    <t>Club</t>
  </si>
  <si>
    <t>GunnerBones</t>
  </si>
  <si>
    <t>Gamers</t>
  </si>
  <si>
    <t>Leoftine</t>
  </si>
  <si>
    <t>Rage</t>
  </si>
  <si>
    <t>nSwish</t>
  </si>
  <si>
    <t>RAGE NO. I</t>
  </si>
  <si>
    <t>Spectral Edge</t>
  </si>
  <si>
    <t>ValenQpr</t>
  </si>
  <si>
    <t>Disordered Worlds</t>
  </si>
  <si>
    <t>TiBuTi</t>
  </si>
  <si>
    <t>Cybernetic Umbilicus</t>
  </si>
  <si>
    <t>McSwaggerson</t>
  </si>
  <si>
    <t>UltraForce</t>
  </si>
  <si>
    <t>Supris</t>
  </si>
  <si>
    <t>-Starfall-</t>
  </si>
  <si>
    <t>Synthesizer II</t>
  </si>
  <si>
    <t>Virtual Riot - Earth &amp; Sky (Paper Skies Remix)</t>
  </si>
  <si>
    <t>Silent Storm</t>
  </si>
  <si>
    <t>DanDash</t>
  </si>
  <si>
    <t>Spotlight</t>
  </si>
  <si>
    <t>SpinStudios</t>
  </si>
  <si>
    <t>Evermore</t>
  </si>
  <si>
    <t>Hard 3 [Electro]</t>
  </si>
  <si>
    <t>Prikol</t>
  </si>
  <si>
    <t>MIRugene</t>
  </si>
  <si>
    <t>Carol of the Bells Remix</t>
  </si>
  <si>
    <t>Hildaae</t>
  </si>
  <si>
    <t>reruchoupie</t>
  </si>
  <si>
    <t>Apollo - Mars [Future House]</t>
  </si>
  <si>
    <t>Gelid Glaciers</t>
  </si>
  <si>
    <t>charky</t>
  </si>
  <si>
    <t>CLUBSTEP 2019</t>
  </si>
  <si>
    <t>AnielChasseur</t>
  </si>
  <si>
    <t>Artistic Illusion</t>
  </si>
  <si>
    <t>TeamArtistic</t>
  </si>
  <si>
    <t>NoVA - Cherry On Top [Tropical House]</t>
  </si>
  <si>
    <t>Protoplasm</t>
  </si>
  <si>
    <t>nock em</t>
  </si>
  <si>
    <t>Blast Off</t>
  </si>
  <si>
    <t>Shut Eye - Flight</t>
  </si>
  <si>
    <t>WilDrop</t>
  </si>
  <si>
    <t>DYSCO</t>
  </si>
  <si>
    <t>Vairo - Scarab</t>
  </si>
  <si>
    <t>Kelleyxp</t>
  </si>
  <si>
    <t>Thropatim</t>
  </si>
  <si>
    <t>Nexender</t>
  </si>
  <si>
    <t>Creo - Place On Fire</t>
  </si>
  <si>
    <t>One Good Day II</t>
  </si>
  <si>
    <t>Turmoil (Original Mix)</t>
  </si>
  <si>
    <t>INNARDS</t>
  </si>
  <si>
    <t>The Yandere</t>
  </si>
  <si>
    <t>chaos game</t>
  </si>
  <si>
    <t>Noises</t>
  </si>
  <si>
    <t>Alone</t>
  </si>
  <si>
    <t>Chip</t>
  </si>
  <si>
    <t>En Llamas</t>
  </si>
  <si>
    <t>Panda Eyes - Fruits</t>
  </si>
  <si>
    <t>Translucent</t>
  </si>
  <si>
    <t>Yakimaru</t>
  </si>
  <si>
    <t>BRokEN</t>
  </si>
  <si>
    <t>Nem04</t>
  </si>
  <si>
    <t>Creo - Nemophore</t>
  </si>
  <si>
    <t>Emerald run</t>
  </si>
  <si>
    <t>officialfreck</t>
  </si>
  <si>
    <t>FireFlieS</t>
  </si>
  <si>
    <t>itsjavii11</t>
  </si>
  <si>
    <t>Retro FUNK</t>
  </si>
  <si>
    <t>N3moProd</t>
  </si>
  <si>
    <t>Tree Palm - Turn Around (Future Funk)</t>
  </si>
  <si>
    <t>RubyRuby</t>
  </si>
  <si>
    <t>Chroma Vibe</t>
  </si>
  <si>
    <t>Off The Hook</t>
  </si>
  <si>
    <t>Prism</t>
  </si>
  <si>
    <t>Computer Craze</t>
  </si>
  <si>
    <t>Sky Fort</t>
  </si>
  <si>
    <t>OfysbrEs</t>
  </si>
  <si>
    <t>Grill Kill</t>
  </si>
  <si>
    <t>Archaic Artifacts</t>
  </si>
  <si>
    <t>Star Wars - The Force Theme (Far Out Remix)</t>
  </si>
  <si>
    <t>Aqualast</t>
  </si>
  <si>
    <t>Phantom Sage  Holystone</t>
  </si>
  <si>
    <t>Glassing</t>
  </si>
  <si>
    <t>Toxic Thingy</t>
  </si>
  <si>
    <t>SirFluffybeans</t>
  </si>
  <si>
    <t>Wynndy</t>
  </si>
  <si>
    <t>8BitFudge</t>
  </si>
  <si>
    <t>Tapioca</t>
  </si>
  <si>
    <t>CYCLONE</t>
  </si>
  <si>
    <t>Affine</t>
  </si>
  <si>
    <t>Geogamer12</t>
  </si>
  <si>
    <t>XO (Eden Cover &amp; Remake)</t>
  </si>
  <si>
    <t>Thinking Space</t>
  </si>
  <si>
    <t>Atomic</t>
  </si>
  <si>
    <t>Censored (2020 Remake)</t>
  </si>
  <si>
    <t>Welder</t>
  </si>
  <si>
    <t>Desumari</t>
  </si>
  <si>
    <t>Rift Race (Original Mix)</t>
  </si>
  <si>
    <t>EB</t>
  </si>
  <si>
    <t>Homestuck - Savior of the Waking World | Ilrell Remix</t>
  </si>
  <si>
    <t>skrillero01</t>
  </si>
  <si>
    <t>Visual Illusion</t>
  </si>
  <si>
    <t>Al3xTitan</t>
  </si>
  <si>
    <t>Evil synthesize</t>
  </si>
  <si>
    <t>evil synthesize (REMASTER)</t>
  </si>
  <si>
    <t>Bit Breaker</t>
  </si>
  <si>
    <t>Flat Zone Infinity</t>
  </si>
  <si>
    <t>Eleos</t>
  </si>
  <si>
    <t>SeptaGon7</t>
  </si>
  <si>
    <t>Perfect Storm</t>
  </si>
  <si>
    <t>Doggo Busters</t>
  </si>
  <si>
    <t>Evangeline &amp; Redeilia - Doggo Busters</t>
  </si>
  <si>
    <t>Trip</t>
  </si>
  <si>
    <t>senor dank</t>
  </si>
  <si>
    <t>ThE BesT GamE EveR</t>
  </si>
  <si>
    <t>SrMDK</t>
  </si>
  <si>
    <t>Calling Megaman II</t>
  </si>
  <si>
    <t>Bluskys</t>
  </si>
  <si>
    <t>Wily castle FantomenK rmx</t>
  </si>
  <si>
    <t>Glide</t>
  </si>
  <si>
    <t>crohn44</t>
  </si>
  <si>
    <t>Spencer Maro - Fireflies</t>
  </si>
  <si>
    <t>Shimmering Citadel</t>
  </si>
  <si>
    <t>distraught</t>
  </si>
  <si>
    <t>Inner Demons (Equilibria 2016 Remix)</t>
  </si>
  <si>
    <t>Respire</t>
  </si>
  <si>
    <t>Bass City</t>
  </si>
  <si>
    <t>Aluesda</t>
  </si>
  <si>
    <t>Eduptal</t>
  </si>
  <si>
    <t>Freedom08</t>
  </si>
  <si>
    <t>Keys of Freedom</t>
  </si>
  <si>
    <t>Legend of the Sword</t>
  </si>
  <si>
    <t>Doge164</t>
  </si>
  <si>
    <t>Negentropy</t>
  </si>
  <si>
    <t>Castle Crashers Menu Loop</t>
  </si>
  <si>
    <t>Bravery</t>
  </si>
  <si>
    <t>Xstar7</t>
  </si>
  <si>
    <t>HJfod</t>
  </si>
  <si>
    <t>Lampa</t>
  </si>
  <si>
    <t>EXPIREANZ</t>
  </si>
  <si>
    <t>Skrillex Theory</t>
  </si>
  <si>
    <t>ZestWagon</t>
  </si>
  <si>
    <t>~:Siren:~</t>
  </si>
  <si>
    <t>Pastel Bayside</t>
  </si>
  <si>
    <t>Pastel Bayside Freeway</t>
  </si>
  <si>
    <t>CyBoom</t>
  </si>
  <si>
    <t>Niji</t>
  </si>
  <si>
    <t>Destroid</t>
  </si>
  <si>
    <t>Destroid - Annihilate (H3XAGON3ST remix)</t>
  </si>
  <si>
    <t>Glitched Memories</t>
  </si>
  <si>
    <t>DJ-Nate Clubstep (Geeser Remix)</t>
  </si>
  <si>
    <t>Balengu Vortex</t>
  </si>
  <si>
    <t>lTemp</t>
  </si>
  <si>
    <t>Aleph 0</t>
  </si>
  <si>
    <t>Shiryuu7</t>
  </si>
  <si>
    <t>Floating above the Clouds</t>
  </si>
  <si>
    <t>Endless Corridor</t>
  </si>
  <si>
    <t>MoustiKipiK</t>
  </si>
  <si>
    <t>NormDanchik in JSB</t>
  </si>
  <si>
    <t>Sorbet Rush</t>
  </si>
  <si>
    <t>SpooFy</t>
  </si>
  <si>
    <t>[Glitch Hop] Cupcakes - Febbs!</t>
  </si>
  <si>
    <t>chancla</t>
  </si>
  <si>
    <t>we are here (reupload)</t>
  </si>
  <si>
    <t>Rapture Rejects</t>
  </si>
  <si>
    <t>TomGMD</t>
  </si>
  <si>
    <t>Native Faith - Suwakos Theme</t>
  </si>
  <si>
    <t>Unit</t>
  </si>
  <si>
    <t>Brilliant Thief [Return]</t>
  </si>
  <si>
    <t>Dimension Breaker</t>
  </si>
  <si>
    <t>Terminal Drachen</t>
  </si>
  <si>
    <t>sytrus</t>
  </si>
  <si>
    <t>Sytrus Power</t>
  </si>
  <si>
    <t>Sunset Sandstorm</t>
  </si>
  <si>
    <t>Creo - Outlaw</t>
  </si>
  <si>
    <t>Torrential Totems</t>
  </si>
  <si>
    <t>Vairo - Raindance</t>
  </si>
  <si>
    <t>Raindance</t>
  </si>
  <si>
    <t>Hyper Fire</t>
  </si>
  <si>
    <t>Splend</t>
  </si>
  <si>
    <t>Belloq</t>
  </si>
  <si>
    <t>God Yeeter</t>
  </si>
  <si>
    <t>Teminite - A New Dawn</t>
  </si>
  <si>
    <t>Two faced agony</t>
  </si>
  <si>
    <t>Mischievous Run</t>
  </si>
  <si>
    <t>Leikhpaz</t>
  </si>
  <si>
    <t>TheHuevon</t>
  </si>
  <si>
    <t>Hit em Like This!</t>
  </si>
  <si>
    <t>Theta</t>
  </si>
  <si>
    <t>r y u</t>
  </si>
  <si>
    <t>High Rebound</t>
  </si>
  <si>
    <t>Bossfight - Pomodoro</t>
  </si>
  <si>
    <t>Astromium Dimensha</t>
  </si>
  <si>
    <t>Maelstrom</t>
  </si>
  <si>
    <t>Xtrullor &amp; HeliXiX - Universal Expression</t>
  </si>
  <si>
    <t>Dream</t>
  </si>
  <si>
    <t>Ghotstav</t>
  </si>
  <si>
    <t>The Bone</t>
  </si>
  <si>
    <t>Aphasia</t>
  </si>
  <si>
    <t>ViP3r</t>
  </si>
  <si>
    <t>Ataraxia (Original Mix)</t>
  </si>
  <si>
    <t>Flow</t>
  </si>
  <si>
    <t>GeonoxGD</t>
  </si>
  <si>
    <t>KonniMacchiato</t>
  </si>
  <si>
    <t>The Deadline</t>
  </si>
  <si>
    <t>Teminite &amp; MDK - Space Invaders</t>
  </si>
  <si>
    <t>FirePower</t>
  </si>
  <si>
    <t>Ancient Travel</t>
  </si>
  <si>
    <t>Lost Beats</t>
  </si>
  <si>
    <t>Tech Manifestation</t>
  </si>
  <si>
    <t>Act III</t>
  </si>
  <si>
    <t>Discharge</t>
  </si>
  <si>
    <t>-BlastProcess-</t>
  </si>
  <si>
    <t>Mezmerizing Daze</t>
  </si>
  <si>
    <t>Hychie</t>
  </si>
  <si>
    <t>AVATAR</t>
  </si>
  <si>
    <t>Tuna310</t>
  </si>
  <si>
    <t>Zettabyte</t>
  </si>
  <si>
    <t>Morpho</t>
  </si>
  <si>
    <t>F-777 - A New Energy (Xtrullor Remix)</t>
  </si>
  <si>
    <t>New Bloom</t>
  </si>
  <si>
    <t>S3rios</t>
  </si>
  <si>
    <t>Rafar302</t>
  </si>
  <si>
    <t>Haminopulus</t>
  </si>
  <si>
    <t>Realms</t>
  </si>
  <si>
    <t>Python</t>
  </si>
  <si>
    <t>joojmiguel</t>
  </si>
  <si>
    <t>Digital Entropy</t>
  </si>
  <si>
    <t>TeamUprising</t>
  </si>
  <si>
    <t>RAGE</t>
  </si>
  <si>
    <t>ExtoPlasm</t>
  </si>
  <si>
    <t>Blast Dance</t>
  </si>
  <si>
    <t>robo</t>
  </si>
  <si>
    <t>Grax</t>
  </si>
  <si>
    <t>Shiver</t>
  </si>
  <si>
    <t>Azeotrope</t>
  </si>
  <si>
    <t>gamuboru</t>
  </si>
  <si>
    <t>Takumii</t>
  </si>
  <si>
    <t>Black Ice</t>
  </si>
  <si>
    <t>ToastLord</t>
  </si>
  <si>
    <t>Creo - Black Ice</t>
  </si>
  <si>
    <t>Incandescent</t>
  </si>
  <si>
    <t>Bloudebafe</t>
  </si>
  <si>
    <t>Rise</t>
  </si>
  <si>
    <t>Aumetras Wrath</t>
  </si>
  <si>
    <t>cYsmix - Aumetra the Witch (Radio Edit)</t>
  </si>
  <si>
    <t>Rose of Despair</t>
  </si>
  <si>
    <t>Exonium</t>
  </si>
  <si>
    <t>Fast processing</t>
  </si>
  <si>
    <t>limitless</t>
  </si>
  <si>
    <t>Magtronic</t>
  </si>
  <si>
    <t>DHaner</t>
  </si>
  <si>
    <t>Rum n Bass</t>
  </si>
  <si>
    <t>The Maelstrom</t>
  </si>
  <si>
    <t>Sharks - Maelstrom</t>
  </si>
  <si>
    <t>Nemesis Prime</t>
  </si>
  <si>
    <t>Kumo</t>
  </si>
  <si>
    <t>Tree Palm - PLASTIC ??? (Future Funk)</t>
  </si>
  <si>
    <t>Lethal Burn</t>
  </si>
  <si>
    <t>MoxiT93</t>
  </si>
  <si>
    <t>DeathStep II</t>
  </si>
  <si>
    <t>elze</t>
  </si>
  <si>
    <t>F-777 - Double Cross (Dres Theme)</t>
  </si>
  <si>
    <t>Kebabbo</t>
  </si>
  <si>
    <t>Magic Fusion</t>
  </si>
  <si>
    <t>ByBoy 11</t>
  </si>
  <si>
    <t>Accursed</t>
  </si>
  <si>
    <t>Night Rider</t>
  </si>
  <si>
    <t>Light it up</t>
  </si>
  <si>
    <t>Stinger613</t>
  </si>
  <si>
    <t>Tokyo TakeDown</t>
  </si>
  <si>
    <t>Chantalle</t>
  </si>
  <si>
    <t>Error</t>
  </si>
  <si>
    <t>Original Version</t>
  </si>
  <si>
    <t>KlaurosssS</t>
  </si>
  <si>
    <t>Teminite &amp; Chime &amp; PsoGnar - Monster</t>
  </si>
  <si>
    <t>Triple Six</t>
  </si>
  <si>
    <t>Cursed</t>
  </si>
  <si>
    <t>A memorial</t>
  </si>
  <si>
    <t>ZecretDash</t>
  </si>
  <si>
    <t>RendhanX</t>
  </si>
  <si>
    <t>BlUhOl</t>
  </si>
  <si>
    <t>Derpcat &amp; ELEPS - The White Knight</t>
  </si>
  <si>
    <t>Pilot</t>
  </si>
  <si>
    <t>Breaking Point</t>
  </si>
  <si>
    <t>INFINITY</t>
  </si>
  <si>
    <t>Vibrant Factory</t>
  </si>
  <si>
    <t>Jeady</t>
  </si>
  <si>
    <t>Altair</t>
  </si>
  <si>
    <t>Creo - Nautilus</t>
  </si>
  <si>
    <t>Carrot Rush</t>
  </si>
  <si>
    <t>TheRealSpex</t>
  </si>
  <si>
    <t>Martian Invasion</t>
  </si>
  <si>
    <t>Archibot</t>
  </si>
  <si>
    <t>Dawphin - Martian Invasion</t>
  </si>
  <si>
    <t>DarkoGD</t>
  </si>
  <si>
    <t>ColBreakz - 20.000</t>
  </si>
  <si>
    <t>The Blitzless</t>
  </si>
  <si>
    <t>TyakyoFyai</t>
  </si>
  <si>
    <t>Magma Bound</t>
  </si>
  <si>
    <t>ScorchVx</t>
  </si>
  <si>
    <t>cYsmix - Classic Pursuit</t>
  </si>
  <si>
    <t>flashbang</t>
  </si>
  <si>
    <t>Emphatic Warcry</t>
  </si>
  <si>
    <t>Chromatica</t>
  </si>
  <si>
    <t>ash and dust</t>
  </si>
  <si>
    <t>Aurora Theory [Redux]</t>
  </si>
  <si>
    <t>Dynamic zone</t>
  </si>
  <si>
    <t>phjork</t>
  </si>
  <si>
    <t>cerufiffy</t>
  </si>
  <si>
    <t>Return Of Darkness</t>
  </si>
  <si>
    <t>PoIsEn324</t>
  </si>
  <si>
    <t>Prickly Pear</t>
  </si>
  <si>
    <t>Rising Sun</t>
  </si>
  <si>
    <t>Soy Sauce</t>
  </si>
  <si>
    <t>Ethrakk</t>
  </si>
  <si>
    <t>Beep Boop</t>
  </si>
  <si>
    <t>Schneider9</t>
  </si>
  <si>
    <t>Voop</t>
  </si>
  <si>
    <t>Moment of Truth</t>
  </si>
  <si>
    <t>Necrofantasia</t>
  </si>
  <si>
    <t>Necrofantasia Remix</t>
  </si>
  <si>
    <t>Under Construction</t>
  </si>
  <si>
    <t>Hellfire of Heaven</t>
  </si>
  <si>
    <t>lightning vortex</t>
  </si>
  <si>
    <t>dakiro</t>
  </si>
  <si>
    <t>MIRAI Harbinger</t>
  </si>
  <si>
    <t>FreeedTheDolfin</t>
  </si>
  <si>
    <t>cYsmix - Manic</t>
  </si>
  <si>
    <t>Ouroboros</t>
  </si>
  <si>
    <t>Synergetic Enigma</t>
  </si>
  <si>
    <t>Acid Trip</t>
  </si>
  <si>
    <t>cYsmix - Babaroque (Short Ver.)</t>
  </si>
  <si>
    <t>Dont Stop Me Now</t>
  </si>
  <si>
    <t>TwisterDude161</t>
  </si>
  <si>
    <t>Dont Stop Me Now [retro]</t>
  </si>
  <si>
    <t>onethreeonetwo</t>
  </si>
  <si>
    <t>mrjedi</t>
  </si>
  <si>
    <t>Vibrant</t>
  </si>
  <si>
    <t>Derpcat - Kitty Bomb</t>
  </si>
  <si>
    <t>Azuratex</t>
  </si>
  <si>
    <t>TNeliem</t>
  </si>
  <si>
    <t>DeaDrop</t>
  </si>
  <si>
    <t>Vairo - NIGHTMARE</t>
  </si>
  <si>
    <t>KisU</t>
  </si>
  <si>
    <t>Kisu</t>
  </si>
  <si>
    <t>AmazoN</t>
  </si>
  <si>
    <t>Zyzyx - Pixel Jungle (Ravitex remix)</t>
  </si>
  <si>
    <t>WaveBreaker</t>
  </si>
  <si>
    <t>Stereo System</t>
  </si>
  <si>
    <t>April</t>
  </si>
  <si>
    <t>Macabre</t>
  </si>
  <si>
    <t>MoonSugar</t>
  </si>
  <si>
    <t>Canonblade - MoonSugar</t>
  </si>
  <si>
    <t>LaxHDz</t>
  </si>
  <si>
    <t>Ziroikapi</t>
  </si>
  <si>
    <t>Kapinapi</t>
  </si>
  <si>
    <t>Volterix - Earthsphere</t>
  </si>
  <si>
    <t>Gedo Mazo</t>
  </si>
  <si>
    <t>phosphorescent</t>
  </si>
  <si>
    <t>LimeTime313</t>
  </si>
  <si>
    <t>Bellatrix</t>
  </si>
  <si>
    <t>Golden Future</t>
  </si>
  <si>
    <t>SuprianGD</t>
  </si>
  <si>
    <t>Golden Funky Groove</t>
  </si>
  <si>
    <t>Erithenius</t>
  </si>
  <si>
    <t>Ivan017</t>
  </si>
  <si>
    <t>Geoplex - Resplendent</t>
  </si>
  <si>
    <t>Thirteen</t>
  </si>
  <si>
    <t>All Inside My Dreams</t>
  </si>
  <si>
    <t>Synthion &amp; Sefaro - Galactic</t>
  </si>
  <si>
    <t>Explosion</t>
  </si>
  <si>
    <t>Cavity</t>
  </si>
  <si>
    <t>FIRE SPIRE</t>
  </si>
  <si>
    <t>Cut Cords</t>
  </si>
  <si>
    <t>Edm</t>
  </si>
  <si>
    <t>EnV - Vee (teaser)</t>
  </si>
  <si>
    <t>Fallen Angel</t>
  </si>
  <si>
    <t>iMinAY</t>
  </si>
  <si>
    <t>{dj-N} Fallen Angel</t>
  </si>
  <si>
    <t>Reconfigurate</t>
  </si>
  <si>
    <t>Bang Gang</t>
  </si>
  <si>
    <t>3rd Prototype &amp; Emdi - House [NCS]</t>
  </si>
  <si>
    <t>Kodou</t>
  </si>
  <si>
    <t>koolboom</t>
  </si>
  <si>
    <t>F-777 - Yin &amp; Yang</t>
  </si>
  <si>
    <t>Descendance</t>
  </si>
  <si>
    <t>Rainbow Force Z</t>
  </si>
  <si>
    <t>DJS - In Imagination Remix</t>
  </si>
  <si>
    <t>Sonic Boom</t>
  </si>
  <si>
    <t>Fatal corrosium</t>
  </si>
  <si>
    <t>The Eschaton</t>
  </si>
  <si>
    <t>Hootenanny</t>
  </si>
  <si>
    <t>LandonGMD</t>
  </si>
  <si>
    <t>My Ordinary Life Instrumental -The Living Tombstone</t>
  </si>
  <si>
    <t>Skies of Olympia</t>
  </si>
  <si>
    <t>kDarko</t>
  </si>
  <si>
    <t>ohhh my gloww</t>
  </si>
  <si>
    <t>V9LT</t>
  </si>
  <si>
    <t>Inspirative II</t>
  </si>
  <si>
    <t>Zyzyx - Scars</t>
  </si>
  <si>
    <t>Ice Core</t>
  </si>
  <si>
    <t>Antarctic Reinforcement</t>
  </si>
  <si>
    <t>SoulStorm</t>
  </si>
  <si>
    <t>Edelliant</t>
  </si>
  <si>
    <t>Superlunary</t>
  </si>
  <si>
    <t>Sonder</t>
  </si>
  <si>
    <t>Arctic Keeper</t>
  </si>
  <si>
    <t>xNoire</t>
  </si>
  <si>
    <t>Opthalmoscope</t>
  </si>
  <si>
    <t>NogZ</t>
  </si>
  <si>
    <t>Ship</t>
  </si>
  <si>
    <t>SerpTop</t>
  </si>
  <si>
    <t>Castling</t>
  </si>
  <si>
    <t>Meroo</t>
  </si>
  <si>
    <t>Europa</t>
  </si>
  <si>
    <t>rattlesnake</t>
  </si>
  <si>
    <t>Aquatic</t>
  </si>
  <si>
    <t>TheLasaga</t>
  </si>
  <si>
    <t>Aquatic Ambience (RMX)</t>
  </si>
  <si>
    <t>MadMansion</t>
  </si>
  <si>
    <t>Solaura</t>
  </si>
  <si>
    <t>Hollow</t>
  </si>
  <si>
    <t>Madness</t>
  </si>
  <si>
    <t>Inferno</t>
  </si>
  <si>
    <t>Inferno (Preview) - F-777</t>
  </si>
  <si>
    <t>Xyle</t>
  </si>
  <si>
    <t>Insaction</t>
  </si>
  <si>
    <t>Coruscate</t>
  </si>
  <si>
    <t>Whirlwind</t>
  </si>
  <si>
    <t>Jazztrip</t>
  </si>
  <si>
    <t>lDamyy</t>
  </si>
  <si>
    <t>Strangers</t>
  </si>
  <si>
    <t>Dark Light</t>
  </si>
  <si>
    <t>Machina (Ephixa Remix )</t>
  </si>
  <si>
    <t>dune</t>
  </si>
  <si>
    <t>kt345</t>
  </si>
  <si>
    <t>Bird Cage</t>
  </si>
  <si>
    <t>Shock Therapy</t>
  </si>
  <si>
    <t>-= Death From Above =-</t>
  </si>
  <si>
    <t>Angel of Music</t>
  </si>
  <si>
    <t>ByTe</t>
  </si>
  <si>
    <t>Eruption</t>
  </si>
  <si>
    <t>akApple</t>
  </si>
  <si>
    <t>Depraved Caverns</t>
  </si>
  <si>
    <t>Imjum</t>
  </si>
  <si>
    <t>ARtu</t>
  </si>
  <si>
    <t>Overchannel</t>
  </si>
  <si>
    <t>Elvii</t>
  </si>
  <si>
    <t>cereal milk</t>
  </si>
  <si>
    <t>SpadeKilla17</t>
  </si>
  <si>
    <t>The Contrivance</t>
  </si>
  <si>
    <t>cAniL Dupcha</t>
  </si>
  <si>
    <t>Deo Volente</t>
  </si>
  <si>
    <t>atrium</t>
  </si>
  <si>
    <t>Chemical Imbalance</t>
  </si>
  <si>
    <t>C h l o e</t>
  </si>
  <si>
    <t>Persia</t>
  </si>
  <si>
    <t>Alcatraz</t>
  </si>
  <si>
    <t>Asuith</t>
  </si>
  <si>
    <t>null404</t>
  </si>
  <si>
    <t>MistFix</t>
  </si>
  <si>
    <t>Detious - Envision</t>
  </si>
  <si>
    <t>Universe</t>
  </si>
  <si>
    <t>Bluzze</t>
  </si>
  <si>
    <t>On My Own (feat. Karra)</t>
  </si>
  <si>
    <t>Epxa</t>
  </si>
  <si>
    <t>Koraii - Oracle</t>
  </si>
  <si>
    <t>Lodgepace</t>
  </si>
  <si>
    <t>Ruination</t>
  </si>
  <si>
    <t>Chu war</t>
  </si>
  <si>
    <t>itzDUBU</t>
  </si>
  <si>
    <t>Convection</t>
  </si>
  <si>
    <t>[Electro/Bass House] Homestuck - Beatdown (Strider Style) | Ilrell Remix</t>
  </si>
  <si>
    <t>ElectroCity</t>
  </si>
  <si>
    <t>Rypejakten 2013</t>
  </si>
  <si>
    <t>Repair</t>
  </si>
  <si>
    <t>Draconic Speed</t>
  </si>
  <si>
    <t>abstraction</t>
  </si>
  <si>
    <t>spuddles</t>
  </si>
  <si>
    <t>Tide podS</t>
  </si>
  <si>
    <t>neXus</t>
  </si>
  <si>
    <t>Exotic Energy</t>
  </si>
  <si>
    <t>Time flies</t>
  </si>
  <si>
    <t>Sustain</t>
  </si>
  <si>
    <t>Esoteric</t>
  </si>
  <si>
    <t>owo uwu ewe rawr</t>
  </si>
  <si>
    <t>Retry</t>
  </si>
  <si>
    <t>Getting Far</t>
  </si>
  <si>
    <t>Dropbears</t>
  </si>
  <si>
    <t>Snack Rush</t>
  </si>
  <si>
    <t>Saeve</t>
  </si>
  <si>
    <t>True Calamity</t>
  </si>
  <si>
    <t>Universal Collapse</t>
  </si>
  <si>
    <t>Cosmic Jet</t>
  </si>
  <si>
    <t>MatthewMW</t>
  </si>
  <si>
    <t>Master Duel</t>
  </si>
  <si>
    <t>Alien Invazion</t>
  </si>
  <si>
    <t>spirits310</t>
  </si>
  <si>
    <t>MoonBoy - Alien Invazion (Katou Remix)</t>
  </si>
  <si>
    <t>Glacial Torrent</t>
  </si>
  <si>
    <t>Nelll</t>
  </si>
  <si>
    <t>Sharks - Amethyst</t>
  </si>
  <si>
    <t>Digital Disarray</t>
  </si>
  <si>
    <t>Convenent</t>
  </si>
  <si>
    <t>Relcet</t>
  </si>
  <si>
    <t>Hue Effect</t>
  </si>
  <si>
    <t>Panda Eyes feat. Subkey - Galaxica</t>
  </si>
  <si>
    <t>Scourge of the Ruins</t>
  </si>
  <si>
    <t>YoReid</t>
  </si>
  <si>
    <t>Aldeydo</t>
  </si>
  <si>
    <t>Xatz</t>
  </si>
  <si>
    <t>Kepcep</t>
  </si>
  <si>
    <t>Volcanos Fury Megaman x2</t>
  </si>
  <si>
    <t>Nine Paws</t>
  </si>
  <si>
    <t>DirtyPaws - Rukkus (Original Mix)</t>
  </si>
  <si>
    <t>Howl</t>
  </si>
  <si>
    <t>Temptati0N</t>
  </si>
  <si>
    <t>LasoGoco</t>
  </si>
  <si>
    <t>Sharks - Light (VIP)</t>
  </si>
  <si>
    <t>Expire</t>
  </si>
  <si>
    <t>Anoxysm</t>
  </si>
  <si>
    <t>-Control: Damage-</t>
  </si>
  <si>
    <t>Dart</t>
  </si>
  <si>
    <t>-Race around the world-</t>
  </si>
  <si>
    <t>BuTiTi III</t>
  </si>
  <si>
    <t>Spib</t>
  </si>
  <si>
    <t>Estrefia</t>
  </si>
  <si>
    <t>Huenu - Water</t>
  </si>
  <si>
    <t>Nightmare Realm</t>
  </si>
  <si>
    <t>Voltage</t>
  </si>
  <si>
    <t>Eridani</t>
  </si>
  <si>
    <t>Desire</t>
  </si>
  <si>
    <t>Elektronomia - Desire (Simon Vonck Remix) [Free DL]</t>
  </si>
  <si>
    <t>Ballin</t>
  </si>
  <si>
    <t>Relic</t>
  </si>
  <si>
    <t>Artifice</t>
  </si>
  <si>
    <t>Exhydriae</t>
  </si>
  <si>
    <t>Svyre</t>
  </si>
  <si>
    <t>Artemisia</t>
  </si>
  <si>
    <t>Arnac La Poste</t>
  </si>
  <si>
    <t>LP44</t>
  </si>
  <si>
    <t>De Lorean</t>
  </si>
  <si>
    <t>Caliber</t>
  </si>
  <si>
    <t>Outer Edge</t>
  </si>
  <si>
    <t>Upbeat Illusion</t>
  </si>
  <si>
    <t>Concaved Memories</t>
  </si>
  <si>
    <t>D y s a n i a</t>
  </si>
  <si>
    <t>krisz</t>
  </si>
  <si>
    <t>BurgeraX &amp; YoshiGMD: Acceptance [Electro House]</t>
  </si>
  <si>
    <t>Fever Dream</t>
  </si>
  <si>
    <t>SUPERHATEMEWORLD</t>
  </si>
  <si>
    <t>RE: Main Title Theme (Remix Collab)</t>
  </si>
  <si>
    <t>Starlit Realm</t>
  </si>
  <si>
    <t>DIAmond</t>
  </si>
  <si>
    <t>Xerena</t>
  </si>
  <si>
    <t>Evilwave &amp; Teminite - Mutant (feat. Prey for Me)</t>
  </si>
  <si>
    <t>Eastal</t>
  </si>
  <si>
    <t>XanN</t>
  </si>
  <si>
    <t>Marathon</t>
  </si>
  <si>
    <t>Troubles</t>
  </si>
  <si>
    <t>Cognition</t>
  </si>
  <si>
    <t>Violence...</t>
  </si>
  <si>
    <t>Mojito funk</t>
  </si>
  <si>
    <t>Meridiem</t>
  </si>
  <si>
    <t>noru64</t>
  </si>
  <si>
    <t>The Parody</t>
  </si>
  <si>
    <t>zDemonDasher</t>
  </si>
  <si>
    <t>Only You</t>
  </si>
  <si>
    <t>Kyrie Eleison</t>
  </si>
  <si>
    <t>Crimson Chalice</t>
  </si>
  <si>
    <t>Copper Shine</t>
  </si>
  <si>
    <t>LiLiuM11</t>
  </si>
  <si>
    <t>Molrock Volcano</t>
  </si>
  <si>
    <t>Thanos</t>
  </si>
  <si>
    <t>Electric Fortress</t>
  </si>
  <si>
    <t>Electric Master</t>
  </si>
  <si>
    <t>Hallow Hills</t>
  </si>
  <si>
    <t>cYsmix - Dovregubbens Hall (New Ver.)</t>
  </si>
  <si>
    <t>Magnolia</t>
  </si>
  <si>
    <t>tolstyh</t>
  </si>
  <si>
    <t>Acid Rush III</t>
  </si>
  <si>
    <t>Hive Mind</t>
  </si>
  <si>
    <t>Dim</t>
  </si>
  <si>
    <t>On Go</t>
  </si>
  <si>
    <t>Evershade Mansion</t>
  </si>
  <si>
    <t>FreezeDash</t>
  </si>
  <si>
    <t>~ Pokemon Tower ~</t>
  </si>
  <si>
    <t>metamorphosis</t>
  </si>
  <si>
    <t>Hexhammer &amp; lchavasse - Seventh Heaven</t>
  </si>
  <si>
    <t>Euphoria</t>
  </si>
  <si>
    <t>Dams778</t>
  </si>
  <si>
    <t>The Hell Bird</t>
  </si>
  <si>
    <t>Macula</t>
  </si>
  <si>
    <t>Creo - Idolize</t>
  </si>
  <si>
    <t>hutnix</t>
  </si>
  <si>
    <t>Radiant</t>
  </si>
  <si>
    <t>IV</t>
  </si>
  <si>
    <t>Elusive</t>
  </si>
  <si>
    <t>MovieManiac</t>
  </si>
  <si>
    <t>Viscerality - Elusive</t>
  </si>
  <si>
    <t>The Rupture</t>
  </si>
  <si>
    <t>Ka1ns</t>
  </si>
  <si>
    <t>Subside</t>
  </si>
  <si>
    <t>Crazy Ween</t>
  </si>
  <si>
    <t>FUNKYpersy</t>
  </si>
  <si>
    <t>S3RL - MTC (Different Heaven Remix) (HeliXiX Remake)</t>
  </si>
  <si>
    <t>Innervision</t>
  </si>
  <si>
    <t>Licen00</t>
  </si>
  <si>
    <t>Celerity</t>
  </si>
  <si>
    <t>Submerged</t>
  </si>
  <si>
    <t>Creo - Unveil</t>
  </si>
  <si>
    <t>MORYO</t>
  </si>
  <si>
    <t>Destruction [Drumstep] - Killer-FX</t>
  </si>
  <si>
    <t>DanZmale</t>
  </si>
  <si>
    <t>ELEPS - XANDER (DUBSTEP)</t>
  </si>
  <si>
    <t>OutRagE</t>
  </si>
  <si>
    <t>EvoNuclearGD</t>
  </si>
  <si>
    <t>Radioactive Zone</t>
  </si>
  <si>
    <t>Neptunarium</t>
  </si>
  <si>
    <t>DashTY</t>
  </si>
  <si>
    <t>CrAzY</t>
  </si>
  <si>
    <t>PocoPukich</t>
  </si>
  <si>
    <t>DirtyPaws - ALIEN (Original Mix)</t>
  </si>
  <si>
    <t>TM18</t>
  </si>
  <si>
    <t>Moosh</t>
  </si>
  <si>
    <t>Blip</t>
  </si>
  <si>
    <t>The Sea</t>
  </si>
  <si>
    <t>Haunted Manor</t>
  </si>
  <si>
    <t>-Monsterbreaks-</t>
  </si>
  <si>
    <t>Hunter Nightmares</t>
  </si>
  <si>
    <t>iITNCIi</t>
  </si>
  <si>
    <t>The Gins</t>
  </si>
  <si>
    <t>Doggie</t>
  </si>
  <si>
    <t>Sakupen Egg</t>
  </si>
  <si>
    <t>Sivlol</t>
  </si>
  <si>
    <t>Craziness</t>
  </si>
  <si>
    <t>Lvl. 34 Clown</t>
  </si>
  <si>
    <t>Coreosious</t>
  </si>
  <si>
    <t>Domyeah - End the Reign {Remastered}</t>
  </si>
  <si>
    <t>0 Gs Given</t>
  </si>
  <si>
    <t>Our Fountain</t>
  </si>
  <si>
    <t>Segassem Lanimilbus</t>
  </si>
  <si>
    <t>The Mayhem War</t>
  </si>
  <si>
    <t>Basic Decoration</t>
  </si>
  <si>
    <t>An Unstable Desire</t>
  </si>
  <si>
    <t>Teminite &amp; Said - Make Me</t>
  </si>
  <si>
    <t>Tomb Raver</t>
  </si>
  <si>
    <t>Chaoz Overdrive</t>
  </si>
  <si>
    <t>Deleting</t>
  </si>
  <si>
    <t>Retropt</t>
  </si>
  <si>
    <t>Alter Ego</t>
  </si>
  <si>
    <t>Navoltski</t>
  </si>
  <si>
    <t>ThatKai</t>
  </si>
  <si>
    <t>Gunslinga Corridor</t>
  </si>
  <si>
    <t>zEvilPrisma</t>
  </si>
  <si>
    <t>Repentless</t>
  </si>
  <si>
    <t>ViralDL</t>
  </si>
  <si>
    <t>HyperCharged</t>
  </si>
  <si>
    <t>Turbo Strawberry</t>
  </si>
  <si>
    <t>Advanced AirStream</t>
  </si>
  <si>
    <t>iObsidion</t>
  </si>
  <si>
    <t>Tera</t>
  </si>
  <si>
    <t>Strike Squad</t>
  </si>
  <si>
    <t>Stormshard</t>
  </si>
  <si>
    <t>RhythMicaL DaNcE</t>
  </si>
  <si>
    <t>Akashic Records</t>
  </si>
  <si>
    <t>VotcHi</t>
  </si>
  <si>
    <t>Renevant</t>
  </si>
  <si>
    <t>Dispersion</t>
  </si>
  <si>
    <t>f3hcs</t>
  </si>
  <si>
    <t>Diverse</t>
  </si>
  <si>
    <t>Geoxor - Stardust</t>
  </si>
  <si>
    <t>Split Dimension</t>
  </si>
  <si>
    <t>BySelling</t>
  </si>
  <si>
    <t>Domine A</t>
  </si>
  <si>
    <t>Lfritz</t>
  </si>
  <si>
    <t>Bliss</t>
  </si>
  <si>
    <t>Cosmo Hotline</t>
  </si>
  <si>
    <t>Ethereal Artifice</t>
  </si>
  <si>
    <t>zeroya</t>
  </si>
  <si>
    <t>Magmatic Mash</t>
  </si>
  <si>
    <t>Burning Sands</t>
  </si>
  <si>
    <t>BVSE</t>
  </si>
  <si>
    <t>Inspirative III</t>
  </si>
  <si>
    <t>Zyzyx - Awake</t>
  </si>
  <si>
    <t>Nantendo</t>
  </si>
  <si>
    <t>im fernando</t>
  </si>
  <si>
    <t>default wave</t>
  </si>
  <si>
    <t>bunch</t>
  </si>
  <si>
    <t>Tapwreck</t>
  </si>
  <si>
    <t>CHASE.mp3 (Extended)</t>
  </si>
  <si>
    <t>Adventure</t>
  </si>
  <si>
    <t>Panda Eyes &amp; Teminite - Adventure Time</t>
  </si>
  <si>
    <t>Cosmic Festival</t>
  </si>
  <si>
    <t>Hard Time</t>
  </si>
  <si>
    <t>Janucha</t>
  </si>
  <si>
    <t>DJ Spyroof - Sense Of Time</t>
  </si>
  <si>
    <t>Destroy Me</t>
  </si>
  <si>
    <t>Calculator Core</t>
  </si>
  <si>
    <t>Walroose</t>
  </si>
  <si>
    <t>Desolate Deep</t>
  </si>
  <si>
    <t>Dominus</t>
  </si>
  <si>
    <t>Fracture Breaker</t>
  </si>
  <si>
    <t>TroxxP1</t>
  </si>
  <si>
    <t>Derpcat - Hypocrisy</t>
  </si>
  <si>
    <t>Corrosion</t>
  </si>
  <si>
    <t>Killa</t>
  </si>
  <si>
    <t>NH22 - Corrosion</t>
  </si>
  <si>
    <t>solemnity</t>
  </si>
  <si>
    <t>vit12</t>
  </si>
  <si>
    <t>DirtyPaws - Secrets (Original Mix)</t>
  </si>
  <si>
    <t>Reminisce</t>
  </si>
  <si>
    <t>An Gyung</t>
  </si>
  <si>
    <t>neo city</t>
  </si>
  <si>
    <t>Galaxxyss</t>
  </si>
  <si>
    <t>Airborne</t>
  </si>
  <si>
    <t>AuIIv</t>
  </si>
  <si>
    <t>PAHC</t>
  </si>
  <si>
    <t>Dolos</t>
  </si>
  <si>
    <t>Enzeux</t>
  </si>
  <si>
    <t>Upbeat Dimensions</t>
  </si>
  <si>
    <t>cYsmix - Mr. Megaman</t>
  </si>
  <si>
    <t>RUSH HOUR</t>
  </si>
  <si>
    <t>cyber dragon</t>
  </si>
  <si>
    <t>Dedication</t>
  </si>
  <si>
    <t>scrumpy</t>
  </si>
  <si>
    <t>Depressive</t>
  </si>
  <si>
    <t>DangnghiGD</t>
  </si>
  <si>
    <t>Derpcat - I like em Funky</t>
  </si>
  <si>
    <t>Calibre</t>
  </si>
  <si>
    <t>EspiDev - Calibre</t>
  </si>
  <si>
    <t>SPEEDRUN</t>
  </si>
  <si>
    <t>Oceania</t>
  </si>
  <si>
    <t>Two the Top</t>
  </si>
  <si>
    <t>Cable Kid: Comes Back to Play</t>
  </si>
  <si>
    <t>Choices</t>
  </si>
  <si>
    <t>Hir0shi</t>
  </si>
  <si>
    <t>Urbanstep &amp; Ohmie - Choices Ft. Micah Martin (Sharks Remix)</t>
  </si>
  <si>
    <t>Peer Pressure</t>
  </si>
  <si>
    <t>Fool</t>
  </si>
  <si>
    <t>DC Techno Loop</t>
  </si>
  <si>
    <t>BLOZ</t>
  </si>
  <si>
    <t>Teminite - Unstoppable</t>
  </si>
  <si>
    <t>Coin Rush</t>
  </si>
  <si>
    <t>Qamow</t>
  </si>
  <si>
    <t>Krawler</t>
  </si>
  <si>
    <t>Koraii - Burning</t>
  </si>
  <si>
    <t>Praxediant</t>
  </si>
  <si>
    <t>Mosaic</t>
  </si>
  <si>
    <t>Skyflight</t>
  </si>
  <si>
    <t>Rapture Poetry</t>
  </si>
  <si>
    <t>BridgetTheCroco</t>
  </si>
  <si>
    <t>Abyss of destiny</t>
  </si>
  <si>
    <t>Theory Of AnnoPower</t>
  </si>
  <si>
    <t>En Fuego</t>
  </si>
  <si>
    <t>light breaker</t>
  </si>
  <si>
    <t>Xyound</t>
  </si>
  <si>
    <t>Paper Skies - Lightyear</t>
  </si>
  <si>
    <t>Frontier Atlas</t>
  </si>
  <si>
    <t>Xtrullor - Supernova (FlashYizz Remix)</t>
  </si>
  <si>
    <t>PURPLE SPLASH</t>
  </si>
  <si>
    <t>Next Adventure</t>
  </si>
  <si>
    <t>duorise</t>
  </si>
  <si>
    <t>Diamondgirl01</t>
  </si>
  <si>
    <t>DuoCore - Arise</t>
  </si>
  <si>
    <t>Night Life</t>
  </si>
  <si>
    <t>para</t>
  </si>
  <si>
    <t>- Night -</t>
  </si>
  <si>
    <t>Ultramarine</t>
  </si>
  <si>
    <t>re:????</t>
  </si>
  <si>
    <t>Math Time</t>
  </si>
  <si>
    <t>Nature Funk</t>
  </si>
  <si>
    <t>Last Prism</t>
  </si>
  <si>
    <t>4D</t>
  </si>
  <si>
    <t>Teminite - Beleive</t>
  </si>
  <si>
    <t>Mechanical Area</t>
  </si>
  <si>
    <t>MakFeed</t>
  </si>
  <si>
    <t>nyoom</t>
  </si>
  <si>
    <t>Kenos</t>
  </si>
  <si>
    <t>npesta</t>
  </si>
  <si>
    <t>Golden Shade</t>
  </si>
  <si>
    <t>On My Own</t>
  </si>
  <si>
    <t>Hey rob rate this</t>
  </si>
  <si>
    <t>Spitfya - Adventure (Original Mix)</t>
  </si>
  <si>
    <t>Minidisco</t>
  </si>
  <si>
    <t>Normal Mapping</t>
  </si>
  <si>
    <t>unnn</t>
  </si>
  <si>
    <t>Yep</t>
  </si>
  <si>
    <t>AlrexX</t>
  </si>
  <si>
    <t>layout</t>
  </si>
  <si>
    <t>Starlit Smog</t>
  </si>
  <si>
    <t>Creo - Red Haze</t>
  </si>
  <si>
    <t>The Viper</t>
  </si>
  <si>
    <t>Maximun Sonic II</t>
  </si>
  <si>
    <t>MaykollGD</t>
  </si>
  <si>
    <t>Airoz Chaozflow</t>
  </si>
  <si>
    <t>Buried Shrine</t>
  </si>
  <si>
    <t>Phosphore</t>
  </si>
  <si>
    <t>Flinq</t>
  </si>
  <si>
    <t>Luminous Explosion</t>
  </si>
  <si>
    <t>Noxop</t>
  </si>
  <si>
    <t>SLIME</t>
  </si>
  <si>
    <t>Tourbillon</t>
  </si>
  <si>
    <t>White Ice</t>
  </si>
  <si>
    <t>Nostale</t>
  </si>
  <si>
    <t>Astral Observatory DnB</t>
  </si>
  <si>
    <t>nViDiA</t>
  </si>
  <si>
    <t>70UNIK</t>
  </si>
  <si>
    <t>Astral Divinity</t>
  </si>
  <si>
    <t>lia;quo?Crystal Corruption??Nightcore Edit?</t>
  </si>
  <si>
    <t>nonsense world</t>
  </si>
  <si>
    <t>mynamejeffff</t>
  </si>
  <si>
    <t>xo</t>
  </si>
  <si>
    <t>Magentance</t>
  </si>
  <si>
    <t>TheGalaxyCat</t>
  </si>
  <si>
    <t>Magenta</t>
  </si>
  <si>
    <t>Twin Suns</t>
  </si>
  <si>
    <t>Horken</t>
  </si>
  <si>
    <t>Nautilus</t>
  </si>
  <si>
    <t>Chayper</t>
  </si>
  <si>
    <t>Polaris</t>
  </si>
  <si>
    <t>Vice</t>
  </si>
  <si>
    <t>The Legend Of nando</t>
  </si>
  <si>
    <t>Song of Storms Remix</t>
  </si>
  <si>
    <t>codeXmas</t>
  </si>
  <si>
    <t>Comet Kid (Ft. Rymdkraft)</t>
  </si>
  <si>
    <t>Residual</t>
  </si>
  <si>
    <t>Zion83</t>
  </si>
  <si>
    <t>Derpcat - Stuck In A Dream</t>
  </si>
  <si>
    <t>NeXender Game</t>
  </si>
  <si>
    <t>Level</t>
  </si>
  <si>
    <t>Xoroz</t>
  </si>
  <si>
    <t>Arcadia</t>
  </si>
  <si>
    <t>Beep Beep Im a Sheep</t>
  </si>
  <si>
    <t>The name</t>
  </si>
  <si>
    <t>amixam</t>
  </si>
  <si>
    <t>Spherio</t>
  </si>
  <si>
    <t>Altruistic Vibrations</t>
  </si>
  <si>
    <t>Groovin</t>
  </si>
  <si>
    <t>Upbeat corrosium</t>
  </si>
  <si>
    <t>orots</t>
  </si>
  <si>
    <t>A Dude Named Grant</t>
  </si>
  <si>
    <t>Divine Descendance</t>
  </si>
  <si>
    <t>Tranquil Sublimity</t>
  </si>
  <si>
    <t>Red Haze</t>
  </si>
  <si>
    <t>Star Gate</t>
  </si>
  <si>
    <t>F-777 - Star Gate</t>
  </si>
  <si>
    <t>memories</t>
  </si>
  <si>
    <t>ColBreakz - Memories [House]</t>
  </si>
  <si>
    <t>Cyber CompositioN</t>
  </si>
  <si>
    <t>Acedia</t>
  </si>
  <si>
    <t>SamMaxx</t>
  </si>
  <si>
    <t>Violent Silence</t>
  </si>
  <si>
    <t>First of the Year</t>
  </si>
  <si>
    <t>Broken Shards</t>
  </si>
  <si>
    <t>DanZcember</t>
  </si>
  <si>
    <t>The Goola</t>
  </si>
  <si>
    <t>Creo - Never Make It</t>
  </si>
  <si>
    <t>Agios</t>
  </si>
  <si>
    <t>FWLR - Badass Bae</t>
  </si>
  <si>
    <t>2020 AD</t>
  </si>
  <si>
    <t>{Motion} DEMO[MAR07]</t>
  </si>
  <si>
    <t>dim descent</t>
  </si>
  <si>
    <t>DubsteP</t>
  </si>
  <si>
    <t>iriswolfx</t>
  </si>
  <si>
    <t>Dubstep Thingie</t>
  </si>
  <si>
    <t>Finity</t>
  </si>
  <si>
    <t>Ju2De2</t>
  </si>
  <si>
    <t>kidsmoke</t>
  </si>
  <si>
    <t>Dedrater</t>
  </si>
  <si>
    <t>Speed RaXer</t>
  </si>
  <si>
    <t>Plastic Palm</t>
  </si>
  <si>
    <t>TempledoX</t>
  </si>
  <si>
    <t>Alison</t>
  </si>
  <si>
    <t>Demowolf</t>
  </si>
  <si>
    <t>Saunter</t>
  </si>
  <si>
    <t>poWer</t>
  </si>
  <si>
    <t>Colorforce</t>
  </si>
  <si>
    <t>Tartarus</t>
  </si>
  <si>
    <t>ItzDolphy</t>
  </si>
  <si>
    <t>inside city</t>
  </si>
  <si>
    <t>Obsolete</t>
  </si>
  <si>
    <t>Necromantia</t>
  </si>
  <si>
    <t>Undertale - Megalovania</t>
  </si>
  <si>
    <t>SmashBit</t>
  </si>
  <si>
    <t>Achievess</t>
  </si>
  <si>
    <t>-Trademark medley-</t>
  </si>
  <si>
    <t>Delebit Oblivio</t>
  </si>
  <si>
    <t>Solace of Oblivion</t>
  </si>
  <si>
    <t>Amethyst Valley</t>
  </si>
  <si>
    <t>fufafac</t>
  </si>
  <si>
    <t>blitzkriegbop</t>
  </si>
  <si>
    <t>A2Marbl</t>
  </si>
  <si>
    <t>Golden</t>
  </si>
  <si>
    <t>Incursion</t>
  </si>
  <si>
    <t>Mirrored Calamity</t>
  </si>
  <si>
    <t>IINimbusII</t>
  </si>
  <si>
    <t>Starlit Glacier</t>
  </si>
  <si>
    <t>Creo - Slow Down</t>
  </si>
  <si>
    <t>Lovecraft</t>
  </si>
  <si>
    <t>Kanna</t>
  </si>
  <si>
    <t>oc3andark</t>
  </si>
  <si>
    <t>Geoplex - Subvert</t>
  </si>
  <si>
    <t>burh</t>
  </si>
  <si>
    <t>Acid Paradox - Chill Out,</t>
  </si>
  <si>
    <t>Reality</t>
  </si>
  <si>
    <t>Anzer</t>
  </si>
  <si>
    <t>Artistic Frenzy</t>
  </si>
  <si>
    <t>LEXISO</t>
  </si>
  <si>
    <t>Contrast</t>
  </si>
  <si>
    <t>Spectrum Cyclone</t>
  </si>
  <si>
    <t>Quarks and Gluons</t>
  </si>
  <si>
    <t>Thunder Alphabet</t>
  </si>
  <si>
    <t>CutterFunk</t>
  </si>
  <si>
    <t>Riki Dash</t>
  </si>
  <si>
    <t>AtArAxiA</t>
  </si>
  <si>
    <t>FlyArCz</t>
  </si>
  <si>
    <t>Tempered Steel</t>
  </si>
  <si>
    <t>ItsHybrid</t>
  </si>
  <si>
    <t>Slime</t>
  </si>
  <si>
    <t>Overspeed</t>
  </si>
  <si>
    <t>jneh</t>
  </si>
  <si>
    <t>SQUAD</t>
  </si>
  <si>
    <t>DreamNoter</t>
  </si>
  <si>
    <t>Teminite - Hold On</t>
  </si>
  <si>
    <t>Flipside Upwards</t>
  </si>
  <si>
    <t>KFAOpitar</t>
  </si>
  <si>
    <t>IAHN - Uppity Cat</t>
  </si>
  <si>
    <t>Resurgance</t>
  </si>
  <si>
    <t>Nothing Happened</t>
  </si>
  <si>
    <t>The DonatoX</t>
  </si>
  <si>
    <t>Itserson</t>
  </si>
  <si>
    <t>Punyaso - My Little Pony</t>
  </si>
  <si>
    <t>Raxsi</t>
  </si>
  <si>
    <t>DorFlayGD</t>
  </si>
  <si>
    <t>Archaic</t>
  </si>
  <si>
    <t>SirZaiss</t>
  </si>
  <si>
    <t>Viscerality - Bliss [Intervention EP]</t>
  </si>
  <si>
    <t>Double Dash</t>
  </si>
  <si>
    <t>Shining Sprinter</t>
  </si>
  <si>
    <t>5upreme</t>
  </si>
  <si>
    <t>SLANDER - Love Is Gone (ft. Dylan Matthew) [Slleepwalker Edit)</t>
  </si>
  <si>
    <t>Second Chapter</t>
  </si>
  <si>
    <t>Meow</t>
  </si>
  <si>
    <t>BlowMyPooh</t>
  </si>
  <si>
    <t>Infinite Iniquity</t>
  </si>
  <si>
    <t>Prismatic Aura</t>
  </si>
  <si>
    <t>V3ntique</t>
  </si>
  <si>
    <t>Novus</t>
  </si>
  <si>
    <t>Dex Arson -Rampage ( Colbreakz Remix )</t>
  </si>
  <si>
    <t>Corrupt Step</t>
  </si>
  <si>
    <t>RANYER</t>
  </si>
  <si>
    <t>CatronixGD</t>
  </si>
  <si>
    <t>default wave ii</t>
  </si>
  <si>
    <t>The Disturbance</t>
  </si>
  <si>
    <t>Volcanic Haze</t>
  </si>
  <si>
    <t>CUBICCC</t>
  </si>
  <si>
    <t>Light Speed</t>
  </si>
  <si>
    <t>Ascention</t>
  </si>
  <si>
    <t>Astoris (Original Mix)</t>
  </si>
  <si>
    <t>Judgement</t>
  </si>
  <si>
    <t>The Final Battle (Save The Princess)</t>
  </si>
  <si>
    <t>Imminent Ruination</t>
  </si>
  <si>
    <t>astrEnfant</t>
  </si>
  <si>
    <t>Defective System</t>
  </si>
  <si>
    <t>SKYWRD &amp; Daxiir - Knowing Better</t>
  </si>
  <si>
    <t>Ultimate Phase AgaiN</t>
  </si>
  <si>
    <t>HASH</t>
  </si>
  <si>
    <t>Necromancy (drum n bass)</t>
  </si>
  <si>
    <t>Cydonia</t>
  </si>
  <si>
    <t>Knights of Cydonia [EON Remix]</t>
  </si>
  <si>
    <t>Mainline</t>
  </si>
  <si>
    <t>-Mainspring-</t>
  </si>
  <si>
    <t>Moonlight Sonata</t>
  </si>
  <si>
    <t>FiggyJr</t>
  </si>
  <si>
    <t>time fortress</t>
  </si>
  <si>
    <t>Gravitation Surge</t>
  </si>
  <si>
    <t>J735</t>
  </si>
  <si>
    <t>AsStral Virginity</t>
  </si>
  <si>
    <t>New Future</t>
  </si>
  <si>
    <t>Revitalize</t>
  </si>
  <si>
    <t>Scarlet Pulse</t>
  </si>
  <si>
    <t>Check Out</t>
  </si>
  <si>
    <t>Basednite</t>
  </si>
  <si>
    <t>-Flight-</t>
  </si>
  <si>
    <t>SaDrop</t>
  </si>
  <si>
    <t>Fire Type</t>
  </si>
  <si>
    <t>Snarlax523</t>
  </si>
  <si>
    <t>Supreme</t>
  </si>
  <si>
    <t>Doujo</t>
  </si>
  <si>
    <t>[Complextro] Viscerality - Upgrade</t>
  </si>
  <si>
    <t>Axdrel</t>
  </si>
  <si>
    <t>DirtyPaws - This Is Geometry Dash (Original Mix)</t>
  </si>
  <si>
    <t>Elliptic Curve</t>
  </si>
  <si>
    <t>ColBreakz - Big Poe</t>
  </si>
  <si>
    <t>Sweet Melody</t>
  </si>
  <si>
    <t>Squid Melody [Blue Version]</t>
  </si>
  <si>
    <t>Azurite</t>
  </si>
  <si>
    <t>royen</t>
  </si>
  <si>
    <t>Brimtanic Paradise</t>
  </si>
  <si>
    <t>zYuko</t>
  </si>
  <si>
    <t>Left Alone</t>
  </si>
  <si>
    <t>TuxElectro</t>
  </si>
  <si>
    <t>iMortlex</t>
  </si>
  <si>
    <t>Blinding Hell</t>
  </si>
  <si>
    <t>Eternal Moment</t>
  </si>
  <si>
    <t>iRainstorm</t>
  </si>
  <si>
    <t>FinKor</t>
  </si>
  <si>
    <t>Vapor - Lockyn [Etzer Remix]</t>
  </si>
  <si>
    <t>BRAINWAVE</t>
  </si>
  <si>
    <t>SaghamY</t>
  </si>
  <si>
    <t>MeowSgam</t>
  </si>
  <si>
    <t>RPZ</t>
  </si>
  <si>
    <t>Mojitoz</t>
  </si>
  <si>
    <t>Void Wave</t>
  </si>
  <si>
    <t>chorky</t>
  </si>
  <si>
    <t>Vehement Radiance</t>
  </si>
  <si>
    <t>Double Death - Evil Trip</t>
  </si>
  <si>
    <t>Future Funk II</t>
  </si>
  <si>
    <t>Ouais Ouais (ft. SlyLeaf)</t>
  </si>
  <si>
    <t>Terminal of Impact</t>
  </si>
  <si>
    <t>kr1j</t>
  </si>
  <si>
    <t>Confectionery Aisle</t>
  </si>
  <si>
    <t>QuatHeard</t>
  </si>
  <si>
    <t>Hydratic</t>
  </si>
  <si>
    <t>Amoeba</t>
  </si>
  <si>
    <t>Swift Horizon</t>
  </si>
  <si>
    <t>cYsmix - Fright March</t>
  </si>
  <si>
    <t>ElectroLux</t>
  </si>
  <si>
    <t>PrisMaTic</t>
  </si>
  <si>
    <t>DrPuppydude</t>
  </si>
  <si>
    <t>Warcry</t>
  </si>
  <si>
    <t>Df0rDie</t>
  </si>
  <si>
    <t>Data Dump (Discharge EP)</t>
  </si>
  <si>
    <t>Amaterasu</t>
  </si>
  <si>
    <t>Vesii</t>
  </si>
  <si>
    <t>Derpcat - Radium</t>
  </si>
  <si>
    <t>Chaoz Implosion</t>
  </si>
  <si>
    <t>Fingerdash v3</t>
  </si>
  <si>
    <t>Hardwire</t>
  </si>
  <si>
    <t>Kaolinite87</t>
  </si>
  <si>
    <t>Redeilia - Wired</t>
  </si>
  <si>
    <t>React II</t>
  </si>
  <si>
    <t>Yoshee</t>
  </si>
  <si>
    <t>Dex Arson - Bipolar</t>
  </si>
  <si>
    <t>Kappa</t>
  </si>
  <si>
    <t>Armadeus</t>
  </si>
  <si>
    <t>Eclairage</t>
  </si>
  <si>
    <t>Serinox</t>
  </si>
  <si>
    <t>HELLFIRE</t>
  </si>
  <si>
    <t>Galactic Shift</t>
  </si>
  <si>
    <t>Alacrit (Original Mix)</t>
  </si>
  <si>
    <t>DiscoPol</t>
  </si>
  <si>
    <t>strom</t>
  </si>
  <si>
    <t>Birds</t>
  </si>
  <si>
    <t>Dia de Muertos</t>
  </si>
  <si>
    <t>TMNightHunt</t>
  </si>
  <si>
    <t>Dream Travel</t>
  </si>
  <si>
    <t>By Day, By Night</t>
  </si>
  <si>
    <t>Dimensional Breaking</t>
  </si>
  <si>
    <t>Davidayy</t>
  </si>
  <si>
    <t>pain plant</t>
  </si>
  <si>
    <t>2003devin</t>
  </si>
  <si>
    <t>Korn feat legacey "right now"</t>
  </si>
  <si>
    <t>Enchanted Villa</t>
  </si>
  <si>
    <t>Furorem</t>
  </si>
  <si>
    <t>dance of fireflies</t>
  </si>
  <si>
    <t>Demonic Energy</t>
  </si>
  <si>
    <t>Luciferian</t>
  </si>
  <si>
    <t>Emadeus</t>
  </si>
  <si>
    <t>Who Killed The World?</t>
  </si>
  <si>
    <t>Splendid Mold</t>
  </si>
  <si>
    <t>OrbiChord</t>
  </si>
  <si>
    <t>LKHArchive</t>
  </si>
  <si>
    <t>Plummet</t>
  </si>
  <si>
    <t>Prismatic Haze</t>
  </si>
  <si>
    <t>Velocity Magnitude</t>
  </si>
  <si>
    <t>Buine12</t>
  </si>
  <si>
    <t>FriendShip</t>
  </si>
  <si>
    <t>TerKai</t>
  </si>
  <si>
    <t>Fusion Z</t>
  </si>
  <si>
    <t>Bad Trip</t>
  </si>
  <si>
    <t>Creo - Crazy</t>
  </si>
  <si>
    <t>LeVeL</t>
  </si>
  <si>
    <t>iIBonIi</t>
  </si>
  <si>
    <t>Kosmic Koopa</t>
  </si>
  <si>
    <t>GiggsRH</t>
  </si>
  <si>
    <t>Deepcore Dungeon</t>
  </si>
  <si>
    <t>MitKit</t>
  </si>
  <si>
    <t>Ravider</t>
  </si>
  <si>
    <t>N0</t>
  </si>
  <si>
    <t>Dora Dance</t>
  </si>
  <si>
    <t>Earthum</t>
  </si>
  <si>
    <t>Neple - Dorami (feat.Dorami)</t>
  </si>
  <si>
    <t>Scintillation</t>
  </si>
  <si>
    <t>Aesthetic</t>
  </si>
  <si>
    <t>Derpcat - The Fallen Kingdom</t>
  </si>
  <si>
    <t>Ambiance</t>
  </si>
  <si>
    <t>Woom</t>
  </si>
  <si>
    <t>Lonely Diva</t>
  </si>
  <si>
    <t>70BU</t>
  </si>
  <si>
    <t>PentMO</t>
  </si>
  <si>
    <t>Waterfall (Nightcore Remix)</t>
  </si>
  <si>
    <t>Retro Maze</t>
  </si>
  <si>
    <t>RottenInnards</t>
  </si>
  <si>
    <t>~NK~ The Maze</t>
  </si>
  <si>
    <t>Agitation</t>
  </si>
  <si>
    <t>KoDTIFF</t>
  </si>
  <si>
    <t>in rainbows</t>
  </si>
  <si>
    <t>My style is no style</t>
  </si>
  <si>
    <t>Phase III</t>
  </si>
  <si>
    <t>Oliverse - Get High (Sharks Remix)</t>
  </si>
  <si>
    <t>Next Yesterday</t>
  </si>
  <si>
    <t>Koraii - Uplink [Lilysse Collective]</t>
  </si>
  <si>
    <t>Warzone [Unfinished]</t>
  </si>
  <si>
    <t>Berserk</t>
  </si>
  <si>
    <t>Universal Travel</t>
  </si>
  <si>
    <t>Dragn3el</t>
  </si>
  <si>
    <t>Aurorae</t>
  </si>
  <si>
    <t>LIGHT</t>
  </si>
  <si>
    <t>Light (w/ Husky)</t>
  </si>
  <si>
    <t>Blue Flame</t>
  </si>
  <si>
    <t>Glittering Dew</t>
  </si>
  <si>
    <t>DarkSpirit</t>
  </si>
  <si>
    <t>Away</t>
  </si>
  <si>
    <t>Mechanical Realm</t>
  </si>
  <si>
    <t>math</t>
  </si>
  <si>
    <t>Precipitance</t>
  </si>
  <si>
    <t>Extravagon</t>
  </si>
  <si>
    <t>tigre</t>
  </si>
  <si>
    <t>True Chaoz</t>
  </si>
  <si>
    <t>Just DANCE</t>
  </si>
  <si>
    <t>3rd Prototype - Dancefloor [NCS Release]</t>
  </si>
  <si>
    <t>Experiment 204</t>
  </si>
  <si>
    <t>io</t>
  </si>
  <si>
    <t>Koraii - Trick Room</t>
  </si>
  <si>
    <t>Miss You</t>
  </si>
  <si>
    <t>I Love You La La La</t>
  </si>
  <si>
    <t>Maybe Possibly Thing</t>
  </si>
  <si>
    <t>Fisher Price</t>
  </si>
  <si>
    <t>Falcon16</t>
  </si>
  <si>
    <t>Sneering Woods</t>
  </si>
  <si>
    <t>Cosmic Corruption</t>
  </si>
  <si>
    <t>Creo - Octane</t>
  </si>
  <si>
    <t>Rising Leaves</t>
  </si>
  <si>
    <t>Bubble Gum</t>
  </si>
  <si>
    <t>Just Processing</t>
  </si>
  <si>
    <t>burning chicken</t>
  </si>
  <si>
    <t>Libertas</t>
  </si>
  <si>
    <t>Royal Luminary</t>
  </si>
  <si>
    <t>TuMiTu</t>
  </si>
  <si>
    <t>?????? (Royal Azalea)</t>
  </si>
  <si>
    <t>Whispers</t>
  </si>
  <si>
    <t>Manual</t>
  </si>
  <si>
    <t>Agon</t>
  </si>
  <si>
    <t>Expurgation</t>
  </si>
  <si>
    <t>v4p0r</t>
  </si>
  <si>
    <t>Pyr</t>
  </si>
  <si>
    <t>Radiant Dust</t>
  </si>
  <si>
    <t>Elation</t>
  </si>
  <si>
    <t>Syndrome GMD</t>
  </si>
  <si>
    <t>Automatic Disco</t>
  </si>
  <si>
    <t>Shine</t>
  </si>
  <si>
    <t>Creo - Shine</t>
  </si>
  <si>
    <t>GD ParaDoX</t>
  </si>
  <si>
    <t>Voidblaster</t>
  </si>
  <si>
    <t>Prymicense</t>
  </si>
  <si>
    <t>ffero</t>
  </si>
  <si>
    <t>Quaoar</t>
  </si>
  <si>
    <t>Uplifted</t>
  </si>
  <si>
    <t>Sirius A</t>
  </si>
  <si>
    <t>PLUS ULTRA</t>
  </si>
  <si>
    <t>Cancel</t>
  </si>
  <si>
    <t>The Day/PeaceSign (Boku no Hero Academia Opening 1 &amp; 2)</t>
  </si>
  <si>
    <t>MegaSolo</t>
  </si>
  <si>
    <t>Torgue</t>
  </si>
  <si>
    <t>War Of The Worlds</t>
  </si>
  <si>
    <t>iITechnoDashIi</t>
  </si>
  <si>
    <t>Exploding Hearts</t>
  </si>
  <si>
    <t>DataGhost</t>
  </si>
  <si>
    <t>BioMachinist</t>
  </si>
  <si>
    <t>aartos</t>
  </si>
  <si>
    <t>Aronia</t>
  </si>
  <si>
    <t>Believe</t>
  </si>
  <si>
    <t>alexanderitegd</t>
  </si>
  <si>
    <t>Marenol</t>
  </si>
  <si>
    <t>Ph4lip</t>
  </si>
  <si>
    <t>Weird</t>
  </si>
  <si>
    <t>redline</t>
  </si>
  <si>
    <t>ALESDA! - Burn</t>
  </si>
  <si>
    <t>HindSight</t>
  </si>
  <si>
    <t>Ballistix Funk</t>
  </si>
  <si>
    <t>MaFFaKa</t>
  </si>
  <si>
    <t>Creo - Ballistic Funk</t>
  </si>
  <si>
    <t>Low Death</t>
  </si>
  <si>
    <t>Magic Touch(31SongMashup)</t>
  </si>
  <si>
    <t>PP</t>
  </si>
  <si>
    <t>Peepee Song (Censored)</t>
  </si>
  <si>
    <t>Sephiroth</t>
  </si>
  <si>
    <t>Supercharged</t>
  </si>
  <si>
    <t>TheRealWeenside</t>
  </si>
  <si>
    <t>The Voidlands</t>
  </si>
  <si>
    <t>dolphe</t>
  </si>
  <si>
    <t>SmoopInc</t>
  </si>
  <si>
    <t>Shade Dissolver</t>
  </si>
  <si>
    <t>Connection</t>
  </si>
  <si>
    <t>Volterix - Connection</t>
  </si>
  <si>
    <t>Multition</t>
  </si>
  <si>
    <t>Hydrangea &amp; Redeilia - Spice Hunters</t>
  </si>
  <si>
    <t>Two to the Zero</t>
  </si>
  <si>
    <t>Splash</t>
  </si>
  <si>
    <t>Star Wars 2</t>
  </si>
  <si>
    <t>Star Wars - Duel of Fates (Hardstyle Remix)</t>
  </si>
  <si>
    <t>The Regresson</t>
  </si>
  <si>
    <t>Desire Drive (Mid-Boss Remix)</t>
  </si>
  <si>
    <t>Altered Ascent</t>
  </si>
  <si>
    <t>ANGEr DANGEr</t>
  </si>
  <si>
    <t>thazm</t>
  </si>
  <si>
    <t>Misty Mountains</t>
  </si>
  <si>
    <t>We4therMan</t>
  </si>
  <si>
    <t>Faux Tales - Beacon</t>
  </si>
  <si>
    <t>The Hell Inferno</t>
  </si>
  <si>
    <t>Nitro</t>
  </si>
  <si>
    <t>xdkubi</t>
  </si>
  <si>
    <t>HURRICANE</t>
  </si>
  <si>
    <t>Le conteur (210bpm)</t>
  </si>
  <si>
    <t>Vinterleken</t>
  </si>
  <si>
    <t>Vairo - Vinterleken</t>
  </si>
  <si>
    <t>Aquatic Auroras</t>
  </si>
  <si>
    <t>Swag</t>
  </si>
  <si>
    <t>pocke</t>
  </si>
  <si>
    <t>00</t>
  </si>
  <si>
    <t>Catmosphere</t>
  </si>
  <si>
    <t>ItzSlash</t>
  </si>
  <si>
    <t>Epalze Fren</t>
  </si>
  <si>
    <t>Burn</t>
  </si>
  <si>
    <t>Eligiant</t>
  </si>
  <si>
    <t>Toxitic Mash</t>
  </si>
  <si>
    <t>Monstercat</t>
  </si>
  <si>
    <t>Azura</t>
  </si>
  <si>
    <t>xKore - Steampunk (Edit)</t>
  </si>
  <si>
    <t>The Lost Faith</t>
  </si>
  <si>
    <t>LP - Plunder the Galaxy</t>
  </si>
  <si>
    <t>Ascent</t>
  </si>
  <si>
    <t>prompt</t>
  </si>
  <si>
    <t>Asterios</t>
  </si>
  <si>
    <t>Nostalgic Journey</t>
  </si>
  <si>
    <t>Singularity</t>
  </si>
  <si>
    <t>SubNautic</t>
  </si>
  <si>
    <t>Amadei</t>
  </si>
  <si>
    <t>Myriad (Original Mix)</t>
  </si>
  <si>
    <t>Ultra violence</t>
  </si>
  <si>
    <t>ELEPS - POWERSOUND (DUBSTEP)</t>
  </si>
  <si>
    <t>Clown Party</t>
  </si>
  <si>
    <t>greXxio</t>
  </si>
  <si>
    <t>Azure Fiesta</t>
  </si>
  <si>
    <t>IAHN - Summer Vacation (Original Mix)</t>
  </si>
  <si>
    <t>Toxin</t>
  </si>
  <si>
    <t>PERIHELION</t>
  </si>
  <si>
    <t>Forgathering Firefly</t>
  </si>
  <si>
    <t>Magnetic Boost</t>
  </si>
  <si>
    <t>Teminite - Work</t>
  </si>
  <si>
    <t>Tempest Tornado</t>
  </si>
  <si>
    <t>ColorBolt</t>
  </si>
  <si>
    <t>The Golden</t>
  </si>
  <si>
    <t>BoBoBoBoBoBoBo</t>
  </si>
  <si>
    <t>Mr CrazyHands</t>
  </si>
  <si>
    <t>Up Up Up</t>
  </si>
  <si>
    <t>TheRealShun</t>
  </si>
  <si>
    <t>Auto</t>
  </si>
  <si>
    <t>KerryTheLevel</t>
  </si>
  <si>
    <t>KerryTheBall</t>
  </si>
  <si>
    <t>Obsolete Sky</t>
  </si>
  <si>
    <t>alpha</t>
  </si>
  <si>
    <t>Vibrant Imagination</t>
  </si>
  <si>
    <t>??? [Little Musician]</t>
  </si>
  <si>
    <t>Colorythm</t>
  </si>
  <si>
    <t>Gepsoni4</t>
  </si>
  <si>
    <t>HOME47</t>
  </si>
  <si>
    <t>-Bass Terror-</t>
  </si>
  <si>
    <t>Sleepless</t>
  </si>
  <si>
    <t>Acu</t>
  </si>
  <si>
    <t>Hydration</t>
  </si>
  <si>
    <t>Exylem</t>
  </si>
  <si>
    <t>Undr Attac</t>
  </si>
  <si>
    <t>Phantasm</t>
  </si>
  <si>
    <t>The 29</t>
  </si>
  <si>
    <t>prowling depths</t>
  </si>
  <si>
    <t>Ecila</t>
  </si>
  <si>
    <t>-Precarious-</t>
  </si>
  <si>
    <t>Surge of the Shield</t>
  </si>
  <si>
    <t>MADKID - Rise (The Rising Of The Shield Hero OP) [Tennobyte Remix]</t>
  </si>
  <si>
    <t>RetroActive</t>
  </si>
  <si>
    <t>Abstraction</t>
  </si>
  <si>
    <t>Subvert</t>
  </si>
  <si>
    <t>Wildfire</t>
  </si>
  <si>
    <t>Hateful Reflection</t>
  </si>
  <si>
    <t>GD Iris</t>
  </si>
  <si>
    <t>The Chosen One</t>
  </si>
  <si>
    <t>DarinLou</t>
  </si>
  <si>
    <t>TheFatRat &amp; Anna Yvette &amp; Laura Brehm - Chosen</t>
  </si>
  <si>
    <t>Leyak</t>
  </si>
  <si>
    <t>Helvetican - Bufu</t>
  </si>
  <si>
    <t>Arre Toro</t>
  </si>
  <si>
    <t>16lord</t>
  </si>
  <si>
    <t>Fabricated Thoughts</t>
  </si>
  <si>
    <t>anthropomorphosis</t>
  </si>
  <si>
    <t>The Brink</t>
  </si>
  <si>
    <t>griffyn87</t>
  </si>
  <si>
    <t>Canonblade - The Edge</t>
  </si>
  <si>
    <t>Veritas Mentis</t>
  </si>
  <si>
    <t>Outside</t>
  </si>
  <si>
    <t>Zukira - Outside World</t>
  </si>
  <si>
    <t>Rawin</t>
  </si>
  <si>
    <t>LIT 2</t>
  </si>
  <si>
    <t>oneye5</t>
  </si>
  <si>
    <t>Geoxor - Cheese</t>
  </si>
  <si>
    <t>Intershock</t>
  </si>
  <si>
    <t>Thumper</t>
  </si>
  <si>
    <t>-Thumper-</t>
  </si>
  <si>
    <t>Awaiting Blizzard</t>
  </si>
  <si>
    <t>Coringa</t>
  </si>
  <si>
    <t>Law of the Jungle</t>
  </si>
  <si>
    <t>Techno Punk</t>
  </si>
  <si>
    <t>Oyasumi Nasai</t>
  </si>
  <si>
    <t>The Valley of Souls</t>
  </si>
  <si>
    <t>The Factory</t>
  </si>
  <si>
    <t>Groovin Astronaut</t>
  </si>
  <si>
    <t>kr1t</t>
  </si>
  <si>
    <t>Dancing Moonman</t>
  </si>
  <si>
    <t>FANCY me an OBJECT</t>
  </si>
  <si>
    <t>Wondrous Trek</t>
  </si>
  <si>
    <t>What is it</t>
  </si>
  <si>
    <t>Booglee</t>
  </si>
  <si>
    <t>Experimental Demo Age (OUT NOW!)</t>
  </si>
  <si>
    <t>BYE</t>
  </si>
  <si>
    <t>Medley</t>
  </si>
  <si>
    <t>Igno</t>
  </si>
  <si>
    <t>deep</t>
  </si>
  <si>
    <t>buoGrOsSo777</t>
  </si>
  <si>
    <t>Beetle</t>
  </si>
  <si>
    <t>Edge of the Blade</t>
  </si>
  <si>
    <t>eiruni</t>
  </si>
  <si>
    <t>Edge of the Sword</t>
  </si>
  <si>
    <t>Strong Work</t>
  </si>
  <si>
    <t>potal</t>
  </si>
  <si>
    <t>Halibut Cannon</t>
  </si>
  <si>
    <t>{dj-N} Final Theory</t>
  </si>
  <si>
    <t>On Pointe RM</t>
  </si>
  <si>
    <t>Inoculist</t>
  </si>
  <si>
    <t>The Witch Burns Herself</t>
  </si>
  <si>
    <t>ProGramX</t>
  </si>
  <si>
    <t>Reprocess</t>
  </si>
  <si>
    <t>Emitter</t>
  </si>
  <si>
    <t>Apollo</t>
  </si>
  <si>
    <t>NubScrub</t>
  </si>
  <si>
    <t>Pandemonium</t>
  </si>
  <si>
    <t>wawa</t>
  </si>
  <si>
    <t>PokeChatt</t>
  </si>
  <si>
    <t>Hub</t>
  </si>
  <si>
    <t>IO</t>
  </si>
  <si>
    <t>Interphase</t>
  </si>
  <si>
    <t>Legends of Magic</t>
  </si>
  <si>
    <t>Piercing Shot</t>
  </si>
  <si>
    <t>Lightmare</t>
  </si>
  <si>
    <t>Creo - Lightmare</t>
  </si>
  <si>
    <t>arcane ascent</t>
  </si>
  <si>
    <t>Hyper Paradox</t>
  </si>
  <si>
    <t>Veirron</t>
  </si>
  <si>
    <t>Metamorphosis</t>
  </si>
  <si>
    <t>Daybreak</t>
  </si>
  <si>
    <t>Fingerdash V4</t>
  </si>
  <si>
    <t>HugusTheNoob</t>
  </si>
  <si>
    <t>Inflective</t>
  </si>
  <si>
    <t>Creo - Reflections</t>
  </si>
  <si>
    <t>Ourwa</t>
  </si>
  <si>
    <t>Demishio</t>
  </si>
  <si>
    <t>Blaze Up</t>
  </si>
  <si>
    <t>Tabun</t>
  </si>
  <si>
    <t>BMus &amp; Corkscrew - Soulblaze</t>
  </si>
  <si>
    <t>Crystal Shade</t>
  </si>
  <si>
    <t>GrenadeofTacos</t>
  </si>
  <si>
    <t>Glowing Bliss</t>
  </si>
  <si>
    <t>KCorp</t>
  </si>
  <si>
    <t>{dj-N} Always Here 3 [preview]</t>
  </si>
  <si>
    <t>Ionize</t>
  </si>
  <si>
    <t>Emerald</t>
  </si>
  <si>
    <t>Utopia III</t>
  </si>
  <si>
    <t>Cloudier - FEAR;life</t>
  </si>
  <si>
    <t>Smile</t>
  </si>
  <si>
    <t>Nikce</t>
  </si>
  <si>
    <t>Go Longer</t>
  </si>
  <si>
    <t>Edens Blessing</t>
  </si>
  <si>
    <t>xi - Halcyon (Miyolophone arr.)</t>
  </si>
  <si>
    <t>Digital World</t>
  </si>
  <si>
    <t>ColBreakz - You &amp; Me</t>
  </si>
  <si>
    <t>steel step</t>
  </si>
  <si>
    <t>Eidolon Step</t>
  </si>
  <si>
    <t>Claim Our Throne</t>
  </si>
  <si>
    <t>DYZEX</t>
  </si>
  <si>
    <t>TheFatRat - Rise Up</t>
  </si>
  <si>
    <t>Smeket</t>
  </si>
  <si>
    <t>SylvenoX</t>
  </si>
  <si>
    <t>HADRON COLLIDER</t>
  </si>
  <si>
    <t>swwft</t>
  </si>
  <si>
    <t>Uranium</t>
  </si>
  <si>
    <t>Time Decay</t>
  </si>
  <si>
    <t>Malediction</t>
  </si>
  <si>
    <t>Elevator</t>
  </si>
  <si>
    <t>Havoc</t>
  </si>
  <si>
    <t>Twisted Vision</t>
  </si>
  <si>
    <t>Party Time</t>
  </si>
  <si>
    <t>Mela Succulenta</t>
  </si>
  <si>
    <t>Classic Pursuit</t>
  </si>
  <si>
    <t>Machinery</t>
  </si>
  <si>
    <t>Lorserix</t>
  </si>
  <si>
    <t>Exertion</t>
  </si>
  <si>
    <t>DubstepFanatic</t>
  </si>
  <si>
    <t>MINDBREAKER</t>
  </si>
  <si>
    <t>Discovery</t>
  </si>
  <si>
    <t>ectoplasm</t>
  </si>
  <si>
    <t>Alphirox</t>
  </si>
  <si>
    <t>The Controller</t>
  </si>
  <si>
    <t>Vilms</t>
  </si>
  <si>
    <t>Invader</t>
  </si>
  <si>
    <t>demonpct speedrun</t>
  </si>
  <si>
    <t>Kingoo</t>
  </si>
  <si>
    <t>Evil Yeeter</t>
  </si>
  <si>
    <t>ZubwaR</t>
  </si>
  <si>
    <t>Warp</t>
  </si>
  <si>
    <t>Lixars</t>
  </si>
  <si>
    <t>Homecoming</t>
  </si>
  <si>
    <t>Seokso</t>
  </si>
  <si>
    <t>Home</t>
  </si>
  <si>
    <t>ikaros</t>
  </si>
  <si>
    <t>Pavlaxan</t>
  </si>
  <si>
    <t>Breakthrough (Original Mix)</t>
  </si>
  <si>
    <t>LSD</t>
  </si>
  <si>
    <t>TANTRUM</t>
  </si>
  <si>
    <t>A m i r u</t>
  </si>
  <si>
    <t>IZann</t>
  </si>
  <si>
    <t>Geoxor - Nana</t>
  </si>
  <si>
    <t>Akhmeti</t>
  </si>
  <si>
    <t>The Antagonist</t>
  </si>
  <si>
    <t>Talurre - Starfall</t>
  </si>
  <si>
    <t>SIGSEGV</t>
  </si>
  <si>
    <t>ThermoDynamiX</t>
  </si>
  <si>
    <t>kentik</t>
  </si>
  <si>
    <t>dalessia</t>
  </si>
  <si>
    <t>Digital Zafiro</t>
  </si>
  <si>
    <t>xToxiKGD</t>
  </si>
  <si>
    <t>Sharks &amp; modus - Prism</t>
  </si>
  <si>
    <t>Flux</t>
  </si>
  <si>
    <t>Tahsen</t>
  </si>
  <si>
    <t>Panda Eyes - Back Again</t>
  </si>
  <si>
    <t>Synchronize</t>
  </si>
  <si>
    <t>Zenthimegal</t>
  </si>
  <si>
    <t>Sharks - Embers</t>
  </si>
  <si>
    <t>Voices In My Head II</t>
  </si>
  <si>
    <t>SkCray Ace</t>
  </si>
  <si>
    <t>Sandopolis</t>
  </si>
  <si>
    <t>GaMetal - Oil Ocean Zone</t>
  </si>
  <si>
    <t>Fur Elise</t>
  </si>
  <si>
    <t>Fr Elise</t>
  </si>
  <si>
    <t>Tropical Thunder</t>
  </si>
  <si>
    <t>CONK</t>
  </si>
  <si>
    <t>Biohazard</t>
  </si>
  <si>
    <t>Pokemon Uranium - Nuclear Plant Zeta (Remix)</t>
  </si>
  <si>
    <t>GLITAAHHHH</t>
  </si>
  <si>
    <t>Glittering Shores</t>
  </si>
  <si>
    <t>velocity</t>
  </si>
  <si>
    <t>goodnight</t>
  </si>
  <si>
    <t>The Dread Bots</t>
  </si>
  <si>
    <t>HyoJung</t>
  </si>
  <si>
    <t>wily</t>
  </si>
  <si>
    <t>-Fuzzy-</t>
  </si>
  <si>
    <t>Eternelle Vehemence</t>
  </si>
  <si>
    <t>Panda Eyes - Anybody Else</t>
  </si>
  <si>
    <t>Upbeat Universe</t>
  </si>
  <si>
    <t>cYsmix - House with Legs</t>
  </si>
  <si>
    <t>elo2</t>
  </si>
  <si>
    <t>ClutterX</t>
  </si>
  <si>
    <t>Excision</t>
  </si>
  <si>
    <t>Chiptune Avenue</t>
  </si>
  <si>
    <t>In Limbo</t>
  </si>
  <si>
    <t>Alpha Baa X</t>
  </si>
  <si>
    <t>Occult Outcry</t>
  </si>
  <si>
    <t>Falling Skies</t>
  </si>
  <si>
    <t>Broken Reality</t>
  </si>
  <si>
    <t>Alphanetic</t>
  </si>
  <si>
    <t>Jeb Bush</t>
  </si>
  <si>
    <t>ItsXZ</t>
  </si>
  <si>
    <t>Molten Gear</t>
  </si>
  <si>
    <t>toxic sewage</t>
  </si>
  <si>
    <t>reminiscence</t>
  </si>
  <si>
    <t>{dj-N} Theory of Everything 2 (FULL)</t>
  </si>
  <si>
    <t>Evangelion</t>
  </si>
  <si>
    <t>Yoonsr</t>
  </si>
  <si>
    <t>Evangelion Theme Remix</t>
  </si>
  <si>
    <t>SWWFTCAPSLOCK</t>
  </si>
  <si>
    <t>One Space</t>
  </si>
  <si>
    <t>Nefarious</t>
  </si>
  <si>
    <t>BlitzW0lf</t>
  </si>
  <si>
    <t>Crunchier Apple</t>
  </si>
  <si>
    <t>JumpingTheory</t>
  </si>
  <si>
    <t>ValkyriE</t>
  </si>
  <si>
    <t>ValkyrieMaster</t>
  </si>
  <si>
    <t>ColossatroN</t>
  </si>
  <si>
    <t>Radiance</t>
  </si>
  <si>
    <t>Nidroo</t>
  </si>
  <si>
    <t>Spectral Decadence</t>
  </si>
  <si>
    <t>Phosbat Cave</t>
  </si>
  <si>
    <t>DownStop</t>
  </si>
  <si>
    <t>Speedoru</t>
  </si>
  <si>
    <t>ne0n</t>
  </si>
  <si>
    <t>Mass Extinction</t>
  </si>
  <si>
    <t>Protoss</t>
  </si>
  <si>
    <t>watch and learn</t>
  </si>
  <si>
    <t>The Lonely Space Cadet</t>
  </si>
  <si>
    <t>DEAD BEAT</t>
  </si>
  <si>
    <t>Japan Modern Thing</t>
  </si>
  <si>
    <t>Octarine</t>
  </si>
  <si>
    <t>Szilu</t>
  </si>
  <si>
    <t>Everlasting</t>
  </si>
  <si>
    <t>downside city</t>
  </si>
  <si>
    <t>20 - Harder Better Faster Stronger (Daft Punk)</t>
  </si>
  <si>
    <t>Obelisk</t>
  </si>
  <si>
    <t>Burnt Toast II</t>
  </si>
  <si>
    <t>Split72</t>
  </si>
  <si>
    <t>magical symphony</t>
  </si>
  <si>
    <t>Vfighter</t>
  </si>
  <si>
    <t>Mitery System</t>
  </si>
  <si>
    <t>icewither</t>
  </si>
  <si>
    <t>Outlive</t>
  </si>
  <si>
    <t>Ballistic</t>
  </si>
  <si>
    <t>Blix0</t>
  </si>
  <si>
    <t>NEon</t>
  </si>
  <si>
    <t>LightningSL</t>
  </si>
  <si>
    <t>The Ultimate Show Remix</t>
  </si>
  <si>
    <t>Crystal Peak</t>
  </si>
  <si>
    <t>CameronDane</t>
  </si>
  <si>
    <t>COLOR MASH</t>
  </si>
  <si>
    <t>Section</t>
  </si>
  <si>
    <t>guppy28</t>
  </si>
  <si>
    <t>Spitfya &amp; Desembra - Cut The Check</t>
  </si>
  <si>
    <t>BAJIC</t>
  </si>
  <si>
    <t>Worz</t>
  </si>
  <si>
    <t>One PopCorn Plz</t>
  </si>
  <si>
    <t>NitSel</t>
  </si>
  <si>
    <t>Punyaso - Popcorn</t>
  </si>
  <si>
    <t>BlooDrop</t>
  </si>
  <si>
    <t>Vairo - Row</t>
  </si>
  <si>
    <t>Cerulean Blue</t>
  </si>
  <si>
    <t>Ninox</t>
  </si>
  <si>
    <t>Sewer Speedway</t>
  </si>
  <si>
    <t>Memory Leak</t>
  </si>
  <si>
    <t>Question Everything</t>
  </si>
  <si>
    <t>cement</t>
  </si>
  <si>
    <t>dont</t>
  </si>
  <si>
    <t>Ancient Future</t>
  </si>
  <si>
    <t>Diligence</t>
  </si>
  <si>
    <t>Davphla</t>
  </si>
  <si>
    <t>Exit This Earths Atomosphere</t>
  </si>
  <si>
    <t>Faith</t>
  </si>
  <si>
    <t>ZeroSR</t>
  </si>
  <si>
    <t>Reverie</t>
  </si>
  <si>
    <t>gaidenhertuny</t>
  </si>
  <si>
    <t>Absolute Zero</t>
  </si>
  <si>
    <t>The Greatest</t>
  </si>
  <si>
    <t>Grenate</t>
  </si>
  <si>
    <t>Chromatic Cascade</t>
  </si>
  <si>
    <t>hiavl</t>
  </si>
  <si>
    <t>Elevatia</t>
  </si>
  <si>
    <t>Pride</t>
  </si>
  <si>
    <t>Sakura</t>
  </si>
  <si>
    <t>Virtual Collapse</t>
  </si>
  <si>
    <t>Cosmic Creamer</t>
  </si>
  <si>
    <t>Kasrat</t>
  </si>
  <si>
    <t>Aqualime</t>
  </si>
  <si>
    <t>ANYBODY</t>
  </si>
  <si>
    <t>Sneakyx</t>
  </si>
  <si>
    <t>Interminable</t>
  </si>
  <si>
    <t>IIAnubisI</t>
  </si>
  <si>
    <t>Teminite - Break Free</t>
  </si>
  <si>
    <t>The Monitor</t>
  </si>
  <si>
    <t>Light Travel</t>
  </si>
  <si>
    <t>{Salvation}</t>
  </si>
  <si>
    <t>Vinity</t>
  </si>
  <si>
    <t>NotTeddy</t>
  </si>
  <si>
    <t>Our Finger Is Craze</t>
  </si>
  <si>
    <t>the far sky</t>
  </si>
  <si>
    <t>NaneSae</t>
  </si>
  <si>
    <t>Zap</t>
  </si>
  <si>
    <t>Redeilia - Incendiary</t>
  </si>
  <si>
    <t>Fire and Blaze</t>
  </si>
  <si>
    <t>Eden (Beyond Paradise LP)</t>
  </si>
  <si>
    <t>Dim Distorsionada</t>
  </si>
  <si>
    <t>IDegelI</t>
  </si>
  <si>
    <t>SmK - Hybrid</t>
  </si>
  <si>
    <t>Tychogen</t>
  </si>
  <si>
    <t>HaryantoGD</t>
  </si>
  <si>
    <t>Kalos</t>
  </si>
  <si>
    <t>Caspri</t>
  </si>
  <si>
    <t>Mystical Forest (1f1n1ty Mini Remix)</t>
  </si>
  <si>
    <t>Sigma Interface</t>
  </si>
  <si>
    <t>Amaryllis - Hiver</t>
  </si>
  <si>
    <t>Codependence</t>
  </si>
  <si>
    <t>Yuh</t>
  </si>
  <si>
    <t>Season Travel</t>
  </si>
  <si>
    <t>To The Moon</t>
  </si>
  <si>
    <t>Nana</t>
  </si>
  <si>
    <t>Kaleidoscopic</t>
  </si>
  <si>
    <t>Gyration</t>
  </si>
  <si>
    <t>Skrypto</t>
  </si>
  <si>
    <t>Tenth Circle</t>
  </si>
  <si>
    <t>Arkady Ukupnik - Ill Never Marry You (DJ Koko Remix)</t>
  </si>
  <si>
    <t>Kimura</t>
  </si>
  <si>
    <t>Unstoppable</t>
  </si>
  <si>
    <t>gatitos0w0</t>
  </si>
  <si>
    <t>Free stars</t>
  </si>
  <si>
    <t>Evil Gameboy</t>
  </si>
  <si>
    <t>Djman13</t>
  </si>
  <si>
    <t>Kirzok</t>
  </si>
  <si>
    <t>The Bandere</t>
  </si>
  <si>
    <t>Bassgasm</t>
  </si>
  <si>
    <t>to the moon</t>
  </si>
  <si>
    <t>soda2D</t>
  </si>
  <si>
    <t>ShockWave</t>
  </si>
  <si>
    <t>xDon</t>
  </si>
  <si>
    <t>DisKOTekA KreVetKa</t>
  </si>
  <si>
    <t>Sea</t>
  </si>
  <si>
    <t>TheFatRat &amp; Phaera - Sunlight</t>
  </si>
  <si>
    <t>Void</t>
  </si>
  <si>
    <t>4thColor</t>
  </si>
  <si>
    <t>Purgatori</t>
  </si>
  <si>
    <t>SAVE AS</t>
  </si>
  <si>
    <t>THE NOISE EXPERIMENT</t>
  </si>
  <si>
    <t>Cybercolossus</t>
  </si>
  <si>
    <t>Caution</t>
  </si>
  <si>
    <t>JustaGDplay3r</t>
  </si>
  <si>
    <t>Xtrullor - Attention</t>
  </si>
  <si>
    <t>Then</t>
  </si>
  <si>
    <t>Astriiix</t>
  </si>
  <si>
    <t>SoAp OpErA</t>
  </si>
  <si>
    <t>Creo - Dark Tides</t>
  </si>
  <si>
    <t>Infestation</t>
  </si>
  <si>
    <t>Pyxidus</t>
  </si>
  <si>
    <t>fangs on the earth</t>
  </si>
  <si>
    <t>CocoXs32</t>
  </si>
  <si>
    <t>Trance Turnabout</t>
  </si>
  <si>
    <t>Starlight Storm</t>
  </si>
  <si>
    <t>BibbyDib111</t>
  </si>
  <si>
    <t>Shaking</t>
  </si>
  <si>
    <t>Thanatophobia</t>
  </si>
  <si>
    <t>The Experiment</t>
  </si>
  <si>
    <t>Lucid Chaos</t>
  </si>
  <si>
    <t>Remonstrance</t>
  </si>
  <si>
    <t>BlasterRobotz</t>
  </si>
  <si>
    <t>Talurre - Ascending</t>
  </si>
  <si>
    <t>A new Cataclysm</t>
  </si>
  <si>
    <t>permafrost village</t>
  </si>
  <si>
    <t>FyreDragan</t>
  </si>
  <si>
    <t>chim ii</t>
  </si>
  <si>
    <t>MazZedy</t>
  </si>
  <si>
    <t>The Overseers II</t>
  </si>
  <si>
    <t>stratos2596</t>
  </si>
  <si>
    <t>Astral Defender</t>
  </si>
  <si>
    <t>Different Descent</t>
  </si>
  <si>
    <t>Danke</t>
  </si>
  <si>
    <t>HellTaker</t>
  </si>
  <si>
    <t>Vitality [Remix]</t>
  </si>
  <si>
    <t>Tsushima</t>
  </si>
  <si>
    <t>Chromatic Haze</t>
  </si>
  <si>
    <t>DISCO BLITZ</t>
  </si>
  <si>
    <t>Cellar Door</t>
  </si>
  <si>
    <t>Kolossus</t>
  </si>
  <si>
    <t>Surge of Renewal</t>
  </si>
  <si>
    <t>Suixam</t>
  </si>
  <si>
    <t>Bee</t>
  </si>
  <si>
    <t>glizzy</t>
  </si>
  <si>
    <t>The Helltaker</t>
  </si>
  <si>
    <t>Hantein</t>
  </si>
  <si>
    <t>Metro Realm</t>
  </si>
  <si>
    <t>zer0</t>
  </si>
  <si>
    <t>Samuraychik</t>
  </si>
  <si>
    <t>Rocket Punch</t>
  </si>
  <si>
    <t>Apex Predator</t>
  </si>
  <si>
    <t>Change</t>
  </si>
  <si>
    <t>GeothermaL</t>
  </si>
  <si>
    <t>Tirr</t>
  </si>
  <si>
    <t>Sundivine - Party Hard (Lockyn Remix)</t>
  </si>
  <si>
    <t>Pulverizery</t>
  </si>
  <si>
    <t>Keeper of The Dark</t>
  </si>
  <si>
    <t>Lambda</t>
  </si>
  <si>
    <t>Tchotchke</t>
  </si>
  <si>
    <t>~:Fallen Skies:~</t>
  </si>
  <si>
    <t>RGB</t>
  </si>
  <si>
    <t>resurrection</t>
  </si>
  <si>
    <t>endevvor</t>
  </si>
  <si>
    <t>Gamut</t>
  </si>
  <si>
    <t>iITesseractIi</t>
  </si>
  <si>
    <t>Paper Skies - Flare</t>
  </si>
  <si>
    <t>Mystical Myth</t>
  </si>
  <si>
    <t>Quantum</t>
  </si>
  <si>
    <t>Sparkling Hope</t>
  </si>
  <si>
    <t>Vadi</t>
  </si>
  <si>
    <t>~NK~ Drumstep wip</t>
  </si>
  <si>
    <t>gleam</t>
  </si>
  <si>
    <t>StarMiki</t>
  </si>
  <si>
    <t>Hyper Beam</t>
  </si>
  <si>
    <t>Domain</t>
  </si>
  <si>
    <t>Koraii - Forerunner</t>
  </si>
  <si>
    <t>ADAMANTIUM CORE</t>
  </si>
  <si>
    <t>iB</t>
  </si>
  <si>
    <t>Persona Masquerade</t>
  </si>
  <si>
    <t>Jive</t>
  </si>
  <si>
    <t>Toughfey</t>
  </si>
  <si>
    <t>A Truly Smashing Journey</t>
  </si>
  <si>
    <t>Lunatic Reality</t>
  </si>
  <si>
    <t>Fugazeta</t>
  </si>
  <si>
    <t>Avoid</t>
  </si>
  <si>
    <t>Whispers Abyss</t>
  </si>
  <si>
    <t>DECI</t>
  </si>
  <si>
    <t>NukeIIX</t>
  </si>
  <si>
    <t>Doctor Thunder - 2020 Remaster</t>
  </si>
  <si>
    <t>Concatenation</t>
  </si>
  <si>
    <t>Rullstol</t>
  </si>
  <si>
    <t>Mirage</t>
  </si>
  <si>
    <t>Want Me</t>
  </si>
  <si>
    <t>Lights</t>
  </si>
  <si>
    <t>epilogue</t>
  </si>
  <si>
    <t>white women</t>
  </si>
  <si>
    <t>Zambi - Unnamed Garbagio</t>
  </si>
  <si>
    <t>STARPUNK</t>
  </si>
  <si>
    <t>WALKMAN</t>
  </si>
  <si>
    <t>Missile Monsoon</t>
  </si>
  <si>
    <t>go go</t>
  </si>
  <si>
    <t>Walkman</t>
  </si>
  <si>
    <t>Nebula20</t>
  </si>
  <si>
    <t>LifeLock</t>
  </si>
  <si>
    <t>SyreNide</t>
  </si>
  <si>
    <t>Fast Dance</t>
  </si>
  <si>
    <t>-Body Jammer-</t>
  </si>
  <si>
    <t>c s q n</t>
  </si>
  <si>
    <t>Nova Teknologi</t>
  </si>
  <si>
    <t>Zing</t>
  </si>
  <si>
    <t>Alkazam</t>
  </si>
  <si>
    <t>Origin</t>
  </si>
  <si>
    <t>Metropolis</t>
  </si>
  <si>
    <t>Zip</t>
  </si>
  <si>
    <t>Americat5</t>
  </si>
  <si>
    <t>Chipper Stroll</t>
  </si>
  <si>
    <t>Cursed Nightmare</t>
  </si>
  <si>
    <t>Through</t>
  </si>
  <si>
    <t>Walkaround</t>
  </si>
  <si>
    <t>The Cult of Olympia</t>
  </si>
  <si>
    <t>Xtrullor - Terran Era</t>
  </si>
  <si>
    <t>Vesperi</t>
  </si>
  <si>
    <t>Diabeticus</t>
  </si>
  <si>
    <t>endK - Midnight Chariots</t>
  </si>
  <si>
    <t>well being spot</t>
  </si>
  <si>
    <t>Tempo</t>
  </si>
  <si>
    <t>An Ode to Time</t>
  </si>
  <si>
    <t>Beethoven - Moonlight Sonata 3rd Movement (meganeko remix)</t>
  </si>
  <si>
    <t>Cosmic RampaGe</t>
  </si>
  <si>
    <t>JHYMHMHY</t>
  </si>
  <si>
    <t>Spitfya - Left Behind (Original Mix)</t>
  </si>
  <si>
    <t>Disentombed</t>
  </si>
  <si>
    <t>Xtrullor - Paradigm Shift</t>
  </si>
  <si>
    <t>Cryogenic Haze</t>
  </si>
  <si>
    <t>HugoLA</t>
  </si>
  <si>
    <t>Halberd</t>
  </si>
  <si>
    <t>notlsa</t>
  </si>
  <si>
    <t>Meta Knights Revenge</t>
  </si>
  <si>
    <t>Xtari I</t>
  </si>
  <si>
    <t>Komatic5</t>
  </si>
  <si>
    <t>DOLBIT NORMALNO</t>
  </si>
  <si>
    <t>MegaSphere &amp; Crankshaft - The One Who Really Knows</t>
  </si>
  <si>
    <t>Shaolin Showdown</t>
  </si>
  <si>
    <t>Eraser Data</t>
  </si>
  <si>
    <t>Selket</t>
  </si>
  <si>
    <t>Droppy</t>
  </si>
  <si>
    <t>FWLR - Darkness</t>
  </si>
  <si>
    <t>Double Trouble</t>
  </si>
  <si>
    <t>Trouble</t>
  </si>
  <si>
    <t>reverence</t>
  </si>
  <si>
    <t>Artificial Calamity</t>
  </si>
  <si>
    <t>Humans (Far Out Remix)</t>
  </si>
  <si>
    <t>Optimum</t>
  </si>
  <si>
    <t>Ajedaboss</t>
  </si>
  <si>
    <t>Based</t>
  </si>
  <si>
    <t>Digithreat</t>
  </si>
  <si>
    <t>CHUZA</t>
  </si>
  <si>
    <t>Karma</t>
  </si>
  <si>
    <t>FROST SPIRE</t>
  </si>
  <si>
    <t>Betrayal of Destiny</t>
  </si>
  <si>
    <t>Aphectry</t>
  </si>
  <si>
    <t>NG+</t>
  </si>
  <si>
    <t>Thermal blast</t>
  </si>
  <si>
    <t>Rekeyame</t>
  </si>
  <si>
    <t>Maxos9Gang</t>
  </si>
  <si>
    <t>free level</t>
  </si>
  <si>
    <t>The echos</t>
  </si>
  <si>
    <t>2 1 1</t>
  </si>
  <si>
    <t>Better Than Reality</t>
  </si>
  <si>
    <t>BETTER THAN REALITY</t>
  </si>
  <si>
    <t>Galactica</t>
  </si>
  <si>
    <t>1u49</t>
  </si>
  <si>
    <t>75th</t>
  </si>
  <si>
    <t>ElectroBoy2217</t>
  </si>
  <si>
    <t>Rush Launch</t>
  </si>
  <si>
    <t>Lyze</t>
  </si>
  <si>
    <t>GDNeoz</t>
  </si>
  <si>
    <t>Omorfia</t>
  </si>
  <si>
    <t>Wait for Me</t>
  </si>
  <si>
    <t>Beyond</t>
  </si>
  <si>
    <t>Jumper - Cloud Haven</t>
  </si>
  <si>
    <t>Danaes Button</t>
  </si>
  <si>
    <t>Ares</t>
  </si>
  <si>
    <t>Graded</t>
  </si>
  <si>
    <t>Kailacrit</t>
  </si>
  <si>
    <t>alika</t>
  </si>
  <si>
    <t>Coronavirus</t>
  </si>
  <si>
    <t>SSamurai</t>
  </si>
  <si>
    <t>Sminx Squad</t>
  </si>
  <si>
    <t>Floppy</t>
  </si>
  <si>
    <t>Bit Byte</t>
  </si>
  <si>
    <t>SoDaZ</t>
  </si>
  <si>
    <t>ParagonX9 - Metropolis [8-Bit]</t>
  </si>
  <si>
    <t>iX</t>
  </si>
  <si>
    <t>Akasha</t>
  </si>
  <si>
    <t>Magic fire</t>
  </si>
  <si>
    <t>Shibui</t>
  </si>
  <si>
    <t>Xanii</t>
  </si>
  <si>
    <t>apopopop</t>
  </si>
  <si>
    <t>Glome</t>
  </si>
  <si>
    <t>Creo - Glome</t>
  </si>
  <si>
    <t>City Rush</t>
  </si>
  <si>
    <t>Miss Flora</t>
  </si>
  <si>
    <t>Deep Swim</t>
  </si>
  <si>
    <t>GMDBlue</t>
  </si>
  <si>
    <t>Windows96 - Deep Swim</t>
  </si>
  <si>
    <t>Serpents Wrath</t>
  </si>
  <si>
    <t>Forbidden Isle</t>
  </si>
  <si>
    <t>Skype</t>
  </si>
  <si>
    <t>FireCat</t>
  </si>
  <si>
    <t>Teminite &amp; Whales - Mayhem</t>
  </si>
  <si>
    <t>Dysprosium</t>
  </si>
  <si>
    <t>Fnafbass</t>
  </si>
  <si>
    <t>Fawxu</t>
  </si>
  <si>
    <t>TAO</t>
  </si>
  <si>
    <t>Trimatic</t>
  </si>
  <si>
    <t>Vexowy</t>
  </si>
  <si>
    <t>Avalanche</t>
  </si>
  <si>
    <t>Only Now</t>
  </si>
  <si>
    <t>Seven Lions - Only Now (Paper Skies x Soar x Lite Remix)</t>
  </si>
  <si>
    <t>Auroral Darkness</t>
  </si>
  <si>
    <t>Thunderzone</t>
  </si>
  <si>
    <t>Cersia</t>
  </si>
  <si>
    <t>Ballistic Funk</t>
  </si>
  <si>
    <t>Cyber Illusion</t>
  </si>
  <si>
    <t>Twist it</t>
  </si>
  <si>
    <t>Planetary Sector</t>
  </si>
  <si>
    <t>Presta</t>
  </si>
  <si>
    <t>samochreno</t>
  </si>
  <si>
    <t>ImSamo</t>
  </si>
  <si>
    <t>Abaddon (How it Began LP)</t>
  </si>
  <si>
    <t>Lateral Myst</t>
  </si>
  <si>
    <t>Bedrock</t>
  </si>
  <si>
    <t>Lateral Descent</t>
  </si>
  <si>
    <t>Payload v4</t>
  </si>
  <si>
    <t>SlothBlock</t>
  </si>
  <si>
    <t>[ Payload ]</t>
  </si>
  <si>
    <t>Evil Round</t>
  </si>
  <si>
    <t>Moai</t>
  </si>
  <si>
    <t>MOAI</t>
  </si>
  <si>
    <t>Cold Sweat</t>
  </si>
  <si>
    <t>MORE STITCHES ????</t>
  </si>
  <si>
    <t>Nuit orageuse</t>
  </si>
  <si>
    <t>Until Ruins &amp; Spencer Maro - The Path</t>
  </si>
  <si>
    <t>Neonpolis</t>
  </si>
  <si>
    <t>SFW</t>
  </si>
  <si>
    <t>NSFW</t>
  </si>
  <si>
    <t>Shock Breaker</t>
  </si>
  <si>
    <t>Molten Mercury</t>
  </si>
  <si>
    <t>~NK~ "Time Lapse" (Old Track)</t>
  </si>
  <si>
    <t>Reddish</t>
  </si>
  <si>
    <t>jomppegg</t>
  </si>
  <si>
    <t>Leikhpaz II</t>
  </si>
  <si>
    <t>Teslawolf</t>
  </si>
  <si>
    <t>When Atoms Collide</t>
  </si>
  <si>
    <t>Vacuum Wave</t>
  </si>
  <si>
    <t>Moving Up</t>
  </si>
  <si>
    <t>Sir</t>
  </si>
  <si>
    <t>Maxann</t>
  </si>
  <si>
    <t>RaycU</t>
  </si>
  <si>
    <t>Antor</t>
  </si>
  <si>
    <t>TheFatRat - Jackpot</t>
  </si>
  <si>
    <t>hydrogenic Chromiums</t>
  </si>
  <si>
    <t>FloxMi</t>
  </si>
  <si>
    <t>Pericolo</t>
  </si>
  <si>
    <t>zigurt</t>
  </si>
  <si>
    <t>Flocab</t>
  </si>
  <si>
    <t>Ziggurat (Original Mix)</t>
  </si>
  <si>
    <t>Pigstep</t>
  </si>
  <si>
    <t>Coliwog</t>
  </si>
  <si>
    <t>~Pigstep Remix~</t>
  </si>
  <si>
    <t>F-777 - Prism</t>
  </si>
  <si>
    <t>Carcano</t>
  </si>
  <si>
    <t>AUF</t>
  </si>
  <si>
    <t>Njorun</t>
  </si>
  <si>
    <t>gradientxd</t>
  </si>
  <si>
    <t>Z911</t>
  </si>
  <si>
    <t>Insidee</t>
  </si>
  <si>
    <t>sunset</t>
  </si>
  <si>
    <t>Razorhell</t>
  </si>
  <si>
    <t>Emfialomeni Entropia</t>
  </si>
  <si>
    <t>Unbipentium</t>
  </si>
  <si>
    <t>Armadillo Dash</t>
  </si>
  <si>
    <t>TheFatRat - Electrified</t>
  </si>
  <si>
    <t>Zetrallio</t>
  </si>
  <si>
    <t>Sourcream 2</t>
  </si>
  <si>
    <t>Myriad</t>
  </si>
  <si>
    <t>Sonic Unleashed - Windmill Isle [DnB Remix] ????</t>
  </si>
  <si>
    <t>Ferrum Frenzy</t>
  </si>
  <si>
    <t>Xinpa</t>
  </si>
  <si>
    <t>packdotpng</t>
  </si>
  <si>
    <t>Fovea</t>
  </si>
  <si>
    <t>Dienid</t>
  </si>
  <si>
    <t>Sky Tower</t>
  </si>
  <si>
    <t>Akos</t>
  </si>
  <si>
    <t>Intrusion</t>
  </si>
  <si>
    <t>ChiN3x</t>
  </si>
  <si>
    <t>Sloudy</t>
  </si>
  <si>
    <t>IC On</t>
  </si>
  <si>
    <t>MCAASJ</t>
  </si>
  <si>
    <t>Overload</t>
  </si>
  <si>
    <t>Sparkle224</t>
  </si>
  <si>
    <t>Delphic Dive</t>
  </si>
  <si>
    <t>supamarioxx</t>
  </si>
  <si>
    <t>Luminant</t>
  </si>
  <si>
    <t>akinawoo</t>
  </si>
  <si>
    <t>Infinite Earths</t>
  </si>
  <si>
    <t>Gabewb</t>
  </si>
  <si>
    <t>Infinite Realms (Infinite Realms)</t>
  </si>
  <si>
    <t>Motivation</t>
  </si>
  <si>
    <t>Rockwizard5</t>
  </si>
  <si>
    <t>Beyond The Universe [Trance]</t>
  </si>
  <si>
    <t>HEX MASTER</t>
  </si>
  <si>
    <t>Something Distinct</t>
  </si>
  <si>
    <t>PyroGix</t>
  </si>
  <si>
    <t>bichromatic</t>
  </si>
  <si>
    <t>gmdmann</t>
  </si>
  <si>
    <t>Come a Little Closer</t>
  </si>
  <si>
    <t>Catchy Tune</t>
  </si>
  <si>
    <t>Getting Melodies Of My Head</t>
  </si>
  <si>
    <t>levle</t>
  </si>
  <si>
    <t>OliSW</t>
  </si>
  <si>
    <t>Stygian Machinery</t>
  </si>
  <si>
    <t>TeamE12</t>
  </si>
  <si>
    <t>Dystopia [3k EP]</t>
  </si>
  <si>
    <t>BURNOUT</t>
  </si>
  <si>
    <t>Errorwolf</t>
  </si>
  <si>
    <t>Heartbleed (Elipton Remix)</t>
  </si>
  <si>
    <t>Ledge</t>
  </si>
  <si>
    <t>stylish</t>
  </si>
  <si>
    <t>FreakyLibya</t>
  </si>
  <si>
    <t>Exyl &amp; Dalux - Nice Logo</t>
  </si>
  <si>
    <t>Hypnosis</t>
  </si>
  <si>
    <t>AAAAAlex</t>
  </si>
  <si>
    <t>Curl Up</t>
  </si>
  <si>
    <t>Zacarias</t>
  </si>
  <si>
    <t>Sedulous</t>
  </si>
  <si>
    <t>Hype Time</t>
  </si>
  <si>
    <t>VREMYA KHAYPA (????? ?????)</t>
  </si>
  <si>
    <t>ElectroFlux</t>
  </si>
  <si>
    <t>JustJohn</t>
  </si>
  <si>
    <t>Resoust</t>
  </si>
  <si>
    <t>HTigerzGD</t>
  </si>
  <si>
    <t>ELEPS - Galaxy (Dubstep)</t>
  </si>
  <si>
    <t>VVV</t>
  </si>
  <si>
    <t>Dogout</t>
  </si>
  <si>
    <t>Jazzy Jack64</t>
  </si>
  <si>
    <t>Crystal Splash</t>
  </si>
  <si>
    <t>TrueParadoxTeam</t>
  </si>
  <si>
    <t>Wasureta</t>
  </si>
  <si>
    <t>-Cloudburst-</t>
  </si>
  <si>
    <t>Flicker</t>
  </si>
  <si>
    <t>Lasers</t>
  </si>
  <si>
    <t>Dismay</t>
  </si>
  <si>
    <t>ewop</t>
  </si>
  <si>
    <t>Let Her Go</t>
  </si>
  <si>
    <t>Carne Aderunt</t>
  </si>
  <si>
    <t>fantastic dream</t>
  </si>
  <si>
    <t>pyshoGD</t>
  </si>
  <si>
    <t>Kilpac</t>
  </si>
  <si>
    <t>Shulkern</t>
  </si>
  <si>
    <t>Radiancy</t>
  </si>
  <si>
    <t>Initial D - Running in the 90s (Remix)</t>
  </si>
  <si>
    <t>Calamity</t>
  </si>
  <si>
    <t>Awedsy</t>
  </si>
  <si>
    <t>~:Windglass:~</t>
  </si>
  <si>
    <t>Glow melody</t>
  </si>
  <si>
    <t>ZenicAlpha</t>
  </si>
  <si>
    <t>Sayonara</t>
  </si>
  <si>
    <t>Lonely Voyage</t>
  </si>
  <si>
    <t>Courageous</t>
  </si>
  <si>
    <t>Climtic</t>
  </si>
  <si>
    <t>OPAL</t>
  </si>
  <si>
    <t>Key</t>
  </si>
  <si>
    <t>Costume Party</t>
  </si>
  <si>
    <t>rustere</t>
  </si>
  <si>
    <t>Tropicalium</t>
  </si>
  <si>
    <t>Daily Lunch Special</t>
  </si>
  <si>
    <t>Aurum Vitae</t>
  </si>
  <si>
    <t>TeamCoolGD</t>
  </si>
  <si>
    <t>Amuletum</t>
  </si>
  <si>
    <t>Black Silk</t>
  </si>
  <si>
    <t>Caise tupian</t>
  </si>
  <si>
    <t>Spaze - Raw Picture</t>
  </si>
  <si>
    <t>pointzero</t>
  </si>
  <si>
    <t>Digitalight</t>
  </si>
  <si>
    <t>striped thigh highs</t>
  </si>
  <si>
    <t>Meteoric Debris</t>
  </si>
  <si>
    <t>Cybernetic Tech</t>
  </si>
  <si>
    <t>Drop Box</t>
  </si>
  <si>
    <t>DaCooki3</t>
  </si>
  <si>
    <t>Hydrostatic</t>
  </si>
  <si>
    <t>Asuriaa</t>
  </si>
  <si>
    <t>Big Blue Remix (Remake)</t>
  </si>
  <si>
    <t>im god</t>
  </si>
  <si>
    <t>-360- 2milli PART 2</t>
  </si>
  <si>
    <t>Fortune Teller</t>
  </si>
  <si>
    <t>Bloody Tears (Remix)</t>
  </si>
  <si>
    <t>Katrina Harvey</t>
  </si>
  <si>
    <t>Mesin</t>
  </si>
  <si>
    <t>Dark Incantation</t>
  </si>
  <si>
    <t>Futuristic D</t>
  </si>
  <si>
    <t>Balance breaker</t>
  </si>
  <si>
    <t>rZary</t>
  </si>
  <si>
    <t>CastleMania</t>
  </si>
  <si>
    <t>Monstrous Turtles!</t>
  </si>
  <si>
    <t>Apollo 13</t>
  </si>
  <si>
    <t>Daily</t>
  </si>
  <si>
    <t>Gaero - Cobra</t>
  </si>
  <si>
    <t>Capricorn</t>
  </si>
  <si>
    <t>Project Reunion</t>
  </si>
  <si>
    <t>Overtime - remake by Airtime</t>
  </si>
  <si>
    <t>Failure</t>
  </si>
  <si>
    <t>17 Again</t>
  </si>
  <si>
    <t>Lake</t>
  </si>
  <si>
    <t>Heritage</t>
  </si>
  <si>
    <t>MotiVated</t>
  </si>
  <si>
    <t>e0ts</t>
  </si>
  <si>
    <t>Archany</t>
  </si>
  <si>
    <t>fresh</t>
  </si>
  <si>
    <t>rwichy77</t>
  </si>
  <si>
    <t>GLRE - Bloom (Original Mix)</t>
  </si>
  <si>
    <t>Munacra</t>
  </si>
  <si>
    <t>Ping!</t>
  </si>
  <si>
    <t>stranger</t>
  </si>
  <si>
    <t>Viridian Green</t>
  </si>
  <si>
    <t>doominator222</t>
  </si>
  <si>
    <t>Infrananas</t>
  </si>
  <si>
    <t>R</t>
  </si>
  <si>
    <t>SubToJaKalemGD</t>
  </si>
  <si>
    <t>backbeat MANIAC</t>
  </si>
  <si>
    <t>Backbeat Maniac</t>
  </si>
  <si>
    <t>Sun Journey</t>
  </si>
  <si>
    <t>HIGHWAYS</t>
  </si>
  <si>
    <t>Xtrullor - Authority</t>
  </si>
  <si>
    <t>Dream flower</t>
  </si>
  <si>
    <t>Dream Flower (????)</t>
  </si>
  <si>
    <t>Hadronic</t>
  </si>
  <si>
    <t>past</t>
  </si>
  <si>
    <t>Clocktown</t>
  </si>
  <si>
    <t>nolens volens</t>
  </si>
  <si>
    <t>Woof</t>
  </si>
  <si>
    <t>Phaera - Ignition</t>
  </si>
  <si>
    <t>antichamber</t>
  </si>
  <si>
    <t>LavonAffair</t>
  </si>
  <si>
    <t>Arcane</t>
  </si>
  <si>
    <t>qMystic</t>
  </si>
  <si>
    <t>Warak - Reanimate (Remix)</t>
  </si>
  <si>
    <t>Hook echo</t>
  </si>
  <si>
    <t>Hook Echo</t>
  </si>
  <si>
    <t>EvW</t>
  </si>
  <si>
    <t>danerdogger</t>
  </si>
  <si>
    <t>woah</t>
  </si>
  <si>
    <t>TENTEN</t>
  </si>
  <si>
    <t>shawm</t>
  </si>
  <si>
    <t>Thunderthorn Town</t>
  </si>
  <si>
    <t>Luxtra</t>
  </si>
  <si>
    <t>xKore - jpop remixu</t>
  </si>
  <si>
    <t>45 THROUGH 123</t>
  </si>
  <si>
    <t>kyder</t>
  </si>
  <si>
    <t>The Dark Star</t>
  </si>
  <si>
    <t>Moffe</t>
  </si>
  <si>
    <t>GaMetal - Dark Star Core</t>
  </si>
  <si>
    <t>eNil Noxes</t>
  </si>
  <si>
    <t>Might of the Beat</t>
  </si>
  <si>
    <t>Remnants</t>
  </si>
  <si>
    <t>KA</t>
  </si>
  <si>
    <t>Uxvellda - Convergence of Reality</t>
  </si>
  <si>
    <t>JusT JohN 2020</t>
  </si>
  <si>
    <t>Soul Searching</t>
  </si>
  <si>
    <t>Inherence</t>
  </si>
  <si>
    <t>Wespdx</t>
  </si>
  <si>
    <t>Twisted Fantasy</t>
  </si>
  <si>
    <t>Cavern of Light</t>
  </si>
  <si>
    <t>Ausk</t>
  </si>
  <si>
    <t>AuSk - Cavern of Light</t>
  </si>
  <si>
    <t>HexaBit</t>
  </si>
  <si>
    <t>Vitol64</t>
  </si>
  <si>
    <t>Interstellar Infant</t>
  </si>
  <si>
    <t>Paranoid Android</t>
  </si>
  <si>
    <t>khelado</t>
  </si>
  <si>
    <t>Advance3</t>
  </si>
  <si>
    <t>Doomsday</t>
  </si>
  <si>
    <t>An</t>
  </si>
  <si>
    <t>Electinsanity (NG Cut)</t>
  </si>
  <si>
    <t>Terminate Mold</t>
  </si>
  <si>
    <t>seasalt</t>
  </si>
  <si>
    <t>Daivrt</t>
  </si>
  <si>
    <t>Napalm</t>
  </si>
  <si>
    <t>Zygnity</t>
  </si>
  <si>
    <t>Zinht</t>
  </si>
  <si>
    <t>Light Coronation</t>
  </si>
  <si>
    <t>Lunatic Whispers</t>
  </si>
  <si>
    <t>Fragile</t>
  </si>
  <si>
    <t>Through the Top</t>
  </si>
  <si>
    <t>Time Warp</t>
  </si>
  <si>
    <t>Daydream</t>
  </si>
  <si>
    <t>Happyyyy~???!! (New Version)</t>
  </si>
  <si>
    <t>Three</t>
  </si>
  <si>
    <t>apollo</t>
  </si>
  <si>
    <t>Cantis</t>
  </si>
  <si>
    <t>Morylak</t>
  </si>
  <si>
    <t>Dioxis</t>
  </si>
  <si>
    <t>Getsix &amp; Miss Lina - Clipping VIP</t>
  </si>
  <si>
    <t>SYNAPSE II</t>
  </si>
  <si>
    <t>KowZ</t>
  </si>
  <si>
    <t>-Synapse Vocal Version Remastered-</t>
  </si>
  <si>
    <t>Vicolor</t>
  </si>
  <si>
    <t>Piranha Plant Lullaby</t>
  </si>
  <si>
    <t>Shackles</t>
  </si>
  <si>
    <t>Cheeseguy</t>
  </si>
  <si>
    <t>Chael - Area 51 [Original Mix]</t>
  </si>
  <si>
    <t>Bionic Rush</t>
  </si>
  <si>
    <t>Zom B</t>
  </si>
  <si>
    <t>Voxicat</t>
  </si>
  <si>
    <t>Boogie to the BEAT</t>
  </si>
  <si>
    <t>iS</t>
  </si>
  <si>
    <t>Aether</t>
  </si>
  <si>
    <t>Logarithmic</t>
  </si>
  <si>
    <t>At The Top</t>
  </si>
  <si>
    <t>Nightning</t>
  </si>
  <si>
    <t>EVORSUS</t>
  </si>
  <si>
    <t>Jamby</t>
  </si>
  <si>
    <t>Stary</t>
  </si>
  <si>
    <t>xes</t>
  </si>
  <si>
    <t>winterbitia</t>
  </si>
  <si>
    <t>Secret Way</t>
  </si>
  <si>
    <t>ELEPS - Reset (Dubstep)</t>
  </si>
  <si>
    <t>ErebuS</t>
  </si>
  <si>
    <t>One Dark Night</t>
  </si>
  <si>
    <t>efext</t>
  </si>
  <si>
    <t>The Heart</t>
  </si>
  <si>
    <t>Apeiron</t>
  </si>
  <si>
    <t>Faun</t>
  </si>
  <si>
    <t>Creo - Endless</t>
  </si>
  <si>
    <t>Elysian Aegis</t>
  </si>
  <si>
    <t>Like a Dragon</t>
  </si>
  <si>
    <t>Hypno74</t>
  </si>
  <si>
    <t>Death By Electric Violin</t>
  </si>
  <si>
    <t>Drop Zone</t>
  </si>
  <si>
    <t>Henmin</t>
  </si>
  <si>
    <t>Spring</t>
  </si>
  <si>
    <t>knappygd</t>
  </si>
  <si>
    <t>Koraii - Good Girl</t>
  </si>
  <si>
    <t>Rust and Clouds</t>
  </si>
  <si>
    <t>OutBlast</t>
  </si>
  <si>
    <t>RaInBoWcReEpIe</t>
  </si>
  <si>
    <t>Sturovo</t>
  </si>
  <si>
    <t>TomawiN</t>
  </si>
  <si>
    <t>Osci</t>
  </si>
  <si>
    <t>neoraptor</t>
  </si>
  <si>
    <t>Hold On</t>
  </si>
  <si>
    <t>Lion</t>
  </si>
  <si>
    <t>Destriv</t>
  </si>
  <si>
    <t>Teminite &amp; PsoGnar - Lions Den</t>
  </si>
  <si>
    <t>I Dont Wanna Go</t>
  </si>
  <si>
    <t>cloudfield - Lost</t>
  </si>
  <si>
    <t>Crystal 48</t>
  </si>
  <si>
    <t>B A S E II</t>
  </si>
  <si>
    <t>Shut Eye - Call Me</t>
  </si>
  <si>
    <t>twist the knife</t>
  </si>
  <si>
    <t>Timor</t>
  </si>
  <si>
    <t>Zombie Attack</t>
  </si>
  <si>
    <t>Your Promise</t>
  </si>
  <si>
    <t>curxe</t>
  </si>
  <si>
    <t>Synthion - Promise</t>
  </si>
  <si>
    <t>Snowblind</t>
  </si>
  <si>
    <t>Creo - Atmosphere</t>
  </si>
  <si>
    <t>Torsion</t>
  </si>
  <si>
    <t>Raivolt</t>
  </si>
  <si>
    <t>Revolutions</t>
  </si>
  <si>
    <t>Obsolete Travel II</t>
  </si>
  <si>
    <t>GlintZ</t>
  </si>
  <si>
    <t>Dimensional Train OFF VOCAL</t>
  </si>
  <si>
    <t>i stole this</t>
  </si>
  <si>
    <t>GAYCORE (2008)</t>
  </si>
  <si>
    <t>Acropolaris</t>
  </si>
  <si>
    <t>Sminxmas</t>
  </si>
  <si>
    <t>SNOWY DAY</t>
  </si>
  <si>
    <t>SnarlaXmas</t>
  </si>
  <si>
    <t>Face Against The Gardin</t>
  </si>
  <si>
    <t>December Rush</t>
  </si>
  <si>
    <t>Holiday Rush!</t>
  </si>
  <si>
    <t>Sinister Incision</t>
  </si>
  <si>
    <t>Color Discharge</t>
  </si>
  <si>
    <t>Darite</t>
  </si>
  <si>
    <t>Pixie Crust</t>
  </si>
  <si>
    <t>Ronald Goes To McDon</t>
  </si>
  <si>
    <t>Helvetican - Swivel</t>
  </si>
  <si>
    <t>Aureole</t>
  </si>
  <si>
    <t>TORNADO (Original Mix)</t>
  </si>
  <si>
    <t>High Spirits</t>
  </si>
  <si>
    <t>Galactus</t>
  </si>
  <si>
    <t>Sky High</t>
  </si>
  <si>
    <t>Oasis</t>
  </si>
  <si>
    <t>Midnight Lily</t>
  </si>
  <si>
    <t>DARKENED</t>
  </si>
  <si>
    <t>Shcheloch</t>
  </si>
  <si>
    <t>Unbihexium</t>
  </si>
  <si>
    <t>Albedo</t>
  </si>
  <si>
    <t>nandertale</t>
  </si>
  <si>
    <t>The Flawless Run</t>
  </si>
  <si>
    <t>Merry Christmas</t>
  </si>
  <si>
    <t>growl</t>
  </si>
  <si>
    <t>Cosmic Growl</t>
  </si>
  <si>
    <t>Mountain climb</t>
  </si>
  <si>
    <t>IceKeyHammer</t>
  </si>
  <si>
    <t>Winterlude</t>
  </si>
  <si>
    <t>Theory of Mangos</t>
  </si>
  <si>
    <t>Mangosteen</t>
  </si>
  <si>
    <t>Vitouxic</t>
  </si>
  <si>
    <t>BaharTeam</t>
  </si>
  <si>
    <t>The Sky Summit</t>
  </si>
  <si>
    <t>Alex M</t>
  </si>
  <si>
    <t>Freefall</t>
  </si>
  <si>
    <t>Ardant</t>
  </si>
  <si>
    <t>Conceptual Prism</t>
  </si>
  <si>
    <t>Icotact</t>
  </si>
  <si>
    <t>The Dream Odyssey</t>
  </si>
  <si>
    <t>TTFTK</t>
  </si>
  <si>
    <t>Interperia</t>
  </si>
  <si>
    <t>Exi0n</t>
  </si>
  <si>
    <t>Mint Candy</t>
  </si>
  <si>
    <t>Path Walker</t>
  </si>
  <si>
    <t>-SkyLoft-</t>
  </si>
  <si>
    <t>Next Yesterday II</t>
  </si>
  <si>
    <t>fwocl</t>
  </si>
  <si>
    <t>NIGHT</t>
  </si>
  <si>
    <t>Skull</t>
  </si>
  <si>
    <t>GlobalisTik</t>
  </si>
  <si>
    <t>Force Field</t>
  </si>
  <si>
    <t>Prisma</t>
  </si>
  <si>
    <t>ReiGalinha</t>
  </si>
  <si>
    <t>Abduxuel</t>
  </si>
  <si>
    <t>Fire And Ice</t>
  </si>
  <si>
    <t>Pearflies</t>
  </si>
  <si>
    <t>Lunar Escape</t>
  </si>
  <si>
    <t>Empika</t>
  </si>
  <si>
    <t>Cybernetic Crescent</t>
  </si>
  <si>
    <t>Gloom</t>
  </si>
  <si>
    <t>rich hillside</t>
  </si>
  <si>
    <t>{Sunlight}</t>
  </si>
  <si>
    <t>Endo ModeN</t>
  </si>
  <si>
    <t>GD Saitam</t>
  </si>
  <si>
    <t>Deflective</t>
  </si>
  <si>
    <t>hmmmmmmmm</t>
  </si>
  <si>
    <t>TheRealXFuture</t>
  </si>
  <si>
    <t>My Solo</t>
  </si>
  <si>
    <t>Azure Apex</t>
  </si>
  <si>
    <t>snowfall</t>
  </si>
  <si>
    <t>Lustre</t>
  </si>
  <si>
    <t>Monolith</t>
  </si>
  <si>
    <t>Flares</t>
  </si>
  <si>
    <t>Video Game Maniac</t>
  </si>
  <si>
    <t>Jester</t>
  </si>
  <si>
    <t>radiation</t>
  </si>
  <si>
    <t>Alpha rainbow</t>
  </si>
  <si>
    <t>Super Mild</t>
  </si>
  <si>
    <t>Zidnes</t>
  </si>
  <si>
    <t>tkspl</t>
  </si>
  <si>
    <t>[Chillstep] Adrift</t>
  </si>
  <si>
    <t>Engine City</t>
  </si>
  <si>
    <t>RedlixHD</t>
  </si>
  <si>
    <t>introspective</t>
  </si>
  <si>
    <t>Kaii07</t>
  </si>
  <si>
    <t>san holo - lift me from the ground [ubi remix]</t>
  </si>
  <si>
    <t>Raw Rhythm</t>
  </si>
  <si>
    <t>No Chill</t>
  </si>
  <si>
    <t>AMNESIAC</t>
  </si>
  <si>
    <t>Asthae</t>
  </si>
  <si>
    <t>Asleep Atop An Atom</t>
  </si>
  <si>
    <t>Rainbow Road</t>
  </si>
  <si>
    <t>Strange Hell</t>
  </si>
  <si>
    <t>facusgg</t>
  </si>
  <si>
    <t>Black Tourmaline</t>
  </si>
  <si>
    <t>OverDCE</t>
  </si>
  <si>
    <t>AroundTheLighthouse</t>
  </si>
  <si>
    <t>SkullyHop</t>
  </si>
  <si>
    <t>-Storm-</t>
  </si>
  <si>
    <t>Valorous</t>
  </si>
  <si>
    <t>old rust dont dry</t>
  </si>
  <si>
    <t>Hypercharged Rhythm</t>
  </si>
  <si>
    <t>Vibrant Void</t>
  </si>
  <si>
    <t>AddBadx</t>
  </si>
  <si>
    <t>Geoxor - Poi</t>
  </si>
  <si>
    <t>STRANGE BOXES</t>
  </si>
  <si>
    <t>Lost Lazors</t>
  </si>
  <si>
    <t>DNA</t>
  </si>
  <si>
    <t>Dune Realm</t>
  </si>
  <si>
    <t>SrJC23Tech</t>
  </si>
  <si>
    <t>Z30</t>
  </si>
  <si>
    <t>shrympo</t>
  </si>
  <si>
    <t>Dark Times</t>
  </si>
  <si>
    <t>Amnesia</t>
  </si>
  <si>
    <t>Ampere</t>
  </si>
  <si>
    <t>Sanctus</t>
  </si>
  <si>
    <t>iFuse</t>
  </si>
  <si>
    <t>empathy</t>
  </si>
  <si>
    <t>Mofferoni</t>
  </si>
  <si>
    <t>hydrocarbon</t>
  </si>
  <si>
    <t>Uistreel</t>
  </si>
  <si>
    <t>Panzer</t>
  </si>
  <si>
    <t>Ceiling</t>
  </si>
  <si>
    <t>tenzk</t>
  </si>
  <si>
    <t>Local Natives - Ceilings (ChromaShift Remix) [Chillstep]</t>
  </si>
  <si>
    <t>Blych95</t>
  </si>
  <si>
    <t>Eternal Flame</t>
  </si>
  <si>
    <t>UlisesCT</t>
  </si>
  <si>
    <t>BirthTime</t>
  </si>
  <si>
    <t>BurritoGamerX</t>
  </si>
  <si>
    <t>Edooox</t>
  </si>
  <si>
    <t>we care</t>
  </si>
  <si>
    <t>wonduu</t>
  </si>
  <si>
    <t>Its Raining Underground</t>
  </si>
  <si>
    <t>Dubayo</t>
  </si>
  <si>
    <t>ritual</t>
  </si>
  <si>
    <t>Feral</t>
  </si>
  <si>
    <t>delicious</t>
  </si>
  <si>
    <t>bli</t>
  </si>
  <si>
    <t>madness</t>
  </si>
  <si>
    <t>Fleetwire</t>
  </si>
  <si>
    <t>0n1</t>
  </si>
  <si>
    <t>RAMDAGAB</t>
  </si>
  <si>
    <t>Virtual reality</t>
  </si>
  <si>
    <t>EDEXY &amp; JXZZPXNK - Game Over</t>
  </si>
  <si>
    <t>SummerSolsta7 - Sequencer</t>
  </si>
  <si>
    <t>Funk Off</t>
  </si>
  <si>
    <t>Peter</t>
  </si>
  <si>
    <t>Jacques Melissa - this chap named Jacques</t>
  </si>
  <si>
    <t>To The Stars II</t>
  </si>
  <si>
    <t>Tokyo Tour</t>
  </si>
  <si>
    <t>To The Core</t>
  </si>
  <si>
    <t>RAT LAB</t>
  </si>
  <si>
    <t>ArtaxFerSarh</t>
  </si>
  <si>
    <t>BEATDEMON</t>
  </si>
  <si>
    <t>Goldcrest Palace</t>
  </si>
  <si>
    <t>Wintertime</t>
  </si>
  <si>
    <t>VigorousGard3n</t>
  </si>
  <si>
    <t>Warm WInter</t>
  </si>
  <si>
    <t>Metathesis</t>
  </si>
  <si>
    <t>Redeilia - Mendacious</t>
  </si>
  <si>
    <t>Brainwash</t>
  </si>
  <si>
    <t>Time Gorge</t>
  </si>
  <si>
    <t>Inverse</t>
  </si>
  <si>
    <t>Ownbit</t>
  </si>
  <si>
    <t>Unworthy</t>
  </si>
  <si>
    <t>Nightlex</t>
  </si>
  <si>
    <t>Synthetic [Epic Sci-Fi Trailer Music]</t>
  </si>
  <si>
    <t>Lightshow</t>
  </si>
  <si>
    <t>Whippie37</t>
  </si>
  <si>
    <t>ivashka</t>
  </si>
  <si>
    <t>IvashkaUA</t>
  </si>
  <si>
    <t>Lockyn - Vapor (1f1n1ty Remix)</t>
  </si>
  <si>
    <t>Still Life</t>
  </si>
  <si>
    <t>The Tower Between Worlds</t>
  </si>
  <si>
    <t>Pareidolia</t>
  </si>
  <si>
    <t>Bossfight x Ephixa - Subside</t>
  </si>
  <si>
    <t>Betelgeuse</t>
  </si>
  <si>
    <t>Satire</t>
  </si>
  <si>
    <t>PANDA EYES - THESE MEMORIES</t>
  </si>
  <si>
    <t>Vibrant Voyage</t>
  </si>
  <si>
    <t>TypicalGMD</t>
  </si>
  <si>
    <t>Love Talk?Fast Dance?</t>
  </si>
  <si>
    <t>Farewell Dream</t>
  </si>
  <si>
    <t>TENDO</t>
  </si>
  <si>
    <t>Tendo</t>
  </si>
  <si>
    <t>Nibbles</t>
  </si>
  <si>
    <t>Tribbles</t>
  </si>
  <si>
    <t>Vibe Check</t>
  </si>
  <si>
    <t>Tax Evasion</t>
  </si>
  <si>
    <t>friendless</t>
  </si>
  <si>
    <t>idk dummy</t>
  </si>
  <si>
    <t>Windblade</t>
  </si>
  <si>
    <t>Yendii</t>
  </si>
  <si>
    <t>The Lopez</t>
  </si>
  <si>
    <t>Aurora Veil</t>
  </si>
  <si>
    <t>Swirling Fire</t>
  </si>
  <si>
    <t>{Blaze}</t>
  </si>
  <si>
    <t>Everything We Need</t>
  </si>
  <si>
    <t>Random District</t>
  </si>
  <si>
    <t>Advance 4U</t>
  </si>
  <si>
    <t>Scarlet Smog</t>
  </si>
  <si>
    <t>Silence</t>
  </si>
  <si>
    <t>Neroichi</t>
  </si>
  <si>
    <t>sakio</t>
  </si>
  <si>
    <t>Lyomi</t>
  </si>
  <si>
    <t>August</t>
  </si>
  <si>
    <t>Giorno Theme - H3XAGON3ST remix</t>
  </si>
  <si>
    <t>Blooming</t>
  </si>
  <si>
    <t>R3ul</t>
  </si>
  <si>
    <t>Flower Dance (AleXiz Remake &amp; Remix) Newgrounds Version</t>
  </si>
  <si>
    <t>MKEITSTP153</t>
  </si>
  <si>
    <t>iZale</t>
  </si>
  <si>
    <t>NO KIDDING!</t>
  </si>
  <si>
    <t>Effect</t>
  </si>
  <si>
    <t>MrSupremeGD</t>
  </si>
  <si>
    <t>MUGNA</t>
  </si>
  <si>
    <t>spwipi</t>
  </si>
  <si>
    <t>Empress</t>
  </si>
  <si>
    <t>Poseidon</t>
  </si>
  <si>
    <t>Ardolf</t>
  </si>
  <si>
    <t>STORM</t>
  </si>
  <si>
    <t>Sparky</t>
  </si>
  <si>
    <t>Rutra - oooh nice !</t>
  </si>
  <si>
    <t>lace</t>
  </si>
  <si>
    <t>GDVaniel</t>
  </si>
  <si>
    <t>Isolation Waltz</t>
  </si>
  <si>
    <t>INFINITUM INORDINATO</t>
  </si>
  <si>
    <t>xyuns</t>
  </si>
  <si>
    <t>BAD OMEN</t>
  </si>
  <si>
    <t>Sulfuric Acid</t>
  </si>
  <si>
    <t>mergan</t>
  </si>
  <si>
    <t>Aldebaran</t>
  </si>
  <si>
    <t>Mescalink</t>
  </si>
  <si>
    <t>Octagon Force</t>
  </si>
  <si>
    <t>-Octagon Force-</t>
  </si>
  <si>
    <t>Satin</t>
  </si>
  <si>
    <t>Memory for Dummies</t>
  </si>
  <si>
    <t>dashiell10</t>
  </si>
  <si>
    <t>Ad Astra</t>
  </si>
  <si>
    <t>Bizaare</t>
  </si>
  <si>
    <t>If Among US Was Lv 2</t>
  </si>
  <si>
    <t>KNOEPPEL</t>
  </si>
  <si>
    <t>Dope trap beat</t>
  </si>
  <si>
    <t>guacamole</t>
  </si>
  <si>
    <t>truelyalya</t>
  </si>
  <si>
    <t>die, she said</t>
  </si>
  <si>
    <t>Drill Hood</t>
  </si>
  <si>
    <t>Charmii</t>
  </si>
  <si>
    <t>The Fallen Demons</t>
  </si>
  <si>
    <t>djskilling</t>
  </si>
  <si>
    <t>El Eyon</t>
  </si>
  <si>
    <t>KazVA</t>
  </si>
  <si>
    <t>wistfuljiffy</t>
  </si>
  <si>
    <t>AAQUE</t>
  </si>
  <si>
    <t>robtobfreak</t>
  </si>
  <si>
    <t>I Had A Dream</t>
  </si>
  <si>
    <t>Chapel</t>
  </si>
  <si>
    <t>Masayume</t>
  </si>
  <si>
    <t>Mining Fatigue</t>
  </si>
  <si>
    <t>Crypt Voice - HANDOFF</t>
  </si>
  <si>
    <t>machinery</t>
  </si>
  <si>
    <t>Rift to reality</t>
  </si>
  <si>
    <t>oleki</t>
  </si>
  <si>
    <t>c ?????? c???</t>
  </si>
  <si>
    <t>Unite</t>
  </si>
  <si>
    <t>crazy chargers</t>
  </si>
  <si>
    <t>AHM12345</t>
  </si>
  <si>
    <t>DIEP</t>
  </si>
  <si>
    <t>speequ</t>
  </si>
  <si>
    <t>Flip</t>
  </si>
  <si>
    <t>Squizaaard</t>
  </si>
  <si>
    <t>YE YE YE YE YE YE YE</t>
  </si>
  <si>
    <t>Pain Elemental</t>
  </si>
  <si>
    <t>Psycho</t>
  </si>
  <si>
    <t>JamesRamirez08</t>
  </si>
  <si>
    <t>Geoxor - Shaii</t>
  </si>
  <si>
    <t>BABYLON</t>
  </si>
  <si>
    <t>Sokudo</t>
  </si>
  <si>
    <t>harris7n</t>
  </si>
  <si>
    <t>Megalodon</t>
  </si>
  <si>
    <t>Tohru</t>
  </si>
  <si>
    <t>chamoylol</t>
  </si>
  <si>
    <t>Exotic</t>
  </si>
  <si>
    <t>Starcat-Bipolarity</t>
  </si>
  <si>
    <t>Snowflakes</t>
  </si>
  <si>
    <t>PICAAAAAA</t>
  </si>
  <si>
    <t>Unique Girl</t>
  </si>
  <si>
    <t>Omar2010</t>
  </si>
  <si>
    <t>Super Gamer Girl 3D</t>
  </si>
  <si>
    <t>Starlight Bloom</t>
  </si>
  <si>
    <t>Horneet</t>
  </si>
  <si>
    <t>Au5 - Moonland (Derpcat Remix)</t>
  </si>
  <si>
    <t>Galactic Interface</t>
  </si>
  <si>
    <t>realwhata</t>
  </si>
  <si>
    <t>Sqiddo</t>
  </si>
  <si>
    <t>Sting871</t>
  </si>
  <si>
    <t>Lights out</t>
  </si>
  <si>
    <t>Yke547</t>
  </si>
  <si>
    <t>dreams</t>
  </si>
  <si>
    <t>FunctionSquad</t>
  </si>
  <si>
    <t>Adrenaline</t>
  </si>
  <si>
    <t>wapon77</t>
  </si>
  <si>
    <t>Sharks - Adrenaline</t>
  </si>
  <si>
    <t>Narvik</t>
  </si>
  <si>
    <t>Vision</t>
  </si>
  <si>
    <t>Matobia</t>
  </si>
  <si>
    <t>absolute tempest</t>
  </si>
  <si>
    <t>ButterFish</t>
  </si>
  <si>
    <t>HellisH SparK</t>
  </si>
  <si>
    <t>Hot - TWEP2 Soundtrack</t>
  </si>
  <si>
    <t>SHATTER</t>
  </si>
  <si>
    <t>Glass Fish - Inside the Whale</t>
  </si>
  <si>
    <t>choose a way</t>
  </si>
  <si>
    <t>Zhiana</t>
  </si>
  <si>
    <t>The Other Side</t>
  </si>
  <si>
    <t>Catch me if you can</t>
  </si>
  <si>
    <t>Jacques Melissa - Slacklining in silver lining</t>
  </si>
  <si>
    <t>Boom Slayer</t>
  </si>
  <si>
    <t>Boom Slayer SFX</t>
  </si>
  <si>
    <t>FOME</t>
  </si>
  <si>
    <t>nectaroso</t>
  </si>
  <si>
    <t>KIDS</t>
  </si>
  <si>
    <t>Lonely Night</t>
  </si>
  <si>
    <t>Topaz Temple</t>
  </si>
  <si>
    <t>CreatorToile</t>
  </si>
  <si>
    <t>Time Pulse</t>
  </si>
  <si>
    <t>Trident</t>
  </si>
  <si>
    <t>DLAppleGamez</t>
  </si>
  <si>
    <t>Cyan</t>
  </si>
  <si>
    <t>TotoTie</t>
  </si>
  <si>
    <t>circles</t>
  </si>
  <si>
    <t>xKore - Beast Mode</t>
  </si>
  <si>
    <t>Katharsis</t>
  </si>
  <si>
    <t>JaxtilanX</t>
  </si>
  <si>
    <t>Mystic Motion</t>
  </si>
  <si>
    <t>Jamerry</t>
  </si>
  <si>
    <t>Virtual Stigmata</t>
  </si>
  <si>
    <t>EnV - Shinto</t>
  </si>
  <si>
    <t>Ascension</t>
  </si>
  <si>
    <t>Sloppy</t>
  </si>
  <si>
    <t>Were All Pale On the Inside</t>
  </si>
  <si>
    <t>Trailblazing</t>
  </si>
  <si>
    <t>widder</t>
  </si>
  <si>
    <t>Song: One</t>
  </si>
  <si>
    <t>Mechanic Torment</t>
  </si>
  <si>
    <t>Never Make It</t>
  </si>
  <si>
    <t>ItzKiba</t>
  </si>
  <si>
    <t>Venomous Zone</t>
  </si>
  <si>
    <t>PsyWorm</t>
  </si>
  <si>
    <t>Lofi Stupidity</t>
  </si>
  <si>
    <t>Neurotoxin</t>
  </si>
  <si>
    <t>Britzlar</t>
  </si>
  <si>
    <t>Panda Eyes - I Am Undead</t>
  </si>
  <si>
    <t>Psystrike</t>
  </si>
  <si>
    <t>Royal Garden</t>
  </si>
  <si>
    <t>ELECTR05</t>
  </si>
  <si>
    <t>Vindication</t>
  </si>
  <si>
    <t>Light Refraction</t>
  </si>
  <si>
    <t>Unnamedboy</t>
  </si>
  <si>
    <t>NO WAY OUT</t>
  </si>
  <si>
    <t>Elevation</t>
  </si>
  <si>
    <t>S W E E T D R E A M</t>
  </si>
  <si>
    <t>xor - ????????????</t>
  </si>
  <si>
    <t>Marriage Fraud</t>
  </si>
  <si>
    <t>opal</t>
  </si>
  <si>
    <t>BowtieGD</t>
  </si>
  <si>
    <t>Sharks - Opal</t>
  </si>
  <si>
    <t>Apotheose Finale</t>
  </si>
  <si>
    <t>The Weeknd - THE HILLS (remix)</t>
  </si>
  <si>
    <t>gregory</t>
  </si>
  <si>
    <t>cornfungi</t>
  </si>
  <si>
    <t>greg</t>
  </si>
  <si>
    <t>Retrograde</t>
  </si>
  <si>
    <t>Knot</t>
  </si>
  <si>
    <t>Santiachu</t>
  </si>
  <si>
    <t>???SAKURA-LEE &amp; Luanmer - I Must Be Dreamin</t>
  </si>
  <si>
    <t>A Final Hymn</t>
  </si>
  <si>
    <t>artherr</t>
  </si>
  <si>
    <t>NothinG</t>
  </si>
  <si>
    <t>Warriors Lullaby - SlowloadOfficial</t>
  </si>
  <si>
    <t>Shallow Dive</t>
  </si>
  <si>
    <t>Windows96 - Rituals</t>
  </si>
  <si>
    <t>Volant</t>
  </si>
  <si>
    <t>FAST ASLEEP</t>
  </si>
  <si>
    <t>Zo</t>
  </si>
  <si>
    <t>Mild und leise</t>
  </si>
  <si>
    <t>Idioteque (cover/remix)</t>
  </si>
  <si>
    <t>dak</t>
  </si>
  <si>
    <t>THIGHS</t>
  </si>
  <si>
    <t>MILLENNIUM VIRUS</t>
  </si>
  <si>
    <t>corrupted volume</t>
  </si>
  <si>
    <t>CybayaGD</t>
  </si>
  <si>
    <t>underscores - the city with no wind</t>
  </si>
  <si>
    <t>woOoO</t>
  </si>
  <si>
    <t>Zodacx</t>
  </si>
  <si>
    <t>ascending</t>
  </si>
  <si>
    <t>skywalker14</t>
  </si>
  <si>
    <t>Beat 130 bpm</t>
  </si>
  <si>
    <t>The Gang II</t>
  </si>
  <si>
    <t>Shreyas</t>
  </si>
  <si>
    <t>Super Cat [Dream Dance]</t>
  </si>
  <si>
    <t>Self</t>
  </si>
  <si>
    <t>Z Bos Gaming</t>
  </si>
  <si>
    <t>Let Yourself Go (SELF OST)</t>
  </si>
  <si>
    <t>TINT</t>
  </si>
  <si>
    <t>drane</t>
  </si>
  <si>
    <t>Lustrous Amalgamation</t>
  </si>
  <si>
    <t>Popcorn 4 breakfast</t>
  </si>
  <si>
    <t>CrafGD</t>
  </si>
  <si>
    <t>Funkin</t>
  </si>
  <si>
    <t>M.I.L.F - Friday Night Funkin OST</t>
  </si>
  <si>
    <t>OPSM1</t>
  </si>
  <si>
    <t>GateMount</t>
  </si>
  <si>
    <t>opsm1//ephemeraldream1997</t>
  </si>
  <si>
    <t>Simplicity</t>
  </si>
  <si>
    <t>Alvaromg15</t>
  </si>
  <si>
    <t>TreMoR</t>
  </si>
  <si>
    <t>ScratXorGD</t>
  </si>
  <si>
    <t>Conformity</t>
  </si>
  <si>
    <t>Form</t>
  </si>
  <si>
    <t>Blue</t>
  </si>
  <si>
    <t>oraangee</t>
  </si>
  <si>
    <t>Cant Let Go 2.0</t>
  </si>
  <si>
    <t>MORCE II</t>
  </si>
  <si>
    <t>ZiTron</t>
  </si>
  <si>
    <t>orac juice</t>
  </si>
  <si>
    <t>purin</t>
  </si>
  <si>
    <t>gYnter</t>
  </si>
  <si>
    <t>Pongix</t>
  </si>
  <si>
    <t>Hate</t>
  </si>
  <si>
    <t>GewErbiX</t>
  </si>
  <si>
    <t>lCartox</t>
  </si>
  <si>
    <t>i hate you</t>
  </si>
  <si>
    <t>Exodus</t>
  </si>
  <si>
    <t>Exodus (The Alpha Axiom EP)</t>
  </si>
  <si>
    <t>Cobalt Ruins</t>
  </si>
  <si>
    <t>Rexone</t>
  </si>
  <si>
    <t>SubVerT</t>
  </si>
  <si>
    <t>Nhelv</t>
  </si>
  <si>
    <t>ALESDA! - Lost</t>
  </si>
  <si>
    <t>CHROMA</t>
  </si>
  <si>
    <t>Renn241</t>
  </si>
  <si>
    <t>{Rose}</t>
  </si>
  <si>
    <t>Hue Slider</t>
  </si>
  <si>
    <t>Styrofoam</t>
  </si>
  <si>
    <t>Temple of Time</t>
  </si>
  <si>
    <t>Legend of Zelda - Melto Remix</t>
  </si>
  <si>
    <t>Molten Core</t>
  </si>
  <si>
    <t>NK - Fairydust (Ravitex Remix)</t>
  </si>
  <si>
    <t>Blighted Stronghold</t>
  </si>
  <si>
    <t>SunCOMoon</t>
  </si>
  <si>
    <t>Dark Dance of the Stars</t>
  </si>
  <si>
    <t>spacecraft</t>
  </si>
  <si>
    <t>Zeptrus</t>
  </si>
  <si>
    <t>Goodbye Moonmen- Rick and Morty Remix- The Living Tombstone</t>
  </si>
  <si>
    <t>Screen Punk</t>
  </si>
  <si>
    <t>TuSOvKa KreVetKa</t>
  </si>
  <si>
    <t>Bossfight - Endgame</t>
  </si>
  <si>
    <t>bee nest</t>
  </si>
  <si>
    <t>HAX</t>
  </si>
  <si>
    <t>ReCycles</t>
  </si>
  <si>
    <t>TheElectroGD</t>
  </si>
  <si>
    <t>Furffot</t>
  </si>
  <si>
    <t>luckyOwO</t>
  </si>
  <si>
    <t>Talurre - The One Who Stares From Abyss</t>
  </si>
  <si>
    <t>Forlorn Adventure</t>
  </si>
  <si>
    <t>Illusion of space</t>
  </si>
  <si>
    <t>Wubister II</t>
  </si>
  <si>
    <t>Gachristian1</t>
  </si>
  <si>
    <t>Sabrepulse Horizons Remix</t>
  </si>
  <si>
    <t>Interstellar Entropy</t>
  </si>
  <si>
    <t>LastPrismAlex</t>
  </si>
  <si>
    <t>Nocturne of Midnight</t>
  </si>
  <si>
    <t>Farva</t>
  </si>
  <si>
    <t>Castlevania SOTN Prologue</t>
  </si>
  <si>
    <t>Silent Club</t>
  </si>
  <si>
    <t>Luqualizer</t>
  </si>
  <si>
    <t>GJNWSRN</t>
  </si>
  <si>
    <t>Innocence (Madeon Cover)</t>
  </si>
  <si>
    <t>Violence</t>
  </si>
  <si>
    <t>Omega Interface</t>
  </si>
  <si>
    <t>Achlys</t>
  </si>
  <si>
    <t>Novaach</t>
  </si>
  <si>
    <t>Congregation</t>
  </si>
  <si>
    <t>FizzY SodA</t>
  </si>
  <si>
    <t>Ulon</t>
  </si>
  <si>
    <t>1NF3+@+!0N</t>
  </si>
  <si>
    <t>Sonic Wave Rebirth</t>
  </si>
  <si>
    <t>GAMMA FORCE</t>
  </si>
  <si>
    <t>agdor</t>
  </si>
  <si>
    <t>Killhouse</t>
  </si>
  <si>
    <t>Optic daydream</t>
  </si>
  <si>
    <t>WalgreensGD</t>
  </si>
  <si>
    <t>me &amp; you beat</t>
  </si>
  <si>
    <t>Untitled</t>
  </si>
  <si>
    <t>In A Van Down By The River</t>
  </si>
  <si>
    <t>UFFAS</t>
  </si>
  <si>
    <t>Snowfall Storm</t>
  </si>
  <si>
    <t>notged25</t>
  </si>
  <si>
    <t>Foreshadow</t>
  </si>
  <si>
    <t>Spycold</t>
  </si>
  <si>
    <t>AIM - out of order</t>
  </si>
  <si>
    <t>The G</t>
  </si>
  <si>
    <t>Geoxor - Aether</t>
  </si>
  <si>
    <t>Brighty</t>
  </si>
  <si>
    <t>Welcome Home</t>
  </si>
  <si>
    <t>PO56</t>
  </si>
  <si>
    <t>Mmath</t>
  </si>
  <si>
    <t>Rainbow Corridor</t>
  </si>
  <si>
    <t>Exclusion Zone</t>
  </si>
  <si>
    <t>CMYK</t>
  </si>
  <si>
    <t>Ghostbustin @ 140 bpm</t>
  </si>
  <si>
    <t>Ablaze</t>
  </si>
  <si>
    <t>EUOUAE</t>
  </si>
  <si>
    <t>KILN</t>
  </si>
  <si>
    <t>NoireZ</t>
  </si>
  <si>
    <t>McstyleZ</t>
  </si>
  <si>
    <t>Fennec Fox</t>
  </si>
  <si>
    <t>NinKaz</t>
  </si>
  <si>
    <t>clam chowder</t>
  </si>
  <si>
    <t>VindicatioN</t>
  </si>
  <si>
    <t>stanstanmansan</t>
  </si>
  <si>
    <t>MooB</t>
  </si>
  <si>
    <t>Killoway</t>
  </si>
  <si>
    <t>ZO</t>
  </si>
  <si>
    <t>White Noise</t>
  </si>
  <si>
    <t>Blood Rain</t>
  </si>
  <si>
    <t>Free For All</t>
  </si>
  <si>
    <t>moment</t>
  </si>
  <si>
    <t>lexycat</t>
  </si>
  <si>
    <t>NADRR</t>
  </si>
  <si>
    <t>Nadir</t>
  </si>
  <si>
    <t>Cinci De Mayo</t>
  </si>
  <si>
    <t>Azuleux - Walk Away</t>
  </si>
  <si>
    <t>Cryo</t>
  </si>
  <si>
    <t>reaching you</t>
  </si>
  <si>
    <t>Kwol</t>
  </si>
  <si>
    <t>Stargenx - L.O.V.E.</t>
  </si>
  <si>
    <t>Eternal Star</t>
  </si>
  <si>
    <t>GOKILL</t>
  </si>
  <si>
    <t>The Reaper</t>
  </si>
  <si>
    <t>Kyhros</t>
  </si>
  <si>
    <t>Arcanine</t>
  </si>
  <si>
    <t>Frozen Cave</t>
  </si>
  <si>
    <t>Irruption</t>
  </si>
  <si>
    <t>DFGames</t>
  </si>
  <si>
    <t>Beauty Underneath</t>
  </si>
  <si>
    <t>ItsKeichi</t>
  </si>
  <si>
    <t>Subjugate</t>
  </si>
  <si>
    <t>SantiagoDS</t>
  </si>
  <si>
    <t>scissors</t>
  </si>
  <si>
    <t>eyesore</t>
  </si>
  <si>
    <t>Pink Sand</t>
  </si>
  <si>
    <t>Massive Corruption</t>
  </si>
  <si>
    <t>Little thingy</t>
  </si>
  <si>
    <t>A Cow That Is Actually A Chicken</t>
  </si>
  <si>
    <t>MindForkOS</t>
  </si>
  <si>
    <t>FFFFFF</t>
  </si>
  <si>
    <t>~:Space soup:~</t>
  </si>
  <si>
    <t>Extreme AnnoPark</t>
  </si>
  <si>
    <t>maki roll</t>
  </si>
  <si>
    <t>qjivxn</t>
  </si>
  <si>
    <t>funtime disco party</t>
  </si>
  <si>
    <t>camgotbitten</t>
  </si>
  <si>
    <t>Antares</t>
  </si>
  <si>
    <t>Ultimxte</t>
  </si>
  <si>
    <t>Dark Odyssey</t>
  </si>
  <si>
    <t>Prison Skyn</t>
  </si>
  <si>
    <t>AmberAdair</t>
  </si>
  <si>
    <t>Nyct0</t>
  </si>
  <si>
    <t>Antobyy</t>
  </si>
  <si>
    <t>ALESDA! - Raptor</t>
  </si>
  <si>
    <t>Renenwolf</t>
  </si>
  <si>
    <t>Level X4 [Dream Trance]</t>
  </si>
  <si>
    <t>daydreamer</t>
  </si>
  <si>
    <t>linus02</t>
  </si>
  <si>
    <t>Daydreamer</t>
  </si>
  <si>
    <t>Arachnidal</t>
  </si>
  <si>
    <t>evolutionary theory</t>
  </si>
  <si>
    <t>MAYEROSA</t>
  </si>
  <si>
    <t>turbulence</t>
  </si>
  <si>
    <t>Broken Signal</t>
  </si>
  <si>
    <t>Pista Arcobaleno</t>
  </si>
  <si>
    <t>Alpha Centauri</t>
  </si>
  <si>
    <t>MagmaCore</t>
  </si>
  <si>
    <t>Pipe Rush II</t>
  </si>
  <si>
    <t>Fofii</t>
  </si>
  <si>
    <t>VAPR</t>
  </si>
  <si>
    <t>Funkylicious</t>
  </si>
  <si>
    <t>Swib</t>
  </si>
  <si>
    <t>Aplace</t>
  </si>
  <si>
    <t>Xervus</t>
  </si>
  <si>
    <t>Cotton Candy</t>
  </si>
  <si>
    <t>Fresh Odyssey</t>
  </si>
  <si>
    <t>MagsterFresh</t>
  </si>
  <si>
    <t>Emphatic Battlecry</t>
  </si>
  <si>
    <t>Where Are My Onions</t>
  </si>
  <si>
    <t>The Devourer</t>
  </si>
  <si>
    <t>PHANTOPLASM</t>
  </si>
  <si>
    <t>Aerodynamics</t>
  </si>
  <si>
    <t>oOo</t>
  </si>
  <si>
    <t>Space Storm</t>
  </si>
  <si>
    <t>Unwind</t>
  </si>
  <si>
    <t>Thoughts</t>
  </si>
  <si>
    <t>Widestep</t>
  </si>
  <si>
    <t>Xylem</t>
  </si>
  <si>
    <t>digital dream</t>
  </si>
  <si>
    <t>Veglia</t>
  </si>
  <si>
    <t>Carminius</t>
  </si>
  <si>
    <t>Promethean</t>
  </si>
  <si>
    <t>Brisk</t>
  </si>
  <si>
    <t>Trail Myself</t>
  </si>
  <si>
    <t>Lyriaki</t>
  </si>
  <si>
    <t>wompers</t>
  </si>
  <si>
    <t>Mind Crusher</t>
  </si>
  <si>
    <t>ThatJack</t>
  </si>
  <si>
    <t>The Only One</t>
  </si>
  <si>
    <t>zGodYT</t>
  </si>
  <si>
    <t>Heeps</t>
  </si>
  <si>
    <t>Mercury6779</t>
  </si>
  <si>
    <t>salo</t>
  </si>
  <si>
    <t>.12/03/20 (wip)</t>
  </si>
  <si>
    <t>Extinguish</t>
  </si>
  <si>
    <t>Creo - Wavelight</t>
  </si>
  <si>
    <t>Lin Anya</t>
  </si>
  <si>
    <t>Ivav12</t>
  </si>
  <si>
    <t>Chilled 1</t>
  </si>
  <si>
    <t>Brainfugd</t>
  </si>
  <si>
    <t>nowdead</t>
  </si>
  <si>
    <t>meowdead</t>
  </si>
  <si>
    <t>James</t>
  </si>
  <si>
    <t>Nightlights</t>
  </si>
  <si>
    <t>Deathstep III</t>
  </si>
  <si>
    <t>Crowd Control</t>
  </si>
  <si>
    <t>Movietheaters</t>
  </si>
  <si>
    <t>-Control: Crowd-</t>
  </si>
  <si>
    <t>RASH</t>
  </si>
  <si>
    <t>Spaze - Dark Heart (Tender Heart VIP)</t>
  </si>
  <si>
    <t>hypocrisy</t>
  </si>
  <si>
    <t>The Router</t>
  </si>
  <si>
    <t>population zero</t>
  </si>
  <si>
    <t>IIEXFORCEII</t>
  </si>
  <si>
    <t>Sharks - Virus</t>
  </si>
  <si>
    <t>Toxic Subway</t>
  </si>
  <si>
    <t>Execute Phase 001</t>
  </si>
  <si>
    <t>Aster - Came Back</t>
  </si>
  <si>
    <t>Sapphire Angel</t>
  </si>
  <si>
    <t>Frozen</t>
  </si>
  <si>
    <t>RatQuesadilla</t>
  </si>
  <si>
    <t>Cold Flight</t>
  </si>
  <si>
    <t>Neon Breeze</t>
  </si>
  <si>
    <t>OmegaTeam18</t>
  </si>
  <si>
    <t>Sonic Wave Infinity</t>
  </si>
  <si>
    <t>APTeamOfficial</t>
  </si>
  <si>
    <t>Flashback</t>
  </si>
  <si>
    <t>Creo - Worlds</t>
  </si>
  <si>
    <t>Taurus</t>
  </si>
  <si>
    <t>Dmeon</t>
  </si>
  <si>
    <t>Cloudscape Architect</t>
  </si>
  <si>
    <t>PPPPPPPPPPPPPPPPIXEL</t>
  </si>
  <si>
    <t>Elation - Unreal Superhero 3 (Kent &amp; REZ)</t>
  </si>
  <si>
    <t>Klutz</t>
  </si>
  <si>
    <t>Blueprint</t>
  </si>
  <si>
    <t>SophPaprika</t>
  </si>
  <si>
    <t>Fateful Moment</t>
  </si>
  <si>
    <t>xIMTx</t>
  </si>
  <si>
    <t>Altos Odyssey</t>
  </si>
  <si>
    <t>GD Charz</t>
  </si>
  <si>
    <t>Novasphere</t>
  </si>
  <si>
    <t>Bungle</t>
  </si>
  <si>
    <t>itisgreatandfun</t>
  </si>
  <si>
    <t>Submersed Storm</t>
  </si>
  <si>
    <t>Africa</t>
  </si>
  <si>
    <t>Wahffle</t>
  </si>
  <si>
    <t>Hot</t>
  </si>
  <si>
    <t>Buragoz</t>
  </si>
  <si>
    <t>Plon</t>
  </si>
  <si>
    <t>GhostVandalf</t>
  </si>
  <si>
    <t>cYsmix - Eden</t>
  </si>
  <si>
    <t>Arcane16</t>
  </si>
  <si>
    <t>LCynox</t>
  </si>
  <si>
    <t>Accumula Beach</t>
  </si>
  <si>
    <t>A Memorable Note</t>
  </si>
  <si>
    <t>Shelter (Piano ver.)</t>
  </si>
  <si>
    <t>Friday Vortex</t>
  </si>
  <si>
    <t>glocent</t>
  </si>
  <si>
    <t>Orchid</t>
  </si>
  <si>
    <t>Ice cream</t>
  </si>
  <si>
    <t>LightWavE</t>
  </si>
  <si>
    <t>ImMaxX1</t>
  </si>
  <si>
    <t>Crystal Corridor</t>
  </si>
  <si>
    <t>Gigabit Weaboo</t>
  </si>
  <si>
    <t>Belhor</t>
  </si>
  <si>
    <t>moffer person</t>
  </si>
  <si>
    <t>SilentSmiles</t>
  </si>
  <si>
    <t>Ausk - Waaaaavy</t>
  </si>
  <si>
    <t>Funk tower</t>
  </si>
  <si>
    <t>REVANXD</t>
  </si>
  <si>
    <t>Plasma Dominator</t>
  </si>
  <si>
    <t>PlasmaGD</t>
  </si>
  <si>
    <t>Cloud Nine</t>
  </si>
  <si>
    <t>Aurora123</t>
  </si>
  <si>
    <t>Black Mirror</t>
  </si>
  <si>
    <t>Tas 1000 - Haunted Disco (EntropicVoxels Remix)</t>
  </si>
  <si>
    <t>Barbaros</t>
  </si>
  <si>
    <t>GaMetal - The Ultimate Show</t>
  </si>
  <si>
    <t>kia car real life</t>
  </si>
  <si>
    <t>tv room - Know It All</t>
  </si>
  <si>
    <t>Pryanik</t>
  </si>
  <si>
    <t>ocuta</t>
  </si>
  <si>
    <t>Obvious Intuition</t>
  </si>
  <si>
    <t>zephlin</t>
  </si>
  <si>
    <t>lGyro</t>
  </si>
  <si>
    <t>Third Rail</t>
  </si>
  <si>
    <t>Umbraleviathan</t>
  </si>
  <si>
    <t>Culmination</t>
  </si>
  <si>
    <t>TriStorm</t>
  </si>
  <si>
    <t>Figurehead (GRTSU RMX)</t>
  </si>
  <si>
    <t>Vignette</t>
  </si>
  <si>
    <t>fCrouley</t>
  </si>
  <si>
    <t>Odyssey</t>
  </si>
  <si>
    <t>epiclight</t>
  </si>
  <si>
    <t>Thought</t>
  </si>
  <si>
    <t>Yesterday</t>
  </si>
  <si>
    <t>OuroiX</t>
  </si>
  <si>
    <t>Again, I Woke to Yesterday</t>
  </si>
  <si>
    <t>Valeur</t>
  </si>
  <si>
    <t>AnLa</t>
  </si>
  <si>
    <t>Voyage Control</t>
  </si>
  <si>
    <t>CHROMA II</t>
  </si>
  <si>
    <t>{The Traveller}</t>
  </si>
  <si>
    <t>VLS</t>
  </si>
  <si>
    <t>� (Rainbow Express)</t>
  </si>
  <si>
    <t>vvvvvv</t>
  </si>
  <si>
    <t>zejoant</t>
  </si>
  <si>
    <t>VVVVVV Positive Force Remix (For Zejo)</t>
  </si>
  <si>
    <t>Impasse</t>
  </si>
  <si>
    <t>henryDS</t>
  </si>
  <si>
    <t>Hydrogen (Diossel Remix)</t>
  </si>
  <si>
    <t>dont simp</t>
  </si>
  <si>
    <t>monikrr - inhibition (Full EP)</t>
  </si>
  <si>
    <t>nRj ii</t>
  </si>
  <si>
    <t>sqb</t>
  </si>
  <si>
    <t>Merin, xIsagani - NIGHTMARES</t>
  </si>
  <si>
    <t>OOPZ</t>
  </si>
  <si>
    <t>space termites</t>
  </si>
  <si>
    <t>Excel</t>
  </si>
  <si>
    <t>Dubbayoo</t>
  </si>
  <si>
    <t>Excelsus</t>
  </si>
  <si>
    <t>Buttons</t>
  </si>
  <si>
    <t>Poeyeng Aeng</t>
  </si>
  <si>
    <t>Equilibria - Blood Moon (Infinite Realms)</t>
  </si>
  <si>
    <t>Awake of Colors</t>
  </si>
  <si>
    <t>ChuchitoDomin</t>
  </si>
  <si>
    <t>escuro</t>
  </si>
  <si>
    <t>classic10</t>
  </si>
  <si>
    <t>D I S C O V E R Y</t>
  </si>
  <si>
    <t>A145</t>
  </si>
  <si>
    <t>tiny submarine</t>
  </si>
  <si>
    <t>noxycraft</t>
  </si>
  <si>
    <t>Hyped Up</t>
  </si>
  <si>
    <t>LordeQuacc</t>
  </si>
  <si>
    <t>crystallized</t>
  </si>
  <si>
    <t>Anahita</t>
  </si>
  <si>
    <t>Guardian of The Former Seas</t>
  </si>
  <si>
    <t>Reversion</t>
  </si>
  <si>
    <t>TheFatRat - Xenogenesis</t>
  </si>
  <si>
    <t>teardrop del rey</t>
  </si>
  <si>
    <t>Aveno</t>
  </si>
  <si>
    <t>Marching Anthem--_--</t>
  </si>
  <si>
    <t>Right Out</t>
  </si>
  <si>
    <t>sSolsta</t>
  </si>
  <si>
    <t>ALESDA! - Fever</t>
  </si>
  <si>
    <t>Collapse</t>
  </si>
  <si>
    <t>zZeusGD</t>
  </si>
  <si>
    <t>cocoa</t>
  </si>
  <si>
    <t>swag jazz</t>
  </si>
  <si>
    <t>Hateflayer</t>
  </si>
  <si>
    <t>SirZeus</t>
  </si>
  <si>
    <t>Orrodia</t>
  </si>
  <si>
    <t>pride</t>
  </si>
  <si>
    <t>Melodia Di Memorie</t>
  </si>
  <si>
    <t>Crow</t>
  </si>
  <si>
    <t>Smitty23</t>
  </si>
  <si>
    <t>Vairo - Winter (The Four Seasons)</t>
  </si>
  <si>
    <t>The Funkiest</t>
  </si>
  <si>
    <t>Nemsy</t>
  </si>
  <si>
    <t>The Nastiest</t>
  </si>
  <si>
    <t>Endless Dream</t>
  </si>
  <si>
    <t>fall apart</t>
  </si>
  <si>
    <t>Ardolf - Fallen Demon</t>
  </si>
  <si>
    <t>Neon Thrills</t>
  </si>
  <si>
    <t>NEON THRILLS</t>
  </si>
  <si>
    <t>speedierlevel</t>
  </si>
  <si>
    <t>MasterCarrot438</t>
  </si>
  <si>
    <t>Odious</t>
  </si>
  <si>
    <t>JerKitten</t>
  </si>
  <si>
    <t>ELEPS - Paralel Space</t>
  </si>
  <si>
    <t>Star Party</t>
  </si>
  <si>
    <t>Euro Light</t>
  </si>
  <si>
    <t>ROTTEN VALE</t>
  </si>
  <si>
    <t>Monster Hunter: World - Rotten Vale</t>
  </si>
  <si>
    <t>swag route</t>
  </si>
  <si>
    <t>Itzabunny</t>
  </si>
  <si>
    <t>Polychoron</t>
  </si>
  <si>
    <t>iRipTracki</t>
  </si>
  <si>
    <t>StarRush II</t>
  </si>
  <si>
    <t>Hyberr</t>
  </si>
  <si>
    <t>VOGUE</t>
  </si>
  <si>
    <t>Crimes Across The Moon</t>
  </si>
  <si>
    <t>CRACK</t>
  </si>
  <si>
    <t>Inferno Overdrive</t>
  </si>
  <si>
    <t>Last Abyss</t>
  </si>
  <si>
    <t>Croce doro (JOJO x Castlevania x Fahad Lami Remix)</t>
  </si>
  <si>
    <t>Luster</t>
  </si>
  <si>
    <t>Hedgefox</t>
  </si>
  <si>
    <t>Angaur</t>
  </si>
  <si>
    <t>Et cetera</t>
  </si>
  <si>
    <t>Dawnf4ll</t>
  </si>
  <si>
    <t>Geoplex - Cloudscape</t>
  </si>
  <si>
    <t>Deprivation</t>
  </si>
  <si>
    <t>Ur dragging me down with you</t>
  </si>
  <si>
    <t>SIDEWAYS 8</t>
  </si>
  <si>
    <t>Infinity Zone</t>
  </si>
  <si>
    <t>Typhoon</t>
  </si>
  <si>
    <t>NotMiki</t>
  </si>
  <si>
    <t>TheFatRat, Slaydit &amp; Anjulie - Stronger</t>
  </si>
  <si>
    <t>Credit Roll</t>
  </si>
  <si>
    <t>SPACECULT (instrumental)</t>
  </si>
  <si>
    <t>Macadam Quarry</t>
  </si>
  <si>
    <t>GDZenmuron</t>
  </si>
  <si>
    <t>Coke Master</t>
  </si>
  <si>
    <t>vonic</t>
  </si>
  <si>
    <t>Jacques Melissa - Caffeine Mastah</t>
  </si>
  <si>
    <t>Froidrisson</t>
  </si>
  <si>
    <t>ISSLOL</t>
  </si>
  <si>
    <t>Avenza - Wicked</t>
  </si>
  <si>
    <t>Spin Cycle</t>
  </si>
  <si>
    <t>pring</t>
  </si>
  <si>
    <t>spiralit</t>
  </si>
  <si>
    <t>Modern Voyage</t>
  </si>
  <si>
    <t>Celestial Surge</t>
  </si>
  <si>
    <t>dice88</t>
  </si>
  <si>
    <t>INTERGALACTIC COMEDY</t>
  </si>
  <si>
    <t>The Days Go By</t>
  </si>
  <si>
    <t>Buh</t>
  </si>
  <si>
    <t>VextrA</t>
  </si>
  <si>
    <t>Geoxor - Neon Eyes</t>
  </si>
  <si>
    <t>in motion</t>
  </si>
  <si>
    <t>-Toil-</t>
  </si>
  <si>
    <t>Left Behind</t>
  </si>
  <si>
    <t>Cold Sweat II</t>
  </si>
  <si>
    <t>Maneuvers</t>
  </si>
  <si>
    <t>DEEP BLUE SEA</t>
  </si>
  <si>
    <t>Donkey Kong Country - Aquatic Ambiance</t>
  </si>
  <si>
    <t>teul</t>
  </si>
  <si>
    <t>Acrozis</t>
  </si>
  <si>
    <t>Renedi</t>
  </si>
  <si>
    <t>Ample park</t>
  </si>
  <si>
    <t>Skorde</t>
  </si>
  <si>
    <t>The Negative</t>
  </si>
  <si>
    <t>806 Kodomo</t>
  </si>
  <si>
    <t>Luminescent</t>
  </si>
  <si>
    <t>SouljaBoyCrankD</t>
  </si>
  <si>
    <t>darkest drop</t>
  </si>
  <si>
    <t>Skybreak - Waterfall</t>
  </si>
  <si>
    <t>Aquamenti</t>
  </si>
  <si>
    <t>NEKONGAMES</t>
  </si>
  <si>
    <t>Midnight Kamikaze</t>
  </si>
  <si>
    <t>kodex360</t>
  </si>
  <si>
    <t>Idyllic</t>
  </si>
  <si>
    <t>Marked</t>
  </si>
  <si>
    <t>kaitorZ</t>
  </si>
  <si>
    <t>Has Been</t>
  </si>
  <si>
    <t>TheZinkYT</t>
  </si>
  <si>
    <t>Back In The 90s ( 8-bit Remix )</t>
  </si>
  <si>
    <t>Kuzureta</t>
  </si>
  <si>
    <t>Teno</t>
  </si>
  <si>
    <t>YOASOBI - ????? / Yoru ni Kakeru (Piano Arrange)</t>
  </si>
  <si>
    <t>Portrait</t>
  </si>
  <si>
    <t>Cloudier - Heartbeat</t>
  </si>
  <si>
    <t>The Missed Call</t>
  </si>
  <si>
    <t>RaffaDaKing</t>
  </si>
  <si>
    <t>BuriaL TombS</t>
  </si>
  <si>
    <t>ELEPS - Overdrive (Dubstep)</t>
  </si>
  <si>
    <t>gw XMAS SPECIAL</t>
  </si>
  <si>
    <t>VartixY</t>
  </si>
  <si>
    <t>Extraterrestrial</t>
  </si>
  <si>
    <t>Amnesiac</t>
  </si>
  <si>
    <t>Eye Eye Eye</t>
  </si>
  <si>
    <t>Kirbys Meltdown</t>
  </si>
  <si>
    <t>Ultrashock</t>
  </si>
  <si>
    <t>FurixGD</t>
  </si>
  <si>
    <t>Sharks - Out My Head</t>
  </si>
  <si>
    <t>Right Angle</t>
  </si>
  <si>
    <t>Roses - Friday Night Funkin OST</t>
  </si>
  <si>
    <t>Shinkansen</t>
  </si>
  <si>
    <t>How 2 F4rt</t>
  </si>
  <si>
    <t>melX0exe</t>
  </si>
  <si>
    <t>Short plucky WIP</t>
  </si>
  <si>
    <t>omniscience</t>
  </si>
  <si>
    <t>Trueffet</t>
  </si>
  <si>
    <t>Golden Shine</t>
  </si>
  <si>
    <t>Six Hours NightBound</t>
  </si>
  <si>
    <t>Shaii</t>
  </si>
  <si>
    <t>LeoGinN</t>
  </si>
  <si>
    <t>Hallownest</t>
  </si>
  <si>
    <t>xMrFinlandx</t>
  </si>
  <si>
    <t>skittles literally</t>
  </si>
  <si>
    <t>SubStra</t>
  </si>
  <si>
    <t>Mitt Liv Som Prilla</t>
  </si>
  <si>
    <t>Buoyant</t>
  </si>
  <si>
    <t>sulpur</t>
  </si>
  <si>
    <t>Dalux &amp; Tsunru - Euphony</t>
  </si>
  <si>
    <t>Mania</t>
  </si>
  <si>
    <t>Coolog City</t>
  </si>
  <si>
    <t>Coologs theme</t>
  </si>
  <si>
    <t>MONSTROSITY</t>
  </si>
  <si>
    <t>firework</t>
  </si>
  <si>
    <t>NK - Classical VIP</t>
  </si>
  <si>
    <t>IWannaKillTheKamilia</t>
  </si>
  <si>
    <t>JuNiOr202</t>
  </si>
  <si>
    <t>Native Faith (Kero Club Mix)</t>
  </si>
  <si>
    <t>VEIL</t>
  </si>
  <si>
    <t>neigemany</t>
  </si>
  <si>
    <t>From Air</t>
  </si>
  <si>
    <t>Fragmented</t>
  </si>
  <si>
    <t>Persistence</t>
  </si>
  <si>
    <t>EMPTINESS</t>
  </si>
  <si>
    <t>Arsid</t>
  </si>
  <si>
    <t>Revival</t>
  </si>
  <si>
    <t>pixel thingie</t>
  </si>
  <si>
    <t>Stranger</t>
  </si>
  <si>
    <t>acrylic canals</t>
  </si>
  <si>
    <t>Planeteer Reaction</t>
  </si>
  <si>
    <t>The Clouds Give Way</t>
  </si>
  <si>
    <t>Pickle Sandwich</t>
  </si>
  <si>
    <t>Gryffin &amp; Slander - All You Need To Know (Far Out Remix)</t>
  </si>
  <si>
    <t>Aruxker</t>
  </si>
  <si>
    <t>Hikex</t>
  </si>
  <si>
    <t>Based Gang</t>
  </si>
  <si>
    <t>Apparition</t>
  </si>
  <si>
    <t>Tennessine</t>
  </si>
  <si>
    <t>Jinnans</t>
  </si>
  <si>
    <t>Universal Perception</t>
  </si>
  <si>
    <t>AQTeam</t>
  </si>
  <si>
    <t>Helios</t>
  </si>
  <si>
    <t>Canonlaw</t>
  </si>
  <si>
    <t>Unholy Insurgency</t>
  </si>
  <si>
    <t>Falling Maze</t>
  </si>
  <si>
    <t>Skewed</t>
  </si>
  <si>
    <t>Grand Finale</t>
  </si>
  <si>
    <t>MLG cat THE FINALE</t>
  </si>
  <si>
    <t>Bossfight - Sovereign</t>
  </si>
  <si>
    <t>Deepvine Pass</t>
  </si>
  <si>
    <t>Sugar Crash</t>
  </si>
  <si>
    <t>SPACE PARTY</t>
  </si>
  <si>
    <t>Flappy Dynamix II</t>
  </si>
  <si>
    <t>Watergate</t>
  </si>
  <si>
    <t>Kevin</t>
  </si>
  <si>
    <t>RUST</t>
  </si>
  <si>
    <t>THORNS and BRAMBLES</t>
  </si>
  <si>
    <t>Pablo Minibar</t>
  </si>
  <si>
    <t>Hot Demon</t>
  </si>
  <si>
    <t>Cardigan</t>
  </si>
  <si>
    <t>KiziBro7</t>
  </si>
  <si>
    <t>Cyber Space</t>
  </si>
  <si>
    <t>Starter</t>
  </si>
  <si>
    <t>Into Cyber-Space</t>
  </si>
  <si>
    <t>USSR Mode</t>
  </si>
  <si>
    <t>creeperus</t>
  </si>
  <si>
    <t>Teminite - Party Time</t>
  </si>
  <si>
    <t>Falling Stars</t>
  </si>
  <si>
    <t>nyseoul</t>
  </si>
  <si>
    <t>abgehoben</t>
  </si>
  <si>
    <t>Viilo - Free</t>
  </si>
  <si>
    <t>bioluminescent</t>
  </si>
  <si>
    <t>Turbo868</t>
  </si>
  <si>
    <t>fladalt</t>
  </si>
  <si>
    <t>Event Light</t>
  </si>
  <si>
    <t>DaCobblestone</t>
  </si>
  <si>
    <t>Geoxor - You &amp; I</t>
  </si>
  <si>
    <t>LiveWire</t>
  </si>
  <si>
    <t>Digital Crystals</t>
  </si>
  <si>
    <t>Spectrum Blast</t>
  </si>
  <si>
    <t>Become a Monster</t>
  </si>
  <si>
    <t>warship 988</t>
  </si>
  <si>
    <t>WORSHIP</t>
  </si>
  <si>
    <t>sometimes</t>
  </si>
  <si>
    <t>Aural Braindance</t>
  </si>
  <si>
    <t>Hot Dog Redux</t>
  </si>
  <si>
    <t>lodin da fish washer</t>
  </si>
  <si>
    <t>koko43</t>
  </si>
  <si>
    <t>Where Will We Go</t>
  </si>
  <si>
    <t>Outbreak</t>
  </si>
  <si>
    <t>Dimension Hopper VIP</t>
  </si>
  <si>
    <t>Jellyfish Jam</t>
  </si>
  <si>
    <t>~:Rainy Shores:~</t>
  </si>
  <si>
    <t>POWER GRID</t>
  </si>
  <si>
    <t>Fissure</t>
  </si>
  <si>
    <t>Marshy Meadows</t>
  </si>
  <si>
    <t>Dragonlocked</t>
  </si>
  <si>
    <t>FrostDragonGD</t>
  </si>
  <si>
    <t>Temple Profanators</t>
  </si>
  <si>
    <t>BAARBAS</t>
  </si>
  <si>
    <t>drop dead gorgeous</t>
  </si>
  <si>
    <t>Aeyooo</t>
  </si>
  <si>
    <t>a brief but enjoyable stay in the afterlife</t>
  </si>
  <si>
    <t>Super Mario Wave</t>
  </si>
  <si>
    <t>Toma36</t>
  </si>
  <si>
    <t>Rebirth Blaster</t>
  </si>
  <si>
    <t>R4nchi</t>
  </si>
  <si>
    <t>Bitcrunch</t>
  </si>
  <si>
    <t>Player 2</t>
  </si>
  <si>
    <t>Under the Same Sky</t>
  </si>
  <si>
    <t>Skelly3628</t>
  </si>
  <si>
    <t>~Eruption - Rose</t>
  </si>
  <si>
    <t>red velvet corridor</t>
  </si>
  <si>
    <t>cometface</t>
  </si>
  <si>
    <t>Sepia Nightmare</t>
  </si>
  <si>
    <t>Spectrum Rave</t>
  </si>
  <si>
    <t>Rebellion (Original Mix) [Revolution EP]</t>
  </si>
  <si>
    <t>arcturus</t>
  </si>
  <si>
    <t>maxfs</t>
  </si>
  <si>
    <t>Jump Arcade</t>
  </si>
  <si>
    <t>TeamArcade</t>
  </si>
  <si>
    <t>Lost Civilization</t>
  </si>
  <si>
    <t>NOT SEND</t>
  </si>
  <si>
    <t>ItsGoliat</t>
  </si>
  <si>
    <t>Auston - Interstellar</t>
  </si>
  <si>
    <t>All Done</t>
  </si>
  <si>
    <t>DeNora17</t>
  </si>
  <si>
    <t>gimmix</t>
  </si>
  <si>
    <t>Madeonish Style Song</t>
  </si>
  <si>
    <t>Aphotic</t>
  </si>
  <si>
    <t>By Day By Night</t>
  </si>
  <si>
    <t>By Day, By Night (VIP) (NGADM Mix)</t>
  </si>
  <si>
    <t>Warning</t>
  </si>
  <si>
    <t>Ignition</t>
  </si>
  <si>
    <t>Vera</t>
  </si>
  <si>
    <t>acL</t>
  </si>
  <si>
    <t>ShinichiVN</t>
  </si>
  <si>
    <t>circles [scenes II]</t>
  </si>
  <si>
    <t>Wrong Hue</t>
  </si>
  <si>
    <t>Drowned In A Drizzle</t>
  </si>
  <si>
    <t>In Cargill</t>
  </si>
  <si>
    <t>mdnghtmlnchly</t>
  </si>
  <si>
    <t>Efrxim</t>
  </si>
  <si>
    <t>ran from home</t>
  </si>
  <si>
    <t>Gold Autumn</t>
  </si>
  <si>
    <t>iMonikaa</t>
  </si>
  <si>
    <t>egg</t>
  </si>
  <si>
    <t>Exyl - Egg</t>
  </si>
  <si>
    <t>Magic Mushroom</t>
  </si>
  <si>
    <t>toady21</t>
  </si>
  <si>
    <t>Paralysis</t>
  </si>
  <si>
    <t>Ancient Magic</t>
  </si>
  <si>
    <t>Pixel Terror</t>
  </si>
  <si>
    <t>static shock</t>
  </si>
  <si>
    <t>After Burner</t>
  </si>
  <si>
    <t>CryoChemist</t>
  </si>
  <si>
    <t>FWLR - 2010 A Bass Odyssey</t>
  </si>
  <si>
    <t>Ghost Vandalf</t>
  </si>
  <si>
    <t>CHROMA FINALE</t>
  </si>
  <si>
    <t>H I A S J F A S</t>
  </si>
  <si>
    <t>hoopyglue</t>
  </si>
  <si>
    <t>Umiogen</t>
  </si>
  <si>
    <t>Mayday</t>
  </si>
  <si>
    <t>Music Factory</t>
  </si>
  <si>
    <t>Secluded</t>
  </si>
  <si>
    <t>DossyX, Infowler &amp; Kites - Seeking You</t>
  </si>
  <si>
    <t>layers</t>
  </si>
  <si>
    <t>LAYERS</t>
  </si>
  <si>
    <t>Tormenta</t>
  </si>
  <si>
    <t>SawiArtz</t>
  </si>
  <si>
    <t>Inferno Catalyst</t>
  </si>
  <si>
    <t>memories III</t>
  </si>
  <si>
    <t>the4n1ma</t>
  </si>
  <si>
    <t>iwklect</t>
  </si>
  <si>
    <t>Chaotrix</t>
  </si>
  <si>
    <t>Eyes in The Water</t>
  </si>
  <si>
    <t>six impala - eyes in the water</t>
  </si>
  <si>
    <t>LIGHTBREAKER</t>
  </si>
  <si>
    <t>albacore</t>
  </si>
  <si>
    <t>Seroto</t>
  </si>
  <si>
    <t>Escape the Roses</t>
  </si>
  <si>
    <t>Pejuirange</t>
  </si>
  <si>
    <t>fleep</t>
  </si>
  <si>
    <t>My Cat II</t>
  </si>
  <si>
    <t>Fray</t>
  </si>
  <si>
    <t>Hard Machine</t>
  </si>
  <si>
    <t>komp</t>
  </si>
  <si>
    <t>Tomfoolery</t>
  </si>
  <si>
    <t>Cascade</t>
  </si>
  <si>
    <t>cozy</t>
  </si>
  <si>
    <t>demoncrab</t>
  </si>
  <si>
    <t>i got your postcard</t>
  </si>
  <si>
    <t>Floation</t>
  </si>
  <si>
    <t>Galactrix</t>
  </si>
  <si>
    <t>Namice - Above the Clouds</t>
  </si>
  <si>
    <t>Never Beat It</t>
  </si>
  <si>
    <t>ILLUMINOUS</t>
  </si>
  <si>
    <t>NotJoeBiden</t>
  </si>
  <si>
    <t>RadioStep</t>
  </si>
  <si>
    <t>awesomeness</t>
  </si>
  <si>
    <t>Koopazu</t>
  </si>
  <si>
    <t>Hero</t>
  </si>
  <si>
    <t>Lonely Lights</t>
  </si>
  <si>
    <t>wanderers</t>
  </si>
  <si>
    <t>ZXCircleS</t>
  </si>
  <si>
    <t>The Future Is Now</t>
  </si>
  <si>
    <t>Electro Showdown</t>
  </si>
  <si>
    <t>OldAccount999</t>
  </si>
  <si>
    <t>bHjflBrhObvgrHu</t>
  </si>
  <si>
    <t>krenogd</t>
  </si>
  <si>
    <t>PSYCHE II</t>
  </si>
  <si>
    <t>Processing</t>
  </si>
  <si>
    <t>AMightyDuck</t>
  </si>
  <si>
    <t>Rumble Rangers</t>
  </si>
  <si>
    <t>Sky Thingy</t>
  </si>
  <si>
    <t>TagscGD</t>
  </si>
  <si>
    <t>Multex - Beyond Sky</t>
  </si>
  <si>
    <t>Boogie</t>
  </si>
  <si>
    <t>CATCH THAT EMERALD!</t>
  </si>
  <si>
    <t>Light matter</t>
  </si>
  <si>
    <t>102stile</t>
  </si>
  <si>
    <t>KDL3 Hyper Zone</t>
  </si>
  <si>
    <t>Dream City</t>
  </si>
  <si>
    <t>Heretic109</t>
  </si>
  <si>
    <t>Artificial Reality</t>
  </si>
  <si>
    <t>ilnm</t>
  </si>
  <si>
    <t>APEX</t>
  </si>
  <si>
    <t>StarkyTheSalad</t>
  </si>
  <si>
    <t>High in Flight</t>
  </si>
  <si>
    <t>rampant</t>
  </si>
  <si>
    <t>VIRTUE</t>
  </si>
  <si>
    <t>duby dubai</t>
  </si>
  <si>
    <t>The Infinite Hole</t>
  </si>
  <si>
    <t>spl1nt</t>
  </si>
  <si>
    <t>Bossfight - The Pit</t>
  </si>
  <si>
    <t>Kivvvi</t>
  </si>
  <si>
    <t>A Question Without an Answer</t>
  </si>
  <si>
    <t>PURGATORY</t>
  </si>
  <si>
    <t>ELEPS - FIRE (METALSTEP)</t>
  </si>
  <si>
    <t>Mip</t>
  </si>
  <si>
    <t>Silouute</t>
  </si>
  <si>
    <t>Virtual Jolt</t>
  </si>
  <si>
    <t>sunburn</t>
  </si>
  <si>
    <t>augmentation</t>
  </si>
  <si>
    <t>smooth ride</t>
  </si>
  <si>
    <t>llertt</t>
  </si>
  <si>
    <t>Yatagarasu AgaiN</t>
  </si>
  <si>
    <t>SleepYcAAt</t>
  </si>
  <si>
    <t>Moffer</t>
  </si>
  <si>
    <t>Celestial Dimension</t>
  </si>
  <si>
    <t>Anya21</t>
  </si>
  <si>
    <t>Osanda Verdict</t>
  </si>
  <si>
    <t>v1tchrose</t>
  </si>
  <si>
    <t>Calivania - DOOM [Albee Remix]</t>
  </si>
  <si>
    <t>zo</t>
  </si>
  <si>
    <t>yuhi0707</t>
  </si>
  <si>
    <t>Valwec</t>
  </si>
  <si>
    <t>Mermelada Suave</t>
  </si>
  <si>
    <t>MultiChromatic</t>
  </si>
  <si>
    <t>Infowler - Beyond (Rusherz Remix)</t>
  </si>
  <si>
    <t>CA EXEMPT</t>
  </si>
  <si>
    <t>the beast i worship</t>
  </si>
  <si>
    <t>Vile</t>
  </si>
  <si>
    <t>-Cove-</t>
  </si>
  <si>
    <t>Blanc</t>
  </si>
  <si>
    <t>agoodgoodbye</t>
  </si>
  <si>
    <t>tsuki</t>
  </si>
  <si>
    <t>Hallow Hills II</t>
  </si>
  <si>
    <t>sandstorm</t>
  </si>
  <si>
    <t>VEALT</t>
  </si>
  <si>
    <t>Phase 2</t>
  </si>
  <si>
    <t>SURGE</t>
  </si>
  <si>
    <t>Out Of Body</t>
  </si>
  <si>
    <t>Delirium Tremens</t>
  </si>
  <si>
    <t>Bossfight - Work</t>
  </si>
  <si>
    <t>Insurrection</t>
  </si>
  <si>
    <t>Dreamin</t>
  </si>
  <si>
    <t>Gtnaon8</t>
  </si>
  <si>
    <t>Geoxor - Faerie</t>
  </si>
  <si>
    <t>SOBER</t>
  </si>
  <si>
    <t>Pentagram Incident</t>
  </si>
  <si>
    <t>Static Ignition</t>
  </si>
  <si>
    <t>Magmeta</t>
  </si>
  <si>
    <t>klupa</t>
  </si>
  <si>
    <t>fcsa iy</t>
  </si>
  <si>
    <t>PSYCHOTROPIC</t>
  </si>
  <si>
    <t>Furious Dash</t>
  </si>
  <si>
    <t>ItsZii</t>
  </si>
  <si>
    <t>The Darkness</t>
  </si>
  <si>
    <t>Tinytown</t>
  </si>
  <si>
    <t>Heart of the Storm</t>
  </si>
  <si>
    <t>n68</t>
  </si>
  <si>
    <t>Bossfight x Philip Strand - Voices</t>
  </si>
  <si>
    <t>Meta BoXes</t>
  </si>
  <si>
    <t>Glint</t>
  </si>
  <si>
    <t>Tunnel</t>
  </si>
  <si>
    <t>Spaze - Expectations (ft. Fusion Circle)</t>
  </si>
  <si>
    <t>Alpha Particle</t>
  </si>
  <si>
    <t>egg grand slamwich</t>
  </si>
  <si>
    <t>Goobfrudla</t>
  </si>
  <si>
    <t>Morning Moon</t>
  </si>
  <si>
    <t>Dizzying Heights</t>
  </si>
  <si>
    <t>Sunset</t>
  </si>
  <si>
    <t>lost</t>
  </si>
  <si>
    <t>Rowanm</t>
  </si>
  <si>
    <t>Crewmate</t>
  </si>
  <si>
    <t>Impostor</t>
  </si>
  <si>
    <t>Voltaic</t>
  </si>
  <si>
    <t>BOSSRUSH</t>
  </si>
  <si>
    <t>ELEPS - Together (Dubstep)</t>
  </si>
  <si>
    <t>Veins</t>
  </si>
  <si>
    <t>MRRDRR</t>
  </si>
  <si>
    <t>Kingdom Crashers</t>
  </si>
  <si>
    <t>felixitron</t>
  </si>
  <si>
    <t>How To Adventure</t>
  </si>
  <si>
    <t>Snap</t>
  </si>
  <si>
    <t>Adeline</t>
  </si>
  <si>
    <t>Isolation II</t>
  </si>
  <si>
    <t>Panda Eyes - Insomnia</t>
  </si>
  <si>
    <t>to the sky</t>
  </si>
  <si>
    <t>DeadFactor</t>
  </si>
  <si>
    <t>Epiphany</t>
  </si>
  <si>
    <t>Another Way Home</t>
  </si>
  <si>
    <t>The Meaning of Life (Baumarius Remastered)</t>
  </si>
  <si>
    <t>Crystal</t>
  </si>
  <si>
    <t>Synthetic Sequence</t>
  </si>
  <si>
    <t>mindfrick</t>
  </si>
  <si>
    <t>meganeko x Shirobon - Mind/ /Pulse</t>
  </si>
  <si>
    <t>Acheron</t>
  </si>
  <si>
    <t>ryamu</t>
  </si>
  <si>
    <t>Anya II</t>
  </si>
  <si>
    <t>Geoxor - Euphoria II</t>
  </si>
  <si>
    <t>WRAP</t>
  </si>
  <si>
    <t>SwagMasta001</t>
  </si>
  <si>
    <t>CraZy III</t>
  </si>
  <si>
    <t>Circus Contraption - Wicked Fascinations (DirtyPaws Remix)</t>
  </si>
  <si>
    <t>DMG CTRL</t>
  </si>
  <si>
    <t>Arctic Wind</t>
  </si>
  <si>
    <t>nothingness</t>
  </si>
  <si>
    <t>Gabbs</t>
  </si>
  <si>
    <t>Permafrost</t>
  </si>
  <si>
    <t>Brimbis</t>
  </si>
  <si>
    <t>Viridica</t>
  </si>
  <si>
    <t>Stickerbrush Symphony [Ar</t>
  </si>
  <si>
    <t>the endjng</t>
  </si>
  <si>
    <t>SirExcelDJ</t>
  </si>
  <si>
    <t>IMPULSE</t>
  </si>
  <si>
    <t>cYsmix - Youkai Woods</t>
  </si>
  <si>
    <t>Freedom Travel</t>
  </si>
  <si>
    <t>DeoxLite</t>
  </si>
  <si>
    <t>Lights Out</t>
  </si>
  <si>
    <t>Virtual Human</t>
  </si>
  <si>
    <t>sky high</t>
  </si>
  <si>
    <t>&lt;EagleGuard&gt; Rock it out!</t>
  </si>
  <si>
    <t>SINISTER</t>
  </si>
  <si>
    <t>Sinister Remix</t>
  </si>
  <si>
    <t>Wave Souls</t>
  </si>
  <si>
    <t>On1y Cub3</t>
  </si>
  <si>
    <t>DrCuber</t>
  </si>
  <si>
    <t>MDK &amp; meganeko - Supercharge</t>
  </si>
  <si>
    <t>Blast</t>
  </si>
  <si>
    <t>Journey Into Sound</t>
  </si>
  <si>
    <t>Deep Forest</t>
  </si>
  <si>
    <t>BREAKER ROOM</t>
  </si>
  <si>
    <t>Hairaito</t>
  </si>
  <si>
    <t>Synthion - Konpeito</t>
  </si>
  <si>
    <t>Aura</t>
  </si>
  <si>
    <t>Ka1sa</t>
  </si>
  <si>
    <t>Nirvana</t>
  </si>
  <si>
    <t>PROTOMED1Z</t>
  </si>
  <si>
    <t>EXPLICIT</t>
  </si>
  <si>
    <t>waturn</t>
  </si>
  <si>
    <t>Ddiamond</t>
  </si>
  <si>
    <t>So Crazy</t>
  </si>
  <si>
    <t>Em Khong Hieu</t>
  </si>
  <si>
    <t>Atimistic</t>
  </si>
  <si>
    <t>Consistent Cohesion</t>
  </si>
  <si>
    <t>lily of the valley</t>
  </si>
  <si>
    <t>water level</t>
  </si>
  <si>
    <t>Retrospective</t>
  </si>
  <si>
    <t>Dust</t>
  </si>
  <si>
    <t>cynir</t>
  </si>
  <si>
    <t>M.O.O.N - Dust (cynir cover)</t>
  </si>
  <si>
    <t>FXRE PXWER</t>
  </si>
  <si>
    <t>Teminite - Firepower</t>
  </si>
  <si>
    <t>Another Phase</t>
  </si>
  <si>
    <t>Vaped</t>
  </si>
  <si>
    <t>ELITEXD</t>
  </si>
  <si>
    <t>crying clouds</t>
  </si>
  <si>
    <t>The Aqaer (The Aqaer EP)</t>
  </si>
  <si>
    <t>SwitchBlaze</t>
  </si>
  <si>
    <t>Mixterix230</t>
  </si>
  <si>
    <t>Vostok 12</t>
  </si>
  <si>
    <t>Detestation (Discharge EP)</t>
  </si>
  <si>
    <t>Edge</t>
  </si>
  <si>
    <t>Halme1</t>
  </si>
  <si>
    <t>What A Fool Believes (wip)</t>
  </si>
  <si>
    <t>Terror</t>
  </si>
  <si>
    <t>CONCEPT</t>
  </si>
  <si>
    <t>Olympic Faith</t>
  </si>
  <si>
    <t>Zhak</t>
  </si>
  <si>
    <t>Bluetail Falls</t>
  </si>
  <si>
    <t>Calypso</t>
  </si>
  <si>
    <t>hung out to dry</t>
  </si>
  <si>
    <t>o3k</t>
  </si>
  <si>
    <t>Something In The Water</t>
  </si>
  <si>
    <t>Assembly Lane</t>
  </si>
  <si>
    <t>VeltX</t>
  </si>
  <si>
    <t>Rend Bone</t>
  </si>
  <si>
    <t>XecyGD</t>
  </si>
  <si>
    <t>energy overflow</t>
  </si>
  <si>
    <t>EfectGang</t>
  </si>
  <si>
    <t>Surrender (Original Mix)</t>
  </si>
  <si>
    <t>RELENTLESS</t>
  </si>
  <si>
    <t>SurJaco</t>
  </si>
  <si>
    <t>VirulenT</t>
  </si>
  <si>
    <t>ParzivalGames</t>
  </si>
  <si>
    <t>Luminavance</t>
  </si>
  <si>
    <t>Nightmare Fuel</t>
  </si>
  <si>
    <t>Keres</t>
  </si>
  <si>
    <t>missing purpose</t>
  </si>
  <si>
    <t>Cliffside Valley</t>
  </si>
  <si>
    <t>fletser</t>
  </si>
  <si>
    <t>Startup Sequence</t>
  </si>
  <si>
    <t>PERS1AN</t>
  </si>
  <si>
    <t>First Time Visiting</t>
  </si>
  <si>
    <t>esthetic</t>
  </si>
  <si>
    <t>DivideNick</t>
  </si>
  <si>
    <t>beleive</t>
  </si>
  <si>
    <t>Jorgem1gue7</t>
  </si>
  <si>
    <t>twenty four</t>
  </si>
  <si>
    <t>ThunderBat</t>
  </si>
  <si>
    <t>BYZANTIUM</t>
  </si>
  <si>
    <t>Meathook</t>
  </si>
  <si>
    <t>01 Adrenochrome</t>
  </si>
  <si>
    <t>acoo</t>
  </si>
  <si>
    <t>cordeaux</t>
  </si>
  <si>
    <t>donkyyy</t>
  </si>
  <si>
    <t>Homura</t>
  </si>
  <si>
    <t>Lanterns</t>
  </si>
  <si>
    <t>Scorpius</t>
  </si>
  <si>
    <t>Amodus</t>
  </si>
  <si>
    <t>Desx74</t>
  </si>
  <si>
    <t>modus - Displace</t>
  </si>
  <si>
    <t>MAGNUM OPUS</t>
  </si>
  <si>
    <t>Mater Infinitum - Part III</t>
  </si>
  <si>
    <t>Furia</t>
  </si>
  <si>
    <t>mind control corral</t>
  </si>
  <si>
    <t>glaive - astrid (remix)</t>
  </si>
  <si>
    <t>Brillos</t>
  </si>
  <si>
    <t>Inure</t>
  </si>
  <si>
    <t>Rosier</t>
  </si>
  <si>
    <t>BUTTERSCOTCH</t>
  </si>
  <si>
    <t>Energy Flow</t>
  </si>
  <si>
    <t>Depths</t>
  </si>
  <si>
    <t>Espionage</t>
  </si>
  <si>
    <t>Nameless Traveler (Espionage)</t>
  </si>
  <si>
    <t>Dark Tides</t>
  </si>
  <si>
    <t>rKath</t>
  </si>
  <si>
    <t>woodchipper</t>
  </si>
  <si>
    <t>Flangy Chipper (93 BPM)</t>
  </si>
  <si>
    <t>Neon Raver</t>
  </si>
  <si>
    <t>Agares</t>
  </si>
  <si>
    <t>Exvill</t>
  </si>
  <si>
    <t>THE HILLS HAVE EYES</t>
  </si>
  <si>
    <t>g444444444g</t>
  </si>
  <si>
    <t>magical Realm</t>
  </si>
  <si>
    <t>oaf</t>
  </si>
  <si>
    <t>Identificamical</t>
  </si>
  <si>
    <t>MiGor07</t>
  </si>
  <si>
    <t>Vibrant Crystal</t>
  </si>
  <si>
    <t>Fortunate Kitten</t>
  </si>
  <si>
    <t>AceVict</t>
  </si>
  <si>
    <t>?Full Flavor?ZUN - Fortunate Kitten(BegissoRs Remix)</t>
  </si>
  <si>
    <t>DIGITAL ADRENALINE</t>
  </si>
  <si>
    <t>{Adrinaline Pumper}</t>
  </si>
  <si>
    <t>Ye its a demon</t>
  </si>
  <si>
    <t>ye</t>
  </si>
  <si>
    <t>Jamboree</t>
  </si>
  <si>
    <t>Dreamed Again</t>
  </si>
  <si>
    <t>Grand Prix</t>
  </si>
  <si>
    <t>Creo - Drift</t>
  </si>
  <si>
    <t>Distorzona</t>
  </si>
  <si>
    <t>Cersia Difficult</t>
  </si>
  <si>
    <t>shoebill</t>
  </si>
  <si>
    <t>aka</t>
  </si>
  <si>
    <t>Crux</t>
  </si>
  <si>
    <t>Fishe</t>
  </si>
  <si>
    <t>GLISTEN</t>
  </si>
  <si>
    <t>PIXEL LOVE</t>
  </si>
  <si>
    <t>Tearing</t>
  </si>
  <si>
    <t>raixe</t>
  </si>
  <si>
    <t>After The Origin</t>
  </si>
  <si>
    <t>3DADronX</t>
  </si>
  <si>
    <t>Corona</t>
  </si>
  <si>
    <t>Horror Nights</t>
  </si>
  <si>
    <t>Dia Nevado</t>
  </si>
  <si>
    <t>ElWena</t>
  </si>
  <si>
    <t>New dawn</t>
  </si>
  <si>
    <t>Waltertheboss</t>
  </si>
  <si>
    <t>MoonsteR</t>
  </si>
  <si>
    <t>Gone to the store</t>
  </si>
  <si>
    <t>HELIG KVINANN</t>
  </si>
  <si>
    <t>GUNGDIPANGPANG</t>
  </si>
  <si>
    <t>cYsmix - Disco Bawls</t>
  </si>
  <si>
    <t>Teriyaki asthma</t>
  </si>
  <si>
    <t>twigxcabaret</t>
  </si>
  <si>
    <t>Uxinua</t>
  </si>
  <si>
    <t>Buziris</t>
  </si>
  <si>
    <t>Hatsune Miku - World is Mine (Geoxor Remix)</t>
  </si>
  <si>
    <t>Sports</t>
  </si>
  <si>
    <t>Tumba Ping Pong Song</t>
  </si>
  <si>
    <t>Karma8</t>
  </si>
  <si>
    <t>speedestlevel</t>
  </si>
  <si>
    <t>MarshMarlow</t>
  </si>
  <si>
    <t>Feelin Funky</t>
  </si>
  <si>
    <t>SharaX - Dark Darker Yet Monster</t>
  </si>
  <si>
    <t>Reinvention</t>
  </si>
  <si>
    <t>8uua</t>
  </si>
  <si>
    <t>Dreamer</t>
  </si>
  <si>
    <t>KiwiPenguin</t>
  </si>
  <si>
    <t>SkullCracker II</t>
  </si>
  <si>
    <t>xDiji</t>
  </si>
  <si>
    <t>cold weather</t>
  </si>
  <si>
    <t>The Wrath of an Unrelenting Frycook</t>
  </si>
  <si>
    <t>Anemone</t>
  </si>
  <si>
    <t>DanLom</t>
  </si>
  <si>
    <t>Lustrous</t>
  </si>
  <si>
    <t>pyrtsune</t>
  </si>
  <si>
    <t>10HEX</t>
  </si>
  <si>
    <t>HEX</t>
  </si>
  <si>
    <t>Firework</t>
  </si>
  <si>
    <t>TrickGMD</t>
  </si>
  <si>
    <t>Undefined</t>
  </si>
  <si>
    <t>This is Turning Me 0n</t>
  </si>
  <si>
    <t>sarthix</t>
  </si>
  <si>
    <t>The Toad Empire</t>
  </si>
  <si>
    <t>Carnage37</t>
  </si>
  <si>
    <t>Myocardia</t>
  </si>
  <si>
    <t>Manure</t>
  </si>
  <si>
    <t>31 Days</t>
  </si>
  <si>
    <t>Cactus Jack</t>
  </si>
  <si>
    <t>Kreygasm</t>
  </si>
  <si>
    <t>Lost in Time</t>
  </si>
  <si>
    <t>Ruins of Time</t>
  </si>
  <si>
    <t>JAM FACTORY</t>
  </si>
  <si>
    <t>Somethin Spooky</t>
  </si>
  <si>
    <t>Valkinator</t>
  </si>
  <si>
    <t>Where The Beasts At</t>
  </si>
  <si>
    <t>RIOT</t>
  </si>
  <si>
    <t>Australind</t>
  </si>
  <si>
    <t>Shukketsu</t>
  </si>
  <si>
    <t>shukketsu????</t>
  </si>
  <si>
    <t>The Thing</t>
  </si>
  <si>
    <t>Deadly Games</t>
  </si>
  <si>
    <t>Hibernal</t>
  </si>
  <si>
    <t>Cassidyy</t>
  </si>
  <si>
    <t>Hutaolloween</t>
  </si>
  <si>
    <t>SparksOmega</t>
  </si>
  <si>
    <t>Devils Disco</t>
  </si>
  <si>
    <t>So Do I</t>
  </si>
  <si>
    <t>Infinite chase</t>
  </si>
  <si>
    <t>Infinite Rebirth</t>
  </si>
  <si>
    <t>Broken Gameboy</t>
  </si>
  <si>
    <t>Mexican Overdrive</t>
  </si>
  <si>
    <t>ALESDA! - Mexican Overdrive</t>
  </si>
  <si>
    <t>VxIN SLxT</t>
  </si>
  <si>
    <t>ZAmos</t>
  </si>
  <si>
    <t>loving u is wrong</t>
  </si>
  <si>
    <t>Blue Planet</t>
  </si>
  <si>
    <t>Double Take</t>
  </si>
  <si>
    <t>friday</t>
  </si>
  <si>
    <t>DubKore X</t>
  </si>
  <si>
    <t>RedZone</t>
  </si>
  <si>
    <t>Onvil</t>
  </si>
  <si>
    <t>Pathfinder</t>
  </si>
  <si>
    <t>Monumental Dreams</t>
  </si>
  <si>
    <t>AlvaroRH99</t>
  </si>
  <si>
    <t>preezee</t>
  </si>
  <si>
    <t>4 Matilda</t>
  </si>
  <si>
    <t>ASTEROiD</t>
  </si>
  <si>
    <t>Make It Drop</t>
  </si>
  <si>
    <t>R4BBIT - Make it drop</t>
  </si>
  <si>
    <t>BALLS 15</t>
  </si>
  <si>
    <t>plaaant</t>
  </si>
  <si>
    <t>LUKOJE</t>
  </si>
  <si>
    <t>YMTHLYFYMBIKWHRLYF</t>
  </si>
  <si>
    <t>augi</t>
  </si>
  <si>
    <t>Badass Bitch</t>
  </si>
  <si>
    <t>Effectual Prism</t>
  </si>
  <si>
    <t>Met3o</t>
  </si>
  <si>
    <t>Tabasco</t>
  </si>
  <si>
    <t>HELL YEAH</t>
  </si>
  <si>
    <t>violets</t>
  </si>
  <si>
    <t>el4n</t>
  </si>
  <si>
    <t>Before Heartbreak Hits</t>
  </si>
  <si>
    <t>Meteorite</t>
  </si>
  <si>
    <t>Blogde</t>
  </si>
  <si>
    <t>Deltaura</t>
  </si>
  <si>
    <t>F.Y.S RMX</t>
  </si>
  <si>
    <t>Chromatic Conflux</t>
  </si>
  <si>
    <t>DriftGMD</t>
  </si>
  <si>
    <t>Pixel Rave</t>
  </si>
  <si>
    <t>Flowers of Diligence</t>
  </si>
  <si>
    <t>Blazing Lights</t>
  </si>
  <si>
    <t>Flurry</t>
  </si>
  <si>
    <t>Sin</t>
  </si>
  <si>
    <t>XDGamers2856</t>
  </si>
  <si>
    <t>Freedom19</t>
  </si>
  <si>
    <t>Pain</t>
  </si>
  <si>
    <t>5ta1ker</t>
  </si>
  <si>
    <t>Depard &amp; Three Days Grace - Pain</t>
  </si>
  <si>
    <t>Aureum Folium</t>
  </si>
  <si>
    <t>GDestrys</t>
  </si>
  <si>
    <t>Backasswards</t>
  </si>
  <si>
    <t>JellyBear &amp; Seluekos - Break Party</t>
  </si>
  <si>
    <t>eternal entropy</t>
  </si>
  <si>
    <t>ProGGCyrus</t>
  </si>
  <si>
    <t>Afterburn</t>
  </si>
  <si>
    <t>alpha rocks</t>
  </si>
  <si>
    <t>Soesaeh</t>
  </si>
  <si>
    <t>HadoX</t>
  </si>
  <si>
    <t>DESTRUCTION</t>
  </si>
  <si>
    <t>Gumshot</t>
  </si>
  <si>
    <t>Lotus Flower</t>
  </si>
  <si>
    <t>Sky Blue</t>
  </si>
  <si>
    <t>sliggnaut</t>
  </si>
  <si>
    <t>Sephtis</t>
  </si>
  <si>
    <t>deThe</t>
  </si>
  <si>
    <t>We Are All Fucked</t>
  </si>
  <si>
    <t>Nitroglycerin</t>
  </si>
  <si>
    <t>Refreshery</t>
  </si>
  <si>
    <t>AHOY</t>
  </si>
  <si>
    <t>AlaskaFX</t>
  </si>
  <si>
    <t>Ace Y Tuna</t>
  </si>
  <si>
    <t>Levas Polka (Remix)-EuroDance</t>
  </si>
  <si>
    <t>BRPM8ZGKRJ</t>
  </si>
  <si>
    <t>robotchief</t>
  </si>
  <si>
    <t>-DreamTide-</t>
  </si>
  <si>
    <t>Opal II</t>
  </si>
  <si>
    <t>Xypheeeer</t>
  </si>
  <si>
    <t>Frozen Sea</t>
  </si>
  <si>
    <t>Lazuri</t>
  </si>
  <si>
    <t>GianXander</t>
  </si>
  <si>
    <t>Dreamscape</t>
  </si>
  <si>
    <t>Stimulation Sim</t>
  </si>
  <si>
    <t>In My Mind</t>
  </si>
  <si>
    <t>the future</t>
  </si>
  <si>
    <t>Phase 3</t>
  </si>
  <si>
    <t>-Viscid-</t>
  </si>
  <si>
    <t>DEFFAKA</t>
  </si>
  <si>
    <t>NitroFan28</t>
  </si>
  <si>
    <t>Ablixa</t>
  </si>
  <si>
    <t>Rusted World</t>
  </si>
  <si>
    <t>Shlaken</t>
  </si>
  <si>
    <t>hey</t>
  </si>
  <si>
    <t>RapidBlaze</t>
  </si>
  <si>
    <t>NOKIA - waiting (monikrr flip)</t>
  </si>
  <si>
    <t>polarizing</t>
  </si>
  <si>
    <t>NateFH</t>
  </si>
  <si>
    <t>RESPITE</t>
  </si>
  <si>
    <t>Cool Vibes!</t>
  </si>
  <si>
    <t>too beautiful</t>
  </si>
  <si>
    <t>Midnight Flower</t>
  </si>
  <si>
    <t>Moldering Manor</t>
  </si>
  <si>
    <t>Factory Part</t>
  </si>
  <si>
    <t>bStep</t>
  </si>
  <si>
    <t>Cyber Dream</t>
  </si>
  <si>
    <t>Etoilys</t>
  </si>
  <si>
    <t>Gy</t>
  </si>
  <si>
    <t>Crystal River</t>
  </si>
  <si>
    <t>Cosmic Cyclone</t>
  </si>
  <si>
    <t>PAY</t>
  </si>
  <si>
    <t>PDKGD</t>
  </si>
  <si>
    <t>How it Feels</t>
  </si>
  <si>
    <t>Luap314</t>
  </si>
  <si>
    <t>Minty - Mind Breaker</t>
  </si>
  <si>
    <t>Springtime</t>
  </si>
  <si>
    <t>Peeled Skin</t>
  </si>
  <si>
    <t>think about it ???? ~</t>
  </si>
  <si>
    <t>Milkshake Light</t>
  </si>
  <si>
    <t>storyking1559</t>
  </si>
  <si>
    <t>Planet Bleed</t>
  </si>
  <si>
    <t>brt</t>
  </si>
  <si>
    <t>SpLevel</t>
  </si>
  <si>
    <t>troll level</t>
  </si>
  <si>
    <t>Super Mario 3D Land Remix</t>
  </si>
  <si>
    <t>Thien Long</t>
  </si>
  <si>
    <t>Sendent</t>
  </si>
  <si>
    <t>Obscure</t>
  </si>
  <si>
    <t>Hojkluoi</t>
  </si>
  <si>
    <t>Steams Wonderful Contraptions</t>
  </si>
  <si>
    <t>Neon Planet</t>
  </si>
  <si>
    <t>SH0ES</t>
  </si>
  <si>
    <t>Spiders</t>
  </si>
  <si>
    <t>Forgotten peaks</t>
  </si>
  <si>
    <t>mbedsun</t>
  </si>
  <si>
    <t>Frost Blizzard</t>
  </si>
  <si>
    <t>SYSTEM32</t>
  </si>
  <si>
    <t>Space Telecom</t>
  </si>
  <si>
    <t>follow me</t>
  </si>
  <si>
    <t>breakcorist00 - What about it</t>
  </si>
  <si>
    <t>Edooox Collab</t>
  </si>
  <si>
    <t>Bossfight x NG+ - Prelude Remix</t>
  </si>
  <si>
    <t>Circus Dash</t>
  </si>
  <si>
    <t>Cooler Bananas</t>
  </si>
  <si>
    <t>Xapia</t>
  </si>
  <si>
    <t>SECTOR 19</t>
  </si>
  <si>
    <t>lukewarm sea on sun</t>
  </si>
  <si>
    <t>whiteoceanodor</t>
  </si>
  <si>
    <t>Primavera</t>
  </si>
  <si>
    <t>SCAM OF THE CENTURY</t>
  </si>
  <si>
    <t>Sketch</t>
  </si>
  <si>
    <t>Geoxor - Twilight</t>
  </si>
  <si>
    <t>Mjko</t>
  </si>
  <si>
    <t>Holy Knight (MYP RmX)</t>
  </si>
  <si>
    <t>hopperpop</t>
  </si>
  <si>
    <t>Panda Eyes - Neves Theme</t>
  </si>
  <si>
    <t>Pong Rave</t>
  </si>
  <si>
    <t>Sky Watching</t>
  </si>
  <si>
    <t>gogBone</t>
  </si>
  <si>
    <t>Remember How To Live</t>
  </si>
  <si>
    <t>OUTSKIRTS</t>
  </si>
  <si>
    <t>OTIS</t>
  </si>
  <si>
    <t>Nokomis</t>
  </si>
  <si>
    <t>Plastic Twilight</t>
  </si>
  <si>
    <t>Maybe</t>
  </si>
  <si>
    <t>SUBJ3CT3STR00M</t>
  </si>
  <si>
    <t>Verdant Landscape</t>
  </si>
  <si>
    <t>ItzNisha</t>
  </si>
  <si>
    <t>Pagoda</t>
  </si>
  <si>
    <t>Joyride</t>
  </si>
  <si>
    <t>weird</t>
  </si>
  <si>
    <t>The Long Walk Home</t>
  </si>
  <si>
    <t>Night walk extended</t>
  </si>
  <si>
    <t>Giza Dance</t>
  </si>
  <si>
    <t>The Masked Machine</t>
  </si>
  <si>
    <t>Vimori - Identity (Reinelex Music Release)</t>
  </si>
  <si>
    <t>BlastOff</t>
  </si>
  <si>
    <t>Upside Dizzy</t>
  </si>
  <si>
    <t>Flip Trip</t>
  </si>
  <si>
    <t>Storming Summit</t>
  </si>
  <si>
    <t>Skybreak &amp; Keskuda - Summit</t>
  </si>
  <si>
    <t>A newborn star</t>
  </si>
  <si>
    <t>phantasmagoria</t>
  </si>
  <si>
    <t>whlt</t>
  </si>
  <si>
    <t>so good &lt;loop&gt;</t>
  </si>
  <si>
    <t>MISSING MOON</t>
  </si>
  <si>
    <t>from a snails perspective (unfinished)</t>
  </si>
  <si>
    <t>Once Forgotten</t>
  </si>
  <si>
    <t>Derpcat - catharsis</t>
  </si>
  <si>
    <t>MLXmas</t>
  </si>
  <si>
    <t>UNSPEAKABLE</t>
  </si>
  <si>
    <t>Desolate Void</t>
  </si>
  <si>
    <t>SirPotatOwO</t>
  </si>
  <si>
    <t>No Use</t>
  </si>
  <si>
    <t>Head Spin</t>
  </si>
  <si>
    <t>HappyBubble</t>
  </si>
  <si>
    <t>The Effortless Society</t>
  </si>
  <si>
    <t>INFLAMMABLE INFUSION</t>
  </si>
  <si>
    <t>One Eyed Man</t>
  </si>
  <si>
    <t>X1</t>
  </si>
  <si>
    <t>Delusion</t>
  </si>
  <si>
    <t>ILLUSION OF SPACE</t>
  </si>
  <si>
    <t>BEBAN</t>
  </si>
  <si>
    <t>INVU</t>
  </si>
  <si>
    <t>KIngSammelot - Balls In Yo Jaws (Remix)</t>
  </si>
  <si>
    <t>New Record</t>
  </si>
  <si>
    <t>Jahy Sama</t>
  </si>
  <si>
    <t>-Swirl!-</t>
  </si>
  <si>
    <t>Dangerous Waters</t>
  </si>
  <si>
    <t>iGrimes</t>
  </si>
  <si>
    <t>Splitted sky</t>
  </si>
  <si>
    <t>AsaN4iK</t>
  </si>
  <si>
    <t>Split the Skies</t>
  </si>
  <si>
    <t>Holy Night</t>
  </si>
  <si>
    <t>Christmas Cheer</t>
  </si>
  <si>
    <t>Cursed Catacombs</t>
  </si>
  <si>
    <t>Halutena</t>
  </si>
  <si>
    <t>WOODKID - Run Boy Run (Aelphin 2021 Remix)</t>
  </si>
  <si>
    <t>Virtualization</t>
  </si>
  <si>
    <t>Splinter25</t>
  </si>
  <si>
    <t>mikusmas</t>
  </si>
  <si>
    <t>Karaplex - Between Worlds</t>
  </si>
  <si>
    <t>Stadium Seating</t>
  </si>
  <si>
    <t>Zircon</t>
  </si>
  <si>
    <t>Shocked</t>
  </si>
  <si>
    <t>Jezzel</t>
  </si>
  <si>
    <t>F-777 - Shock Rave</t>
  </si>
  <si>
    <t>Speed Wing</t>
  </si>
  <si>
    <t>Surrender</t>
  </si>
  <si>
    <t>Hydrocynic</t>
  </si>
  <si>
    <t>heatstroke</t>
  </si>
  <si>
    <t>Eggsncoffee</t>
  </si>
  <si>
    <t>Terminux</t>
  </si>
  <si>
    <t>Aerae</t>
  </si>
  <si>
    <t>Detious - Hypersphere</t>
  </si>
  <si>
    <t>EXG</t>
  </si>
  <si>
    <t>Annihilate (MD2021)</t>
  </si>
  <si>
    <t>Holiday Tale</t>
  </si>
  <si>
    <t>Jiving Jolly</t>
  </si>
  <si>
    <t>Dystopia</t>
  </si>
  <si>
    <t>Xtrullor - The Armor of God</t>
  </si>
  <si>
    <t>Always Lying</t>
  </si>
  <si>
    <t>Lying 0.7</t>
  </si>
  <si>
    <t>Dream Pie</t>
  </si>
  <si>
    <t>pashai</t>
  </si>
  <si>
    <t>What is Glow</t>
  </si>
  <si>
    <t>UlbomE</t>
  </si>
  <si>
    <t>meganeko &amp; FantomenK - is this ok?</t>
  </si>
  <si>
    <t>F-777 - Medusa</t>
  </si>
  <si>
    <t>etterath</t>
  </si>
  <si>
    <t>Creo - We Can Dream</t>
  </si>
  <si>
    <t>SUBVERT</t>
  </si>
  <si>
    <t>Battlecry</t>
  </si>
  <si>
    <t>Mental Image</t>
  </si>
  <si>
    <t>I NEVER DREAM</t>
  </si>
  <si>
    <t>replacement song 1</t>
  </si>
  <si>
    <t>SMOG</t>
  </si>
  <si>
    <t>Cherry Blossom</t>
  </si>
  <si>
    <t>Low Orbit Dream</t>
  </si>
  <si>
    <t>Koishite</t>
  </si>
  <si>
    <t>Sakupen Circles</t>
  </si>
  <si>
    <t>TheDiamondPizza</t>
  </si>
  <si>
    <t>The crimson blade</t>
  </si>
  <si>
    <t>LewinGD</t>
  </si>
  <si>
    <t>The Last Crimson Leaf</t>
  </si>
  <si>
    <t>Que</t>
  </si>
  <si>
    <t>Catim</t>
  </si>
  <si>
    <t>Sanic Wave</t>
  </si>
  <si>
    <t>VladAAA</t>
  </si>
  <si>
    <t>Vivacious</t>
  </si>
  <si>
    <t>skzyl</t>
  </si>
  <si>
    <t>Moodwave</t>
  </si>
  <si>
    <t>Serotonin Syndrome</t>
  </si>
  <si>
    <t>EU RI</t>
  </si>
  <si>
    <t>P0ki</t>
  </si>
  <si>
    <t>swans have no teeth</t>
  </si>
  <si>
    <t>Fun Shapes</t>
  </si>
  <si>
    <t>example</t>
  </si>
  <si>
    <t>Hydraulics</t>
  </si>
  <si>
    <t>-Afterburners-</t>
  </si>
  <si>
    <t>Anda Iblis</t>
  </si>
  <si>
    <t>adafka</t>
  </si>
  <si>
    <t>Beyond Hell</t>
  </si>
  <si>
    <t>fakeblast</t>
  </si>
  <si>
    <t>Kita</t>
  </si>
  <si>
    <t>Cri0x</t>
  </si>
  <si>
    <t>deep time peaks</t>
  </si>
  <si>
    <t>The Drifts II</t>
  </si>
  <si>
    <t>From The Top</t>
  </si>
  <si>
    <t>vyp</t>
  </si>
  <si>
    <t>PANDA EYES - NEGATIVE THOUGHTS (FEAT. MICKEY SHILOH)</t>
  </si>
  <si>
    <t>Crossroads</t>
  </si>
  <si>
    <t>apricot special</t>
  </si>
  <si>
    <t>FY</t>
  </si>
  <si>
    <t>square root</t>
  </si>
  <si>
    <t>Licensed to Ill</t>
  </si>
  <si>
    <t>Velocity</t>
  </si>
  <si>
    <t>doradura</t>
  </si>
  <si>
    <t>YouDura</t>
  </si>
  <si>
    <t>System Diviso</t>
  </si>
  <si>
    <t>GRINDA</t>
  </si>
  <si>
    <t>Granite Heaven</t>
  </si>
  <si>
    <t>harent</t>
  </si>
  <si>
    <t>Ratio Circles</t>
  </si>
  <si>
    <t>ch4rlie03</t>
  </si>
  <si>
    <t>SmK - Human</t>
  </si>
  <si>
    <t>Mt Danji</t>
  </si>
  <si>
    <t>Snow 2</t>
  </si>
  <si>
    <t>TheCinnyBun</t>
  </si>
  <si>
    <t>Cinny</t>
  </si>
  <si>
    <t>Fantasy Park</t>
  </si>
  <si>
    <t>Howaitoauto</t>
  </si>
  <si>
    <t>Hot Flash</t>
  </si>
  <si>
    <t>I M A X I N A T O R</t>
  </si>
  <si>
    <t>Complementary Cruise</t>
  </si>
  <si>
    <t>Hero3210</t>
  </si>
  <si>
    <t>My Worst Demon Level</t>
  </si>
  <si>
    <t>Lights, Camera, Action! Remix</t>
  </si>
  <si>
    <t>when you the</t>
  </si>
  <si>
    <t>galofuf</t>
  </si>
  <si>
    <t>Disastrous Downpour</t>
  </si>
  <si>
    <t>Creo - Awaken</t>
  </si>
  <si>
    <t>Embark</t>
  </si>
  <si>
    <t>Zkander</t>
  </si>
  <si>
    <t>TheFatRat &amp; JJD - Prelude (VIP Edit)</t>
  </si>
  <si>
    <t>remote planet</t>
  </si>
  <si>
    <t>Grime</t>
  </si>
  <si>
    <t>The Unidentified</t>
  </si>
  <si>
    <t>Interestex</t>
  </si>
  <si>
    <t>CyberNinja</t>
  </si>
  <si>
    <t>THROUGH THE WOODS</t>
  </si>
  <si>
    <t>JUNCO</t>
  </si>
  <si>
    <t>Another Challenge</t>
  </si>
  <si>
    <t>IsmailDaBest</t>
  </si>
  <si>
    <t>Sink</t>
  </si>
  <si>
    <t>Goldenrod Game Corner Remix</t>
  </si>
  <si>
    <t>Mario Judas</t>
  </si>
  <si>
    <t>Magnesium</t>
  </si>
  <si>
    <t>Maple Madness</t>
  </si>
  <si>
    <t>On Top</t>
  </si>
  <si>
    <t>GamerKnight750</t>
  </si>
  <si>
    <t>viewtifulday &amp; Archari - On Top</t>
  </si>
  <si>
    <t>Red HazE</t>
  </si>
  <si>
    <t>Almondy</t>
  </si>
  <si>
    <t>White Space</t>
  </si>
  <si>
    <t>Something Different (feat. Talurre)</t>
  </si>
  <si>
    <t>The Otherworld</t>
  </si>
  <si>
    <t>T0A5T3R</t>
  </si>
  <si>
    <t>fursona</t>
  </si>
  <si>
    <t>LEVEL FOR SALE</t>
  </si>
  <si>
    <t>Soy Toy</t>
  </si>
  <si>
    <t>CARMINE</t>
  </si>
  <si>
    <t>Flamenco Brain Dance</t>
  </si>
  <si>
    <t>GONER</t>
  </si>
  <si>
    <t>Goner (Undervania Remix)</t>
  </si>
  <si>
    <t>Stellaluna</t>
  </si>
  <si>
    <t>hApAtApAtA</t>
  </si>
  <si>
    <t>Collapsing Into Endless Foam</t>
  </si>
  <si>
    <t>Modern Nightspot</t>
  </si>
  <si>
    <t>found</t>
  </si>
  <si>
    <t>Ainoseikatsu</t>
  </si>
  <si>
    <t>TheBlackHell</t>
  </si>
  <si>
    <t>Komi Cant Communicate ED but its funky | Kitri - Hikare Inochi (Remix)</t>
  </si>
  <si>
    <t>Freezing Point</t>
  </si>
  <si>
    <t>mmrr</t>
  </si>
  <si>
    <t>Thin Air</t>
  </si>
  <si>
    <t>Body Snatched</t>
  </si>
  <si>
    <t>Pitfall Caverns</t>
  </si>
  <si>
    <t>Meloo</t>
  </si>
  <si>
    <t>Sadness Madness</t>
  </si>
  <si>
    <t>ArmosoS01</t>
  </si>
  <si>
    <t>been a while</t>
  </si>
  <si>
    <t>We Have Your Family, Give Up Its Over [JAMUARY DAY 9]</t>
  </si>
  <si>
    <t>Bloudeleuste</t>
  </si>
  <si>
    <t>TRANSCENDENCE BEYOND</t>
  </si>
  <si>
    <t>cloudfeeder</t>
  </si>
  <si>
    <t>Ascendance</t>
  </si>
  <si>
    <t>lahna</t>
  </si>
  <si>
    <t>demoncatto</t>
  </si>
  <si>
    <t>Rinse and Repeat</t>
  </si>
  <si>
    <t>ClubCore</t>
  </si>
  <si>
    <t>JustAlf</t>
  </si>
  <si>
    <t>Ziu</t>
  </si>
  <si>
    <t>itSko</t>
  </si>
  <si>
    <t>mussum</t>
  </si>
  <si>
    <t>Dispersion Beam</t>
  </si>
  <si>
    <t>DansDemand - Bliss</t>
  </si>
  <si>
    <t>Sankuchuari</t>
  </si>
  <si>
    <t>NIE</t>
  </si>
  <si>
    <t>Deciduous</t>
  </si>
  <si>
    <t>Time Ticking Away (sad)</t>
  </si>
  <si>
    <t>Im King</t>
  </si>
  <si>
    <t>zDeadlox</t>
  </si>
  <si>
    <t>Firerage Safari</t>
  </si>
  <si>
    <t>The God of Noise</t>
  </si>
  <si>
    <t>COLOR CRUSHER</t>
  </si>
  <si>
    <t>blush</t>
  </si>
  <si>
    <t>Geoxor - Blusk</t>
  </si>
  <si>
    <t>Descent Into Exile</t>
  </si>
  <si>
    <t>GroOve</t>
  </si>
  <si>
    <t>OPgaMer0002</t>
  </si>
  <si>
    <t>Pathway</t>
  </si>
  <si>
    <t>Gem Setter OST - 06 Antiparallelogram (ft. 1f1n1ty)</t>
  </si>
  <si>
    <t>Lightspeed Drive</t>
  </si>
  <si>
    <t>aether</t>
  </si>
  <si>
    <t>Zeptoz</t>
  </si>
  <si>
    <t>Good Vibes</t>
  </si>
  <si>
    <t>World Box (feat. m? tm)</t>
  </si>
  <si>
    <t>Fortitude</t>
  </si>
  <si>
    <t>MythicalTG</t>
  </si>
  <si>
    <t>YOQUIERO</t>
  </si>
  <si>
    <t>SQUARE PERCEPTION - ROCK ON</t>
  </si>
  <si>
    <t>Abstract Haze</t>
  </si>
  <si>
    <t>BLRPL LGHTS</t>
  </si>
  <si>
    <t>Wicked VIP</t>
  </si>
  <si>
    <t>Fall of light</t>
  </si>
  <si>
    <t>red dart</t>
  </si>
  <si>
    <t>4chairs</t>
  </si>
  <si>
    <t>CursedOS</t>
  </si>
  <si>
    <t>Blizzard</t>
  </si>
  <si>
    <t>Hagiasmos</t>
  </si>
  <si>
    <t>Reventory</t>
  </si>
  <si>
    <t>coolio levelio</t>
  </si>
  <si>
    <t>GAIA</t>
  </si>
  <si>
    <t>Dirtyphonics - No Mercy (KingCamdenTheGreat Remix)</t>
  </si>
  <si>
    <t>Radio Complex</t>
  </si>
  <si>
    <t>Starbom</t>
  </si>
  <si>
    <t>gritch glemlin</t>
  </si>
  <si>
    <t>Viot</t>
  </si>
  <si>
    <t>Seturan</t>
  </si>
  <si>
    <t>Veltal</t>
  </si>
  <si>
    <t>overdeco</t>
  </si>
  <si>
    <t>Stir Crazy</t>
  </si>
  <si>
    <t>ATOMIC CANNON</t>
  </si>
  <si>
    <t>skyscrprs</t>
  </si>
  <si>
    <t>7ak</t>
  </si>
  <si>
    <t>t6t</t>
  </si>
  <si>
    <t>Rectangular Prism</t>
  </si>
  <si>
    <t>Afterglow (ft Roy)</t>
  </si>
  <si>
    <t>AUX cord</t>
  </si>
  <si>
    <t>Peep Peep</t>
  </si>
  <si>
    <t>~:Battle of the Bits:~</t>
  </si>
  <si>
    <t>Air Tech</t>
  </si>
  <si>
    <t>Elevens</t>
  </si>
  <si>
    <t>New Year</t>
  </si>
  <si>
    <t>Flay! - In The Sky</t>
  </si>
  <si>
    <t>Fusion Core</t>
  </si>
  <si>
    <t>Hell Yes (Titanomachina Theme)</t>
  </si>
  <si>
    <t>empl</t>
  </si>
  <si>
    <t>hexitine</t>
  </si>
  <si>
    <t>Sugar</t>
  </si>
  <si>
    <t>ABSTRACT SENSE</t>
  </si>
  <si>
    <t>CYK8WT4PE985</t>
  </si>
  <si>
    <t>fuchsia</t>
  </si>
  <si>
    <t>slips</t>
  </si>
  <si>
    <t>Simplicity III</t>
  </si>
  <si>
    <t>truongwf</t>
  </si>
  <si>
    <t>Liven Up!</t>
  </si>
  <si>
    <t>Neds World</t>
  </si>
  <si>
    <t>Sparkling</t>
  </si>
  <si>
    <t>MzeroGD</t>
  </si>
  <si>
    <t>KaTT &amp; roxas - paranoia</t>
  </si>
  <si>
    <t>Viridyans Dungeon</t>
  </si>
  <si>
    <t>Cardia</t>
  </si>
  <si>
    <t>XCYNICX</t>
  </si>
  <si>
    <t>Hot Noviy Got</t>
  </si>
  <si>
    <t>AlasstorGD</t>
  </si>
  <si>
    <t>howjlesmkidod</t>
  </si>
  <si>
    <t>Sdubo</t>
  </si>
  <si>
    <t>O R I O N</t>
  </si>
  <si>
    <t>The Final Encounter</t>
  </si>
  <si>
    <t>HYPERVERSE</t>
  </si>
  <si>
    <t>TopMaksim</t>
  </si>
  <si>
    <t>Hyper</t>
  </si>
  <si>
    <t>Scatterbrains</t>
  </si>
  <si>
    <t>Squared</t>
  </si>
  <si>
    <t>_baby_why</t>
  </si>
  <si>
    <t>Toing n Froing</t>
  </si>
  <si>
    <t>FlaksY</t>
  </si>
  <si>
    <t>Synergy</t>
  </si>
  <si>
    <t>orionVortex</t>
  </si>
  <si>
    <t>SOOO CRAZY</t>
  </si>
  <si>
    <t>rafabirds</t>
  </si>
  <si>
    <t>playground</t>
  </si>
  <si>
    <t>ellninja</t>
  </si>
  <si>
    <t>Mjolnir</t>
  </si>
  <si>
    <t>HermesCASLA</t>
  </si>
  <si>
    <t>The Myth (Beyond Paradise LP)</t>
  </si>
  <si>
    <t>Late</t>
  </si>
  <si>
    <t>songidea440</t>
  </si>
  <si>
    <t>Absence</t>
  </si>
  <si>
    <t>00Zero</t>
  </si>
  <si>
    <t>Yannnis</t>
  </si>
  <si>
    <t>Le Vending Machine</t>
  </si>
  <si>
    <t>nmth14gp</t>
  </si>
  <si>
    <t>I Was There</t>
  </si>
  <si>
    <t>Ey3lessj4ck2</t>
  </si>
  <si>
    <t>Some Hotline</t>
  </si>
  <si>
    <t>Konpeito</t>
  </si>
  <si>
    <t>Hareku</t>
  </si>
  <si>
    <t>ehemann</t>
  </si>
  <si>
    <t>mangut</t>
  </si>
  <si>
    <t>Im Not Your God Damn Game</t>
  </si>
  <si>
    <t>ruber cash 22</t>
  </si>
  <si>
    <t>Enlightened memories</t>
  </si>
  <si>
    <t>Unknown Creature</t>
  </si>
  <si>
    <t>STYLISH</t>
  </si>
  <si>
    <t>Catch the Rainbow</t>
  </si>
  <si>
    <t>Atarax1a</t>
  </si>
  <si>
    <t>CapaStep</t>
  </si>
  <si>
    <t>SCRATCHOME</t>
  </si>
  <si>
    <t>POLYATOMIC</t>
  </si>
  <si>
    <t>Sunrise</t>
  </si>
  <si>
    <t>Fratura</t>
  </si>
  <si>
    <t>Money Laundering</t>
  </si>
  <si>
    <t>Phase Distorter</t>
  </si>
  <si>
    <t>IGNITION</t>
  </si>
  <si>
    <t>Aion</t>
  </si>
  <si>
    <t>Nezzux</t>
  </si>
  <si>
    <t>JustJrock</t>
  </si>
  <si>
    <t>Starlight Blast</t>
  </si>
  <si>
    <t>xenoremu</t>
  </si>
  <si>
    <t>Lovely Light</t>
  </si>
  <si>
    <t>OUR ILLUSIONS</t>
  </si>
  <si>
    <t>ryli06</t>
  </si>
  <si>
    <t>Our Illusions</t>
  </si>
  <si>
    <t>ILOVECYAN</t>
  </si>
  <si>
    <t>AVRG</t>
  </si>
  <si>
    <t>Iron Princess</t>
  </si>
  <si>
    <t>depravity ii</t>
  </si>
  <si>
    <t>dydals000708</t>
  </si>
  <si>
    <t>depravity iii</t>
  </si>
  <si>
    <t>colors</t>
  </si>
  <si>
    <t>Angelgdlm</t>
  </si>
  <si>
    <t>GRIPLASH</t>
  </si>
  <si>
    <t>Blizzard Bedlam Bad Future "Naughty Prevails" - Sonic Hysteria OST</t>
  </si>
  <si>
    <t>Catharsis</t>
  </si>
  <si>
    <t>Delusional</t>
  </si>
  <si>
    <t>Shutdown</t>
  </si>
  <si>
    <t>Flower Crown</t>
  </si>
  <si>
    <t>Aspect</t>
  </si>
  <si>
    <t>Koraii - The Station</t>
  </si>
  <si>
    <t>sniff sniff</t>
  </si>
  <si>
    <t>and higher it goes</t>
  </si>
  <si>
    <t>Spxrrows</t>
  </si>
  <si>
    <t>Tourmaline</t>
  </si>
  <si>
    <t>-Give me a break-</t>
  </si>
  <si>
    <t>System Surge</t>
  </si>
  <si>
    <t>smarties preferably</t>
  </si>
  <si>
    <t>Quantum Theory</t>
  </si>
  <si>
    <t>Erratic</t>
  </si>
  <si>
    <t>Geox01</t>
  </si>
  <si>
    <t>Teminite - Raise The Black Flag</t>
  </si>
  <si>
    <t>Wait for me</t>
  </si>
  <si>
    <t>Chime - Wait for me (Sharks Remix)</t>
  </si>
  <si>
    <t>Alteration</t>
  </si>
  <si>
    <t>Switch (Original Mix)</t>
  </si>
  <si>
    <t>Noirv</t>
  </si>
  <si>
    <t>Abloxite</t>
  </si>
  <si>
    <t>??? (Hanshoku-ki)</t>
  </si>
  <si>
    <t>Worse Trip</t>
  </si>
  <si>
    <t>Lost Cryo</t>
  </si>
  <si>
    <t>PikaSempai</t>
  </si>
  <si>
    <t>scarlet field</t>
  </si>
  <si>
    <t>Deltarune: Field Of Hopes And Dreams</t>
  </si>
  <si>
    <t>Sushiiiipp</t>
  </si>
  <si>
    <t>Exyl - Ping! 2</t>
  </si>
  <si>
    <t>Project Blurple</t>
  </si>
  <si>
    <t>MarkyArchived</t>
  </si>
  <si>
    <t>Steam Shakedown</t>
  </si>
  <si>
    <t>xrimsonn</t>
  </si>
  <si>
    <t>Perseverance [NG Cut]</t>
  </si>
  <si>
    <t>Aria Geometry</t>
  </si>
  <si>
    <t>shnitzle</t>
  </si>
  <si>
    <t>Aria Math (Guitar Arrangement)</t>
  </si>
  <si>
    <t>Gameroom</t>
  </si>
  <si>
    <t>lunziestella</t>
  </si>
  <si>
    <t>ECSTASY</t>
  </si>
  <si>
    <t>Filqh</t>
  </si>
  <si>
    <t>Evaporation</t>
  </si>
  <si>
    <t>unne</t>
  </si>
  <si>
    <t>Breakneck</t>
  </si>
  <si>
    <t>Eunoia</t>
  </si>
  <si>
    <t>GoldenEra</t>
  </si>
  <si>
    <t>Vivid Conquest</t>
  </si>
  <si>
    <t>htmraW</t>
  </si>
  <si>
    <t>Kirkster</t>
  </si>
  <si>
    <t>Demon Machine</t>
  </si>
  <si>
    <t>HarshHere</t>
  </si>
  <si>
    <t>Jeyzor Collab</t>
  </si>
  <si>
    <t>Get On My Level</t>
  </si>
  <si>
    <t>Bismuth</t>
  </si>
  <si>
    <t>SUNSCREECH - freedom?</t>
  </si>
  <si>
    <t>Big Bang</t>
  </si>
  <si>
    <t>Beyond the Boundary</t>
  </si>
  <si>
    <t>VelYT</t>
  </si>
  <si>
    <t>Dawn</t>
  </si>
  <si>
    <t>1330X</t>
  </si>
  <si>
    <t>DVP</t>
  </si>
  <si>
    <t>sprei</t>
  </si>
  <si>
    <t>Genshin Impact - The Fair Lady [NandinAnubis Remix]</t>
  </si>
  <si>
    <t>miami car trip</t>
  </si>
  <si>
    <t>OliXor</t>
  </si>
  <si>
    <t>Templarium</t>
  </si>
  <si>
    <t>kira9999</t>
  </si>
  <si>
    <t>Darkest Highway</t>
  </si>
  <si>
    <t>bosjoker</t>
  </si>
  <si>
    <t>*Darkest Shadow* / ZeRo BaSs</t>
  </si>
  <si>
    <t>Almanac</t>
  </si>
  <si>
    <t>~8,760 Hours</t>
  </si>
  <si>
    <t>Sweet Summer</t>
  </si>
  <si>
    <t>Sairk - Sweet ??? (Sweet Summer)</t>
  </si>
  <si>
    <t>Cyberstalker</t>
  </si>
  <si>
    <t>xKore - Cosmos (Hard Mix)</t>
  </si>
  <si>
    <t>Tropical Funk</t>
  </si>
  <si>
    <t>Esfera</t>
  </si>
  <si>
    <t>Resurgence</t>
  </si>
  <si>
    <t>Leviax</t>
  </si>
  <si>
    <t>Comeback (Feat. STEEL CITY RED)</t>
  </si>
  <si>
    <t>Soulbound</t>
  </si>
  <si>
    <t>Kanpyo Roll</t>
  </si>
  <si>
    <t>AppleM2Chip</t>
  </si>
  <si>
    <t>EnV - Valiant</t>
  </si>
  <si>
    <t>Nocolor</t>
  </si>
  <si>
    <t>DoliaX</t>
  </si>
  <si>
    <t>.:Arcade:.</t>
  </si>
  <si>
    <t>OutLay</t>
  </si>
  <si>
    <t>ForeTokenST</t>
  </si>
  <si>
    <t>Ocean Dephts</t>
  </si>
  <si>
    <t>ALK4A</t>
  </si>
  <si>
    <t>PANICAL</t>
  </si>
  <si>
    <t>CyberBT</t>
  </si>
  <si>
    <t>[Lavender Town Haunting]*</t>
  </si>
  <si>
    <t>opossum</t>
  </si>
  <si>
    <t>lundshurk</t>
  </si>
  <si>
    <t>ReTInA</t>
  </si>
  <si>
    <t>bloodletting</t>
  </si>
  <si>
    <t>DIE BVVVH</t>
  </si>
  <si>
    <t>xKore - Die Bitch!</t>
  </si>
  <si>
    <t>Critical Strike</t>
  </si>
  <si>
    <t>structures</t>
  </si>
  <si>
    <t>Pizzeto</t>
  </si>
  <si>
    <t>Hold the Night</t>
  </si>
  <si>
    <t>NONG MOMENT</t>
  </si>
  <si>
    <t>Shrill Manor</t>
  </si>
  <si>
    <t>St1ngGD</t>
  </si>
  <si>
    <t>Afterthought</t>
  </si>
  <si>
    <t>Aerma</t>
  </si>
  <si>
    <t>Bass Night</t>
  </si>
  <si>
    <t>POOR SPACES</t>
  </si>
  <si>
    <t>ZlovboyZaremba</t>
  </si>
  <si>
    <t>Find a Happy Place</t>
  </si>
  <si>
    <t>Somniare</t>
  </si>
  <si>
    <t>SION</t>
  </si>
  <si>
    <t>Circuit Breaker</t>
  </si>
  <si>
    <t>aamo</t>
  </si>
  <si>
    <t>Eruption Xtreme [Hardcore]</t>
  </si>
  <si>
    <t>One Reality</t>
  </si>
  <si>
    <t>will o wisp</t>
  </si>
  <si>
    <t>Pearl3scent</t>
  </si>
  <si>
    <t>-Field of memories-</t>
  </si>
  <si>
    <t>Ultrachromatic</t>
  </si>
  <si>
    <t>GALAXY_FRAGMENTATION [from Dimension Wars]</t>
  </si>
  <si>
    <t>leadlights</t>
  </si>
  <si>
    <t>Volt</t>
  </si>
  <si>
    <t>ZEUM NEVER PASS</t>
  </si>
  <si>
    <t>Zacanaii</t>
  </si>
  <si>
    <t>NEEDLES</t>
  </si>
  <si>
    <t>Draco Meteor</t>
  </si>
  <si>
    <t>AgarOther</t>
  </si>
  <si>
    <t>Degenerate</t>
  </si>
  <si>
    <t>SATURATION POINT</t>
  </si>
  <si>
    <t>{dj-N} Gabber Time</t>
  </si>
  <si>
    <t>Dizzy Spell</t>
  </si>
  <si>
    <t>Chememichemals</t>
  </si>
  <si>
    <t>Cosmic Salad</t>
  </si>
  <si>
    <t>Disruption</t>
  </si>
  <si>
    <t>WarN</t>
  </si>
  <si>
    <t>-Control: Sentiment-</t>
  </si>
  <si>
    <t>HMDIL</t>
  </si>
  <si>
    <t>RedWire</t>
  </si>
  <si>
    <t>VipArDo</t>
  </si>
  <si>
    <t>Oxygeniti</t>
  </si>
  <si>
    <t>Revolta</t>
  </si>
  <si>
    <t>DeCone</t>
  </si>
  <si>
    <t>Joyfrost</t>
  </si>
  <si>
    <t>Didi</t>
  </si>
  <si>
    <t>Ivanpercie</t>
  </si>
  <si>
    <t>any percent</t>
  </si>
  <si>
    <t>awesomeme360</t>
  </si>
  <si>
    <t>polybius ""cover""</t>
  </si>
  <si>
    <t>ReCoding The DeCode</t>
  </si>
  <si>
    <t>Eternal Fire</t>
  </si>
  <si>
    <t>vyce</t>
  </si>
  <si>
    <t>Flowering</t>
  </si>
  <si>
    <t>Edgar214</t>
  </si>
  <si>
    <t>Explosion Noise</t>
  </si>
  <si>
    <t>bangring</t>
  </si>
  <si>
    <t>Starry Nights</t>
  </si>
  <si>
    <t>Arkoon</t>
  </si>
  <si>
    <t>Existential Crisis</t>
  </si>
  <si>
    <t>AgusIV</t>
  </si>
  <si>
    <t>Existentia</t>
  </si>
  <si>
    <t>Midflight Skysprite</t>
  </si>
  <si>
    <t>anasthasia</t>
  </si>
  <si>
    <t>The Cyber Grind (ULTRAKILL Soundtrack)</t>
  </si>
  <si>
    <t>totality</t>
  </si>
  <si>
    <t>Wake Up Call</t>
  </si>
  <si>
    <t>Flashbang</t>
  </si>
  <si>
    <t>UnfriendlyPlace</t>
  </si>
  <si>
    <t>PseudoPerdu</t>
  </si>
  <si>
    <t>Terrabit</t>
  </si>
  <si>
    <t>Gekou</t>
  </si>
  <si>
    <t>Reflective</t>
  </si>
  <si>
    <t>LOST</t>
  </si>
  <si>
    <t>w316d 14nd5c493</t>
  </si>
  <si>
    <t>NixinityFeralRF</t>
  </si>
  <si>
    <t>Weird Landscape [VIP Version]</t>
  </si>
  <si>
    <t>Doomsday Anno</t>
  </si>
  <si>
    <t>simple fuse</t>
  </si>
  <si>
    <t>Jeikins</t>
  </si>
  <si>
    <t>FORCE</t>
  </si>
  <si>
    <t>Mind Machine</t>
  </si>
  <si>
    <t>Aimbotter2123</t>
  </si>
  <si>
    <t>Rhythmical Scream</t>
  </si>
  <si>
    <t>iIDariusIi</t>
  </si>
  <si>
    <t>I Love To SPINNNNNNN</t>
  </si>
  <si>
    <t>pigcells</t>
  </si>
  <si>
    <t>LEVEL UP</t>
  </si>
  <si>
    <t>fenk</t>
  </si>
  <si>
    <t>Mega</t>
  </si>
  <si>
    <t>Carpe Lucem</t>
  </si>
  <si>
    <t>SktLife</t>
  </si>
  <si>
    <t>ENCODE</t>
  </si>
  <si>
    <t>Geoxor &amp; SVRGE - DEAD</t>
  </si>
  <si>
    <t>zodiac shift</t>
  </si>
  <si>
    <t>AIR SUPPLY</t>
  </si>
  <si>
    <t>Hot Coffee MachinE</t>
  </si>
  <si>
    <t>{Hollow Man} [NG Cut]</t>
  </si>
  <si>
    <t>SemiCircles</t>
  </si>
  <si>
    <t>MisterBean</t>
  </si>
  <si>
    <t>Space voyager</t>
  </si>
  <si>
    <t>Sky Voyager</t>
  </si>
  <si>
    <t>Trigger Dungeon</t>
  </si>
  <si>
    <t>Escape Route</t>
  </si>
  <si>
    <t>Backlines</t>
  </si>
  <si>
    <t>Nano Lights</t>
  </si>
  <si>
    <t>Black Flag</t>
  </si>
  <si>
    <t>Subshixa</t>
  </si>
  <si>
    <t>SnowFall Fiesta</t>
  </si>
  <si>
    <t>SpaceTime</t>
  </si>
  <si>
    <t>Neurocore</t>
  </si>
  <si>
    <t>Red Strings</t>
  </si>
  <si>
    <t>pugmaster706</t>
  </si>
  <si>
    <t>Dunalina</t>
  </si>
  <si>
    <t>Forgotten Desert</t>
  </si>
  <si>
    <t>Barbaros Finale</t>
  </si>
  <si>
    <t>GaMetal - Count Cannoli</t>
  </si>
  <si>
    <t>Sky island</t>
  </si>
  <si>
    <t>Spacing Out</t>
  </si>
  <si>
    <t>Lmao</t>
  </si>
  <si>
    <t>LuminouStar</t>
  </si>
  <si>
    <t>PlayMaker77</t>
  </si>
  <si>
    <t>Luminous Flower (???)</t>
  </si>
  <si>
    <t>Hot Hot</t>
  </si>
  <si>
    <t>CHIR0</t>
  </si>
  <si>
    <t>Celestial Caverns</t>
  </si>
  <si>
    <t>Phantasmagoria</t>
  </si>
  <si>
    <t>Phantasmagoria - Zenovia</t>
  </si>
  <si>
    <t>I Wanna Tell Ya</t>
  </si>
  <si>
    <t>EKO</t>
  </si>
  <si>
    <t>PureDinoMight</t>
  </si>
  <si>
    <t>zhen shen</t>
  </si>
  <si>
    <t>Stellights</t>
  </si>
  <si>
    <t>ReHanniel</t>
  </si>
  <si>
    <t>Lockyn + Karaplex - Wanderer (Instrumental)</t>
  </si>
  <si>
    <t>reactor</t>
  </si>
  <si>
    <t>[SJ] Blast Furnace</t>
  </si>
  <si>
    <t>Make it Better</t>
  </si>
  <si>
    <t>syndd</t>
  </si>
  <si>
    <t>Chakra</t>
  </si>
  <si>
    <t>flea</t>
  </si>
  <si>
    <t>The Spanish Flea</t>
  </si>
  <si>
    <t>spazzzz</t>
  </si>
  <si>
    <t>InKyyGD</t>
  </si>
  <si>
    <t>CYBERCONXTRUCT</t>
  </si>
  <si>
    <t>Glaint</t>
  </si>
  <si>
    <t>ImSoto</t>
  </si>
  <si>
    <t>Umbra</t>
  </si>
  <si>
    <t>CelesteGMD</t>
  </si>
  <si>
    <t>Paper Skies &amp; Azuria Sky - Broken</t>
  </si>
  <si>
    <t>Hollowing</t>
  </si>
  <si>
    <t>hollowing</t>
  </si>
  <si>
    <t>sharp edges</t>
  </si>
  <si>
    <t>plexx001</t>
  </si>
  <si>
    <t>BRAINPOWER</t>
  </si>
  <si>
    <t>BrainETR</t>
  </si>
  <si>
    <t>ALESDA! - Ryujin</t>
  </si>
  <si>
    <t>SWIGGITY SWOOTY</t>
  </si>
  <si>
    <t>Lightning78</t>
  </si>
  <si>
    <t>Vairo - Storm (Timmy 360 Remix)</t>
  </si>
  <si>
    <t>vaenstep</t>
  </si>
  <si>
    <t>vaen</t>
  </si>
  <si>
    <t>Quantum Dynamix</t>
  </si>
  <si>
    <t>Born Survivor</t>
  </si>
  <si>
    <t>Shirobon - Born Survivor</t>
  </si>
  <si>
    <t>i love lasagna</t>
  </si>
  <si>
    <t>just a taste</t>
  </si>
  <si>
    <t>Futurelocked</t>
  </si>
  <si>
    <t>Cosmic Cluster</t>
  </si>
  <si>
    <t>Jopotv</t>
  </si>
  <si>
    <t>Synchronality of Immeasurable Galaxy Clusters</t>
  </si>
  <si>
    <t>ANiMA</t>
  </si>
  <si>
    <t>Calamity Gate</t>
  </si>
  <si>
    <t>brisbaN</t>
  </si>
  <si>
    <t>something for now</t>
  </si>
  <si>
    <t>Break Free</t>
  </si>
  <si>
    <t>Redscale</t>
  </si>
  <si>
    <t>iRozz</t>
  </si>
  <si>
    <t>METAL TEST</t>
  </si>
  <si>
    <t>Daily Routines</t>
  </si>
  <si>
    <t>Dora Mode</t>
  </si>
  <si>
    <t>Tsuzuito</t>
  </si>
  <si>
    <t>Call it what u want</t>
  </si>
  <si>
    <t>MOTHMELONS</t>
  </si>
  <si>
    <t>Valentlne</t>
  </si>
  <si>
    <t>arcenciel</t>
  </si>
  <si>
    <t>superblooms</t>
  </si>
  <si>
    <t>NeRUaL</t>
  </si>
  <si>
    <t>The Moon Below</t>
  </si>
  <si>
    <t>Clair de Lune</t>
  </si>
  <si>
    <t>Hand Eyelids</t>
  </si>
  <si>
    <t>First Frontier</t>
  </si>
  <si>
    <t>HamDuck Vortex</t>
  </si>
  <si>
    <t>Nuforh</t>
  </si>
  <si>
    <t>Rimexon</t>
  </si>
  <si>
    <t>Gnorf</t>
  </si>
  <si>
    <t>Plants Vs Zombies OST - Grasswalk (Remix)</t>
  </si>
  <si>
    <t>Vociferous</t>
  </si>
  <si>
    <t>Mariana</t>
  </si>
  <si>
    <t>ArtsiBurn</t>
  </si>
  <si>
    <t>Ruins</t>
  </si>
  <si>
    <t>DKCR</t>
  </si>
  <si>
    <t>THE LAUNCH</t>
  </si>
  <si>
    <t>Burning Vessel, Ready for Takeoff</t>
  </si>
  <si>
    <t>Magic Mushroom Mania</t>
  </si>
  <si>
    <t>TropoGD</t>
  </si>
  <si>
    <t>Swirly Easter</t>
  </si>
  <si>
    <t>ZIG</t>
  </si>
  <si>
    <t>The Milky Bossa</t>
  </si>
  <si>
    <t>ConTroller</t>
  </si>
  <si>
    <t>DreamZoneGD</t>
  </si>
  <si>
    <t>Emily419</t>
  </si>
  <si>
    <t>Living Dream</t>
  </si>
  <si>
    <t>Synthstep</t>
  </si>
  <si>
    <t>jarvisgoestothegym</t>
  </si>
  <si>
    <t>bb circles</t>
  </si>
  <si>
    <t>BawJreaker reamix</t>
  </si>
  <si>
    <t>Hydrangea</t>
  </si>
  <si>
    <t>B1ueberry</t>
  </si>
  <si>
    <t>Masochism</t>
  </si>
  <si>
    <t>UNLIMITED</t>
  </si>
  <si>
    <t>Teminite &amp; PsoGnar - Surface Tension</t>
  </si>
  <si>
    <t>FUNKED UP</t>
  </si>
  <si>
    <t>Teminite - Rise And Shine</t>
  </si>
  <si>
    <t>Danza Massacrante</t>
  </si>
  <si>
    <t>MyMisery</t>
  </si>
  <si>
    <t>motheye</t>
  </si>
  <si>
    <t>interstellar</t>
  </si>
  <si>
    <t>Geoxor - Aurora</t>
  </si>
  <si>
    <t>theyaremanycolors</t>
  </si>
  <si>
    <t>R~ "Death Rift" (NGADM round 1)</t>
  </si>
  <si>
    <t>Blossom And Bloom</t>
  </si>
  <si>
    <t>Fever</t>
  </si>
  <si>
    <t>Khora - Supernova</t>
  </si>
  <si>
    <t>Aerial Gleam</t>
  </si>
  <si>
    <t>Tenshi</t>
  </si>
  <si>
    <t>MYKM</t>
  </si>
  <si>
    <t>Cerebral Torment</t>
  </si>
  <si>
    <t>True Nightmares</t>
  </si>
  <si>
    <t>ELEPS - SENJATA (DUBSTEP)</t>
  </si>
  <si>
    <t>sakura zensen</t>
  </si>
  <si>
    <t>ocksie</t>
  </si>
  <si>
    <t>SkullduGGerY</t>
  </si>
  <si>
    <t>Assembly</t>
  </si>
  <si>
    <t>Star Flower</t>
  </si>
  <si>
    <t>KriticSoul</t>
  </si>
  <si>
    <t>Mehdi</t>
  </si>
  <si>
    <t>Out of Mind</t>
  </si>
  <si>
    <t>Brutal Calamity</t>
  </si>
  <si>
    <t>SEASIDE HILL</t>
  </si>
  <si>
    <t>Sonic Heroes - Seaside Hill and Ocean Palace [ROCK]</t>
  </si>
  <si>
    <t>Jesse Pinkman</t>
  </si>
  <si>
    <t>Dole Damos</t>
  </si>
  <si>
    <t>OOoohh</t>
  </si>
  <si>
    <t>Molendinum</t>
  </si>
  <si>
    <t>frite2</t>
  </si>
  <si>
    <t>Deep Down</t>
  </si>
  <si>
    <t>eopc</t>
  </si>
  <si>
    <t>Skywanderers</t>
  </si>
  <si>
    <t>Flower Spark</t>
  </si>
  <si>
    <t>kelemsk</t>
  </si>
  <si>
    <t>RETRO BLITZ</t>
  </si>
  <si>
    <t>1up Muncher</t>
  </si>
  <si>
    <t>Arpeggi</t>
  </si>
  <si>
    <t>Arpeggi (for ImMaxX1)</t>
  </si>
  <si>
    <t>Jumping Zone</t>
  </si>
  <si>
    <t>Shardscapes</t>
  </si>
  <si>
    <t>Amethyst Aura</t>
  </si>
  <si>
    <t>Tassium</t>
  </si>
  <si>
    <t>EIKOSI</t>
  </si>
  <si>
    <t>Code Veronica</t>
  </si>
  <si>
    <t>C4R CR45H</t>
  </si>
  <si>
    <t>N17R00000000000</t>
  </si>
  <si>
    <t>Bring Me The Horizon - Die4U (six impala "DiE6u" remix)</t>
  </si>
  <si>
    <t>grandfather</t>
  </si>
  <si>
    <t>Moneko</t>
  </si>
  <si>
    <t>Geoxor - Moneko</t>
  </si>
  <si>
    <t>Mischief Maker</t>
  </si>
  <si>
    <t>Happy Jive</t>
  </si>
  <si>
    <t>5 Star Crest</t>
  </si>
  <si>
    <t>Ocean Rush</t>
  </si>
  <si>
    <t>Bittersweet</t>
  </si>
  <si>
    <t>SNALE FORCE</t>
  </si>
  <si>
    <t>Clubgethon II</t>
  </si>
  <si>
    <t>charifma</t>
  </si>
  <si>
    <t>Rad Radio</t>
  </si>
  <si>
    <t>Draft Theory</t>
  </si>
  <si>
    <t>I N S I D E</t>
  </si>
  <si>
    <t>Crystal CM</t>
  </si>
  <si>
    <t>Guide Me</t>
  </si>
  <si>
    <t>Flowing Creativity</t>
  </si>
  <si>
    <t>leodash10102003</t>
  </si>
  <si>
    <t>Sparkopedtjnst For You</t>
  </si>
  <si>
    <t>The Hell Nutz</t>
  </si>
  <si>
    <t>love hurts</t>
  </si>
  <si>
    <t>OONestorOO</t>
  </si>
  <si>
    <t>JoarZ - Red Roses (Original Mix)</t>
  </si>
  <si>
    <t>LongHunter</t>
  </si>
  <si>
    <t>Behold</t>
  </si>
  <si>
    <t>M83 - Midnight City (Echorift Cover)</t>
  </si>
  <si>
    <t>Quadratic Chamber</t>
  </si>
  <si>
    <t>The Quadratic Function of a Banana</t>
  </si>
  <si>
    <t>Turbo Overdrive</t>
  </si>
  <si>
    <t>Flashburn - White Aurora Majoris</t>
  </si>
  <si>
    <t>Stone Rising</t>
  </si>
  <si>
    <t>Energizer</t>
  </si>
  <si>
    <t>FlashYizz - Vision</t>
  </si>
  <si>
    <t>Let The Beat Go</t>
  </si>
  <si>
    <t>FatesG</t>
  </si>
  <si>
    <t>CRUSH</t>
  </si>
  <si>
    <t>Dirt Devil (Final Fantasy VI)</t>
  </si>
  <si>
    <t>In Dreamscape</t>
  </si>
  <si>
    <t>Duffz</t>
  </si>
  <si>
    <t>HazukiClub</t>
  </si>
  <si>
    <t>Platinum Frame</t>
  </si>
  <si>
    <t>More Than Words</t>
  </si>
  <si>
    <t>OneAttempt</t>
  </si>
  <si>
    <t>mines.ogg (unused)</t>
  </si>
  <si>
    <t>PARADOX DETECTED</t>
  </si>
  <si>
    <t>SPEED</t>
  </si>
  <si>
    <t>MrTurtles37</t>
  </si>
  <si>
    <t>Noradrenaline</t>
  </si>
  <si>
    <t>Drewch</t>
  </si>
  <si>
    <t>ULT</t>
  </si>
  <si>
    <t>Data Stream</t>
  </si>
  <si>
    <t>ZingerX</t>
  </si>
  <si>
    <t>IthacropoliX</t>
  </si>
  <si>
    <t>Aquariq</t>
  </si>
  <si>
    <t>Atlantis</t>
  </si>
  <si>
    <t>ChimiChanGa</t>
  </si>
  <si>
    <t>grow</t>
  </si>
  <si>
    <t>Chido</t>
  </si>
  <si>
    <t>Sugoi Space</t>
  </si>
  <si>
    <t>KinakoGMD</t>
  </si>
  <si>
    <t>Reanimate</t>
  </si>
  <si>
    <t>Utility</t>
  </si>
  <si>
    <t>Mean Streak</t>
  </si>
  <si>
    <t>overload</t>
  </si>
  <si>
    <t>N1mda</t>
  </si>
  <si>
    <t>Tsipras</t>
  </si>
  <si>
    <t>Futuristic Funkiness</t>
  </si>
  <si>
    <t>Duration</t>
  </si>
  <si>
    <t>Stop Time [Future DnB]</t>
  </si>
  <si>
    <t>Slapshot</t>
  </si>
  <si>
    <t>KerbX</t>
  </si>
  <si>
    <t>footnotes</t>
  </si>
  <si>
    <t>hellooo wowowow</t>
  </si>
  <si>
    <t>Pilipinas</t>
  </si>
  <si>
    <t>tisYuurei</t>
  </si>
  <si>
    <t>Magsaya, Sayaw!</t>
  </si>
  <si>
    <t>MAYMORY</t>
  </si>
  <si>
    <t>Skele Force</t>
  </si>
  <si>
    <t>Twilight Starlight</t>
  </si>
  <si>
    <t>KoromiGD</t>
  </si>
  <si>
    <t>noise</t>
  </si>
  <si>
    <t>YoWSticK</t>
  </si>
  <si>
    <t>Unused assets</t>
  </si>
  <si>
    <t>Unused Assets</t>
  </si>
  <si>
    <t>Clover II</t>
  </si>
  <si>
    <t>German Hard Trance (Full Mix)</t>
  </si>
  <si>
    <t>Hypno</t>
  </si>
  <si>
    <t>KDrew - Bullseye (Desx Flip)</t>
  </si>
  <si>
    <t>dEf</t>
  </si>
  <si>
    <t>sAziUr</t>
  </si>
  <si>
    <t>Deadline</t>
  </si>
  <si>
    <t>Insane Techniques</t>
  </si>
  <si>
    <t>Exorsus12</t>
  </si>
  <si>
    <t>zvn - Calentito de Queso</t>
  </si>
  <si>
    <t>DraiR</t>
  </si>
  <si>
    <t>HEMI</t>
  </si>
  <si>
    <t>X1RON</t>
  </si>
  <si>
    <t>PANDA EYES - ANTIPIXEL</t>
  </si>
  <si>
    <t>mayan</t>
  </si>
  <si>
    <t>Solvable95</t>
  </si>
  <si>
    <t>in canon</t>
  </si>
  <si>
    <t>Broken Shell</t>
  </si>
  <si>
    <t>Gustavo Fring</t>
  </si>
  <si>
    <t>burn to dust</t>
  </si>
  <si>
    <t>crazyllama</t>
  </si>
  <si>
    <t>Smooth, Very Smooth</t>
  </si>
  <si>
    <t>TechnoPulse</t>
  </si>
  <si>
    <t>NoFlix</t>
  </si>
  <si>
    <t>Punyaso x ELEPS x Colbreakz x Mahi - Super Roulette</t>
  </si>
  <si>
    <t>die very rough</t>
  </si>
  <si>
    <t>AirSavage</t>
  </si>
  <si>
    <t>Le Fishe</t>
  </si>
  <si>
    <t>PrankOrigami</t>
  </si>
  <si>
    <t>Cove</t>
  </si>
  <si>
    <t>Cosmicss</t>
  </si>
  <si>
    <t>Dawphin - Adventure</t>
  </si>
  <si>
    <t>Twenty four Hours</t>
  </si>
  <si>
    <t>Bubbles</t>
  </si>
  <si>
    <t>Refulgent</t>
  </si>
  <si>
    <t>Queerios</t>
  </si>
  <si>
    <t>Smooooch  A -piano form-</t>
  </si>
  <si>
    <t>LockDown</t>
  </si>
  <si>
    <t>Apstrom</t>
  </si>
  <si>
    <t>Teminite &amp; PsoGnar - Rally The Troops</t>
  </si>
  <si>
    <t>XxJ0SHxX</t>
  </si>
  <si>
    <t>You Gotta</t>
  </si>
  <si>
    <t>Vizitek</t>
  </si>
  <si>
    <t>Helzspring - You gotta</t>
  </si>
  <si>
    <t>Ninobytte</t>
  </si>
  <si>
    <t>Nou</t>
  </si>
  <si>
    <t>Fuze II</t>
  </si>
  <si>
    <t>PURE VALE</t>
  </si>
  <si>
    <t>Trandafir</t>
  </si>
  <si>
    <t>SoDemUp</t>
  </si>
  <si>
    <t>Shadows of Dawn</t>
  </si>
  <si>
    <t>ORBJECT</t>
  </si>
  <si>
    <t>NH22 - Isolation</t>
  </si>
  <si>
    <t>Floo</t>
  </si>
  <si>
    <t>Lucoz</t>
  </si>
  <si>
    <t>Creo - Flow</t>
  </si>
  <si>
    <t>Flawless fall</t>
  </si>
  <si>
    <t>Mass Production</t>
  </si>
  <si>
    <t>dance partay</t>
  </si>
  <si>
    <t>We The People</t>
  </si>
  <si>
    <t>Scattermind - Polarprism (Me)</t>
  </si>
  <si>
    <t>the terminator</t>
  </si>
  <si>
    <t>Hows It Been?</t>
  </si>
  <si>
    <t>Permafrost Mountain</t>
  </si>
  <si>
    <t>DXRK BLUE</t>
  </si>
  <si>
    <t>64x</t>
  </si>
  <si>
    <t>Skorde X Rviden DXRK BLUE</t>
  </si>
  <si>
    <t>Lunatic Nightmares</t>
  </si>
  <si>
    <t>SigRp</t>
  </si>
  <si>
    <t>Hana</t>
  </si>
  <si>
    <t>herujuana</t>
  </si>
  <si>
    <t>Sharkatzor</t>
  </si>
  <si>
    <t>Sidewalk</t>
  </si>
  <si>
    <t>Mystic Thrills</t>
  </si>
  <si>
    <t>LudiumGD</t>
  </si>
  <si>
    <t>PONG</t>
  </si>
  <si>
    <t>Jasii</t>
  </si>
  <si>
    <t>Collab Level</t>
  </si>
  <si>
    <t>Through The Looking Glass - Remix (october update)</t>
  </si>
  <si>
    <t>Wyvern Realm</t>
  </si>
  <si>
    <t>Dreams Wash Away</t>
  </si>
  <si>
    <t>LIKE A DREAM</t>
  </si>
  <si>
    <t>HELLGATE</t>
  </si>
  <si>
    <t>DREAM NEVER SEEN</t>
  </si>
  <si>
    <t>NotCyanide</t>
  </si>
  <si>
    <t>Dailen</t>
  </si>
  <si>
    <t>iIRedCatIi</t>
  </si>
  <si>
    <t>soft</t>
  </si>
  <si>
    <t>Swirling Swing</t>
  </si>
  <si>
    <t>Phazd</t>
  </si>
  <si>
    <t>Fervor</t>
  </si>
  <si>
    <t>Geoplex - Reignite</t>
  </si>
  <si>
    <t>stamina</t>
  </si>
  <si>
    <t>BEEs</t>
  </si>
  <si>
    <t>CITRA</t>
  </si>
  <si>
    <t>Killer-FX - When This Is Over</t>
  </si>
  <si>
    <t>Eraser</t>
  </si>
  <si>
    <t>LChaseR</t>
  </si>
  <si>
    <t>Binary</t>
  </si>
  <si>
    <t>JamieZz</t>
  </si>
  <si>
    <t>rorriM</t>
  </si>
  <si>
    <t>aster</t>
  </si>
  <si>
    <t>Polarizing</t>
  </si>
  <si>
    <t>Sunshard [polarprism edit]</t>
  </si>
  <si>
    <t>Haunty Halls</t>
  </si>
  <si>
    <t>ItzElectrix</t>
  </si>
  <si>
    <t>lost beneath</t>
  </si>
  <si>
    <t>denberZ</t>
  </si>
  <si>
    <t>GG</t>
  </si>
  <si>
    <t>Cloned</t>
  </si>
  <si>
    <t>kaleidoscope</t>
  </si>
  <si>
    <t>demon child, obsessed with peace</t>
  </si>
  <si>
    <t>YeeSangHaeYo</t>
  </si>
  <si>
    <t>LEOPUS</t>
  </si>
  <si>
    <t>walter white</t>
  </si>
  <si>
    <t>Chromance</t>
  </si>
  <si>
    <t>Guviking</t>
  </si>
  <si>
    <t>Lightspeed</t>
  </si>
  <si>
    <t>pentix</t>
  </si>
  <si>
    <t>Polygonal Paradox</t>
  </si>
  <si>
    <t>Auroral Bloom</t>
  </si>
  <si>
    <t>Creo - Aurora</t>
  </si>
  <si>
    <t>Shamrock Peak</t>
  </si>
  <si>
    <t>Triptych</t>
  </si>
  <si>
    <t>bpdoles</t>
  </si>
  <si>
    <t>Blossoming</t>
  </si>
  <si>
    <t>Mechanic Hyperforce</t>
  </si>
  <si>
    <t>JSeb</t>
  </si>
  <si>
    <t>RealSmartish</t>
  </si>
  <si>
    <t>Star World</t>
  </si>
  <si>
    <t>NullPtr</t>
  </si>
  <si>
    <t>memMari</t>
  </si>
  <si>
    <t>This Song Means Nothing</t>
  </si>
  <si>
    <t>Supertask</t>
  </si>
  <si>
    <t>Jamais Vu</t>
  </si>
  <si>
    <t>sacred guild</t>
  </si>
  <si>
    <t>DogGoesWoof</t>
  </si>
  <si>
    <t>Nunri</t>
  </si>
  <si>
    <t>HyperSystem</t>
  </si>
  <si>
    <t>VanDerVals</t>
  </si>
  <si>
    <t>Hyperspatial</t>
  </si>
  <si>
    <t>Swingbit Brawl</t>
  </si>
  <si>
    <t>-Swing-Bit Brawl-</t>
  </si>
  <si>
    <t>Vanilla Lime Maroon</t>
  </si>
  <si>
    <t>==(Hammock Song)==</t>
  </si>
  <si>
    <t>starfall</t>
  </si>
  <si>
    <t>stndrds</t>
  </si>
  <si>
    <t>Sweater Weather</t>
  </si>
  <si>
    <t>Sweater Weather (Dako Remix)</t>
  </si>
  <si>
    <t>Effect II</t>
  </si>
  <si>
    <t>grenate</t>
  </si>
  <si>
    <t>Baseline</t>
  </si>
  <si>
    <t>devoid</t>
  </si>
  <si>
    <t>do not go gentle into that goodnight</t>
  </si>
  <si>
    <t>dimension</t>
  </si>
  <si>
    <t>Pulp</t>
  </si>
  <si>
    <t>logiking</t>
  </si>
  <si>
    <t>atop monrai</t>
  </si>
  <si>
    <t>SUNSCREECH - atop monrai</t>
  </si>
  <si>
    <t>FUGACIOUS II</t>
  </si>
  <si>
    <t>Time Travel (w/ Retrograde)</t>
  </si>
  <si>
    <t>Mucho Fuego</t>
  </si>
  <si>
    <t>A very wacky level</t>
  </si>
  <si>
    <t>SouneX</t>
  </si>
  <si>
    <t>Geoxor - Galaxy</t>
  </si>
  <si>
    <t>Fiery Conviction</t>
  </si>
  <si>
    <t>thexxuser</t>
  </si>
  <si>
    <t>SUPER FURIA</t>
  </si>
  <si>
    <t>CDX9</t>
  </si>
  <si>
    <t>SirWafel</t>
  </si>
  <si>
    <t>Redoomed</t>
  </si>
  <si>
    <t>Spectrofull</t>
  </si>
  <si>
    <t>Blood Caves</t>
  </si>
  <si>
    <t>EstraGMD</t>
  </si>
  <si>
    <t>zami - arctic</t>
  </si>
  <si>
    <t>Rainbow Ride</t>
  </si>
  <si>
    <t>Ardolf - Mirage</t>
  </si>
  <si>
    <t>Anya III</t>
  </si>
  <si>
    <t>Geoxor - Virtual</t>
  </si>
  <si>
    <t>JUMPER LEVEL</t>
  </si>
  <si>
    <t>Conduit</t>
  </si>
  <si>
    <t>roihu3M</t>
  </si>
  <si>
    <t>Guarded</t>
  </si>
  <si>
    <t>cant forgot</t>
  </si>
  <si>
    <t>Wyntaee</t>
  </si>
  <si>
    <t>I Know That Voice</t>
  </si>
  <si>
    <t>Disaster Dive</t>
  </si>
  <si>
    <t>the interlude</t>
  </si>
  <si>
    <t>Motorbreath</t>
  </si>
  <si>
    <t>Motorbreath is the best extreme demon by TwisterDude161 drop a like (this message was approved by dn</t>
  </si>
  <si>
    <t>Street Funk</t>
  </si>
  <si>
    <t>ssalt</t>
  </si>
  <si>
    <t>Chromatic Winter</t>
  </si>
  <si>
    <t>LifeCheck0</t>
  </si>
  <si>
    <t>SETTLE FOR LESS</t>
  </si>
  <si>
    <t>replacement song 1 (test)</t>
  </si>
  <si>
    <t>MMMMM</t>
  </si>
  <si>
    <t>FGHJapan</t>
  </si>
  <si>
    <t>maeon</t>
  </si>
  <si>
    <t>GayFurryMaster</t>
  </si>
  <si>
    <t>RANDOM ACCESS MEMORY</t>
  </si>
  <si>
    <t>Acute144</t>
  </si>
  <si>
    <t>Shirobon - Fox</t>
  </si>
  <si>
    <t>reeses potentially</t>
  </si>
  <si>
    <t>Johnny Castaway</t>
  </si>
  <si>
    <t>Loochiverse</t>
  </si>
  <si>
    <t>Nerhy</t>
  </si>
  <si>
    <t>watch the throne</t>
  </si>
  <si>
    <t>Forsaken Reality</t>
  </si>
  <si>
    <t>edenharley</t>
  </si>
  <si>
    <t>Envirion</t>
  </si>
  <si>
    <t>DeathValleyII</t>
  </si>
  <si>
    <t>Things Grow Here (longplay)</t>
  </si>
  <si>
    <t>PXTTXRN SXXKXR</t>
  </si>
  <si>
    <t>FluffnFloof</t>
  </si>
  <si>
    <t>EdwynLam</t>
  </si>
  <si>
    <t>Midori</t>
  </si>
  <si>
    <t>gdxeox</t>
  </si>
  <si>
    <t>Dysphoria</t>
  </si>
  <si>
    <t>IceboxOG</t>
  </si>
  <si>
    <t>Spaces Forgotten</t>
  </si>
  <si>
    <t>Terraform</t>
  </si>
  <si>
    <t>Raisins</t>
  </si>
  <si>
    <t>Airzyy</t>
  </si>
  <si>
    <t>MAIN BREAKER</t>
  </si>
  <si>
    <t>Future Chaos</t>
  </si>
  <si>
    <t>by mulpan</t>
  </si>
  <si>
    <t>Down Unda</t>
  </si>
  <si>
    <t>Teminite - Thundering Typhoons</t>
  </si>
  <si>
    <t>19 step</t>
  </si>
  <si>
    <t>Dartling</t>
  </si>
  <si>
    <t>Neonize</t>
  </si>
  <si>
    <t>LucyGMD</t>
  </si>
  <si>
    <t>Tripping Diving</t>
  </si>
  <si>
    <t>Whirligigs</t>
  </si>
  <si>
    <t>Lets Groove</t>
  </si>
  <si>
    <t>JEK P0KKKK</t>
  </si>
  <si>
    <t>Madeln</t>
  </si>
  <si>
    <t>C?o?s?m?i?c? H?a?n?d?</t>
  </si>
  <si>
    <t>Froot Lupes</t>
  </si>
  <si>
    <t>xepheron</t>
  </si>
  <si>
    <t>no time</t>
  </si>
  <si>
    <t>redracer</t>
  </si>
  <si>
    <t>no time for real life</t>
  </si>
  <si>
    <t>Graphite World</t>
  </si>
  <si>
    <t>GangstaSpongebo</t>
  </si>
  <si>
    <t>[J] - Digital Factory</t>
  </si>
  <si>
    <t>Shmarley Ville</t>
  </si>
  <si>
    <t>The Sulphur Sea</t>
  </si>
  <si>
    <t>Disco Dancing Caravan Camping</t>
  </si>
  <si>
    <t>RTX ON</t>
  </si>
  <si>
    <t>Kimchi Stew</t>
  </si>
  <si>
    <t>BRAINDAMAGE</t>
  </si>
  <si>
    <t>High Flo</t>
  </si>
  <si>
    <t>CRUSHROOM KINGDOM</t>
  </si>
  <si>
    <t>Technicolor</t>
  </si>
  <si>
    <t>SSaturM</t>
  </si>
  <si>
    <t>Florid Factory</t>
  </si>
  <si>
    <t>Greenyy</t>
  </si>
  <si>
    <t>Daze feat. IA Remix</t>
  </si>
  <si>
    <t>of Ambrosia</t>
  </si>
  <si>
    <t>Spectrum Split</t>
  </si>
  <si>
    <t>Addsomething</t>
  </si>
  <si>
    <t>EvnosCore</t>
  </si>
  <si>
    <t>iiiEvnosiii</t>
  </si>
  <si>
    <t>Capital Punishment</t>
  </si>
  <si>
    <t>Tunneling Vermin</t>
  </si>
  <si>
    <t>Regain Control</t>
  </si>
  <si>
    <t>Shirobon - Regain Control</t>
  </si>
  <si>
    <t>HoaL</t>
  </si>
  <si>
    <t>Akszeel</t>
  </si>
  <si>
    <t>Hidden Journey</t>
  </si>
  <si>
    <t>GDSkulll</t>
  </si>
  <si>
    <t>TRIANGULAR</t>
  </si>
  <si>
    <t>zNickname</t>
  </si>
  <si>
    <t>LightShow</t>
  </si>
  <si>
    <t>LASER8000</t>
  </si>
  <si>
    <t>IMAPHONE</t>
  </si>
  <si>
    <t>Azuvy</t>
  </si>
  <si>
    <t>We Are Ruined</t>
  </si>
  <si>
    <t>Desolation iii</t>
  </si>
  <si>
    <t>Stop Folowing Me</t>
  </si>
  <si>
    <t>MaxxoRMeN</t>
  </si>
  <si>
    <t>Infinite Loading Screen</t>
  </si>
  <si>
    <t>shy skies</t>
  </si>
  <si>
    <t>GEODE</t>
  </si>
  <si>
    <t>Wind Up</t>
  </si>
  <si>
    <t>SweetyDaniX</t>
  </si>
  <si>
    <t>TheFatRat - Upwind</t>
  </si>
  <si>
    <t>Tripulante</t>
  </si>
  <si>
    <t>Tommasso</t>
  </si>
  <si>
    <t>WAAAAAAAAAAAAAAAAAAH</t>
  </si>
  <si>
    <t>EffRat</t>
  </si>
  <si>
    <t>qoUEO</t>
  </si>
  <si>
    <t>The Tears Beneath</t>
  </si>
  <si>
    <t>IFFFFFFFFFFFF</t>
  </si>
  <si>
    <t>Uplink</t>
  </si>
  <si>
    <t>SkylarkyXD</t>
  </si>
  <si>
    <t>Vain Star</t>
  </si>
  <si>
    <t>CROSS HATCH</t>
  </si>
  <si>
    <t>space tamale</t>
  </si>
  <si>
    <t>Fast n Spicy</t>
  </si>
  <si>
    <t>it back</t>
  </si>
  <si>
    <t>HangyKing</t>
  </si>
  <si>
    <t>Say It Back</t>
  </si>
  <si>
    <t>Through The Aether</t>
  </si>
  <si>
    <t>Paper Skies - Flowstate</t>
  </si>
  <si>
    <t>Tron</t>
  </si>
  <si>
    <t>10 Tron: The Legacy</t>
  </si>
  <si>
    <t>CooperSuper8</t>
  </si>
  <si>
    <t>Soar</t>
  </si>
  <si>
    <t>Puueds</t>
  </si>
  <si>
    <t>-Welkin Wing-</t>
  </si>
  <si>
    <t>Gruselnacht</t>
  </si>
  <si>
    <t>Sparkle</t>
  </si>
  <si>
    <t>Artmix42</t>
  </si>
  <si>
    <t>Amelioration</t>
  </si>
  <si>
    <t>Walkin In The Rain</t>
  </si>
  <si>
    <t>The Last Treasure</t>
  </si>
  <si>
    <t>Mangut 2022</t>
  </si>
  <si>
    <t>Without Fervour</t>
  </si>
  <si>
    <t>Delightful Blossoms</t>
  </si>
  <si>
    <t>whowhatwherewhenwhy</t>
  </si>
  <si>
    <t>whats that ???</t>
  </si>
  <si>
    <t>7NSffect</t>
  </si>
  <si>
    <t>Sawatary</t>
  </si>
  <si>
    <t>Juan</t>
  </si>
  <si>
    <t>Nova4664</t>
  </si>
  <si>
    <t>Sharks - Mermaid</t>
  </si>
  <si>
    <t>soft fuzzy man</t>
  </si>
  <si>
    <t>quantuum</t>
  </si>
  <si>
    <t>SOFT FUZZY MAN</t>
  </si>
  <si>
    <t>ETOH</t>
  </si>
  <si>
    <t>Kiloton Icwater</t>
  </si>
  <si>
    <t>idk im bored</t>
  </si>
  <si>
    <t>BRB</t>
  </si>
  <si>
    <t>kcool101</t>
  </si>
  <si>
    <t>Retention Rush</t>
  </si>
  <si>
    <t>Big Effin Gun</t>
  </si>
  <si>
    <t>SOUL OR SYSTEM</t>
  </si>
  <si>
    <t>smear</t>
  </si>
  <si>
    <t>ACC</t>
  </si>
  <si>
    <t>Semicolon 3</t>
  </si>
  <si>
    <t>HYPERMANIA</t>
  </si>
  <si>
    <t>Land of Frogs</t>
  </si>
  <si>
    <t>Amphibia Theme Remix</t>
  </si>
  <si>
    <t>Red Horizon</t>
  </si>
  <si>
    <t>BubblesGMD</t>
  </si>
  <si>
    <t>Creo - Red Horizon</t>
  </si>
  <si>
    <t>Godhead</t>
  </si>
  <si>
    <t>BIG FLOPPA</t>
  </si>
  <si>
    <t>OFFmind</t>
  </si>
  <si>
    <t>Dedohexdragon</t>
  </si>
  <si>
    <t>Frenzy</t>
  </si>
  <si>
    <t>Ayanakodji</t>
  </si>
  <si>
    <t>Madness Awaking (feat. Hatsune Miku)</t>
  </si>
  <si>
    <t>Lightning Speed</t>
  </si>
  <si>
    <t>Dip</t>
  </si>
  <si>
    <t>Frigid Fjord</t>
  </si>
  <si>
    <t>Lure</t>
  </si>
  <si>
    <t>Maniac</t>
  </si>
  <si>
    <t>PhantomX</t>
  </si>
  <si>
    <t>Paystation</t>
  </si>
  <si>
    <t>Steedlan</t>
  </si>
  <si>
    <t>Celestial Inertia</t>
  </si>
  <si>
    <t>Striked20</t>
  </si>
  <si>
    <t>Synthion - Comet</t>
  </si>
  <si>
    <t>meow</t>
  </si>
  <si>
    <t>MrGm211</t>
  </si>
  <si>
    <t>WARZONE</t>
  </si>
  <si>
    <t>modus</t>
  </si>
  <si>
    <t>ElectricNJ</t>
  </si>
  <si>
    <t>Claire</t>
  </si>
  <si>
    <t>Trek</t>
  </si>
  <si>
    <t>Far Fetched OST - 02 - Into the Woods!</t>
  </si>
  <si>
    <t>THe LaCheLn nt</t>
  </si>
  <si>
    <t>KoEki</t>
  </si>
  <si>
    <t>BROWNOIX</t>
  </si>
  <si>
    <t>Energetic Stardust</t>
  </si>
  <si>
    <t>Dimension Hopper</t>
  </si>
  <si>
    <t>H</t>
  </si>
  <si>
    <t>Cobwebs</t>
  </si>
  <si>
    <t>NineDice</t>
  </si>
  <si>
    <t>Cerebral Cobweb (okuu remix) (edited)</t>
  </si>
  <si>
    <t>Viaje Melancolico</t>
  </si>
  <si>
    <t>Delicious8</t>
  </si>
  <si>
    <t>Ocean Blue</t>
  </si>
  <si>
    <t>overnight</t>
  </si>
  <si>
    <t>untitled unmastered</t>
  </si>
  <si>
    <t>Koraii - Scarlet</t>
  </si>
  <si>
    <t>inanimate INSANITY</t>
  </si>
  <si>
    <t>handsomeorange</t>
  </si>
  <si>
    <t>Sinister Silence</t>
  </si>
  <si>
    <t>Native Construct - The Spark of The Archon (Sinister Silence Cover)</t>
  </si>
  <si>
    <t>WATERFALL</t>
  </si>
  <si>
    <t>a2susie</t>
  </si>
  <si>
    <t>INSANITY</t>
  </si>
  <si>
    <t>fake oblivion</t>
  </si>
  <si>
    <t>Macromolecules</t>
  </si>
  <si>
    <t>BuiltInMacro</t>
  </si>
  <si>
    <t>Input Code</t>
  </si>
  <si>
    <t>simulation swarm</t>
  </si>
  <si>
    <t>native</t>
  </si>
  <si>
    <t>DangeriouS</t>
  </si>
  <si>
    <t>Durmar</t>
  </si>
  <si>
    <t>TERRANOVA0900</t>
  </si>
  <si>
    <t>Teleporter</t>
  </si>
  <si>
    <t>Tinraz</t>
  </si>
  <si>
    <t>DE4D</t>
  </si>
  <si>
    <t>therealjollunen</t>
  </si>
  <si>
    <t>Hell Gate</t>
  </si>
  <si>
    <t>Xxdorian</t>
  </si>
  <si>
    <t>Welcome to your mind</t>
  </si>
  <si>
    <t>purplegalaxy</t>
  </si>
  <si>
    <t>Asterisk</t>
  </si>
  <si>
    <t>SL8O</t>
  </si>
  <si>
    <t>owen is she ii</t>
  </si>
  <si>
    <t>ljisl</t>
  </si>
  <si>
    <t>SSJ3 - Septette/Princess</t>
  </si>
  <si>
    <t>Astrum</t>
  </si>
  <si>
    <t>Lim</t>
  </si>
  <si>
    <t>DEVIOUS</t>
  </si>
  <si>
    <t>Ape Weekend - Mountain Mambo</t>
  </si>
  <si>
    <t>Destination 19</t>
  </si>
  <si>
    <t>darling scarlet sky</t>
  </si>
  <si>
    <t>Moon Groove</t>
  </si>
  <si>
    <t>STARSHIPS</t>
  </si>
  <si>
    <t>Six Hour Starship</t>
  </si>
  <si>
    <t>Altos Adventure</t>
  </si>
  <si>
    <t>Hangout</t>
  </si>
  <si>
    <t>Straightforward</t>
  </si>
  <si>
    <t>GOOD KARMA</t>
  </si>
  <si>
    <t>Ghost Cat Ride A Sk8board</t>
  </si>
  <si>
    <t>SMITHEREENS</t>
  </si>
  <si>
    <t>WOW!! 2!! THE SEQUEL!!</t>
  </si>
  <si>
    <t>Pureness Of Nature</t>
  </si>
  <si>
    <t>Th3HungVN</t>
  </si>
  <si>
    <t>Purity</t>
  </si>
  <si>
    <t>HyperDrive</t>
  </si>
  <si>
    <t>Pluggg</t>
  </si>
  <si>
    <t>Erou</t>
  </si>
  <si>
    <t>Ethereal overload</t>
  </si>
  <si>
    <t>Julo139</t>
  </si>
  <si>
    <t>MAGIC TOUCH</t>
  </si>
  <si>
    <t>Mayhem</t>
  </si>
  <si>
    <t>LordVadercraft</t>
  </si>
  <si>
    <t>Intelligent testing</t>
  </si>
  <si>
    <t>Break The Rules</t>
  </si>
  <si>
    <t>Aguzki</t>
  </si>
  <si>
    <t>SAWFIT</t>
  </si>
  <si>
    <t>PG Clubstep Rebirth</t>
  </si>
  <si>
    <t>X2004</t>
  </si>
  <si>
    <t>Desolated</t>
  </si>
  <si>
    <t>Noppler</t>
  </si>
  <si>
    <t>Desolation</t>
  </si>
  <si>
    <t>factry</t>
  </si>
  <si>
    <t>BALTZ</t>
  </si>
  <si>
    <t>Double Fireball</t>
  </si>
  <si>
    <t>Unstoppable0357</t>
  </si>
  <si>
    <t>Future On Track</t>
  </si>
  <si>
    <t>theixn</t>
  </si>
  <si>
    <t>DJVI - Back On Track (DirtyPaws Remix)</t>
  </si>
  <si>
    <t>My Time</t>
  </si>
  <si>
    <t>Blueskiii</t>
  </si>
  <si>
    <t>Bo En- My Time [8 bit] (Short Ver.) - OMORI</t>
  </si>
  <si>
    <t>Voided</t>
  </si>
  <si>
    <t>JustXSoos</t>
  </si>
  <si>
    <t>foggy morning</t>
  </si>
  <si>
    <t>HiyaJemma</t>
  </si>
  <si>
    <t>Need some study music?</t>
  </si>
  <si>
    <t>Steel Flash</t>
  </si>
  <si>
    <t>The Art of the Blade</t>
  </si>
  <si>
    <t>Bushido Blade</t>
  </si>
  <si>
    <t>GRIT</t>
  </si>
  <si>
    <t>fr3dmc</t>
  </si>
  <si>
    <t>Bossfight - Grit</t>
  </si>
  <si>
    <t>Nocturnal</t>
  </si>
  <si>
    <t>fawksgdd</t>
  </si>
  <si>
    <t>Quartzone &amp; L.M. - Inutilia</t>
  </si>
  <si>
    <t>Wifelinloof</t>
  </si>
  <si>
    <t>EDEXY - Ravers</t>
  </si>
  <si>
    <t>Boblo Adventure</t>
  </si>
  <si>
    <t>MonsterVP</t>
  </si>
  <si>
    <t>-Alleyboss-</t>
  </si>
  <si>
    <t>Lets glow</t>
  </si>
  <si>
    <t>LaserSword33</t>
  </si>
  <si>
    <t>HEAT</t>
  </si>
  <si>
    <t>Bossfight - Warp</t>
  </si>
  <si>
    <t>down paradise</t>
  </si>
  <si>
    <t>kolorbok</t>
  </si>
  <si>
    <t>POINTBREAK</t>
  </si>
  <si>
    <t>Smoke Signals</t>
  </si>
  <si>
    <t>DarkCacti</t>
  </si>
  <si>
    <t>Peace in Threes</t>
  </si>
  <si>
    <t>Mike The Best</t>
  </si>
  <si>
    <t>Ashes [Disciple Round Table]</t>
  </si>
  <si>
    <t>Gotts</t>
  </si>
  <si>
    <t>TAURINE</t>
  </si>
  <si>
    <t>Alpine</t>
  </si>
  <si>
    <t>Rutra - Glow Mind</t>
  </si>
  <si>
    <t>loneliness</t>
  </si>
  <si>
    <t>Hana-Be / ~??~</t>
  </si>
  <si>
    <t>LILA SENAP</t>
  </si>
  <si>
    <t>Pettsu</t>
  </si>
  <si>
    <t>Geoxor - Bloodlust</t>
  </si>
  <si>
    <t>No Mans Land</t>
  </si>
  <si>
    <t>BlackRoseTeam</t>
  </si>
  <si>
    <t>Dovax - Desert Bounce</t>
  </si>
  <si>
    <t>Framework</t>
  </si>
  <si>
    <t>Agat3</t>
  </si>
  <si>
    <t>framew0rk</t>
  </si>
  <si>
    <t>ViperArctarus</t>
  </si>
  <si>
    <t>EweelWorld</t>
  </si>
  <si>
    <t>Eweel</t>
  </si>
  <si>
    <t>Mip II</t>
  </si>
  <si>
    <t>LYN3TTE</t>
  </si>
  <si>
    <t>a tribute to effects</t>
  </si>
  <si>
    <t>pludee</t>
  </si>
  <si>
    <t>Endless Descent</t>
  </si>
  <si>
    <t>Endless Embrace Remake</t>
  </si>
  <si>
    <t>MikuMikuMikuMiku</t>
  </si>
  <si>
    <t>OddMod</t>
  </si>
  <si>
    <t>FractureClutter x BouncyYak - Pandemonium</t>
  </si>
  <si>
    <t>GHOSTBUSTERS</t>
  </si>
  <si>
    <t>Ghostbusters Theme (Remix)</t>
  </si>
  <si>
    <t>Wack Attack</t>
  </si>
  <si>
    <t>connot</t>
  </si>
  <si>
    <t>BufiBoopi</t>
  </si>
  <si>
    <t>SCAMPER</t>
  </si>
  <si>
    <t>Underwater Ruins</t>
  </si>
  <si>
    <t>Johburger</t>
  </si>
  <si>
    <t>Final Conflux</t>
  </si>
  <si>
    <t>Distayne - Overworld</t>
  </si>
  <si>
    <t>Fantasy Lux</t>
  </si>
  <si>
    <t>1991 REEBOK PUMPS (demo)</t>
  </si>
  <si>
    <t>Mecha interface</t>
  </si>
  <si>
    <t>Cinemat</t>
  </si>
  <si>
    <t>-Hyperspin-</t>
  </si>
  <si>
    <t>Workzone</t>
  </si>
  <si>
    <t>antic star</t>
  </si>
  <si>
    <t>SUNSCREECH - antic star</t>
  </si>
  <si>
    <t>Not a Phobia</t>
  </si>
  <si>
    <t>GobSmacked &amp; Piracle - Phobia</t>
  </si>
  <si>
    <t>aquilegia</t>
  </si>
  <si>
    <t>Victory [Trap]</t>
  </si>
  <si>
    <t>EYES FONE</t>
  </si>
  <si>
    <t>Blast Burn</t>
  </si>
  <si>
    <t>Wr3nch</t>
  </si>
  <si>
    <t>Darkness Within</t>
  </si>
  <si>
    <t>Uranox</t>
  </si>
  <si>
    <t>WORD GAME</t>
  </si>
  <si>
    <t>phylactic</t>
  </si>
  <si>
    <t>BONUS ROUND</t>
  </si>
  <si>
    <t>Atlantica</t>
  </si>
  <si>
    <t>sercoons</t>
  </si>
  <si>
    <t>BISMARCK</t>
  </si>
  <si>
    <t>Sweet Splash</t>
  </si>
  <si>
    <t>Moon</t>
  </si>
  <si>
    <t>A Star Is Born</t>
  </si>
  <si>
    <t>SuperMarioGalaxy-Star Festival</t>
  </si>
  <si>
    <t>BOMB</t>
  </si>
  <si>
    <t>CheezIts4D1nner</t>
  </si>
  <si>
    <t>Jumpie &amp; Throwback - Drop</t>
  </si>
  <si>
    <t>Dash Madness</t>
  </si>
  <si>
    <t>TORNADO</t>
  </si>
  <si>
    <t>Puzzle Cat</t>
  </si>
  <si>
    <t>hate wonduu</t>
  </si>
  <si>
    <t>Fast Forward</t>
  </si>
  <si>
    <t>Nightshade</t>
  </si>
  <si>
    <t>Floating Maze</t>
  </si>
  <si>
    <t>Inerasable Memories</t>
  </si>
  <si>
    <t>CHEXTMIX</t>
  </si>
  <si>
    <t>KittKittay</t>
  </si>
  <si>
    <t>ultima.</t>
  </si>
  <si>
    <t>Neon Bliss</t>
  </si>
  <si>
    <t>WarningGoat</t>
  </si>
  <si>
    <t>meganeko - Space Magic (Vault Kid Remix)</t>
  </si>
  <si>
    <t>jarvis demon map</t>
  </si>
  <si>
    <t>PORT LOUIS</t>
  </si>
  <si>
    <t>ephyf</t>
  </si>
  <si>
    <t>Absolute Garbage</t>
  </si>
  <si>
    <t>Apollo 11</t>
  </si>
  <si>
    <t>Contra</t>
  </si>
  <si>
    <t>You Can Rest Now</t>
  </si>
  <si>
    <t>LegoLime</t>
  </si>
  <si>
    <t>WoahSonic</t>
  </si>
  <si>
    <t>August 2022</t>
  </si>
  <si>
    <t>credits</t>
  </si>
  <si>
    <t>Credits</t>
  </si>
  <si>
    <t>Ruler of Everything</t>
  </si>
  <si>
    <t>ASBCHazel</t>
  </si>
  <si>
    <t>Tally Hall - Ruler of Everything (Cover)</t>
  </si>
  <si>
    <t>Malevolent Maelstrom</t>
  </si>
  <si>
    <t>Apocalypse Hour</t>
  </si>
  <si>
    <t>ioah</t>
  </si>
  <si>
    <t>cs0</t>
  </si>
  <si>
    <t>passers by</t>
  </si>
  <si>
    <t>Fake Smiles</t>
  </si>
  <si>
    <t>virtual world</t>
  </si>
  <si>
    <t>six impala - EPSILON LOVE</t>
  </si>
  <si>
    <t>PABRIK</t>
  </si>
  <si>
    <t>R4NGER</t>
  </si>
  <si>
    <t>It Takes Me (feat. Waylon Reavis)</t>
  </si>
  <si>
    <t>since i met you</t>
  </si>
  <si>
    <t>s.i.m.y.</t>
  </si>
  <si>
    <t>Freedom Is A Lie</t>
  </si>
  <si>
    <t>PANDA EYES - BROKEN</t>
  </si>
  <si>
    <t>Reunite</t>
  </si>
  <si>
    <t>Burning Summer</t>
  </si>
  <si>
    <t>BoomBuBiBi</t>
  </si>
  <si>
    <t>AudieoVisual</t>
  </si>
  <si>
    <t>Starboom</t>
  </si>
  <si>
    <t>J0eyOnGD</t>
  </si>
  <si>
    <t>Time to Go</t>
  </si>
  <si>
    <t>Whammy</t>
  </si>
  <si>
    <t>Homophobic Penguins</t>
  </si>
  <si>
    <t>1 Train</t>
  </si>
  <si>
    <t>Caput Mundi</t>
  </si>
  <si>
    <t>Lutetia</t>
  </si>
  <si>
    <t>M2U - Gypsytronic (KayozKun Remix)</t>
  </si>
  <si>
    <t>Fellow Phobia</t>
  </si>
  <si>
    <t>possible alternative arrangement</t>
  </si>
  <si>
    <t>Blastoff</t>
  </si>
  <si>
    <t>Shape Of The Sun</t>
  </si>
  <si>
    <t>Panya0208</t>
  </si>
  <si>
    <t>EVERGLADE</t>
  </si>
  <si>
    <t>lGenoxide</t>
  </si>
  <si>
    <t>Xin Chao</t>
  </si>
  <si>
    <t>Magpipe</t>
  </si>
  <si>
    <t>Koenigstein</t>
  </si>
  <si>
    <t>Return To Slime (ft. SixteenInMono)</t>
  </si>
  <si>
    <t>Ruta del Sol</t>
  </si>
  <si>
    <t>Asadal</t>
  </si>
  <si>
    <t>Exyl - MOAI [OLD MIX]</t>
  </si>
  <si>
    <t>Fizzy Fossils</t>
  </si>
  <si>
    <t>Teminite - Hot Fizz</t>
  </si>
  <si>
    <t>Lost in Greece</t>
  </si>
  <si>
    <t>TRANS AGENDA</t>
  </si>
  <si>
    <t>Xanadu</t>
  </si>
  <si>
    <t>Hypercharged</t>
  </si>
  <si>
    <t>Vitrial</t>
  </si>
  <si>
    <t>Mil Noches</t>
  </si>
  <si>
    <t>ALL NIGHT LONG</t>
  </si>
  <si>
    <t>Chimera</t>
  </si>
  <si>
    <t>Dualies</t>
  </si>
  <si>
    <t>PROTOFLICKER</t>
  </si>
  <si>
    <t>Onion666 x SPURME - Imoistar Termination</t>
  </si>
  <si>
    <t>U235</t>
  </si>
  <si>
    <t>X-1200</t>
  </si>
  <si>
    <t>slope inc</t>
  </si>
  <si>
    <t>Febbs! - Exivilia</t>
  </si>
  <si>
    <t>Hot Wheelers</t>
  </si>
  <si>
    <t>Kaval, Dr. Ushuu, Everbeing &amp; Distayne - Your Touch</t>
  </si>
  <si>
    <t>SUPERCHARGE</t>
  </si>
  <si>
    <t>Sleepwalker</t>
  </si>
  <si>
    <t>Triadic Trials</t>
  </si>
  <si>
    <t>CHARGE</t>
  </si>
  <si>
    <t>Cypherr</t>
  </si>
  <si>
    <t>BAD TRIP</t>
  </si>
  <si>
    <t>Recess</t>
  </si>
  <si>
    <t>Sands</t>
  </si>
  <si>
    <t>MY SONG</t>
  </si>
  <si>
    <t>ThumpGrinder</t>
  </si>
  <si>
    <t>-ThumpGrinder-</t>
  </si>
  <si>
    <t>WELL RESTED</t>
  </si>
  <si>
    <t>Kero Kero Bonito - Well Rested (Uvi Remix)</t>
  </si>
  <si>
    <t>Dreamfully</t>
  </si>
  <si>
    <t>Mongol Tyvshin</t>
  </si>
  <si>
    <t>Shruggle - Prismatic</t>
  </si>
  <si>
    <t>CTRL C</t>
  </si>
  <si>
    <t>HELLWALKER</t>
  </si>
  <si>
    <t>BLAST FANTASY</t>
  </si>
  <si>
    <t>Dormant</t>
  </si>
  <si>
    <t>-Dormant-</t>
  </si>
  <si>
    <t>Shipcretes Eltiny</t>
  </si>
  <si>
    <t>ez electro rap beat</t>
  </si>
  <si>
    <t>Totem</t>
  </si>
  <si>
    <t>WEE WEE</t>
  </si>
  <si>
    <t>EYESTRIKE</t>
  </si>
  <si>
    <t>The Zero Point</t>
  </si>
  <si>
    <t>Wentex</t>
  </si>
  <si>
    <t>Pathos Pathway</t>
  </si>
  <si>
    <t>~EnV~Heaven Rd. 3</t>
  </si>
  <si>
    <t>no concept</t>
  </si>
  <si>
    <t>NesiaL</t>
  </si>
  <si>
    <t>Colorful Oblivion</t>
  </si>
  <si>
    <t>chaotic evil</t>
  </si>
  <si>
    <t>With Gun &amp; Burger</t>
  </si>
  <si>
    <t>Party Rock Anthem</t>
  </si>
  <si>
    <t>{Frozen}</t>
  </si>
  <si>
    <t>Wild Rose</t>
  </si>
  <si>
    <t>Edge of the World</t>
  </si>
  <si>
    <t>L4TeZk</t>
  </si>
  <si>
    <t>super kontik</t>
  </si>
  <si>
    <t>vARIKOZ</t>
  </si>
  <si>
    <t>Frantic Show</t>
  </si>
  <si>
    <t>-The show-</t>
  </si>
  <si>
    <t>1326C</t>
  </si>
  <si>
    <t>mordroc7</t>
  </si>
  <si>
    <t>Bips and Bops</t>
  </si>
  <si>
    <t>-Color Blockade-</t>
  </si>
  <si>
    <t>Thauma</t>
  </si>
  <si>
    <t>Miscellaneous Memory</t>
  </si>
  <si>
    <t>Enfur</t>
  </si>
  <si>
    <t>Overtime</t>
  </si>
  <si>
    <t>Body Jammer</t>
  </si>
  <si>
    <t>titoalper</t>
  </si>
  <si>
    <t>Flipping a Coin</t>
  </si>
  <si>
    <t>meganeko &amp; Rymdkraft - Astro Soda (PLOMPCORE REMIX)</t>
  </si>
  <si>
    <t>Effulgent</t>
  </si>
  <si>
    <t>AlbachungusGD</t>
  </si>
  <si>
    <t>Shiverburn</t>
  </si>
  <si>
    <t>threelia</t>
  </si>
  <si>
    <t>Maze of Vignere Square</t>
  </si>
  <si>
    <t>Wxyz</t>
  </si>
  <si>
    <t>ELLIPSISM</t>
  </si>
  <si>
    <t>Papiroflexium</t>
  </si>
  <si>
    <t>Mulp</t>
  </si>
  <si>
    <t>RUHM</t>
  </si>
  <si>
    <t>The Wellerman Sea Shanty Metal</t>
  </si>
  <si>
    <t>pulsation</t>
  </si>
  <si>
    <t>SpranktonGD</t>
  </si>
  <si>
    <t>Cersia Madness</t>
  </si>
  <si>
    <t>Snap to Grid</t>
  </si>
  <si>
    <t>universedevon</t>
  </si>
  <si>
    <t>Windborn</t>
  </si>
  <si>
    <t>Geoplex - Windborn</t>
  </si>
  <si>
    <t>4uck</t>
  </si>
  <si>
    <t>pearlbluesoul</t>
  </si>
  <si>
    <t>FREEEEEEEEEEEEEEEEEE</t>
  </si>
  <si>
    <t>Soaring over</t>
  </si>
  <si>
    <t>ultrash0ck</t>
  </si>
  <si>
    <t>euphria</t>
  </si>
  <si>
    <t>Rymdkraft - Kesobomb</t>
  </si>
  <si>
    <t>SZYSLAK</t>
  </si>
  <si>
    <t>Zeniux</t>
  </si>
  <si>
    <t>rosedynamix</t>
  </si>
  <si>
    <t>rosewa</t>
  </si>
  <si>
    <t>DVS Is My Beloved</t>
  </si>
  <si>
    <t>Massa Atmosphera</t>
  </si>
  <si>
    <t>JuanxflidYT</t>
  </si>
  <si>
    <t>Massa Atmospherra</t>
  </si>
  <si>
    <t>Quentiam II</t>
  </si>
  <si>
    <t>Qventiam</t>
  </si>
  <si>
    <t>Corkscrew - Hazard</t>
  </si>
  <si>
    <t>Stotch</t>
  </si>
  <si>
    <t>Khonsu</t>
  </si>
  <si>
    <t>Bury the Sun</t>
  </si>
  <si>
    <t>The  Place</t>
  </si>
  <si>
    <t>Nightmogs theme</t>
  </si>
  <si>
    <t>DreamScape</t>
  </si>
  <si>
    <t>Tunnel Vision</t>
  </si>
  <si>
    <t>Santa-chans Winter Wonderland Adventure</t>
  </si>
  <si>
    <t>DAMAGE</t>
  </si>
  <si>
    <t>TROLLMACHINE</t>
  </si>
  <si>
    <t>TROLLM4CHINE</t>
  </si>
  <si>
    <t>KSLV - Override (remix for TROLLMACHINE)</t>
  </si>
  <si>
    <t>Retreat</t>
  </si>
  <si>
    <t>guitars a lot</t>
  </si>
  <si>
    <t>Decay</t>
  </si>
  <si>
    <t>Nanotech Delights</t>
  </si>
  <si>
    <t>TrtureD HearT</t>
  </si>
  <si>
    <t>Ravitex &amp; TeslaX - Tortured Heart</t>
  </si>
  <si>
    <t>HypnagogiA</t>
  </si>
  <si>
    <t>569Zilla</t>
  </si>
  <si>
    <t>Iridescence</t>
  </si>
  <si>
    <t>Just Run With It</t>
  </si>
  <si>
    <t>MANIC</t>
  </si>
  <si>
    <t>Stomp The Ground</t>
  </si>
  <si>
    <t>pavvvv</t>
  </si>
  <si>
    <t>Audacious</t>
  </si>
  <si>
    <t>Brightest Melody</t>
  </si>
  <si>
    <t>IGOR</t>
  </si>
  <si>
    <t>IGOR Cover</t>
  </si>
  <si>
    <t>spidin around</t>
  </si>
  <si>
    <t>Blue Sky</t>
  </si>
  <si>
    <t>Evercharging</t>
  </si>
  <si>
    <t>Krakens Curse</t>
  </si>
  <si>
    <t>Nature Dreams</t>
  </si>
  <si>
    <t>Kacurroo</t>
  </si>
  <si>
    <t>Ayyy024</t>
  </si>
  <si>
    <t>desperate</t>
  </si>
  <si>
    <t>MadnessDynamix</t>
  </si>
  <si>
    <t>RADIUM</t>
  </si>
  <si>
    <t>Pulchra (How it Began LP)</t>
  </si>
  <si>
    <t>Hephaestus</t>
  </si>
  <si>
    <t>DiamondDemon935</t>
  </si>
  <si>
    <t>Clover</t>
  </si>
  <si>
    <t>no jokes</t>
  </si>
  <si>
    <t>theParadoxTeam</t>
  </si>
  <si>
    <t>BEST DROP OF ALL TIME</t>
  </si>
  <si>
    <t>Thundering Pulse</t>
  </si>
  <si>
    <t>Zaphii</t>
  </si>
  <si>
    <t>Zaphes Back Yard</t>
  </si>
  <si>
    <t>FRACTURED</t>
  </si>
  <si>
    <t>Maniliax</t>
  </si>
  <si>
    <t>Leffe LeiffSkY</t>
  </si>
  <si>
    <t>LeifY</t>
  </si>
  <si>
    <t>Cant let go (erdze Remix)</t>
  </si>
  <si>
    <t>Sparkworks</t>
  </si>
  <si>
    <t>SStartDash</t>
  </si>
  <si>
    <t>Machine Overlord - EliteFerrex &amp; Sunnexo</t>
  </si>
  <si>
    <t>Digital Action</t>
  </si>
  <si>
    <t>Skin Liquefier</t>
  </si>
  <si>
    <t>Pirate Afterparty</t>
  </si>
  <si>
    <t>Vojin007</t>
  </si>
  <si>
    <t>Teminite - Pirate Afterparty</t>
  </si>
  <si>
    <t>Goofi Industri</t>
  </si>
  <si>
    <t>GDTicLos</t>
  </si>
  <si>
    <t>F-777 - Super Duper</t>
  </si>
  <si>
    <t>Descent</t>
  </si>
  <si>
    <t>Bossfight - Helmut Haunter</t>
  </si>
  <si>
    <t>Hanakotoba</t>
  </si>
  <si>
    <t>Arrival</t>
  </si>
  <si>
    <t>ElectroRush</t>
  </si>
  <si>
    <t>I Forgor (ft. IllogicalR)</t>
  </si>
  <si>
    <t>SincejastlrXD</t>
  </si>
  <si>
    <t>Gaming</t>
  </si>
  <si>
    <t>Cat Planet</t>
  </si>
  <si>
    <t>Prolegomeno</t>
  </si>
  <si>
    <t>mishy</t>
  </si>
  <si>
    <t>{dj-N} I Cant Believe Its Not Riddim!</t>
  </si>
  <si>
    <t>Bitcrusher</t>
  </si>
  <si>
    <t>Project Zero</t>
  </si>
  <si>
    <t>Black Reaper</t>
  </si>
  <si>
    <t>Sparkler</t>
  </si>
  <si>
    <t>KINGSLAYER</t>
  </si>
  <si>
    <t>8bit Kingslayer</t>
  </si>
  <si>
    <t>U L T R A   W I D E</t>
  </si>
  <si>
    <t>J27Blaze</t>
  </si>
  <si>
    <t>Worlds Colliding</t>
  </si>
  <si>
    <t>Blurred Face</t>
  </si>
  <si>
    <t>Angel Z</t>
  </si>
  <si>
    <t>Kebon</t>
  </si>
  <si>
    <t>DrimpGD</t>
  </si>
  <si>
    <t>Manic Machine</t>
  </si>
  <si>
    <t>Alternate</t>
  </si>
  <si>
    <t>distal corridor</t>
  </si>
  <si>
    <t>shodai1128</t>
  </si>
  <si>
    <t>proX?ima</t>
  </si>
  <si>
    <t>DARKNESS</t>
  </si>
  <si>
    <t>Thund3rKnight77</t>
  </si>
  <si>
    <t>eggo</t>
  </si>
  <si>
    <t>Zipixbox</t>
  </si>
  <si>
    <t>Maze o Myst</t>
  </si>
  <si>
    <t>eKaLass1e</t>
  </si>
  <si>
    <t>DREAMING</t>
  </si>
  <si>
    <t>TrueInverse</t>
  </si>
  <si>
    <t>Snowy roads</t>
  </si>
  <si>
    <t>YANDL II</t>
  </si>
  <si>
    <t>Reality Bang</t>
  </si>
  <si>
    <t>ZatexDoom</t>
  </si>
  <si>
    <t>ELEPS - Fake Reality (Original Mix)</t>
  </si>
  <si>
    <t>SICKEN</t>
  </si>
  <si>
    <t>Sushi Glitch</t>
  </si>
  <si>
    <t>ConFusion</t>
  </si>
  <si>
    <t>cave of heart</t>
  </si>
  <si>
    <t>SUNSCREECH - cave of heart</t>
  </si>
  <si>
    <t>Repent</t>
  </si>
  <si>
    <t>Kapycta999</t>
  </si>
  <si>
    <t>Darma</t>
  </si>
  <si>
    <t>WoundedGalaxy</t>
  </si>
  <si>
    <t>Graphene</t>
  </si>
  <si>
    <t>Dan1el256</t>
  </si>
  <si>
    <t>swoli</t>
  </si>
  <si>
    <t>poocubed</t>
  </si>
  <si>
    <t>Liisp</t>
  </si>
  <si>
    <t>EspiDev - Parfait</t>
  </si>
  <si>
    <t>Mechanical RootS</t>
  </si>
  <si>
    <t>Mechanical Roots</t>
  </si>
  <si>
    <t>cYsmix - Phone Me First</t>
  </si>
  <si>
    <t>GachiHYPER</t>
  </si>
  <si>
    <t>Haunted ClubStep</t>
  </si>
  <si>
    <t>BRKMGB8GJCZ</t>
  </si>
  <si>
    <t>Blue Expanse</t>
  </si>
  <si>
    <t>keygen</t>
  </si>
  <si>
    <t>sycor</t>
  </si>
  <si>
    <t>Keygen</t>
  </si>
  <si>
    <t>BlackAndWhite</t>
  </si>
  <si>
    <t>whytheworst</t>
  </si>
  <si>
    <t>Gloomy</t>
  </si>
  <si>
    <t>No Time To Die</t>
  </si>
  <si>
    <t>STICKS FOR BONES</t>
  </si>
  <si>
    <t>springsong</t>
  </si>
  <si>
    <t>zowl</t>
  </si>
  <si>
    <t>Gentlemens Clique</t>
  </si>
  <si>
    <t>3rd Prototype - Get In</t>
  </si>
  <si>
    <t>Afterparty</t>
  </si>
  <si>
    <t>AleXins</t>
  </si>
  <si>
    <t>Hexaria</t>
  </si>
  <si>
    <t>Puri1</t>
  </si>
  <si>
    <t>White Album</t>
  </si>
  <si>
    <t>JAVP</t>
  </si>
  <si>
    <t>waiting room.</t>
  </si>
  <si>
    <t>mbedsundifficult</t>
  </si>
  <si>
    <t>FEEL</t>
  </si>
  <si>
    <t>Feel</t>
  </si>
  <si>
    <t>Candy Cane</t>
  </si>
  <si>
    <t>The Lost Empire</t>
  </si>
  <si>
    <t>Krimtow</t>
  </si>
  <si>
    <t>HELIX</t>
  </si>
  <si>
    <t>LGgd</t>
  </si>
  <si>
    <t>R.E.M. III</t>
  </si>
  <si>
    <t>ThomaS</t>
  </si>
  <si>
    <t>SotoFon</t>
  </si>
  <si>
    <t>Thomas the Dank Engine.</t>
  </si>
  <si>
    <t>The Cellar Path</t>
  </si>
  <si>
    <t>bury the sun</t>
  </si>
  <si>
    <t>MCres</t>
  </si>
  <si>
    <t>Crummy</t>
  </si>
  <si>
    <t>SAHAQUIEL</t>
  </si>
  <si>
    <t>billie jeans</t>
  </si>
  <si>
    <t>Sleep</t>
  </si>
  <si>
    <t>Stereo Extremeness</t>
  </si>
  <si>
    <t>vortrox</t>
  </si>
  <si>
    <t>outpost zimonja</t>
  </si>
  <si>
    <t>Outpost Zimonja</t>
  </si>
  <si>
    <t>Dub</t>
  </si>
  <si>
    <t>OilPanic</t>
  </si>
  <si>
    <t>Edelweiss</t>
  </si>
  <si>
    <t>OzzeL2</t>
  </si>
  <si>
    <t>TIME TO GO</t>
  </si>
  <si>
    <t>SuperIg</t>
  </si>
  <si>
    <t>ALESDA! - Time to Go</t>
  </si>
  <si>
    <t>Launchpad Labyrinth</t>
  </si>
  <si>
    <t>Sculptures</t>
  </si>
  <si>
    <t>Forgotten Bridges</t>
  </si>
  <si>
    <t>Blussnes</t>
  </si>
  <si>
    <t>Adriam71</t>
  </si>
  <si>
    <t>New Again</t>
  </si>
  <si>
    <t>Floofle</t>
  </si>
  <si>
    <t>Flashburn pres. SONOS - w i n t e r w a v e</t>
  </si>
  <si>
    <t>stardust</t>
  </si>
  <si>
    <t>bydaydream</t>
  </si>
  <si>
    <t>Virtual Riot &amp; Modestep - This Could Be Us feat. FRANK ZUMMO (Sharks Remix)</t>
  </si>
  <si>
    <t>Last Station</t>
  </si>
  <si>
    <t>RedWire ~ Train Of Thought [ORIGINAL MIX]</t>
  </si>
  <si>
    <t>RUTHLESS</t>
  </si>
  <si>
    <t>Demonic Realms</t>
  </si>
  <si>
    <t>Risk</t>
  </si>
  <si>
    <t>Astral Prism</t>
  </si>
  <si>
    <t>lemon</t>
  </si>
  <si>
    <t>Wolvyy</t>
  </si>
  <si>
    <t>Blast Bismuth</t>
  </si>
  <si>
    <t>LillyVX</t>
  </si>
  <si>
    <t>ph0ne m3 f1rst</t>
  </si>
  <si>
    <t>Pizazzy</t>
  </si>
  <si>
    <t>polar</t>
  </si>
  <si>
    <t>Horros</t>
  </si>
  <si>
    <t>Shrc</t>
  </si>
  <si>
    <t>Spaze - Arrival Demo</t>
  </si>
  <si>
    <t>slp</t>
  </si>
  <si>
    <t>romanzinin</t>
  </si>
  <si>
    <t>We of the future</t>
  </si>
  <si>
    <t>HurrikkaN</t>
  </si>
  <si>
    <t>PiksC</t>
  </si>
  <si>
    <t>Iodine</t>
  </si>
  <si>
    <t>Sr3k</t>
  </si>
  <si>
    <t>GANGIMARI</t>
  </si>
  <si>
    <t>The Chain</t>
  </si>
  <si>
    <t>fitatfi</t>
  </si>
  <si>
    <t>Vers</t>
  </si>
  <si>
    <t>Niney1</t>
  </si>
  <si>
    <t>Vers (GD Edit)</t>
  </si>
  <si>
    <t>Lightopolis</t>
  </si>
  <si>
    <t>Belphox</t>
  </si>
  <si>
    <t>Silky Chaos</t>
  </si>
  <si>
    <t>KLYDIX - Promise</t>
  </si>
  <si>
    <t>The Festival</t>
  </si>
  <si>
    <t>Quirky Sniffler</t>
  </si>
  <si>
    <t>Nezzieverse</t>
  </si>
  <si>
    <t>Hubert Jenkins</t>
  </si>
  <si>
    <t>Goa Codex</t>
  </si>
  <si>
    <t>till Doomsday</t>
  </si>
  <si>
    <t>How to Take Complete Control of Everything and Everyone</t>
  </si>
  <si>
    <t>tbh</t>
  </si>
  <si>
    <t>SirPotat</t>
  </si>
  <si>
    <t>QVxxN</t>
  </si>
  <si>
    <t>04 Catalysm</t>
  </si>
  <si>
    <t>Silhouette Summit</t>
  </si>
  <si>
    <t>Constellation</t>
  </si>
  <si>
    <t>imaginary flowers</t>
  </si>
  <si>
    <t>Lost Love</t>
  </si>
  <si>
    <t>GHOSTS</t>
  </si>
  <si>
    <t>Aksion</t>
  </si>
  <si>
    <t>Shotgun</t>
  </si>
  <si>
    <t>EDEXY - Riot</t>
  </si>
  <si>
    <t>The Unbinding</t>
  </si>
  <si>
    <t>VILE CHASM</t>
  </si>
  <si>
    <t>The Filthy Mind (ft. SixteenInMono)</t>
  </si>
  <si>
    <t>Toxicity</t>
  </si>
  <si>
    <t>mem</t>
  </si>
  <si>
    <t>benissad</t>
  </si>
  <si>
    <t>Athletics</t>
  </si>
  <si>
    <t>Cosmic Rush</t>
  </si>
  <si>
    <t>0xNano</t>
  </si>
  <si>
    <t>Kyouki</t>
  </si>
  <si>
    <t>Danksgiving</t>
  </si>
  <si>
    <t>zpomalit dolu</t>
  </si>
  <si>
    <t>jogyz</t>
  </si>
  <si>
    <t>The Mainframe</t>
  </si>
  <si>
    <t>Reas</t>
  </si>
  <si>
    <t>Radiant Funk</t>
  </si>
  <si>
    <t>Callisto</t>
  </si>
  <si>
    <t>LIMBO</t>
  </si>
  <si>
    <t>BREADBOARD</t>
  </si>
  <si>
    <t>Like I said</t>
  </si>
  <si>
    <t>PANDA EYES - DAKARA</t>
  </si>
  <si>
    <t>Ww</t>
  </si>
  <si>
    <t>OttoForYou</t>
  </si>
  <si>
    <t>my voicebox</t>
  </si>
  <si>
    <t>180 shots a minute</t>
  </si>
  <si>
    <t>Silent ClubX Rebirth</t>
  </si>
  <si>
    <t>ZENITH</t>
  </si>
  <si>
    <t>ExIIImE</t>
  </si>
  <si>
    <t>Skybreak &amp; Nytrix - Our Moving Picture</t>
  </si>
  <si>
    <t>ASHES</t>
  </si>
  <si>
    <t>xHeiDax</t>
  </si>
  <si>
    <t>ashes 3.1</t>
  </si>
  <si>
    <t>FAULTY CODE</t>
  </si>
  <si>
    <t>UMBRA</t>
  </si>
  <si>
    <t>Bossfight, JT Roach &amp; RUNN - Shadow</t>
  </si>
  <si>
    <t>Faded Dream</t>
  </si>
  <si>
    <t>Pixel Rush</t>
  </si>
  <si>
    <t>TouchDown</t>
  </si>
  <si>
    <t>Yarr komp</t>
  </si>
  <si>
    <t>SorryForPartyRocking</t>
  </si>
  <si>
    <t>{Event Horizon} fixed</t>
  </si>
  <si>
    <t>Boreas</t>
  </si>
  <si>
    <t>Cluster Dust</t>
  </si>
  <si>
    <t>HEX MASTERS MANOR</t>
  </si>
  <si>
    <t>Nightmare Chasm</t>
  </si>
  <si>
    <t>THE DAYS</t>
  </si>
  <si>
    <t>erquillo1</t>
  </si>
  <si>
    <t>Twee</t>
  </si>
  <si>
    <t>FOUR WHEEL DRIVE</t>
  </si>
  <si>
    <t>mania.</t>
  </si>
  <si>
    <t>Drop Box Ii</t>
  </si>
  <si>
    <t>Vantablack 130</t>
  </si>
  <si>
    <t>N 130 JLL</t>
  </si>
  <si>
    <t>THE LIMIT</t>
  </si>
  <si>
    <t>THE LIMIT (Fawks Remix)</t>
  </si>
  <si>
    <t>CLEAR</t>
  </si>
  <si>
    <t>Orue</t>
  </si>
  <si>
    <t>Master Of The Ducks</t>
  </si>
  <si>
    <t>GRINDS MY GEARS</t>
  </si>
  <si>
    <t>YOU ARE WEAK</t>
  </si>
  <si>
    <t>Tidal Wave</t>
  </si>
  <si>
    <t>OniLinkGD</t>
  </si>
  <si>
    <t>Tidal Wave(Shiawase VIP rmx)</t>
  </si>
  <si>
    <t>Neo</t>
  </si>
  <si>
    <t>Knights of Thunder</t>
  </si>
  <si>
    <t>HangerLord</t>
  </si>
  <si>
    <t>Power of Life</t>
  </si>
  <si>
    <t>Mulpan and More</t>
  </si>
  <si>
    <t>Rairiku &amp; Redeilia - Oreinologism</t>
  </si>
  <si>
    <t>RNBWGRFFT</t>
  </si>
  <si>
    <t>-Stellar Refraction-</t>
  </si>
  <si>
    <t>Bolzano Sud</t>
  </si>
  <si>
    <t>Freaks</t>
  </si>
  <si>
    <t>realflaaroni</t>
  </si>
  <si>
    <t>Freaks Remake</t>
  </si>
  <si>
    <t>BLOOKY</t>
  </si>
  <si>
    <t>La Cueva</t>
  </si>
  <si>
    <t>Agen Wida</t>
  </si>
  <si>
    <t>~:Starlight Promenade:~</t>
  </si>
  <si>
    <t>Kororinpa</t>
  </si>
  <si>
    <t>Codec</t>
  </si>
  <si>
    <t>ut2o2</t>
  </si>
  <si>
    <t>Fishbass</t>
  </si>
  <si>
    <t>fishbass</t>
  </si>
  <si>
    <t>1K</t>
  </si>
  <si>
    <t>Ardolf - Chromatic</t>
  </si>
  <si>
    <t>TRANSTELLAR</t>
  </si>
  <si>
    <t>Endless Abyss</t>
  </si>
  <si>
    <t>ABEL</t>
  </si>
  <si>
    <t>Encroaching Dark</t>
  </si>
  <si>
    <t>quazillion</t>
  </si>
  <si>
    <t>Kazey</t>
  </si>
  <si>
    <t>PRAESTIGIA</t>
  </si>
  <si>
    <t>Era</t>
  </si>
  <si>
    <t>Limited</t>
  </si>
  <si>
    <t>Unbreaker</t>
  </si>
  <si>
    <t>The World Caves In</t>
  </si>
  <si>
    <t>khacs</t>
  </si>
  <si>
    <t>Broken Roulette</t>
  </si>
  <si>
    <t>Poder Minimal</t>
  </si>
  <si>
    <t>VytraX</t>
  </si>
  <si>
    <t>Cant Let vulc</t>
  </si>
  <si>
    <t>vulcanium4</t>
  </si>
  <si>
    <t>Destruction Eruption</t>
  </si>
  <si>
    <t>Helix</t>
  </si>
  <si>
    <t>Micro-Plastic Blues</t>
  </si>
  <si>
    <t>EL tigre</t>
  </si>
  <si>
    <t>Empress Blades</t>
  </si>
  <si>
    <t>Empress of Light Theme [Remix]</t>
  </si>
  <si>
    <t>Carbon</t>
  </si>
  <si>
    <t>Solevoy</t>
  </si>
  <si>
    <t>47XPOMOCOMA</t>
  </si>
  <si>
    <t>Sazerix</t>
  </si>
  <si>
    <t>SUNSHARD</t>
  </si>
  <si>
    <t>X0</t>
  </si>
  <si>
    <t>ELEPS - Shooting Stars (Original Mix)</t>
  </si>
  <si>
    <t>EXARCH</t>
  </si>
  <si>
    <t>Killin Void - Happy Riddim</t>
  </si>
  <si>
    <t>Hyperspin</t>
  </si>
  <si>
    <t>01clark</t>
  </si>
  <si>
    <t>XxXxXxXxXxX</t>
  </si>
  <si>
    <t>SomeRandomCow</t>
  </si>
  <si>
    <t>FLASHBANG VIP (PREVIEW)</t>
  </si>
  <si>
    <t>bloom</t>
  </si>
  <si>
    <t>AppleCr</t>
  </si>
  <si>
    <t>Common s3nse</t>
  </si>
  <si>
    <t>LEALHALZITX</t>
  </si>
  <si>
    <t>Nichibotsu</t>
  </si>
  <si>
    <t>Nokedlis Csirke</t>
  </si>
  <si>
    <t>youre adopted</t>
  </si>
  <si>
    <t>Doggy!</t>
  </si>
  <si>
    <t>Taxi</t>
  </si>
  <si>
    <t>Color Burst</t>
  </si>
  <si>
    <t>YukiMasterGD</t>
  </si>
  <si>
    <t>Place</t>
  </si>
  <si>
    <t>madvillany</t>
  </si>
  <si>
    <t>200 BigPartyMen</t>
  </si>
  <si>
    <t>gooberverse</t>
  </si>
  <si>
    <t>irsdorkage</t>
  </si>
  <si>
    <t>A Final Memorial</t>
  </si>
  <si>
    <t>Where Flowers Lead</t>
  </si>
  <si>
    <t>Snoozzzing</t>
  </si>
  <si>
    <t>tellmewhyimwaiting</t>
  </si>
  <si>
    <t>demnitrescu</t>
  </si>
  <si>
    <t>A?PhA PaRAdX - HOLD ON TO ME (ft. Shiloh)</t>
  </si>
  <si>
    <t>Electrical Room</t>
  </si>
  <si>
    <t>LightPotato99</t>
  </si>
  <si>
    <t>Burning Flames</t>
  </si>
  <si>
    <t>I Volunteer As Space Monkey</t>
  </si>
  <si>
    <t>Lost Direction</t>
  </si>
  <si>
    <t>Kinemortophobia</t>
  </si>
  <si>
    <t>NagromX</t>
  </si>
  <si>
    <t>Kickstart</t>
  </si>
  <si>
    <t>Awkward</t>
  </si>
  <si>
    <t>vmpqnmy</t>
  </si>
  <si>
    <t>TechRISE - Unstoppable BPM 153</t>
  </si>
  <si>
    <t>Daydream Adventure</t>
  </si>
  <si>
    <t>Minecraft Stories</t>
  </si>
  <si>
    <t>XKlipx</t>
  </si>
  <si>
    <t>ETERNAL</t>
  </si>
  <si>
    <t>eternal</t>
  </si>
  <si>
    <t>HeadshoT</t>
  </si>
  <si>
    <t>Headshot (ft. NJ)</t>
  </si>
  <si>
    <t>Artificial Climb</t>
  </si>
  <si>
    <t>Rynoxiouss</t>
  </si>
  <si>
    <t>xKore - Syntax</t>
  </si>
  <si>
    <t>Bare minimum</t>
  </si>
  <si>
    <t>Darcii</t>
  </si>
  <si>
    <t>The Trail</t>
  </si>
  <si>
    <t>Heat Haze</t>
  </si>
  <si>
    <t>Toxic Starnight</t>
  </si>
  <si>
    <t>The Paroxysm of Rage</t>
  </si>
  <si>
    <t>Welcome To GD News</t>
  </si>
  <si>
    <t>About time</t>
  </si>
  <si>
    <t>Kiriia</t>
  </si>
  <si>
    <t>kr1tmas</t>
  </si>
  <si>
    <t>~:Contrails:~</t>
  </si>
  <si>
    <t>12 Days of XMAS</t>
  </si>
  <si>
    <t>Christmas is Here! ~P~</t>
  </si>
  <si>
    <t>Lockin</t>
  </si>
  <si>
    <t>Beautiful and Damned</t>
  </si>
  <si>
    <t>Crumbs</t>
  </si>
  <si>
    <t>Locket</t>
  </si>
  <si>
    <t>Operation Borealis</t>
  </si>
  <si>
    <t>DrSandwich</t>
  </si>
  <si>
    <t>Helix - Operation Red Rock</t>
  </si>
  <si>
    <t>Last Week</t>
  </si>
  <si>
    <t>Strawberry Fields</t>
  </si>
  <si>
    <t>Realtered</t>
  </si>
  <si>
    <t>-Nightlife-</t>
  </si>
  <si>
    <t>Warp Drive</t>
  </si>
  <si>
    <t>winter holidays</t>
  </si>
  <si>
    <t>Daily Journey (LP Version)</t>
  </si>
  <si>
    <t>Magical Funk</t>
  </si>
  <si>
    <t>EstebannGD</t>
  </si>
  <si>
    <t>Old but Fools Gold</t>
  </si>
  <si>
    <t>JoeDaBruh</t>
  </si>
  <si>
    <t>check your emails</t>
  </si>
  <si>
    <t>Antigen</t>
  </si>
  <si>
    <t>Infertechno</t>
  </si>
  <si>
    <t>xVainaja</t>
  </si>
  <si>
    <t>PUBLIC RESTROOM</t>
  </si>
  <si>
    <t>benches</t>
  </si>
  <si>
    <t>Axion II</t>
  </si>
  <si>
    <t>Ruins of Acropolis</t>
  </si>
  <si>
    <t>Steel Nightmares</t>
  </si>
  <si>
    <t>steel nightmares</t>
  </si>
  <si>
    <t>snowrise</t>
  </si>
  <si>
    <t>NikolaGruz</t>
  </si>
  <si>
    <t>Cybersphere</t>
  </si>
  <si>
    <t>Atlex</t>
  </si>
  <si>
    <t>V01D</t>
  </si>
  <si>
    <t>Stratus</t>
  </si>
  <si>
    <t>Dead Shawty</t>
  </si>
  <si>
    <t>Quar2z</t>
  </si>
  <si>
    <t>Clover III</t>
  </si>
  <si>
    <t>*Death Ecstasy* / ZeRo BaSs</t>
  </si>
  <si>
    <t>EXHAUST</t>
  </si>
  <si>
    <t>hhxa23</t>
  </si>
  <si>
    <t>Traitor</t>
  </si>
  <si>
    <t>NEW LIGHT</t>
  </si>
  <si>
    <t>Palette</t>
  </si>
  <si>
    <t>Coffee with Jean</t>
  </si>
  <si>
    <t>SPYTY III</t>
  </si>
  <si>
    <t>d3vinGD</t>
  </si>
  <si>
    <t>New Beginning</t>
  </si>
  <si>
    <t>Sebasthian60</t>
  </si>
  <si>
    <t>Freedom16</t>
  </si>
  <si>
    <t>DShifter</t>
  </si>
  <si>
    <t>Sheol Death</t>
  </si>
  <si>
    <t>Schlep</t>
  </si>
  <si>
    <t>Slaydit - Happy Place</t>
  </si>
  <si>
    <t>ChopStep</t>
  </si>
  <si>
    <t>Chops (GD VIP)</t>
  </si>
  <si>
    <t>ameliorate</t>
  </si>
  <si>
    <t>maxis044</t>
  </si>
  <si>
    <t>In Faith</t>
  </si>
  <si>
    <t>Epil</t>
  </si>
  <si>
    <t>Catena di Montaggio</t>
  </si>
  <si>
    <t>playeruan</t>
  </si>
  <si>
    <t>-Machine Politics-</t>
  </si>
  <si>
    <t>fifiglizzy</t>
  </si>
  <si>
    <t>Carp Minor</t>
  </si>
  <si>
    <t>XenoFrame</t>
  </si>
  <si>
    <t>Rippley</t>
  </si>
  <si>
    <t>Square</t>
  </si>
  <si>
    <t>SnowBound</t>
  </si>
  <si>
    <t>ZidaneGS</t>
  </si>
  <si>
    <t>Freezeezy Peak</t>
  </si>
  <si>
    <t>Luminescence</t>
  </si>
  <si>
    <t>silentroom - protoflicker cover</t>
  </si>
  <si>
    <t>Pulse</t>
  </si>
  <si>
    <t>-Time Machine 2-</t>
  </si>
  <si>
    <t>niwa</t>
  </si>
  <si>
    <t>Monster - razaplays, YOASOBI</t>
  </si>
  <si>
    <t>My heart is beating</t>
  </si>
  <si>
    <t>plummet valley</t>
  </si>
  <si>
    <t>miguelTUTOS</t>
  </si>
  <si>
    <t>Dustmuncher</t>
  </si>
  <si>
    <t>Techror</t>
  </si>
  <si>
    <t>Hidden in the Sand</t>
  </si>
  <si>
    <t>Wheater - Dj 992</t>
  </si>
  <si>
    <t>Universe on fire</t>
  </si>
  <si>
    <t>Tim1K</t>
  </si>
  <si>
    <t>Gloryhammer - Universe On Fire (Cover)</t>
  </si>
  <si>
    <t>Storm Maker</t>
  </si>
  <si>
    <t>BMus, Corkscrew - Stormbreaker</t>
  </si>
  <si>
    <t>Endurance</t>
  </si>
  <si>
    <t>Ryft</t>
  </si>
  <si>
    <t>DreamLightGD</t>
  </si>
  <si>
    <t>REENTRY</t>
  </si>
  <si>
    <t>Frostbite Meadow</t>
  </si>
  <si>
    <t>Winter Cosiness (Original Mix)</t>
  </si>
  <si>
    <t>Lebi06</t>
  </si>
  <si>
    <t>KOCMOC</t>
  </si>
  <si>
    <t>SLEEPING HUMMINGBIRD  LONDON? Albee Remix ?</t>
  </si>
  <si>
    <t>REPENTLESS</t>
  </si>
  <si>
    <t>Cyberstorm</t>
  </si>
  <si>
    <t>YeetDawg</t>
  </si>
  <si>
    <t>Creo - Evolution</t>
  </si>
  <si>
    <t>RAW</t>
  </si>
  <si>
    <t>ShadowIan</t>
  </si>
  <si>
    <t>mushroom salad</t>
  </si>
  <si>
    <t>Binary666</t>
  </si>
  <si>
    <t>Robotic Nightmares</t>
  </si>
  <si>
    <t>Dambrearon</t>
  </si>
  <si>
    <t>8E8E6</t>
  </si>
  <si>
    <t>miss you</t>
  </si>
  <si>
    <t>shmigels</t>
  </si>
  <si>
    <t>Im Gonna Miss You</t>
  </si>
  <si>
    <t>HIGHER BEINGS</t>
  </si>
  <si>
    <t>qyz</t>
  </si>
  <si>
    <t>Curie</t>
  </si>
  <si>
    <t>kedavra</t>
  </si>
  <si>
    <t>Sushii</t>
  </si>
  <si>
    <t>Fried Sushi</t>
  </si>
  <si>
    <t>The X Files</t>
  </si>
  <si>
    <t>Tome89 - The X-Files (v1)</t>
  </si>
  <si>
    <t>Wilt</t>
  </si>
  <si>
    <t>Sepiral</t>
  </si>
  <si>
    <t>Recrystallize</t>
  </si>
  <si>
    <t>XMP001A</t>
  </si>
  <si>
    <t>forsaken crewmate</t>
  </si>
  <si>
    <t>Artaire</t>
  </si>
  <si>
    <t>Failbait</t>
  </si>
  <si>
    <t>Aimbotter Force</t>
  </si>
  <si>
    <t>Fool Moon Paranoid</t>
  </si>
  <si>
    <t>Zynga</t>
  </si>
  <si>
    <t>Till Late</t>
  </si>
  <si>
    <t>violet glint</t>
  </si>
  <si>
    <t>violet.</t>
  </si>
  <si>
    <t>eggdogs and pingpong</t>
  </si>
  <si>
    <t>the tiny song</t>
  </si>
  <si>
    <t>And more</t>
  </si>
  <si>
    <t>Kiosk</t>
  </si>
  <si>
    <t>DICHOTOMY</t>
  </si>
  <si>
    <t>Return to NG lol</t>
  </si>
  <si>
    <t>My Toilet Clogged</t>
  </si>
  <si>
    <t>-Feelin Better-</t>
  </si>
  <si>
    <t>Snowdrift</t>
  </si>
  <si>
    <t>Bratki</t>
  </si>
  <si>
    <t>turn of the leaf</t>
  </si>
  <si>
    <t>WAREHOUSE</t>
  </si>
  <si>
    <t>GDCreeper4</t>
  </si>
  <si>
    <t>Bionic</t>
  </si>
  <si>
    <t>Vioxgaming</t>
  </si>
  <si>
    <t>road to Music</t>
  </si>
  <si>
    <t>The Tower</t>
  </si>
  <si>
    <t>MORNINGRISE</t>
  </si>
  <si>
    <t>Morningrise (Fawks Remix)</t>
  </si>
  <si>
    <t>Regenerate</t>
  </si>
  <si>
    <t>MINIMUM</t>
  </si>
  <si>
    <t>burnouts in flying cars</t>
  </si>
  <si>
    <t>honey bones</t>
  </si>
  <si>
    <t>Flatlander - Odyssey</t>
  </si>
  <si>
    <t>PEX</t>
  </si>
  <si>
    <t>AerocgpGD</t>
  </si>
  <si>
    <t>second chance</t>
  </si>
  <si>
    <t>The Newgrounds Composer</t>
  </si>
  <si>
    <t>DirtyPaws - Blood (Original Mix)</t>
  </si>
  <si>
    <t>The Game</t>
  </si>
  <si>
    <t>ItsCyclo</t>
  </si>
  <si>
    <t>Neliswave</t>
  </si>
  <si>
    <t>Ohmterra- Deception Dance</t>
  </si>
  <si>
    <t>Sky Shredder</t>
  </si>
  <si>
    <t>dorvict</t>
  </si>
  <si>
    <t>outlaw</t>
  </si>
  <si>
    <t>Xenvill</t>
  </si>
  <si>
    <t>The Hit</t>
  </si>
  <si>
    <t>Robi</t>
  </si>
  <si>
    <t>robianny</t>
  </si>
  <si>
    <t>fly away for a day</t>
  </si>
  <si>
    <t>albus</t>
  </si>
  <si>
    <t>Bleak Xpression</t>
  </si>
  <si>
    <t>UNKNOWN</t>
  </si>
  <si>
    <t>Dom &amp; Roland - Thunder (Okuu Remix)</t>
  </si>
  <si>
    <t>Swarm</t>
  </si>
  <si>
    <t>iusefakeweights</t>
  </si>
  <si>
    <t>Minity II</t>
  </si>
  <si>
    <t>Gracefully</t>
  </si>
  <si>
    <t>NindyBK</t>
  </si>
  <si>
    <t>DIRECTIONS</t>
  </si>
  <si>
    <t>direction</t>
  </si>
  <si>
    <t>Subsystem Scramble</t>
  </si>
  <si>
    <t>MISFIRE</t>
  </si>
  <si>
    <t>OYsW (Braedens Awful Instrumental)</t>
  </si>
  <si>
    <t>Tripwire</t>
  </si>
  <si>
    <t>My Little Garden</t>
  </si>
  <si>
    <t>ruuun</t>
  </si>
  <si>
    <t>Getsix - Chasing the Dragon</t>
  </si>
  <si>
    <t>smazenica</t>
  </si>
  <si>
    <t>TheRealZavin</t>
  </si>
  <si>
    <t>Ahririn</t>
  </si>
  <si>
    <t>AhriRin</t>
  </si>
  <si>
    <t>Outsider Zone</t>
  </si>
  <si>
    <t>The Birkeland Currents (leveled)</t>
  </si>
  <si>
    <t>Rythion</t>
  </si>
  <si>
    <t>CringeLord GD</t>
  </si>
  <si>
    <t>~BH~ The Dark Temple</t>
  </si>
  <si>
    <t>ULTRA VIOLET</t>
  </si>
  <si>
    <t>The First</t>
  </si>
  <si>
    <t>fusion425</t>
  </si>
  <si>
    <t>INTO PETALS</t>
  </si>
  <si>
    <t>s3batr0nic</t>
  </si>
  <si>
    <t>Voids Call</t>
  </si>
  <si>
    <t>NELISSSSSSSSSSSSSSSS</t>
  </si>
  <si>
    <t>KrasnyeBrovi</t>
  </si>
  <si>
    <t>Panda Eyes - ILY</t>
  </si>
  <si>
    <t>VOICE</t>
  </si>
  <si>
    <t>LiteN1ng</t>
  </si>
  <si>
    <t>Submerge</t>
  </si>
  <si>
    <t>Funnyname Funnygame</t>
  </si>
  <si>
    <t>idleunam</t>
  </si>
  <si>
    <t>Slight Hue Shift</t>
  </si>
  <si>
    <t>generation23</t>
  </si>
  <si>
    <t>Vivid Rush</t>
  </si>
  <si>
    <t>DashyGTC</t>
  </si>
  <si>
    <t>Blaze Instinct</t>
  </si>
  <si>
    <t>King23James</t>
  </si>
  <si>
    <t>Edge of the Universe</t>
  </si>
  <si>
    <t>Unidad AereaX</t>
  </si>
  <si>
    <t>Quake</t>
  </si>
  <si>
    <t>Haribo Unusually</t>
  </si>
  <si>
    <t>beneath the surface</t>
  </si>
  <si>
    <t>Foxglove</t>
  </si>
  <si>
    <t>AKIRA</t>
  </si>
  <si>
    <t>Joyous</t>
  </si>
  <si>
    <t>Sydnirken</t>
  </si>
  <si>
    <t>GDSynn</t>
  </si>
  <si>
    <t>Winter Solstice</t>
  </si>
  <si>
    <t>Critical Heat</t>
  </si>
  <si>
    <t>THE SUN VANISHED</t>
  </si>
  <si>
    <t>WakySky</t>
  </si>
  <si>
    <t>Pootis Engage</t>
  </si>
  <si>
    <t>Evil Depths</t>
  </si>
  <si>
    <t>LengthyRat</t>
  </si>
  <si>
    <t>Still Blastin</t>
  </si>
  <si>
    <t>Windglyph</t>
  </si>
  <si>
    <t>Retrominator</t>
  </si>
  <si>
    <t>REDLINE</t>
  </si>
  <si>
    <t>OUTRUN</t>
  </si>
  <si>
    <t>-Outrun-</t>
  </si>
  <si>
    <t>scarred hands</t>
  </si>
  <si>
    <t>in the backseat</t>
  </si>
  <si>
    <t>Demon Collection</t>
  </si>
  <si>
    <t>Render</t>
  </si>
  <si>
    <t>zDrift</t>
  </si>
  <si>
    <t>[Glitch Hop] HEY! (Original Mix) [Reborn EP]</t>
  </si>
  <si>
    <t>Magmaniac</t>
  </si>
  <si>
    <t>Duplication</t>
  </si>
  <si>
    <t>Amon</t>
  </si>
  <si>
    <t>Heptanone</t>
  </si>
  <si>
    <t>Mob psycho 100 OST (shyy. &amp; Idandot remix)</t>
  </si>
  <si>
    <t>Love is Love</t>
  </si>
  <si>
    <t>johdanlop</t>
  </si>
  <si>
    <t>Yuuta</t>
  </si>
  <si>
    <t>Sylv</t>
  </si>
  <si>
    <t>Tree Palm - Love Cafe (YUNGTRUE Edit/Remix)</t>
  </si>
  <si>
    <t>Dark Dungeon</t>
  </si>
  <si>
    <t>Ardolf - Dark Dungeon</t>
  </si>
  <si>
    <t>NEUTRA</t>
  </si>
  <si>
    <t>six impala - LOVELOVELOVELOVELOVELOVE</t>
  </si>
  <si>
    <t>Runnin Le Beats</t>
  </si>
  <si>
    <t>Shirobon - On The Run</t>
  </si>
  <si>
    <t>Ego Drifter</t>
  </si>
  <si>
    <t>MonuGD</t>
  </si>
  <si>
    <t>EX</t>
  </si>
  <si>
    <t>Flash Flame</t>
  </si>
  <si>
    <t>Bloom</t>
  </si>
  <si>
    <t>orchid???</t>
  </si>
  <si>
    <t>JUMPGRIND3R</t>
  </si>
  <si>
    <t>four</t>
  </si>
  <si>
    <t>Turtl123</t>
  </si>
  <si>
    <t>Frigid Voyage</t>
  </si>
  <si>
    <t>Tirami</t>
  </si>
  <si>
    <t>Wasig</t>
  </si>
  <si>
    <t>deluge</t>
  </si>
  <si>
    <t>Lia</t>
  </si>
  <si>
    <t>Redlight Blacklight</t>
  </si>
  <si>
    <t>Spectroscopy</t>
  </si>
  <si>
    <t>Crafactor</t>
  </si>
  <si>
    <t>ColBreakz - 50.000</t>
  </si>
  <si>
    <t>Bonattite</t>
  </si>
  <si>
    <t>Look a Ghost</t>
  </si>
  <si>
    <t>ghost</t>
  </si>
  <si>
    <t>Surge Overload</t>
  </si>
  <si>
    <t>ZendyZW</t>
  </si>
  <si>
    <t>ELEPS - Big Guns (Original Mix)</t>
  </si>
  <si>
    <t>Neon Skyline</t>
  </si>
  <si>
    <t>reshiria</t>
  </si>
  <si>
    <t>weird hell</t>
  </si>
  <si>
    <t>IpuNneO</t>
  </si>
  <si>
    <t>Voyager 1</t>
  </si>
  <si>
    <t>solarion</t>
  </si>
  <si>
    <t>Virtual Riot - Energy Drink (Revitalize Cover)</t>
  </si>
  <si>
    <t>cerebral hemorrhage</t>
  </si>
  <si>
    <t>UNDERGROUND</t>
  </si>
  <si>
    <t>Futurista</t>
  </si>
  <si>
    <t>SAND SAILOR</t>
  </si>
  <si>
    <t>ACCELERATOR</t>
  </si>
  <si>
    <t>Particles</t>
  </si>
  <si>
    <t>time plus tragedy</t>
  </si>
  <si>
    <t>rply</t>
  </si>
  <si>
    <t>Time + Tragedy</t>
  </si>
  <si>
    <t>Hades</t>
  </si>
  <si>
    <t>Azuleux - Entropy</t>
  </si>
  <si>
    <t>Unknown Civilization</t>
  </si>
  <si>
    <t>TheRealPeng</t>
  </si>
  <si>
    <t>Aerin - Energy rush</t>
  </si>
  <si>
    <t>Xronier</t>
  </si>
  <si>
    <t>zJinoBeats</t>
  </si>
  <si>
    <t>Xeveir and Xeron - XroniXlus (234BPM Edit)</t>
  </si>
  <si>
    <t>Speeding Ticket</t>
  </si>
  <si>
    <t>Twandash</t>
  </si>
  <si>
    <t>PixelDragon42</t>
  </si>
  <si>
    <t>Wind Storm</t>
  </si>
  <si>
    <t>SHUTDOWN</t>
  </si>
  <si>
    <t>Proteus</t>
  </si>
  <si>
    <t>SpergQuos</t>
  </si>
  <si>
    <t>NIGHTLIGHTS</t>
  </si>
  <si>
    <t>Bwomp Processing</t>
  </si>
  <si>
    <t>EnenzoGD</t>
  </si>
  <si>
    <t>Last Stop</t>
  </si>
  <si>
    <t>Cejelost</t>
  </si>
  <si>
    <t>ANTIHERO</t>
  </si>
  <si>
    <t>super79</t>
  </si>
  <si>
    <t>LYFE4M x Skorde - SEPPUKU</t>
  </si>
  <si>
    <t>Special Moment</t>
  </si>
  <si>
    <t>Geoxor - Zenith</t>
  </si>
  <si>
    <t>CarPig25K</t>
  </si>
  <si>
    <t>Injection</t>
  </si>
  <si>
    <t>the descension</t>
  </si>
  <si>
    <t>Caramel Galaxy</t>
  </si>
  <si>
    <t>EspiDev - Caramel</t>
  </si>
  <si>
    <t>SGR 1806 20</t>
  </si>
  <si>
    <t>Magnetar</t>
  </si>
  <si>
    <t>SMOOTH</t>
  </si>
  <si>
    <t>dkitey</t>
  </si>
  <si>
    <t>Seashine</t>
  </si>
  <si>
    <t>IMPACT</t>
  </si>
  <si>
    <t>DiamondKing169</t>
  </si>
  <si>
    <t>Reflect</t>
  </si>
  <si>
    <t>ImPanther</t>
  </si>
  <si>
    <t>rev it up</t>
  </si>
  <si>
    <t>KUB</t>
  </si>
  <si>
    <t>WaRiox</t>
  </si>
  <si>
    <t>Isem - TYBMDACF (Rutra Remake)</t>
  </si>
  <si>
    <t>Snail Down</t>
  </si>
  <si>
    <t>Bird Up!</t>
  </si>
  <si>
    <t>Choa Chu Kang</t>
  </si>
  <si>
    <t>loop</t>
  </si>
  <si>
    <t>Darmuth</t>
  </si>
  <si>
    <t>Rhombus</t>
  </si>
  <si>
    <t>romb</t>
  </si>
  <si>
    <t>BIG TIME</t>
  </si>
  <si>
    <t>Mystic Quest</t>
  </si>
  <si>
    <t>TheAwesomemango</t>
  </si>
  <si>
    <t>Emptiness</t>
  </si>
  <si>
    <t>JustJrockGMD</t>
  </si>
  <si>
    <t>Actiblast</t>
  </si>
  <si>
    <t>Rooldook</t>
  </si>
  <si>
    <t>{Rooldook} Actiblast</t>
  </si>
  <si>
    <t>Edge of Destiny</t>
  </si>
  <si>
    <t>CDMusic</t>
  </si>
  <si>
    <t>Heart Attack</t>
  </si>
  <si>
    <t>Derpskull</t>
  </si>
  <si>
    <t>Heartbeat (Extended)</t>
  </si>
  <si>
    <t>Neon Guts</t>
  </si>
  <si>
    <t>doneditboye</t>
  </si>
  <si>
    <t>Dismal Duststorm</t>
  </si>
  <si>
    <t>Multiverse55</t>
  </si>
  <si>
    <t>ACCELERATE</t>
  </si>
  <si>
    <t>Arcade Smash</t>
  </si>
  <si>
    <t>xvia</t>
  </si>
  <si>
    <t>Fresh (Chill Remix)</t>
  </si>
  <si>
    <t>JeonGi</t>
  </si>
  <si>
    <t>Iris of a Puppeteer</t>
  </si>
  <si>
    <t>Gls: Iris of A Puppeteer</t>
  </si>
  <si>
    <t>Backrooms</t>
  </si>
  <si>
    <t>CarrotySpice</t>
  </si>
  <si>
    <t>Liminal</t>
  </si>
  <si>
    <t>Da PuNK</t>
  </si>
  <si>
    <t>Primavera Club - No Me Dejes De Querer (Luanmer Remix)</t>
  </si>
  <si>
    <t>Violettas</t>
  </si>
  <si>
    <t>Robot Upgrade</t>
  </si>
  <si>
    <t>Robot Uprising</t>
  </si>
  <si>
    <t>100 Miles and Runnin</t>
  </si>
  <si>
    <t>Psychotic</t>
  </si>
  <si>
    <t>Happyyyy~!!</t>
  </si>
  <si>
    <t>catharsis</t>
  </si>
  <si>
    <t>elevation</t>
  </si>
  <si>
    <t>vetad66</t>
  </si>
  <si>
    <t>C1u6</t>
  </si>
  <si>
    <t>nabbbbbb</t>
  </si>
  <si>
    <t>WONDER OF U</t>
  </si>
  <si>
    <t>GrappeL896</t>
  </si>
  <si>
    <t>Variance</t>
  </si>
  <si>
    <t>variance</t>
  </si>
  <si>
    <t>Kerusakan</t>
  </si>
  <si>
    <t>Vexat</t>
  </si>
  <si>
    <t>Serpentus</t>
  </si>
  <si>
    <t>Vexation</t>
  </si>
  <si>
    <t>Only In Ohio Dawg</t>
  </si>
  <si>
    <t>cw2003 GB</t>
  </si>
  <si>
    <t>Free Bird Cover</t>
  </si>
  <si>
    <t>Wicked</t>
  </si>
  <si>
    <t>NGTofficial</t>
  </si>
  <si>
    <t>Rainbow Factory</t>
  </si>
  <si>
    <t>swimming</t>
  </si>
  <si>
    <t>GAME SWITCH</t>
  </si>
  <si>
    <t>cubodix</t>
  </si>
  <si>
    <t>Kitsune^2 - Rainbow Tylenol [Remix]</t>
  </si>
  <si>
    <t>Tileset NULL</t>
  </si>
  <si>
    <t>RavingRafters</t>
  </si>
  <si>
    <t>Last Tile</t>
  </si>
  <si>
    <t>Yellow Snow</t>
  </si>
  <si>
    <t>Graphic Heaven</t>
  </si>
  <si>
    <t>Vitto918</t>
  </si>
  <si>
    <t>CXNNIPTION F!T</t>
  </si>
  <si>
    <t>I feel colorous</t>
  </si>
  <si>
    <t>Gradient</t>
  </si>
  <si>
    <t>MINUSdry</t>
  </si>
  <si>
    <t>IMOISTAR</t>
  </si>
  <si>
    <t>New Imoistar overture</t>
  </si>
  <si>
    <t>Aeoning</t>
  </si>
  <si>
    <t>[TMM43] Maybe</t>
  </si>
  <si>
    <t>stand in the snow</t>
  </si>
  <si>
    <t>Arkki</t>
  </si>
  <si>
    <t>~:Wander:~</t>
  </si>
  <si>
    <t>Ethereal Entity</t>
  </si>
  <si>
    <t>The Reason</t>
  </si>
  <si>
    <t>ALESDA! - The Reason</t>
  </si>
  <si>
    <t>TREMORS</t>
  </si>
  <si>
    <t>Disciple</t>
  </si>
  <si>
    <t>SAVE ME</t>
  </si>
  <si>
    <t>nplsm - return (slowed)</t>
  </si>
  <si>
    <t>DESOLATE</t>
  </si>
  <si>
    <t>Billzer</t>
  </si>
  <si>
    <t>the lady who drowned in caramel</t>
  </si>
  <si>
    <t>LUMINA</t>
  </si>
  <si>
    <t>Hechie</t>
  </si>
  <si>
    <t>LVST</t>
  </si>
  <si>
    <t>Golden Club</t>
  </si>
  <si>
    <t>Avernus</t>
  </si>
  <si>
    <t>PockeWindfish</t>
  </si>
  <si>
    <t>Dark Dreams</t>
  </si>
  <si>
    <t>YowelGD</t>
  </si>
  <si>
    <t>Dump</t>
  </si>
  <si>
    <t>KKB - Dump (feat. Lagan)</t>
  </si>
  <si>
    <t>BIRD</t>
  </si>
  <si>
    <t>tv room - The Little Birdwatcher</t>
  </si>
  <si>
    <t>DIMOUT</t>
  </si>
  <si>
    <t>whoiskeve</t>
  </si>
  <si>
    <t>EGO</t>
  </si>
  <si>
    <t>Pirouette</t>
  </si>
  <si>
    <t>endK - Ruby Saloon</t>
  </si>
  <si>
    <t>Sound Energy</t>
  </si>
  <si>
    <t>Rebound</t>
  </si>
  <si>
    <t>NECROSE</t>
  </si>
  <si>
    <t>Simwamwi</t>
  </si>
  <si>
    <t>Dstorv</t>
  </si>
  <si>
    <t>An-fillnote - ExaVid (CV4 Remix)</t>
  </si>
  <si>
    <t>Eternal Night</t>
  </si>
  <si>
    <t>FadeOff</t>
  </si>
  <si>
    <t>Rose Castle</t>
  </si>
  <si>
    <t>CHALK</t>
  </si>
  <si>
    <t>Ang Cariosa</t>
  </si>
  <si>
    <t>Amaltea</t>
  </si>
  <si>
    <t>Revolve</t>
  </si>
  <si>
    <t>maddening</t>
  </si>
  <si>
    <t>MulLuna</t>
  </si>
  <si>
    <t>White Hole</t>
  </si>
  <si>
    <t>Creo - Sky and Soul</t>
  </si>
  <si>
    <t>Dont Let Me Drown</t>
  </si>
  <si>
    <t>udrgnd</t>
  </si>
  <si>
    <t>Legacy Dream</t>
  </si>
  <si>
    <t>Moonlchan</t>
  </si>
  <si>
    <t>Ghevs</t>
  </si>
  <si>
    <t>Inane Demon</t>
  </si>
  <si>
    <t>Brainzap</t>
  </si>
  <si>
    <t>Crippled Depression</t>
  </si>
  <si>
    <t>Sound Boon Machine</t>
  </si>
  <si>
    <t>slayerkirb</t>
  </si>
  <si>
    <t>SSJ3 - Beloved/Daughter</t>
  </si>
  <si>
    <t>Heatwave</t>
  </si>
  <si>
    <t>aeonair space battle</t>
  </si>
  <si>
    <t>Cubic Force</t>
  </si>
  <si>
    <t>Prism Peak</t>
  </si>
  <si>
    <t>Blast Fantasy</t>
  </si>
  <si>
    <t>Chub Chub</t>
  </si>
  <si>
    <t>EnTrix23</t>
  </si>
  <si>
    <t>Space Laces - D.A.W (Cylriel Flip)</t>
  </si>
  <si>
    <t>FISH FISH GODMODE</t>
  </si>
  <si>
    <t>Ushiro No Shomen (?????????)</t>
  </si>
  <si>
    <t>Last Vision</t>
  </si>
  <si>
    <t>mosquero</t>
  </si>
  <si>
    <t>Imaginary Alphabets</t>
  </si>
  <si>
    <t>Cipher</t>
  </si>
  <si>
    <t>My Lost Love</t>
  </si>
  <si>
    <t>Astronaut21</t>
  </si>
  <si>
    <t>AIM - Out by the shipyard</t>
  </si>
  <si>
    <t>Boom Shakalaka</t>
  </si>
  <si>
    <t>Eastern</t>
  </si>
  <si>
    <t>azhir</t>
  </si>
  <si>
    <t>FIREPOWER</t>
  </si>
  <si>
    <t>iSpyWithMyLittleEye</t>
  </si>
  <si>
    <t>BIKE</t>
  </si>
  <si>
    <t>Bad Ending</t>
  </si>
  <si>
    <t>SMARTISH MODE</t>
  </si>
  <si>
    <t>Blue Rev</t>
  </si>
  <si>
    <t>Beaster</t>
  </si>
  <si>
    <t>Camp Trip Eden</t>
  </si>
  <si>
    <t>TRIPPY TRIPPY</t>
  </si>
  <si>
    <t>{Violet}</t>
  </si>
  <si>
    <t>Danger Zone</t>
  </si>
  <si>
    <t>Twilight</t>
  </si>
  <si>
    <t>chilled frame</t>
  </si>
  <si>
    <t>nidiiii</t>
  </si>
  <si>
    <t>Comi Maid</t>
  </si>
  <si>
    <t>loafboi</t>
  </si>
  <si>
    <t>court circuit</t>
  </si>
  <si>
    <t>Fafenel</t>
  </si>
  <si>
    <t>The Bahamut</t>
  </si>
  <si>
    <t>TheRealAceTAD</t>
  </si>
  <si>
    <t>The Bahamut (i hope this is the final mix)</t>
  </si>
  <si>
    <t>thx 4 playing</t>
  </si>
  <si>
    <t>B-X Thanks For Playing My Game</t>
  </si>
  <si>
    <t>Panthera Tigris</t>
  </si>
  <si>
    <t>Entropy</t>
  </si>
  <si>
    <t>Equilibria - Unsustainable</t>
  </si>
  <si>
    <t>Termination</t>
  </si>
  <si>
    <t>electronic soundwaves to dance to</t>
  </si>
  <si>
    <t>To The Blue Moon</t>
  </si>
  <si>
    <t>vRidge</t>
  </si>
  <si>
    <t>Layers</t>
  </si>
  <si>
    <t>CONNECT</t>
  </si>
  <si>
    <t>Astral Decay</t>
  </si>
  <si>
    <t>Terminal Rampancy</t>
  </si>
  <si>
    <t>xKore - Splatterhouse (WIP)</t>
  </si>
  <si>
    <t>Velocity Verlet</t>
  </si>
  <si>
    <t>Dumbest Girl Alive</t>
  </si>
  <si>
    <t>Ultimo universo</t>
  </si>
  <si>
    <t>We Are Not The Same</t>
  </si>
  <si>
    <t>Silentium Clavas</t>
  </si>
  <si>
    <t>Xolarzz</t>
  </si>
  <si>
    <t>E X T R A    W I D E</t>
  </si>
  <si>
    <t>annihilate</t>
  </si>
  <si>
    <t>Energetic Field</t>
  </si>
  <si>
    <t>iLu Zie</t>
  </si>
  <si>
    <t>Twilight Coexistence</t>
  </si>
  <si>
    <t>OVERBURN</t>
  </si>
  <si>
    <t>Nitsky</t>
  </si>
  <si>
    <t>Viox</t>
  </si>
  <si>
    <t>Cybergirl</t>
  </si>
  <si>
    <t>niflhel</t>
  </si>
  <si>
    <t>IShardI</t>
  </si>
  <si>
    <t>Epicenter</t>
  </si>
  <si>
    <t>EpiX07</t>
  </si>
  <si>
    <t>ColBreakz &amp; Punyaso - Down Caves</t>
  </si>
  <si>
    <t>The Mines Circles</t>
  </si>
  <si>
    <t>i remember why</t>
  </si>
  <si>
    <t>monikrr - in/my/head</t>
  </si>
  <si>
    <t>HIGH</t>
  </si>
  <si>
    <t>Maroplay</t>
  </si>
  <si>
    <t>Switch</t>
  </si>
  <si>
    <t>bye</t>
  </si>
  <si>
    <t>Aquatic Metropolis</t>
  </si>
  <si>
    <t>ICE AGE COMING</t>
  </si>
  <si>
    <t>ICE AGE COMING (for immaxx1)</t>
  </si>
  <si>
    <t>surprise</t>
  </si>
  <si>
    <t>XMENAX</t>
  </si>
  <si>
    <t>Downside Destination</t>
  </si>
  <si>
    <t>Rosiph</t>
  </si>
  <si>
    <t>Jamuary Day 6</t>
  </si>
  <si>
    <t>Sinless Ash</t>
  </si>
  <si>
    <t>EFEU</t>
  </si>
  <si>
    <t>Helvetican - Agi</t>
  </si>
  <si>
    <t>Relapse</t>
  </si>
  <si>
    <t>Lamellae</t>
  </si>
  <si>
    <t>Step Closer To Death</t>
  </si>
  <si>
    <t>Extreme7687</t>
  </si>
  <si>
    <t>Bete Noire</t>
  </si>
  <si>
    <t>glhf</t>
  </si>
  <si>
    <t>wetols</t>
  </si>
  <si>
    <t>ETCETERA</t>
  </si>
  <si>
    <t>GOOBER194</t>
  </si>
  <si>
    <t>Melting Point</t>
  </si>
  <si>
    <t>Wistromz</t>
  </si>
  <si>
    <t>nuclear</t>
  </si>
  <si>
    <t>Zero Sum Shuffle</t>
  </si>
  <si>
    <t>FROZEN INFERNO</t>
  </si>
  <si>
    <t>TheFatRat - Mad Moon Falling (Dota 2 Music Pack)</t>
  </si>
  <si>
    <t>EnCrypted</t>
  </si>
  <si>
    <t>Blaster1337</t>
  </si>
  <si>
    <t>The Road Runner</t>
  </si>
  <si>
    <t>The Fear That They Sell</t>
  </si>
  <si>
    <t>Binary Life</t>
  </si>
  <si>
    <t>Binary Life [cut for sauzzeths solo]</t>
  </si>
  <si>
    <t>Hopla</t>
  </si>
  <si>
    <t>Next Stop</t>
  </si>
  <si>
    <t>MasterKilipot</t>
  </si>
  <si>
    <t>next stop</t>
  </si>
  <si>
    <t>Solar Flare</t>
  </si>
  <si>
    <t>Linear2</t>
  </si>
  <si>
    <t>network</t>
  </si>
  <si>
    <t>Solar Wind</t>
  </si>
  <si>
    <t>IWillowI</t>
  </si>
  <si>
    <t>Ultrastellar</t>
  </si>
  <si>
    <t>Escape Room</t>
  </si>
  <si>
    <t>Metal Frog, Machine Fly</t>
  </si>
  <si>
    <t>flora</t>
  </si>
  <si>
    <t>Latuka</t>
  </si>
  <si>
    <t>Rosen Grove</t>
  </si>
  <si>
    <t>Digital Essence II</t>
  </si>
  <si>
    <t>Clear My Path</t>
  </si>
  <si>
    <t>Four Seasons</t>
  </si>
  <si>
    <t>dpoopoop</t>
  </si>
  <si>
    <t>Puzzle Land</t>
  </si>
  <si>
    <t>Grabmaster</t>
  </si>
  <si>
    <t>PLAY WITH FIRE</t>
  </si>
  <si>
    <t>meganeko x Shirobon - Play With Fire</t>
  </si>
  <si>
    <t>Ikigai</t>
  </si>
  <si>
    <t>CHALLUNGA FINALE</t>
  </si>
  <si>
    <t>Weak Force</t>
  </si>
  <si>
    <t>Astrala</t>
  </si>
  <si>
    <t>Cloud9er</t>
  </si>
  <si>
    <t>Thanorok</t>
  </si>
  <si>
    <t>gdBOBplop</t>
  </si>
  <si>
    <t>EGO KILLING</t>
  </si>
  <si>
    <t>exactteam</t>
  </si>
  <si>
    <t>FREEDOM AWAITS</t>
  </si>
  <si>
    <t>matty2003</t>
  </si>
  <si>
    <t>Change of Scene</t>
  </si>
  <si>
    <t>Beethoven - Moonlight Sonata 3rd Movement (meganeko Remix) [2022 version]</t>
  </si>
  <si>
    <t>Saul Goodman</t>
  </si>
  <si>
    <t>PSYCHEDELIC</t>
  </si>
  <si>
    <t>PSYCHE I</t>
  </si>
  <si>
    <t>Bloodcry Crucible</t>
  </si>
  <si>
    <t>techno essence</t>
  </si>
  <si>
    <t>Virtualoid</t>
  </si>
  <si>
    <t>Music Is My Thing [Electro]</t>
  </si>
  <si>
    <t>Unfixed Malware</t>
  </si>
  <si>
    <t>FIFTY THREE</t>
  </si>
  <si>
    <t>robert</t>
  </si>
  <si>
    <t>sorbett</t>
  </si>
  <si>
    <t>YOURE THE PRODUCT</t>
  </si>
  <si>
    <t>Fusion Machine</t>
  </si>
  <si>
    <t>VaLe05</t>
  </si>
  <si>
    <t>Baroquen Music Box Re-Inv</t>
  </si>
  <si>
    <t>Vantel</t>
  </si>
  <si>
    <t>TheUnitedStates</t>
  </si>
  <si>
    <t>vantel</t>
  </si>
  <si>
    <t>YraX</t>
  </si>
  <si>
    <t>CORRODERE</t>
  </si>
  <si>
    <t>Le Midd Mapperoonies</t>
  </si>
  <si>
    <t>Gameloft Revolution</t>
  </si>
  <si>
    <t>Spirit House</t>
  </si>
  <si>
    <t>ElectriDark</t>
  </si>
  <si>
    <t>JAUNT</t>
  </si>
  <si>
    <t>Bamboo Berry</t>
  </si>
  <si>
    <t>Try Together</t>
  </si>
  <si>
    <t>Glazed</t>
  </si>
  <si>
    <t>teehee colon three</t>
  </si>
  <si>
    <t>GD Avenue</t>
  </si>
  <si>
    <t>Mistically</t>
  </si>
  <si>
    <t>Dashmo OST</t>
  </si>
  <si>
    <t>Doohickey</t>
  </si>
  <si>
    <t>DIABLO</t>
  </si>
  <si>
    <t>KBIOT</t>
  </si>
  <si>
    <t>New Retro</t>
  </si>
  <si>
    <t>Megacollaboration</t>
  </si>
  <si>
    <t>Amnesty</t>
  </si>
  <si>
    <t>fscalcium</t>
  </si>
  <si>
    <t>Alien Generator</t>
  </si>
  <si>
    <t>clukwurk</t>
  </si>
  <si>
    <t>Northern Sector</t>
  </si>
  <si>
    <t>Mega Strike</t>
  </si>
  <si>
    <t>Night Crawlers</t>
  </si>
  <si>
    <t>rose</t>
  </si>
  <si>
    <t>Astraea</t>
  </si>
  <si>
    <t>Creo x Exyl - Cosmic War</t>
  </si>
  <si>
    <t>Electro House</t>
  </si>
  <si>
    <t>~Electro House 2012~</t>
  </si>
  <si>
    <t>KETAMINE</t>
  </si>
  <si>
    <t>Furky04</t>
  </si>
  <si>
    <t>Late For Class! [Novatone OGC 2020] ????</t>
  </si>
  <si>
    <t>Frame Of Mind</t>
  </si>
  <si>
    <t>OBSERVER</t>
  </si>
  <si>
    <t>Spaze - Observer (Outro)</t>
  </si>
  <si>
    <t>Metal Magic</t>
  </si>
  <si>
    <t>Might &amp; Magic 2021</t>
  </si>
  <si>
    <t>hallucinate</t>
  </si>
  <si>
    <t>vayulena</t>
  </si>
  <si>
    <t>outpost</t>
  </si>
  <si>
    <t>Kranio Naos</t>
  </si>
  <si>
    <t>Macrocosm (The Alpha Axiom EP)</t>
  </si>
  <si>
    <t>Vam</t>
  </si>
  <si>
    <t>Eric Reprid - Vam Remake</t>
  </si>
  <si>
    <t>BitBreak</t>
  </si>
  <si>
    <t>weaves of origin</t>
  </si>
  <si>
    <t>Karts &amp; Gours</t>
  </si>
  <si>
    <t>Fog</t>
  </si>
  <si>
    <t>notesxd</t>
  </si>
  <si>
    <t>Comeback</t>
  </si>
  <si>
    <t>Bossfight x Falcon Funk - Comeback</t>
  </si>
  <si>
    <t>FusionDynamix</t>
  </si>
  <si>
    <t>Tenebris</t>
  </si>
  <si>
    <t>Sinking Feeling</t>
  </si>
  <si>
    <t>sendoxx</t>
  </si>
  <si>
    <t>HATE EVERYTHING</t>
  </si>
  <si>
    <t>Subperfect</t>
  </si>
  <si>
    <t>Coral Cave</t>
  </si>
  <si>
    <t>Coral Cave -Harsh Techno-</t>
  </si>
  <si>
    <t>Ogue</t>
  </si>
  <si>
    <t>zero</t>
  </si>
  <si>
    <t>clohy</t>
  </si>
  <si>
    <t>Aewolf</t>
  </si>
  <si>
    <t>taraxaWHAT</t>
  </si>
  <si>
    <t>Galactic Codex</t>
  </si>
  <si>
    <t>Pokemon - Temporal Tower Remix</t>
  </si>
  <si>
    <t>PAINFUL PLAYLAND</t>
  </si>
  <si>
    <t>Uncharted Space</t>
  </si>
  <si>
    <t>Myst1fied</t>
  </si>
  <si>
    <t>SUNSCREECH - antic star (instrumental ver.)</t>
  </si>
  <si>
    <t>GREGWORLD</t>
  </si>
  <si>
    <t>wishful thinking</t>
  </si>
  <si>
    <t>SUPERMAYOHATECLUB</t>
  </si>
  <si>
    <t>Rock n Roll</t>
  </si>
  <si>
    <t>Skrillex - Rock n Roll (Will Take You To The Mountain) - Cover</t>
  </si>
  <si>
    <t>dismay</t>
  </si>
  <si>
    <t>A Silly Life</t>
  </si>
  <si>
    <t>Dissmo</t>
  </si>
  <si>
    <t>Nearly spring</t>
  </si>
  <si>
    <t>Light Spectrum</t>
  </si>
  <si>
    <t>EUVECTOR</t>
  </si>
  <si>
    <t>nathsad103</t>
  </si>
  <si>
    <t>ENDLESS UTOPIA VECTOR</t>
  </si>
  <si>
    <t>Unlimited control</t>
  </si>
  <si>
    <t>To the Exosphere</t>
  </si>
  <si>
    <t>Exosphere</t>
  </si>
  <si>
    <t>the wiener</t>
  </si>
  <si>
    <t>surasshu - The Penis (Eek!) [chops remix]</t>
  </si>
  <si>
    <t>Shattering Light</t>
  </si>
  <si>
    <t>ROADRUNNER</t>
  </si>
  <si>
    <t>help</t>
  </si>
  <si>
    <t>Mad God</t>
  </si>
  <si>
    <t>Livid Light</t>
  </si>
  <si>
    <t>scorpsi</t>
  </si>
  <si>
    <t>Bonfire !</t>
  </si>
  <si>
    <t>Sides Of My Mind</t>
  </si>
  <si>
    <t>Trick Room</t>
  </si>
  <si>
    <t>Sunken Polis</t>
  </si>
  <si>
    <t>Excursions</t>
  </si>
  <si>
    <t>Lifted WIP</t>
  </si>
  <si>
    <t>big  daddy</t>
  </si>
  <si>
    <t>DeadVoxelx</t>
  </si>
  <si>
    <t>DISCO MASSACRE</t>
  </si>
  <si>
    <t>SumPlusWorld</t>
  </si>
  <si>
    <t>SumPlusWord</t>
  </si>
  <si>
    <t>cavalcade</t>
  </si>
  <si>
    <t>Iunno</t>
  </si>
  <si>
    <t>PARTYSIRENS</t>
  </si>
  <si>
    <t>! PARTY SIRENS !</t>
  </si>
  <si>
    <t>Mulpan Travel</t>
  </si>
  <si>
    <t>Lunar Fractals</t>
  </si>
  <si>
    <t>Familiar Sun</t>
  </si>
  <si>
    <t>Kebi</t>
  </si>
  <si>
    <t>familiar sun</t>
  </si>
  <si>
    <t>BLINDSPOT</t>
  </si>
  <si>
    <t>tricipital</t>
  </si>
  <si>
    <t>bims level</t>
  </si>
  <si>
    <t>Bimms</t>
  </si>
  <si>
    <t>Gocus</t>
  </si>
  <si>
    <t>Ficelo</t>
  </si>
  <si>
    <t>Fallen Club</t>
  </si>
  <si>
    <t>trideapthbear</t>
  </si>
  <si>
    <t>xKore - Distorted</t>
  </si>
  <si>
    <t>ATOMIC CANNON Mk II</t>
  </si>
  <si>
    <t>Duning</t>
  </si>
  <si>
    <t>Geomon</t>
  </si>
  <si>
    <t>GDvesuvius</t>
  </si>
  <si>
    <t>Apaolo - Geomon</t>
  </si>
  <si>
    <t>i hate renn</t>
  </si>
  <si>
    <t>Banger</t>
  </si>
  <si>
    <t>Skorde - GAME SENSE (feat. D4C)</t>
  </si>
  <si>
    <t>nGc</t>
  </si>
  <si>
    <t>3cu</t>
  </si>
  <si>
    <t>Rock is going on</t>
  </si>
  <si>
    <t>Whatchamacallit</t>
  </si>
  <si>
    <t>OrcaHedron</t>
  </si>
  <si>
    <t>~NK~ "Seasons" Preview</t>
  </si>
  <si>
    <t>Reedy</t>
  </si>
  <si>
    <t>DEcobii</t>
  </si>
  <si>
    <t>Armed and Ready</t>
  </si>
  <si>
    <t>Coolie Mazie Paloozi</t>
  </si>
  <si>
    <t>H B F S</t>
  </si>
  <si>
    <t>h.b.f.s.</t>
  </si>
  <si>
    <t>Blindfolder</t>
  </si>
  <si>
    <t>FeindFighter</t>
  </si>
  <si>
    <t>Not My Style</t>
  </si>
  <si>
    <t>FURIA</t>
  </si>
  <si>
    <t>Funk That</t>
  </si>
  <si>
    <t>PINK DESERT OASIS</t>
  </si>
  <si>
    <t>hauxz</t>
  </si>
  <si>
    <t>Sentience Bazaar</t>
  </si>
  <si>
    <t>Megadisco</t>
  </si>
  <si>
    <t>EnderI</t>
  </si>
  <si>
    <t>Impolite</t>
  </si>
  <si>
    <t>llj</t>
  </si>
  <si>
    <t>Snow Pack</t>
  </si>
  <si>
    <t>Tunnel of Despair</t>
  </si>
  <si>
    <t>Charmed Life</t>
  </si>
  <si>
    <t>Charmed Life [comm]</t>
  </si>
  <si>
    <t>wireless cable</t>
  </si>
  <si>
    <t>BeddaL</t>
  </si>
  <si>
    <t>iridium</t>
  </si>
  <si>
    <t>Blue Suns Zenith</t>
  </si>
  <si>
    <t>Xi - Blue Zenith (RedWire Remix)</t>
  </si>
  <si>
    <t>Time tunnel</t>
  </si>
  <si>
    <t>Hank960724</t>
  </si>
  <si>
    <t>Tesseract Force</t>
  </si>
  <si>
    <t>ReRUST</t>
  </si>
  <si>
    <t>Monolithos</t>
  </si>
  <si>
    <t>Scrap</t>
  </si>
  <si>
    <t>Kleure</t>
  </si>
  <si>
    <t>Dusker Processing</t>
  </si>
  <si>
    <t>DuskerHu</t>
  </si>
  <si>
    <t>LUMINOISE</t>
  </si>
  <si>
    <t>Belastet</t>
  </si>
  <si>
    <t>My vision</t>
  </si>
  <si>
    <t>Acrise</t>
  </si>
  <si>
    <t>ZWK</t>
  </si>
  <si>
    <t>L. Mity &amp; EspiDev - Acrise</t>
  </si>
  <si>
    <t>DRY BONES</t>
  </si>
  <si>
    <t>xor - ??????????????????</t>
  </si>
  <si>
    <t>shutup</t>
  </si>
  <si>
    <t>NovaBean32</t>
  </si>
  <si>
    <t>A Creators Journey</t>
  </si>
  <si>
    <t>Hustle</t>
  </si>
  <si>
    <t>Florigonchick</t>
  </si>
  <si>
    <t>Slam</t>
  </si>
  <si>
    <t>Core Complex</t>
  </si>
  <si>
    <t>Horizon ( Drum n Bass )</t>
  </si>
  <si>
    <t>zuttomae</t>
  </si>
  <si>
    <t>Layered</t>
  </si>
  <si>
    <t>Aerophobia</t>
  </si>
  <si>
    <t>T0rnat</t>
  </si>
  <si>
    <t>Turbulence</t>
  </si>
  <si>
    <t>Intoxicated Freedom</t>
  </si>
  <si>
    <t>Makhozz</t>
  </si>
  <si>
    <t>Nubes</t>
  </si>
  <si>
    <t>Dance of the Violins</t>
  </si>
  <si>
    <t>DrayTM</t>
  </si>
  <si>
    <t>Kelutral</t>
  </si>
  <si>
    <t>Swirl</t>
  </si>
  <si>
    <t>marbl</t>
  </si>
  <si>
    <t>UsteX</t>
  </si>
  <si>
    <t>Sunfall</t>
  </si>
  <si>
    <t>Zhorox</t>
  </si>
  <si>
    <t>cyberrush</t>
  </si>
  <si>
    <t>Waddl3</t>
  </si>
  <si>
    <t>earth shatter</t>
  </si>
  <si>
    <t>Devilmine</t>
  </si>
  <si>
    <t>Zodiakos Kyklos</t>
  </si>
  <si>
    <t>PARANOiA Eternal Darkness Mix</t>
  </si>
  <si>
    <t>Tyryzh</t>
  </si>
  <si>
    <t>Selskiy Kot</t>
  </si>
  <si>
    <t>Titan Channel - ?????</t>
  </si>
  <si>
    <t>4Elements</t>
  </si>
  <si>
    <t>Backlights</t>
  </si>
  <si>
    <t>DownBurst</t>
  </si>
  <si>
    <t>ItsJustCohen</t>
  </si>
  <si>
    <t>YUMMY SAND</t>
  </si>
  <si>
    <t>sky Rush</t>
  </si>
  <si>
    <t>Spin Right Round</t>
  </si>
  <si>
    <t>You Spin Me Round (Like A Record) 8 Bit/Chiptune Remix</t>
  </si>
  <si>
    <t>Heavens Door</t>
  </si>
  <si>
    <t>TMco</t>
  </si>
  <si>
    <t>Gs Adventure Note</t>
  </si>
  <si>
    <t>Blue Cheese</t>
  </si>
  <si>
    <t>Ducky</t>
  </si>
  <si>
    <t>For Ducky</t>
  </si>
  <si>
    <t>Colorado</t>
  </si>
  <si>
    <t>Girt</t>
  </si>
  <si>
    <t>Rulmyy</t>
  </si>
  <si>
    <t>High Heat</t>
  </si>
  <si>
    <t>BiBox</t>
  </si>
  <si>
    <t>ak+q &amp; Redeilia - Enigma Helix</t>
  </si>
  <si>
    <t>Barbaros Castle DX</t>
  </si>
  <si>
    <t>Out of Chaos</t>
  </si>
  <si>
    <t>MannyHeffley</t>
  </si>
  <si>
    <t>TORN</t>
  </si>
  <si>
    <t>survivor</t>
  </si>
  <si>
    <t>stefanos2004</t>
  </si>
  <si>
    <t>Engage</t>
  </si>
  <si>
    <t>Nebbles</t>
  </si>
  <si>
    <t>Sonavision Deluxe - Velcro Animation</t>
  </si>
  <si>
    <t>M U R I N O</t>
  </si>
  <si>
    <t>ellessen</t>
  </si>
  <si>
    <t>jannah</t>
  </si>
  <si>
    <t>e3ea</t>
  </si>
  <si>
    <t>A Thousand Years Waiting For a Moment in Your Prestige</t>
  </si>
  <si>
    <t>SoaP</t>
  </si>
  <si>
    <t>IAteSoap</t>
  </si>
  <si>
    <t>Opal III</t>
  </si>
  <si>
    <t>Eliminate - Walk Away (Paper Skies Remix)</t>
  </si>
  <si>
    <t>Frozone</t>
  </si>
  <si>
    <t>Love Syndrome</t>
  </si>
  <si>
    <t>Dancing Among a Mirror - Lunziestella</t>
  </si>
  <si>
    <t>Weathery</t>
  </si>
  <si>
    <t>LINrc</t>
  </si>
  <si>
    <t>DoraNeDura</t>
  </si>
  <si>
    <t>4yoet</t>
  </si>
  <si>
    <t>???? - ????????? (NCS Experimental Remix)</t>
  </si>
  <si>
    <t>MX11</t>
  </si>
  <si>
    <t>Cake By The Ocean</t>
  </si>
  <si>
    <t>Kampos</t>
  </si>
  <si>
    <t>DNCE - Cake By The Ocean (Okathan Remix)</t>
  </si>
  <si>
    <t>Absolute Hotness</t>
  </si>
  <si>
    <t>Everything</t>
  </si>
  <si>
    <t>BlazeRol</t>
  </si>
  <si>
    <t>Shut Eye - Everything Falls</t>
  </si>
  <si>
    <t>dooMEd</t>
  </si>
  <si>
    <t>iwont</t>
  </si>
  <si>
    <t>My best level</t>
  </si>
  <si>
    <t>Tempus Fugit</t>
  </si>
  <si>
    <t>Starset</t>
  </si>
  <si>
    <t>Ngu</t>
  </si>
  <si>
    <t>VariouS Colors</t>
  </si>
  <si>
    <t>retromanGD</t>
  </si>
  <si>
    <t>Three blocks wide</t>
  </si>
  <si>
    <t>Dyspex</t>
  </si>
  <si>
    <t>Thaw</t>
  </si>
  <si>
    <t>Dance Til Dawn</t>
  </si>
  <si>
    <t>fourtex</t>
  </si>
  <si>
    <t>Lost To Time</t>
  </si>
  <si>
    <t>Billyg1122</t>
  </si>
  <si>
    <t>TerrorCore</t>
  </si>
  <si>
    <t>Chael - Dead Pixel</t>
  </si>
  <si>
    <t>One North</t>
  </si>
  <si>
    <t>Heaven Ahead</t>
  </si>
  <si>
    <t>IDOL19</t>
  </si>
  <si>
    <t>YouknowwhoGD</t>
  </si>
  <si>
    <t>All For You</t>
  </si>
  <si>
    <t>Kevcito</t>
  </si>
  <si>
    <t>PANDA EYES x MINDY - ALL FOR U</t>
  </si>
  <si>
    <t>sink</t>
  </si>
  <si>
    <t>Resurrected</t>
  </si>
  <si>
    <t>xCraZydasherGDx</t>
  </si>
  <si>
    <t>Aquarius</t>
  </si>
  <si>
    <t>Ocean Breeze</t>
  </si>
  <si>
    <t>good morning</t>
  </si>
  <si>
    <t>Will There Really Be A Morning?</t>
  </si>
  <si>
    <t>rg09</t>
  </si>
  <si>
    <t>somnium threads</t>
  </si>
  <si>
    <t>djudjeito</t>
  </si>
  <si>
    <t>EFFERVESCENT</t>
  </si>
  <si>
    <t>Cluttered Confusion</t>
  </si>
  <si>
    <t>INERTIA</t>
  </si>
  <si>
    <t>Clodsire</t>
  </si>
  <si>
    <t>Shapeshifter</t>
  </si>
  <si>
    <t>Lucid Trip</t>
  </si>
  <si>
    <t>ImNotNuub</t>
  </si>
  <si>
    <t>Dynamic!</t>
  </si>
  <si>
    <t>Hello Fitzgerald</t>
  </si>
  <si>
    <t>Funny Cat</t>
  </si>
  <si>
    <t>Radiant Rift</t>
  </si>
  <si>
    <t>Talurre - Fatum</t>
  </si>
  <si>
    <t>ELEVATE</t>
  </si>
  <si>
    <t>C.R.O.S.S.</t>
  </si>
  <si>
    <t>FLATLINE</t>
  </si>
  <si>
    <t>laranja azul rosa</t>
  </si>
  <si>
    <t>Make Your Fly</t>
  </si>
  <si>
    <t>Fly Away</t>
  </si>
  <si>
    <t>galos tryna KILL me</t>
  </si>
  <si>
    <t>Ardolf - (execute.)</t>
  </si>
  <si>
    <t>TicLos stop lyinggg</t>
  </si>
  <si>
    <t>TUAPEKA</t>
  </si>
  <si>
    <t>Feijoaoa</t>
  </si>
  <si>
    <t>Purple Haze</t>
  </si>
  <si>
    <t>rin999</t>
  </si>
  <si>
    <t>Iridescent Glee</t>
  </si>
  <si>
    <t>43Donut</t>
  </si>
  <si>
    <t>Osam</t>
  </si>
  <si>
    <t>MDRR</t>
  </si>
  <si>
    <t>Litoks</t>
  </si>
  <si>
    <t>Pantheon of Dreams</t>
  </si>
  <si>
    <t>Stable Skyline</t>
  </si>
  <si>
    <t>sunward</t>
  </si>
  <si>
    <t>PRINTER NOISES</t>
  </si>
  <si>
    <t>JoacoPe25</t>
  </si>
  <si>
    <t>spiral</t>
  </si>
  <si>
    <t>GBA Getaway! [Jamuary Day 11]</t>
  </si>
  <si>
    <t>THE CONDUIT</t>
  </si>
  <si>
    <t>Up and Down</t>
  </si>
  <si>
    <t>Lykoz</t>
  </si>
  <si>
    <t>UP&amp;DOWN</t>
  </si>
  <si>
    <t>Jupiter My Favourite</t>
  </si>
  <si>
    <t>4ucked Up</t>
  </si>
  <si>
    <t>ELEPS - FORCE (DUBSTEP)</t>
  </si>
  <si>
    <t>Neon Menagerie</t>
  </si>
  <si>
    <t>Moe Shop - WONDER POP (Rairiku Flip)</t>
  </si>
  <si>
    <t>Instinct</t>
  </si>
  <si>
    <t>Lavender</t>
  </si>
  <si>
    <t>Upcoming</t>
  </si>
  <si>
    <t>Latko</t>
  </si>
  <si>
    <t>DysautonomiA</t>
  </si>
  <si>
    <t>The Icon Kingdom</t>
  </si>
  <si>
    <t>-Glorious Thunderzone-</t>
  </si>
  <si>
    <t>ADEUS</t>
  </si>
  <si>
    <t>Panda Eyes - Master Sword</t>
  </si>
  <si>
    <t>Emerald Realm</t>
  </si>
  <si>
    <t>ngon</t>
  </si>
  <si>
    <t>Itzsejunvn</t>
  </si>
  <si>
    <t>Discocide</t>
  </si>
  <si>
    <t>MEGAlevel</t>
  </si>
  <si>
    <t>BurningBanana2</t>
  </si>
  <si>
    <t>Meowmetic</t>
  </si>
  <si>
    <t>Morning Star</t>
  </si>
  <si>
    <t>Pleasant Nightmares</t>
  </si>
  <si>
    <t>Brighter Colors [Anthem Season 2]</t>
  </si>
  <si>
    <t>SHADOW DANCE</t>
  </si>
  <si>
    <t>Veipik</t>
  </si>
  <si>
    <t>SHADXWBXRN - SHADOW DANCE / REMAKE</t>
  </si>
  <si>
    <t>Frieden</t>
  </si>
  <si>
    <t>Flipsie</t>
  </si>
  <si>
    <t>Costa Rica II</t>
  </si>
  <si>
    <t>Darkness Groove (Novatone Release)</t>
  </si>
  <si>
    <t>I Made This 4 Fun</t>
  </si>
  <si>
    <t>xGWx</t>
  </si>
  <si>
    <t>Moonlchan - Dark Vibes</t>
  </si>
  <si>
    <t>Frozen Icefall</t>
  </si>
  <si>
    <t>ParagonX9 - Polar 240</t>
  </si>
  <si>
    <t>xGARDENx</t>
  </si>
  <si>
    <t>INCISION</t>
  </si>
  <si>
    <t>Journey</t>
  </si>
  <si>
    <t>IdkLoLFunny</t>
  </si>
  <si>
    <t>goofy ahh phonk.mp3</t>
  </si>
  <si>
    <t>Harambe Theory 2013</t>
  </si>
  <si>
    <t>Autotune Jambon</t>
  </si>
  <si>
    <t>robotchief exposal</t>
  </si>
  <si>
    <t>Madeliene</t>
  </si>
  <si>
    <t>Pocky</t>
  </si>
  <si>
    <t>Plasmii</t>
  </si>
  <si>
    <t>tower descent</t>
  </si>
  <si>
    <t>BUTT3RFLi3S &gt;w&lt;</t>
  </si>
  <si>
    <t>Pictured as Perfect</t>
  </si>
  <si>
    <t>hi frums our tempos line up</t>
  </si>
  <si>
    <t>CRUNCHDOWN</t>
  </si>
  <si>
    <t>Lambda Core</t>
  </si>
  <si>
    <t>qerw1</t>
  </si>
  <si>
    <t>Free For All 2</t>
  </si>
  <si>
    <t>Free For All 2 - Newgrounds Cover</t>
  </si>
  <si>
    <t>Silhouette Travel</t>
  </si>
  <si>
    <t>Carnitine</t>
  </si>
  <si>
    <t>Phantasma</t>
  </si>
  <si>
    <t>BLACKLIGHTS</t>
  </si>
  <si>
    <t>zXera</t>
  </si>
  <si>
    <t>Gloxinia</t>
  </si>
  <si>
    <t>QDYNAMIX</t>
  </si>
  <si>
    <t>F-777 - Airborne Robots</t>
  </si>
  <si>
    <t>Linear Lane</t>
  </si>
  <si>
    <t>Geometry dash</t>
  </si>
  <si>
    <t>SolexGD</t>
  </si>
  <si>
    <t>Mausoleum</t>
  </si>
  <si>
    <t>FWLR &amp; JELO - Release The Hounds [Road Trip EP]</t>
  </si>
  <si>
    <t>Pingas21</t>
  </si>
  <si>
    <t>ENDOG</t>
  </si>
  <si>
    <t>Ocellios</t>
  </si>
  <si>
    <t>Summery</t>
  </si>
  <si>
    <t>Skyline</t>
  </si>
  <si>
    <t>RealStyx</t>
  </si>
  <si>
    <t>Nyx</t>
  </si>
  <si>
    <t>Momento Mori</t>
  </si>
  <si>
    <t>SUNSET</t>
  </si>
  <si>
    <t>unoriginalmanh</t>
  </si>
  <si>
    <t>THE WORLD WAS YOURS</t>
  </si>
  <si>
    <t>Blithe</t>
  </si>
  <si>
    <t>reedz</t>
  </si>
  <si>
    <t>Harvest</t>
  </si>
  <si>
    <t>lights</t>
  </si>
  <si>
    <t>hell</t>
  </si>
  <si>
    <t>CALYPSO BLITZ</t>
  </si>
  <si>
    <t>W A S T E D</t>
  </si>
  <si>
    <t>huken x murkish - wasted (nightcore) [Instrumental]</t>
  </si>
  <si>
    <t>Pokoj s Hodinami</t>
  </si>
  <si>
    <t>Through The Looking Glass</t>
  </si>
  <si>
    <t>S0NJ</t>
  </si>
  <si>
    <t>vonsse</t>
  </si>
  <si>
    <t>sonj</t>
  </si>
  <si>
    <t>C20H25N3O</t>
  </si>
  <si>
    <t>SCENIC ROUTE</t>
  </si>
  <si>
    <t>fJud</t>
  </si>
  <si>
    <t>Such a Bad Way</t>
  </si>
  <si>
    <t>Such a Bad song (for maxxormen)</t>
  </si>
  <si>
    <t>Wacky McWhackface v2</t>
  </si>
  <si>
    <t>Excruciation Chamber</t>
  </si>
  <si>
    <t>spcreat</t>
  </si>
  <si>
    <t>No Escape</t>
  </si>
  <si>
    <t>Project MANDELBROT</t>
  </si>
  <si>
    <t>Sums</t>
  </si>
  <si>
    <t>Iridescent Mania</t>
  </si>
  <si>
    <t>coldpot</t>
  </si>
  <si>
    <t>june</t>
  </si>
  <si>
    <t>Worldwide Broadcast</t>
  </si>
  <si>
    <t>Ti dichiaro fumato</t>
  </si>
  <si>
    <t>frequent visitor</t>
  </si>
  <si>
    <t>tofu muffinz</t>
  </si>
  <si>
    <t>[Deimos]*</t>
  </si>
  <si>
    <t>Destructible World</t>
  </si>
  <si>
    <t>PRISME</t>
  </si>
  <si>
    <t>Collect All Pets</t>
  </si>
  <si>
    <t>Dumal</t>
  </si>
  <si>
    <t>Sight</t>
  </si>
  <si>
    <t>SMILE ON MY FACE</t>
  </si>
  <si>
    <t>downpour</t>
  </si>
  <si>
    <t>Fantasy</t>
  </si>
  <si>
    <t>Shifter</t>
  </si>
  <si>
    <t>Rigel</t>
  </si>
  <si>
    <t>Dan2D</t>
  </si>
  <si>
    <t>Innovation</t>
  </si>
  <si>
    <t>Kassi1202</t>
  </si>
  <si>
    <t>Beyond Everything</t>
  </si>
  <si>
    <t>Labyrinth 2009</t>
  </si>
  <si>
    <t>FishyFox84</t>
  </si>
  <si>
    <t>Speedway</t>
  </si>
  <si>
    <t>[XBOX LIVE]</t>
  </si>
  <si>
    <t>Right Order</t>
  </si>
  <si>
    <t>Crash75</t>
  </si>
  <si>
    <t>this that</t>
  </si>
  <si>
    <t>DIRTY WORK</t>
  </si>
  <si>
    <t>Zthos</t>
  </si>
  <si>
    <t>SATANS PURSE</t>
  </si>
  <si>
    <t>-Electroman Adventures V3-</t>
  </si>
  <si>
    <t>Blast Processed</t>
  </si>
  <si>
    <t>DANCE JAM DANCE</t>
  </si>
  <si>
    <t>Gostley</t>
  </si>
  <si>
    <t>Spider Dance - Axzars Remix</t>
  </si>
  <si>
    <t>Turbulent Valley</t>
  </si>
  <si>
    <t>xuser morelike luser</t>
  </si>
  <si>
    <t>Star Dash</t>
  </si>
  <si>
    <t>CrisArs</t>
  </si>
  <si>
    <t>Shinigami</t>
  </si>
  <si>
    <t>NetzWerk</t>
  </si>
  <si>
    <t>-Dash!-</t>
  </si>
  <si>
    <t>Desastre PetrolerO</t>
  </si>
  <si>
    <t>Cerulean</t>
  </si>
  <si>
    <t>me when machine gang</t>
  </si>
  <si>
    <t>sheredX</t>
  </si>
  <si>
    <t>4EPTOBO COJIHlLE</t>
  </si>
  <si>
    <t>Loose Screws</t>
  </si>
  <si>
    <t>Dream Last Time</t>
  </si>
  <si>
    <t>Recrystallized</t>
  </si>
  <si>
    <t>pierce60</t>
  </si>
  <si>
    <t>BitWorld Odyssey</t>
  </si>
  <si>
    <t>BreadKing</t>
  </si>
  <si>
    <t>Bitworld Odyssey OST</t>
  </si>
  <si>
    <t>moeny maker</t>
  </si>
  <si>
    <t>Ade - Cryptik Dance</t>
  </si>
  <si>
    <t>NongPholic</t>
  </si>
  <si>
    <t>Starr Game</t>
  </si>
  <si>
    <t>TheTMasterGames</t>
  </si>
  <si>
    <t>The Game is On</t>
  </si>
  <si>
    <t>One More Theory</t>
  </si>
  <si>
    <t>Sanguine Wasteland</t>
  </si>
  <si>
    <t>H108</t>
  </si>
  <si>
    <t>Pixib</t>
  </si>
  <si>
    <t>JoxhGD</t>
  </si>
  <si>
    <t>Leaving Leafwood Forest</t>
  </si>
  <si>
    <t>However</t>
  </si>
  <si>
    <t>Jakubg115</t>
  </si>
  <si>
    <t>Damascus</t>
  </si>
  <si>
    <t>JENOVA (ft. Meganeko)</t>
  </si>
  <si>
    <t>severe head injury</t>
  </si>
  <si>
    <t>Trifoon</t>
  </si>
  <si>
    <t>Mountain Light (WIP)</t>
  </si>
  <si>
    <t>Area 26</t>
  </si>
  <si>
    <t>QuazeryIceCube</t>
  </si>
  <si>
    <t>6chi</t>
  </si>
  <si>
    <t>So Beautiful feat. Mhyst</t>
  </si>
  <si>
    <t>xExvill</t>
  </si>
  <si>
    <t>ELEPS - Darkside (Original Mix)</t>
  </si>
  <si>
    <t>Happiness Injection</t>
  </si>
  <si>
    <t>HAPPY PILLS</t>
  </si>
  <si>
    <t>sendox</t>
  </si>
  <si>
    <t>sendxx</t>
  </si>
  <si>
    <t>drag me with you (reupload)</t>
  </si>
  <si>
    <t>Forsaken X</t>
  </si>
  <si>
    <t>THE DRIP TRIP</t>
  </si>
  <si>
    <t>coomworld</t>
  </si>
  <si>
    <t>factoneo</t>
  </si>
  <si>
    <t>Tren 22</t>
  </si>
  <si>
    <t>Closure</t>
  </si>
  <si>
    <t>Reklaz</t>
  </si>
  <si>
    <t>Shorts</t>
  </si>
  <si>
    <t>Kanati</t>
  </si>
  <si>
    <t>CRAZY GEOMETRY DASH STORIES  shorts  gd R/GEOMETRYDASH  geometry dash  2.2  gdcolon</t>
  </si>
  <si>
    <t>BuZzKiLl</t>
  </si>
  <si>
    <t>Tiny Tunes</t>
  </si>
  <si>
    <t>Chiroptera Venenata</t>
  </si>
  <si>
    <t>Electric Forest</t>
  </si>
  <si>
    <t>Zinhwa</t>
  </si>
  <si>
    <t>MaLiaN</t>
  </si>
  <si>
    <t>Colorful Burst</t>
  </si>
  <si>
    <t>DubbyBall</t>
  </si>
  <si>
    <t>SPACEJUMP - STRATUS</t>
  </si>
  <si>
    <t>Power Grid</t>
  </si>
  <si>
    <t>Weird world</t>
  </si>
  <si>
    <t>OnOff</t>
  </si>
  <si>
    <t>Fadzter</t>
  </si>
  <si>
    <t>Funk You</t>
  </si>
  <si>
    <t>Mystic Bounds</t>
  </si>
  <si>
    <t>Back 2 U ????</t>
  </si>
  <si>
    <t>wtf</t>
  </si>
  <si>
    <t>alyshishishi</t>
  </si>
  <si>
    <t>CryoTherapy</t>
  </si>
  <si>
    <t>Cloud Control</t>
  </si>
  <si>
    <t>Vacant</t>
  </si>
  <si>
    <t>FlashYizz - Crazy</t>
  </si>
  <si>
    <t>THUNDRA</t>
  </si>
  <si>
    <t>GD10</t>
  </si>
  <si>
    <t>FORERUNNER</t>
  </si>
  <si>
    <t>Spaze - The Explorer</t>
  </si>
  <si>
    <t>Escaping Gravity</t>
  </si>
  <si>
    <t>gggkal</t>
  </si>
  <si>
    <t>TheFatRat &amp; Cecilia Gault - Escaping Gravity</t>
  </si>
  <si>
    <t>Gyrate</t>
  </si>
  <si>
    <t>QQQQQQQQQQQQQQQQQQQQ</t>
  </si>
  <si>
    <t>hornblender</t>
  </si>
  <si>
    <t>Flush</t>
  </si>
  <si>
    <t>Carmezin</t>
  </si>
  <si>
    <t>AurunLanches</t>
  </si>
  <si>
    <t>Shimmering Chamber</t>
  </si>
  <si>
    <t>Crystal Crusher</t>
  </si>
  <si>
    <t>Cloud Nine (Beyond Paradise LP)</t>
  </si>
  <si>
    <t>Crowded Void</t>
  </si>
  <si>
    <t>cytokinesis</t>
  </si>
  <si>
    <t>CYTOKINESIS / SFX /</t>
  </si>
  <si>
    <t>Fresh</t>
  </si>
  <si>
    <t>Terminator zone</t>
  </si>
  <si>
    <t>BEELINE</t>
  </si>
  <si>
    <t>cassette</t>
  </si>
  <si>
    <t>neighborhood</t>
  </si>
  <si>
    <t>neighborhood  3 remake</t>
  </si>
  <si>
    <t>clncrvl</t>
  </si>
  <si>
    <t>Daydream Eruption</t>
  </si>
  <si>
    <t>Lolsalad</t>
  </si>
  <si>
    <t>Minus</t>
  </si>
  <si>
    <t>Astrophile</t>
  </si>
  <si>
    <t>Hinze</t>
  </si>
  <si>
    <t>ALESDA! - Never Let Me Go</t>
  </si>
  <si>
    <t>Seeker</t>
  </si>
  <si>
    <t>Debihan</t>
  </si>
  <si>
    <t>The Black Level</t>
  </si>
  <si>
    <t>Batcom</t>
  </si>
  <si>
    <t>Flyway</t>
  </si>
  <si>
    <t>PlayerHungry</t>
  </si>
  <si>
    <t>depthcore ft. polyscream</t>
  </si>
  <si>
    <t>CARTI COLLAB</t>
  </si>
  <si>
    <t>Doops</t>
  </si>
  <si>
    <t>Carolina Blue</t>
  </si>
  <si>
    <t>Metal Requiem</t>
  </si>
  <si>
    <t>Shukufuku</t>
  </si>
  <si>
    <t>joker179114</t>
  </si>
  <si>
    <t>YOASOBI - ?? / Shukufuku (Piano Cover)</t>
  </si>
  <si>
    <t>The Lightning Rod</t>
  </si>
  <si>
    <t>Lavatrex</t>
  </si>
  <si>
    <t>Beauty in Chaos</t>
  </si>
  <si>
    <t>Delta</t>
  </si>
  <si>
    <t>Drakosa</t>
  </si>
  <si>
    <t>Through the Gates (Abbv.)</t>
  </si>
  <si>
    <t>W S E</t>
  </si>
  <si>
    <t>IrekB4i</t>
  </si>
  <si>
    <t>juggle mania</t>
  </si>
  <si>
    <t>FINAL DISASTER</t>
  </si>
  <si>
    <t>TRANS RIOT MUSIC</t>
  </si>
  <si>
    <t>The Ultimate Demon</t>
  </si>
  <si>
    <t>Cicatrize</t>
  </si>
  <si>
    <t>Tokzick x ImCold - Dunewalker II</t>
  </si>
  <si>
    <t>DEMON PARK</t>
  </si>
  <si>
    <t>Serpix</t>
  </si>
  <si>
    <t>silverdragon246</t>
  </si>
  <si>
    <t>dBghFuhfBeuR</t>
  </si>
  <si>
    <t>DISTORTION</t>
  </si>
  <si>
    <t>Vancis</t>
  </si>
  <si>
    <t>Stereo Madness 2</t>
  </si>
  <si>
    <t>Ch1ll Puddy</t>
  </si>
  <si>
    <t>Bontic</t>
  </si>
  <si>
    <t>quixotic</t>
  </si>
  <si>
    <t>timeless dawn</t>
  </si>
  <si>
    <t>sscyt</t>
  </si>
  <si>
    <t>Transform</t>
  </si>
  <si>
    <t>windige welten</t>
  </si>
  <si>
    <t>sauerbraten</t>
  </si>
  <si>
    <t>slow tunez</t>
  </si>
  <si>
    <t>UNHOLY</t>
  </si>
  <si>
    <t>FlakeyGD</t>
  </si>
  <si>
    <t>Luar</t>
  </si>
  <si>
    <t>Spookyn</t>
  </si>
  <si>
    <t>The Trippy Mosquito</t>
  </si>
  <si>
    <t>Goofy Adventure</t>
  </si>
  <si>
    <t>?? ??s???????? &lt;loop&gt;</t>
  </si>
  <si>
    <t>SEFODA</t>
  </si>
  <si>
    <t>CalaramGD</t>
  </si>
  <si>
    <t>MINDBREAK</t>
  </si>
  <si>
    <t>Elucidator</t>
  </si>
  <si>
    <t>GerbiL</t>
  </si>
  <si>
    <t>gerbil</t>
  </si>
  <si>
    <t>Krazyman50Real</t>
  </si>
  <si>
    <t>gardening map</t>
  </si>
  <si>
    <t>kalculus19</t>
  </si>
  <si>
    <t>What Will Be</t>
  </si>
  <si>
    <t>Switch My Size</t>
  </si>
  <si>
    <t>bungy</t>
  </si>
  <si>
    <t>77mango</t>
  </si>
  <si>
    <t>Witching Hour</t>
  </si>
  <si>
    <t>ZoinkDoink</t>
  </si>
  <si>
    <t>RejSende - Interr0gation Was Successful</t>
  </si>
  <si>
    <t>Riptide</t>
  </si>
  <si>
    <t>Mario Kart 7 Rainbow Road</t>
  </si>
  <si>
    <t>Rat Race</t>
  </si>
  <si>
    <t>h ???? o ??????h ??????</t>
  </si>
  <si>
    <t>FRIDAY</t>
  </si>
  <si>
    <t>amberette</t>
  </si>
  <si>
    <t>Dust Bowl</t>
  </si>
  <si>
    <t>GDikonic</t>
  </si>
  <si>
    <t>Make It Funkier</t>
  </si>
  <si>
    <t>qhris71</t>
  </si>
  <si>
    <t>Kikori</t>
  </si>
  <si>
    <t>shimmer</t>
  </si>
  <si>
    <t>amplitron</t>
  </si>
  <si>
    <t>glimmer (feat. Vmrrobotic)</t>
  </si>
  <si>
    <t>Reinforced Zone</t>
  </si>
  <si>
    <t>8-bit Vengeance</t>
  </si>
  <si>
    <t>Microsoft DriveThru</t>
  </si>
  <si>
    <t>EnV - Bloom(Radio Edit)</t>
  </si>
  <si>
    <t>Hell Reality</t>
  </si>
  <si>
    <t>Wodka</t>
  </si>
  <si>
    <t>Haywire</t>
  </si>
  <si>
    <t>Mega0of</t>
  </si>
  <si>
    <t>A Pretty Easy Demon</t>
  </si>
  <si>
    <t>Xeriscape</t>
  </si>
  <si>
    <t>GeoNorwaY</t>
  </si>
  <si>
    <t>Tricker</t>
  </si>
  <si>
    <t>Impossible Demon</t>
  </si>
  <si>
    <t>Static Symphony (feat. Sunnexo)</t>
  </si>
  <si>
    <t>Creo - Lost</t>
  </si>
  <si>
    <t>NONGULETA</t>
  </si>
  <si>
    <t>alekszzz</t>
  </si>
  <si>
    <t>TOUNDRA</t>
  </si>
  <si>
    <t>Gouns - Toundra</t>
  </si>
  <si>
    <t>Evanescence</t>
  </si>
  <si>
    <t>Isle of Glass</t>
  </si>
  <si>
    <t>ERRORERRORERROR</t>
  </si>
  <si>
    <t>Memeez Never Daily</t>
  </si>
  <si>
    <t>blackbird552</t>
  </si>
  <si>
    <t>Dfx</t>
  </si>
  <si>
    <t>Thomas Echnical</t>
  </si>
  <si>
    <t>Dragons Daze</t>
  </si>
  <si>
    <t>blackholefriend</t>
  </si>
  <si>
    <t>but heres the kicker</t>
  </si>
  <si>
    <t>MoistyJc</t>
  </si>
  <si>
    <t>HW - But Now You Say</t>
  </si>
  <si>
    <t>VeracitY</t>
  </si>
  <si>
    <t>Maverick</t>
  </si>
  <si>
    <t>The Whole World is Watching</t>
  </si>
  <si>
    <t>Tr1ppy</t>
  </si>
  <si>
    <t>Cloid</t>
  </si>
  <si>
    <t>NAUT</t>
  </si>
  <si>
    <t>Perfect</t>
  </si>
  <si>
    <t>Forte Fresco</t>
  </si>
  <si>
    <t>Balut</t>
  </si>
  <si>
    <t>assing</t>
  </si>
  <si>
    <t>headlock</t>
  </si>
  <si>
    <t>Concept 1 for Imogen Heap - Headlock - K0DeX Remix</t>
  </si>
  <si>
    <t>Death Intercept</t>
  </si>
  <si>
    <t>{dj-N} Intercept</t>
  </si>
  <si>
    <t>COMBUSTION</t>
  </si>
  <si>
    <t>TURN THE LIGHTS OFF</t>
  </si>
  <si>
    <t>nikoberry</t>
  </si>
  <si>
    <t>Turn The Lights Off (Rock Cover)</t>
  </si>
  <si>
    <t>lavia lactea</t>
  </si>
  <si>
    <t>lappwv</t>
  </si>
  <si>
    <t>CRIDIUM</t>
  </si>
  <si>
    <t>FRXZN x SKORDE - RAPTURE</t>
  </si>
  <si>
    <t>Norge Banen Umulig</t>
  </si>
  <si>
    <t>Sobeann</t>
  </si>
  <si>
    <t>Charred bricks</t>
  </si>
  <si>
    <t>goober zone</t>
  </si>
  <si>
    <t>Ouroboros Startpos 2</t>
  </si>
  <si>
    <t>foodynooby</t>
  </si>
  <si>
    <t>Spearmint</t>
  </si>
  <si>
    <t>Blissful</t>
  </si>
  <si>
    <t>SnowEye</t>
  </si>
  <si>
    <t>Future</t>
  </si>
  <si>
    <t>1NE</t>
  </si>
  <si>
    <t>one</t>
  </si>
  <si>
    <t>Tenochtitlan</t>
  </si>
  <si>
    <t>-Space pirates-</t>
  </si>
  <si>
    <t>Flowers Rush</t>
  </si>
  <si>
    <t>Skolavslutning 90</t>
  </si>
  <si>
    <t>Altum</t>
  </si>
  <si>
    <t>on Rabac</t>
  </si>
  <si>
    <t>Far Away</t>
  </si>
  <si>
    <t>Soaring Away</t>
  </si>
  <si>
    <t>Yggdrasil</t>
  </si>
  <si>
    <t>geode</t>
  </si>
  <si>
    <t>pikoisu</t>
  </si>
  <si>
    <t>Dont question it</t>
  </si>
  <si>
    <t>Dont Question Me (feat. Waylon Reavis)</t>
  </si>
  <si>
    <t>BassRift</t>
  </si>
  <si>
    <t>-BassRift-</t>
  </si>
  <si>
    <t>Psychedelic Circles</t>
  </si>
  <si>
    <t>Meet Your Maker</t>
  </si>
  <si>
    <t>DEEP FRIED</t>
  </si>
  <si>
    <t>adamvp</t>
  </si>
  <si>
    <t>tipo B</t>
  </si>
  <si>
    <t>Trotil</t>
  </si>
  <si>
    <t>OUTBY16</t>
  </si>
  <si>
    <t>verisimilitude</t>
  </si>
  <si>
    <t>Horses Galloping Through Space &lt;Extended&gt;</t>
  </si>
  <si>
    <t>Ten Circles</t>
  </si>
  <si>
    <t>NormDanchik</t>
  </si>
  <si>
    <t>Panda Eyes - The Entity</t>
  </si>
  <si>
    <t>Nomostros Cosmos</t>
  </si>
  <si>
    <t>Talurre - Iris</t>
  </si>
  <si>
    <t>Dust Storm</t>
  </si>
  <si>
    <t>sam005</t>
  </si>
  <si>
    <t>After Image</t>
  </si>
  <si>
    <t>ColinT</t>
  </si>
  <si>
    <t>Spacetime Error</t>
  </si>
  <si>
    <t>Fluky</t>
  </si>
  <si>
    <t>xVoidGD</t>
  </si>
  <si>
    <t>Stella Circulos</t>
  </si>
  <si>
    <t>driftcat - heal</t>
  </si>
  <si>
    <t>Ring Trick</t>
  </si>
  <si>
    <t>Charcoal</t>
  </si>
  <si>
    <t>Skittles</t>
  </si>
  <si>
    <t>~ Satellights ~</t>
  </si>
  <si>
    <t>Carnot Engine</t>
  </si>
  <si>
    <t>xenbez7</t>
  </si>
  <si>
    <t>Hibiscus</t>
  </si>
  <si>
    <t>blast processing co</t>
  </si>
  <si>
    <t>RobTopArchiver</t>
  </si>
  <si>
    <t>ei vai loz</t>
  </si>
  <si>
    <t>killervn</t>
  </si>
  <si>
    <t>In Liminal</t>
  </si>
  <si>
    <t>The Old Trail</t>
  </si>
  <si>
    <t>Bram4Real</t>
  </si>
  <si>
    <t>Operation Succession</t>
  </si>
  <si>
    <t>Flighter</t>
  </si>
  <si>
    <t>Tomplayg17</t>
  </si>
  <si>
    <t>Kirara Magic &amp; Xomu - Night of Bloom (ft. nayuta)</t>
  </si>
  <si>
    <t>cant let go copy</t>
  </si>
  <si>
    <t>Creator Universe</t>
  </si>
  <si>
    <t>Taisaku</t>
  </si>
  <si>
    <t>With You</t>
  </si>
  <si>
    <t>cloudscape</t>
  </si>
  <si>
    <t>THEVOICESARECOMING</t>
  </si>
  <si>
    <t>Robanana</t>
  </si>
  <si>
    <t>Obscured</t>
  </si>
  <si>
    <t>jumper copy</t>
  </si>
  <si>
    <t>cycles copy</t>
  </si>
  <si>
    <t>Iris Gradu</t>
  </si>
  <si>
    <t>CreatorMoldy</t>
  </si>
  <si>
    <t>La Palma</t>
  </si>
  <si>
    <t>NeonDusk</t>
  </si>
  <si>
    <t>Aero Garden</t>
  </si>
  <si>
    <t>Fishy fish</t>
  </si>
  <si>
    <t>Sunken City</t>
  </si>
  <si>
    <t>Aureus</t>
  </si>
  <si>
    <t>Koven - Gold (SPACEJUMP X VIRU Remix)</t>
  </si>
  <si>
    <t>nevermore</t>
  </si>
  <si>
    <t>EidamGD</t>
  </si>
  <si>
    <t>BSOD</t>
  </si>
  <si>
    <t>Astrophobia</t>
  </si>
  <si>
    <t>Jakalope</t>
  </si>
  <si>
    <t>Tangerine</t>
  </si>
  <si>
    <t>mephhh</t>
  </si>
  <si>
    <t>Terminal Velocity</t>
  </si>
  <si>
    <t>Launch - Diskovr</t>
  </si>
  <si>
    <t>Disturbance</t>
  </si>
  <si>
    <t>Warkauze - Disturbance</t>
  </si>
  <si>
    <t>Lost Pixel</t>
  </si>
  <si>
    <t>GDGAMER10000</t>
  </si>
  <si>
    <t>Reduction</t>
  </si>
  <si>
    <t>Into Cyberspace</t>
  </si>
  <si>
    <t>Luminous Sky</t>
  </si>
  <si>
    <t>TheRealWind</t>
  </si>
  <si>
    <t>Beyond the summit</t>
  </si>
  <si>
    <t>Boops n Snoots</t>
  </si>
  <si>
    <t>Ego</t>
  </si>
  <si>
    <t>my new map</t>
  </si>
  <si>
    <t>mm0nk</t>
  </si>
  <si>
    <t>Laid back Livin</t>
  </si>
  <si>
    <t>Generic Glow Level</t>
  </si>
  <si>
    <t>Falling (Original Mix)</t>
  </si>
  <si>
    <t>carz processing</t>
  </si>
  <si>
    <t>Autopistas Extremas</t>
  </si>
  <si>
    <t>Drivepass</t>
  </si>
  <si>
    <t>Tesla Sweatshop</t>
  </si>
  <si>
    <t>Boxing Boxes</t>
  </si>
  <si>
    <t>EdenCity</t>
  </si>
  <si>
    <t>MonopgA</t>
  </si>
  <si>
    <t>Febbs! - Nexiva Ivaaden (an Iteration)</t>
  </si>
  <si>
    <t>SayItBack</t>
  </si>
  <si>
    <t>FUTURE DEMON MACHINE</t>
  </si>
  <si>
    <t>Bordonn</t>
  </si>
  <si>
    <t>Gateway</t>
  </si>
  <si>
    <t>WireMuncher</t>
  </si>
  <si>
    <t>Family Friendily Montage (I Dont Know Which Which Way to Turn)</t>
  </si>
  <si>
    <t>Hardry</t>
  </si>
  <si>
    <t>Drop Zone 2</t>
  </si>
  <si>
    <t>ricochet</t>
  </si>
  <si>
    <t>Baroquen Music Box - Revenge of the Vox</t>
  </si>
  <si>
    <t>Belladonna</t>
  </si>
  <si>
    <t>B!tchcrush</t>
  </si>
  <si>
    <t>High Point</t>
  </si>
  <si>
    <t>Teminite - Inception</t>
  </si>
  <si>
    <t>Apokalypsa</t>
  </si>
  <si>
    <t>no longer</t>
  </si>
  <si>
    <t>Path to the Devil</t>
  </si>
  <si>
    <t>DEVILGIRL</t>
  </si>
  <si>
    <t>Neola</t>
  </si>
  <si>
    <t>XxsaparxX</t>
  </si>
  <si>
    <t>-Unstable Geometry-</t>
  </si>
  <si>
    <t>KaWa</t>
  </si>
  <si>
    <t>WONDERPOP</t>
  </si>
  <si>
    <t>Mountain Flowers II</t>
  </si>
  <si>
    <t>Jigsaw</t>
  </si>
  <si>
    <t>GA-H13: Saw</t>
  </si>
  <si>
    <t>STARZERO</t>
  </si>
  <si>
    <t>Bionix</t>
  </si>
  <si>
    <t>ZeiThex</t>
  </si>
  <si>
    <t>Keter</t>
  </si>
  <si>
    <t>Halcyon</t>
  </si>
  <si>
    <t>GoldenVortexx</t>
  </si>
  <si>
    <t>Climax</t>
  </si>
  <si>
    <t>HushLC</t>
  </si>
  <si>
    <t>9blue</t>
  </si>
  <si>
    <t>Sardina</t>
  </si>
  <si>
    <t>SCUFFED</t>
  </si>
  <si>
    <t>Other Side</t>
  </si>
  <si>
    <t>AKyle47</t>
  </si>
  <si>
    <t>One Eye Open (The End of Everything?)</t>
  </si>
  <si>
    <t>Yeux</t>
  </si>
  <si>
    <t>ElMatoSWAG</t>
  </si>
  <si>
    <t>Unlock the New World</t>
  </si>
  <si>
    <t>chunlv1</t>
  </si>
  <si>
    <t>megastructure</t>
  </si>
  <si>
    <t>It Was Only a Dream</t>
  </si>
  <si>
    <t>OVERTHINKER</t>
  </si>
  <si>
    <t>Tyrannyy</t>
  </si>
  <si>
    <t>INZO - Overthinker Cover Ft. Aconn</t>
  </si>
  <si>
    <t>NeXusShowcaseThisPls</t>
  </si>
  <si>
    <t>KarimZcreator</t>
  </si>
  <si>
    <t>a better place</t>
  </si>
  <si>
    <t>Draft Dynamics</t>
  </si>
  <si>
    <t>Farthest Outpost</t>
  </si>
  <si>
    <t>Desertion (FF6)</t>
  </si>
  <si>
    <t>MS55</t>
  </si>
  <si>
    <t>Frisky Hornet</t>
  </si>
  <si>
    <t>MidasCore</t>
  </si>
  <si>
    <t>NETWORK</t>
  </si>
  <si>
    <t>Player Challenge XD</t>
  </si>
  <si>
    <t>ice on fire</t>
  </si>
  <si>
    <t>taade</t>
  </si>
  <si>
    <t>Recurrent</t>
  </si>
  <si>
    <t>GGLudvigg</t>
  </si>
  <si>
    <t>ZOOOOOOOOOOOOOOOOOOM</t>
  </si>
  <si>
    <t>Penumbra</t>
  </si>
  <si>
    <t>iW1LLn3verlety0uGO</t>
  </si>
  <si>
    <t>ThePurgatory115</t>
  </si>
  <si>
    <t>Black beast (feat. FawksGD(Fear me RMX))</t>
  </si>
  <si>
    <t>JAMAIS VU</t>
  </si>
  <si>
    <t>Leave Alone</t>
  </si>
  <si>
    <t>SMASH</t>
  </si>
  <si>
    <t>Ghost Battle (Rmx) Loop</t>
  </si>
  <si>
    <t>Toxica</t>
  </si>
  <si>
    <t>Neurostasis</t>
  </si>
  <si>
    <t>Hide</t>
  </si>
  <si>
    <t>Magic Life</t>
  </si>
  <si>
    <t>Astraa</t>
  </si>
  <si>
    <t>MAGIC LIFE</t>
  </si>
  <si>
    <t>GBS</t>
  </si>
  <si>
    <t>Fearless (NG EDIT)</t>
  </si>
  <si>
    <t>TwoPointOh</t>
  </si>
  <si>
    <t>CreatorCreepy</t>
  </si>
  <si>
    <t>Alphawolf 2</t>
  </si>
  <si>
    <t>Vermilion</t>
  </si>
  <si>
    <t>very rusty pipeline</t>
  </si>
  <si>
    <t>-Chemical Mistake-</t>
  </si>
  <si>
    <t>Jarrell</t>
  </si>
  <si>
    <t>The Watcher</t>
  </si>
  <si>
    <t>fwefwe</t>
  </si>
  <si>
    <t>TAPAKAH</t>
  </si>
  <si>
    <t>The Human Mind</t>
  </si>
  <si>
    <t>Hyperchaos</t>
  </si>
  <si>
    <t>Unchaos (The Aqaer EP)</t>
  </si>
  <si>
    <t>Sodium</t>
  </si>
  <si>
    <t>CUBENSSI</t>
  </si>
  <si>
    <t>Cubenssi Overture</t>
  </si>
  <si>
    <t>Hertz</t>
  </si>
  <si>
    <t>mistmurk + 3MBER - Utopia</t>
  </si>
  <si>
    <t>Algophobia</t>
  </si>
  <si>
    <t>2spoopy4u</t>
  </si>
  <si>
    <t>Lifelike</t>
  </si>
  <si>
    <t>Phantom Sage - To The Moon</t>
  </si>
  <si>
    <t>RISING STARLIGHT</t>
  </si>
  <si>
    <t>ZooxerYt</t>
  </si>
  <si>
    <t>Step by step [F/C Kawaii Station]</t>
  </si>
  <si>
    <t>hot rod</t>
  </si>
  <si>
    <t>stcubing</t>
  </si>
  <si>
    <t>hot rod cover</t>
  </si>
  <si>
    <t>Swirling Serenity</t>
  </si>
  <si>
    <t>Restraint</t>
  </si>
  <si>
    <t>GDiagonal</t>
  </si>
  <si>
    <t>Jump Up, Super Star! Remix- Super Mario Odyssey- The Living Tombstone</t>
  </si>
  <si>
    <t>corruption</t>
  </si>
  <si>
    <t>Gouns - Corrupted Utopia</t>
  </si>
  <si>
    <t>Flatline</t>
  </si>
  <si>
    <t>ZmLcherry</t>
  </si>
  <si>
    <t>Gensouteki</t>
  </si>
  <si>
    <t>Subpixel</t>
  </si>
  <si>
    <t>Me Lin A</t>
  </si>
  <si>
    <t>n1ckxd</t>
  </si>
  <si>
    <t>poshlaya molly 2013 (me lin a) evacore rmx</t>
  </si>
  <si>
    <t>Floating Outskirts</t>
  </si>
  <si>
    <t>Bone Dry Dunes</t>
  </si>
  <si>
    <t>GLORIOUS FORTRESS</t>
  </si>
  <si>
    <t>RAM</t>
  </si>
  <si>
    <t>Break Your Legs!</t>
  </si>
  <si>
    <t>Final Terminal</t>
  </si>
  <si>
    <t>meowpuri</t>
  </si>
  <si>
    <t>PlundeR</t>
  </si>
  <si>
    <t>Teminite - Plunder</t>
  </si>
  <si>
    <t>Declassification</t>
  </si>
  <si>
    <t>OnlineplaY</t>
  </si>
  <si>
    <t>Frostbite</t>
  </si>
  <si>
    <t>The Gins II</t>
  </si>
  <si>
    <t>Petal Patch</t>
  </si>
  <si>
    <t>Moonflowers</t>
  </si>
  <si>
    <t>Vhollik</t>
  </si>
  <si>
    <t>K1rHz</t>
  </si>
  <si>
    <t>Crackhead Circles</t>
  </si>
  <si>
    <t>I Sell Crack</t>
  </si>
  <si>
    <t>HyperByTe</t>
  </si>
  <si>
    <t>Getsix - Orion</t>
  </si>
  <si>
    <t>Sewers</t>
  </si>
  <si>
    <t>Darker Cave</t>
  </si>
  <si>
    <t>Plasmatic</t>
  </si>
  <si>
    <t>Plasmotech</t>
  </si>
  <si>
    <t>gloss</t>
  </si>
  <si>
    <t>WinWave2000</t>
  </si>
  <si>
    <t>ItsRuby</t>
  </si>
  <si>
    <t>Windowswave 3.0</t>
  </si>
  <si>
    <t>Underwater</t>
  </si>
  <si>
    <t>MoVavi</t>
  </si>
  <si>
    <t>Startrance</t>
  </si>
  <si>
    <t>the rain still falls</t>
  </si>
  <si>
    <t>Sardll27</t>
  </si>
  <si>
    <t>on norbs</t>
  </si>
  <si>
    <t>Remfy - Devils Lullaby</t>
  </si>
  <si>
    <t>Counterflow</t>
  </si>
  <si>
    <t>Geoplex - Breathless (feat. Lyra Ivy)</t>
  </si>
  <si>
    <t>Reaper Lair</t>
  </si>
  <si>
    <t>Phobia</t>
  </si>
  <si>
    <t>Fun Level</t>
  </si>
  <si>
    <t>Over the Horizon</t>
  </si>
  <si>
    <t>Amalgam</t>
  </si>
  <si>
    <t>XLSpiral</t>
  </si>
  <si>
    <t>Unrelate</t>
  </si>
  <si>
    <t>ImzAir</t>
  </si>
  <si>
    <t>penguin industries</t>
  </si>
  <si>
    <t>Unknown1276</t>
  </si>
  <si>
    <t>8bit crazy</t>
  </si>
  <si>
    <t>LuminsGD</t>
  </si>
  <si>
    <t>Circus Dash II</t>
  </si>
  <si>
    <t>DirtyPaws | Circus contraption - come to the circus | remix by KrachKrachh</t>
  </si>
  <si>
    <t>18elip</t>
  </si>
  <si>
    <t>aligenigena</t>
  </si>
  <si>
    <t>Prismatic Domain</t>
  </si>
  <si>
    <t>Cupid</t>
  </si>
  <si>
    <t>What You Love</t>
  </si>
  <si>
    <t>Frost Spirit</t>
  </si>
  <si>
    <t>Quaybus</t>
  </si>
  <si>
    <t>Barcode Valkyrie</t>
  </si>
  <si>
    <t>Broken Circles</t>
  </si>
  <si>
    <t>Stutes</t>
  </si>
  <si>
    <t>Hayfever</t>
  </si>
  <si>
    <t>arcticroy</t>
  </si>
  <si>
    <t>[phntmnz] BOMBSQUAD</t>
  </si>
  <si>
    <t>Blazing Industry</t>
  </si>
  <si>
    <t>Cosmic Ray</t>
  </si>
  <si>
    <t>Eyes in the Water</t>
  </si>
  <si>
    <t>nothawkyre</t>
  </si>
  <si>
    <t>syncope</t>
  </si>
  <si>
    <t>i guess im finally adult</t>
  </si>
  <si>
    <t>Gleam</t>
  </si>
  <si>
    <t>Lodicollab</t>
  </si>
  <si>
    <t>8th Dimension</t>
  </si>
  <si>
    <t>Fugitivo</t>
  </si>
  <si>
    <t>Fugitivo Remix</t>
  </si>
  <si>
    <t>Once Again</t>
  </si>
  <si>
    <t>Twitch Denan</t>
  </si>
  <si>
    <t>SIMP</t>
  </si>
  <si>
    <t>sleep forever</t>
  </si>
  <si>
    <t>Th3Dev0n</t>
  </si>
  <si>
    <t>Final Theory</t>
  </si>
  <si>
    <t>InkTheCat</t>
  </si>
  <si>
    <t>legalize nuclea bomb</t>
  </si>
  <si>
    <t>MUDdevouer</t>
  </si>
  <si>
    <t>wrld</t>
  </si>
  <si>
    <t>throwaway</t>
  </si>
  <si>
    <t>LassiBoy</t>
  </si>
  <si>
    <t>Galleria</t>
  </si>
  <si>
    <t>SARYYX NEVER CLEAR</t>
  </si>
  <si>
    <t>poocu4ever</t>
  </si>
  <si>
    <t>EspiDev - Dreamy</t>
  </si>
  <si>
    <t>Illusion</t>
  </si>
  <si>
    <t>Ligaments Croises</t>
  </si>
  <si>
    <t>Paizo</t>
  </si>
  <si>
    <t>Scream Machine</t>
  </si>
  <si>
    <t>-Pain Engine- (2021 Vast Album Remaster)</t>
  </si>
  <si>
    <t>CARNIVAL</t>
  </si>
  <si>
    <t>MatejWGD</t>
  </si>
  <si>
    <t>Doctor Herbert West</t>
  </si>
  <si>
    <t>CICADA3302</t>
  </si>
  <si>
    <t>Flashy</t>
  </si>
  <si>
    <t>ascension to walmart</t>
  </si>
  <si>
    <t>Silentroom vs Frums - Aegleseeker (BernardFrey Remake)</t>
  </si>
  <si>
    <t>Obscura</t>
  </si>
  <si>
    <t>Stardive</t>
  </si>
  <si>
    <t>Booh</t>
  </si>
  <si>
    <t>Vexatious</t>
  </si>
  <si>
    <t>irises</t>
  </si>
  <si>
    <t>Irises</t>
  </si>
  <si>
    <t>CELESTIA</t>
  </si>
  <si>
    <t>notxo</t>
  </si>
  <si>
    <t>sky.bound</t>
  </si>
  <si>
    <t>Midnight</t>
  </si>
  <si>
    <t>cybergirl mg2</t>
  </si>
  <si>
    <t>Entropic Dreams</t>
  </si>
  <si>
    <t>GhostyMLG</t>
  </si>
  <si>
    <t>-Cant Sleep-</t>
  </si>
  <si>
    <t>Deimacron</t>
  </si>
  <si>
    <t>3rd Prototype - Climbing [Chapter Eight]</t>
  </si>
  <si>
    <t>Illumined Ambience</t>
  </si>
  <si>
    <t>TURNING POINT</t>
  </si>
  <si>
    <t>F r o n t i e r</t>
  </si>
  <si>
    <t>frontier remake</t>
  </si>
  <si>
    <t>FLORAL STROBE</t>
  </si>
  <si>
    <t>INTERFERENCE</t>
  </si>
  <si>
    <t>Rifct</t>
  </si>
  <si>
    <t>Glacier 15</t>
  </si>
  <si>
    <t>Rosegold</t>
  </si>
  <si>
    <t>KryptGMD</t>
  </si>
  <si>
    <t>Robotic Wings</t>
  </si>
  <si>
    <t>CONQUER</t>
  </si>
  <si>
    <t>nothombium</t>
  </si>
  <si>
    <t>Giorgilorio Drift</t>
  </si>
  <si>
    <t>Different Space</t>
  </si>
  <si>
    <t>deconstruction</t>
  </si>
  <si>
    <t>Who Are Me?</t>
  </si>
  <si>
    <t>Ricochet Love</t>
  </si>
  <si>
    <t>The Moonlight</t>
  </si>
  <si>
    <t>Deadlier Clubstep</t>
  </si>
  <si>
    <t>take two</t>
  </si>
  <si>
    <t>AetheR Forest</t>
  </si>
  <si>
    <t>Violet Illusions</t>
  </si>
  <si>
    <t>Hopping Over Puddles</t>
  </si>
  <si>
    <t>NGUAC Final Round - Hopping Over Puddles</t>
  </si>
  <si>
    <t>Deep Bass</t>
  </si>
  <si>
    <t>STRUGGLER</t>
  </si>
  <si>
    <t>Struggler</t>
  </si>
  <si>
    <t>BLUR</t>
  </si>
  <si>
    <t>EXILE.</t>
  </si>
  <si>
    <t>Zurb</t>
  </si>
  <si>
    <t>CreatorOfZurb</t>
  </si>
  <si>
    <t>inner</t>
  </si>
  <si>
    <t>lunarxx</t>
  </si>
  <si>
    <t>Kjdf8314jlfssf</t>
  </si>
  <si>
    <t>Hyperventilation</t>
  </si>
  <si>
    <t>ConClusion</t>
  </si>
  <si>
    <t>obsolete tombdance</t>
  </si>
  <si>
    <t>Schram</t>
  </si>
  <si>
    <t>Lordant  Aflame</t>
  </si>
  <si>
    <t>Flush Factory</t>
  </si>
  <si>
    <t>UNG</t>
  </si>
  <si>
    <t>Reactor Core</t>
  </si>
  <si>
    <t>Flame of Nuclear (original:Solar Sect of Mystic Wisdom ~ Nuclear Fusion)</t>
  </si>
  <si>
    <t>SynkhroDax</t>
  </si>
  <si>
    <t>All In</t>
  </si>
  <si>
    <t>Karma Fields "Stickup" (scuffed remix)</t>
  </si>
  <si>
    <t>memory Reboot</t>
  </si>
  <si>
    <t>Memory Reboot</t>
  </si>
  <si>
    <t>Neur Absence</t>
  </si>
  <si>
    <t>Infowler - Home ft. DaiaJ (Sharks Remix)</t>
  </si>
  <si>
    <t>Ploink</t>
  </si>
  <si>
    <t>Garden Party</t>
  </si>
  <si>
    <t>Sephiroth Ultra</t>
  </si>
  <si>
    <t>Soup26</t>
  </si>
  <si>
    <t>Gift of Despair_PROJECT</t>
  </si>
  <si>
    <t>crash system</t>
  </si>
  <si>
    <t>Xukarns</t>
  </si>
  <si>
    <t>SkyBase</t>
  </si>
  <si>
    <t>CRITICAL</t>
  </si>
  <si>
    <t>factal - Flux (Soundbin Remix)</t>
  </si>
  <si>
    <t>Zpace invaderZ</t>
  </si>
  <si>
    <t>Zpace Invaderz</t>
  </si>
  <si>
    <t>Wombo Combo</t>
  </si>
  <si>
    <t>Kimi18</t>
  </si>
  <si>
    <t>Maze Fell Down RIP</t>
  </si>
  <si>
    <t>iKoty</t>
  </si>
  <si>
    <t>Polar Picknick</t>
  </si>
  <si>
    <t>Cosmina</t>
  </si>
  <si>
    <t>~BH~ Crystalline Cloudscape</t>
  </si>
  <si>
    <t>Virtual Reality</t>
  </si>
  <si>
    <t>Living Open</t>
  </si>
  <si>
    <t>Punkade Arc</t>
  </si>
  <si>
    <t>Tacnael</t>
  </si>
  <si>
    <t>Im Dead</t>
  </si>
  <si>
    <t>Cavortion</t>
  </si>
  <si>
    <t>DISCOMANIA</t>
  </si>
  <si>
    <t>nikverr</t>
  </si>
  <si>
    <t>Will We Plummet</t>
  </si>
  <si>
    <t>Complification-Master-Station</t>
  </si>
  <si>
    <t>C R U S H</t>
  </si>
  <si>
    <t>kosmakenshi</t>
  </si>
  <si>
    <t>PixL</t>
  </si>
  <si>
    <t>Monopole</t>
  </si>
  <si>
    <t>Redemption Arc</t>
  </si>
  <si>
    <t>this is the beat</t>
  </si>
  <si>
    <t>Will Be Fine</t>
  </si>
  <si>
    <t>xm1x</t>
  </si>
  <si>
    <t>ItzAdrift</t>
  </si>
  <si>
    <t>2 Exit</t>
  </si>
  <si>
    <t>Albee - Seismic Activity [remaster for cytokinesis]</t>
  </si>
  <si>
    <t>Just Kidding</t>
  </si>
  <si>
    <t>Save this world</t>
  </si>
  <si>
    <t>Exyl - SAVE THIS WRLD</t>
  </si>
  <si>
    <t>Distant Dream</t>
  </si>
  <si>
    <t>The Funk Tank</t>
  </si>
  <si>
    <t>Heat Waves</t>
  </si>
  <si>
    <t>Golden Future II</t>
  </si>
  <si>
    <t>Hollywood (ft. ????Rhodes)</t>
  </si>
  <si>
    <t>dissolve</t>
  </si>
  <si>
    <t>dx9scope</t>
  </si>
  <si>
    <t>Final Gambit</t>
  </si>
  <si>
    <t>Tectonic Tempo</t>
  </si>
  <si>
    <t>Jambees</t>
  </si>
  <si>
    <t>Carcass</t>
  </si>
  <si>
    <t>Dream Odyssey</t>
  </si>
  <si>
    <t>BITBLEXIT</t>
  </si>
  <si>
    <t>NO CONNECT</t>
  </si>
  <si>
    <t>Nostalgic Overdrive</t>
  </si>
  <si>
    <t>hasuopf</t>
  </si>
  <si>
    <t>OXIDIZE</t>
  </si>
  <si>
    <t>MULTIVERSE</t>
  </si>
  <si>
    <t>jiseop</t>
  </si>
  <si>
    <t>100HEX</t>
  </si>
  <si>
    <t>Crash Game</t>
  </si>
  <si>
    <t>Invaders</t>
  </si>
  <si>
    <t>blakejm</t>
  </si>
  <si>
    <t>Gameboy Advance SP Blue Edition (Oney Plays) Creepypasta Song- The Living Tombstone</t>
  </si>
  <si>
    <t>No Ember</t>
  </si>
  <si>
    <t>arplight</t>
  </si>
  <si>
    <t>Rayovac</t>
  </si>
  <si>
    <t>Power Surge</t>
  </si>
  <si>
    <t>Back to fight V</t>
  </si>
  <si>
    <t>Escaping The Simulation</t>
  </si>
  <si>
    <t>iloveyou</t>
  </si>
  <si>
    <t>orangej</t>
  </si>
  <si>
    <t>My 303 Wants To Bang Me</t>
  </si>
  <si>
    <t>EntiqueGD</t>
  </si>
  <si>
    <t>CuaeR</t>
  </si>
  <si>
    <t>in this together</t>
  </si>
  <si>
    <t>Frostbite564</t>
  </si>
  <si>
    <t>Sometimes Pancakes</t>
  </si>
  <si>
    <t>GOLD RUSH</t>
  </si>
  <si>
    <t>SportsCarz11</t>
  </si>
  <si>
    <t>NANT</t>
  </si>
  <si>
    <t>Amukkuna</t>
  </si>
  <si>
    <t>Ghost Ship</t>
  </si>
  <si>
    <t>ThanatosGMD</t>
  </si>
  <si>
    <t>Teminite - Ghost Ship</t>
  </si>
  <si>
    <t>NO MORE</t>
  </si>
  <si>
    <t>Sergio el nino</t>
  </si>
  <si>
    <t>longestsoloever - No More (Instrumental cover)</t>
  </si>
  <si>
    <t>Updatophobia</t>
  </si>
  <si>
    <t>Apex</t>
  </si>
  <si>
    <t>Lit Path</t>
  </si>
  <si>
    <t>Puzzlemania</t>
  </si>
  <si>
    <t>Alternative Reality</t>
  </si>
  <si>
    <t>DynamiX</t>
  </si>
  <si>
    <t>Akvaz</t>
  </si>
  <si>
    <t>EVENT HORIZON</t>
  </si>
  <si>
    <t>zFlare5</t>
  </si>
  <si>
    <t>kanyi</t>
  </si>
  <si>
    <t>IExpy</t>
  </si>
  <si>
    <t>Exyl - MOAI MONEY</t>
  </si>
  <si>
    <t>water demon</t>
  </si>
  <si>
    <t>anchor tears</t>
  </si>
  <si>
    <t>Ancestral World</t>
  </si>
  <si>
    <t>MEXAHN3M</t>
  </si>
  <si>
    <t>Fgoll</t>
  </si>
  <si>
    <t>NOIR</t>
  </si>
  <si>
    <t>Red Giant (Psytrance, 138 bpm)</t>
  </si>
  <si>
    <t>Twotaolloween</t>
  </si>
  <si>
    <t>The Stomp</t>
  </si>
  <si>
    <t>ItsDanito</t>
  </si>
  <si>
    <t>Retro girl</t>
  </si>
  <si>
    <t>RENDEZVOUS</t>
  </si>
  <si>
    <t>StyphonTV</t>
  </si>
  <si>
    <t>Tesseract Termination</t>
  </si>
  <si>
    <t>Lithium</t>
  </si>
  <si>
    <t>Subterranean Society</t>
  </si>
  <si>
    <t>BasedZmeN</t>
  </si>
  <si>
    <t>Higher</t>
  </si>
  <si>
    <t>iMist</t>
  </si>
  <si>
    <t>X3ll3n - Higher</t>
  </si>
  <si>
    <t>Advent Aurora</t>
  </si>
  <si>
    <t>Twiisoo</t>
  </si>
  <si>
    <t>MonkeyInABowl</t>
  </si>
  <si>
    <t>star crush angel</t>
  </si>
  <si>
    <t>Slydens Castle</t>
  </si>
  <si>
    <t>And Ever</t>
  </si>
  <si>
    <t>geoflash</t>
  </si>
  <si>
    <t>zaroren</t>
  </si>
  <si>
    <t>Atomic Inc. - Finish Me (DJ Spyroof Remake Edit)</t>
  </si>
  <si>
    <t>Blockbuster</t>
  </si>
  <si>
    <t>Jump</t>
  </si>
  <si>
    <t>Jet Lag</t>
  </si>
  <si>
    <t>Pulse (Original Mix)</t>
  </si>
  <si>
    <t>I wanna be the guy</t>
  </si>
  <si>
    <t>Aless50</t>
  </si>
  <si>
    <t>Fantasy Seal</t>
  </si>
  <si>
    <t>helen parr</t>
  </si>
  <si>
    <t>Unlocked Access</t>
  </si>
  <si>
    <t>Friendly Menace</t>
  </si>
  <si>
    <t>SeMenteGD</t>
  </si>
  <si>
    <t>Worlds Hardest Game</t>
  </si>
  <si>
    <t>Infernal331</t>
  </si>
  <si>
    <t>growing on me</t>
  </si>
  <si>
    <t>The Tower XXII</t>
  </si>
  <si>
    <t>o1iv3</t>
  </si>
  <si>
    <t>Choke Point 3</t>
  </si>
  <si>
    <t>Tower of Infinity</t>
  </si>
  <si>
    <t>Infinity</t>
  </si>
  <si>
    <t>Elder Devourer</t>
  </si>
  <si>
    <t>The Midnight Glades</t>
  </si>
  <si>
    <t>Dark Passage</t>
  </si>
  <si>
    <t>Influks</t>
  </si>
  <si>
    <t>A Puzzling Challenge</t>
  </si>
  <si>
    <t>Tower of Geometry</t>
  </si>
  <si>
    <t>MacaroniBoi1</t>
  </si>
  <si>
    <t>Schuhmacher fly Remix</t>
  </si>
  <si>
    <t>chromaside</t>
  </si>
  <si>
    <t>qalli</t>
  </si>
  <si>
    <t>Sleighbell Summit</t>
  </si>
  <si>
    <t>Summit Climb</t>
  </si>
  <si>
    <t>vlSapphire</t>
  </si>
  <si>
    <t>Arctic A 01</t>
  </si>
  <si>
    <t>SpeedTek</t>
  </si>
  <si>
    <t>The Apocalypse Under</t>
  </si>
  <si>
    <t>NiCkNaMe09</t>
  </si>
  <si>
    <t>8-bit Hero</t>
  </si>
  <si>
    <t>Hole in the Wall</t>
  </si>
  <si>
    <t>shaurya</t>
  </si>
  <si>
    <t>Stella Infection</t>
  </si>
  <si>
    <t>LopyLuna</t>
  </si>
  <si>
    <t>Ambience GS 09</t>
  </si>
  <si>
    <t>Not Sunspike</t>
  </si>
  <si>
    <t>TheSac9009</t>
  </si>
  <si>
    <t>Unreal Tournament 2003 Metal</t>
  </si>
  <si>
    <t>Deep Hue</t>
  </si>
  <si>
    <t>TimeRed</t>
  </si>
  <si>
    <t>Forsaken City</t>
  </si>
  <si>
    <t>Geometric Trials</t>
  </si>
  <si>
    <t>Demolishers</t>
  </si>
  <si>
    <t>Thread Clunks</t>
  </si>
  <si>
    <t>rodrigotron 3000</t>
  </si>
  <si>
    <t>{dj-N} On Fire</t>
  </si>
  <si>
    <t>Gray Way X</t>
  </si>
  <si>
    <t>Burnt Down</t>
  </si>
  <si>
    <t>Spooky Scary Uncle Gary</t>
  </si>
  <si>
    <t>In The Depths</t>
  </si>
  <si>
    <t>SEVEN SECTORS</t>
  </si>
  <si>
    <t>Fall Facility</t>
  </si>
  <si>
    <t>DexBoss</t>
  </si>
  <si>
    <t>Ausk - dreamscape</t>
  </si>
  <si>
    <t>Olanzapine Dreams</t>
  </si>
  <si>
    <t>The Works</t>
  </si>
  <si>
    <t>Cynik</t>
  </si>
  <si>
    <t>Madness Evocation</t>
  </si>
  <si>
    <t>REVOLVER</t>
  </si>
  <si>
    <t>krisking</t>
  </si>
  <si>
    <t>I Wanna Be The GDash</t>
  </si>
  <si>
    <t>IntriZ</t>
  </si>
  <si>
    <t>[KgZ] You Cant Stop Me!</t>
  </si>
  <si>
    <t>Flame Arena I</t>
  </si>
  <si>
    <t>Rhandom</t>
  </si>
  <si>
    <t>Dark Atmosphere 04</t>
  </si>
  <si>
    <t>Forgotten Tower</t>
  </si>
  <si>
    <t>Aytan</t>
  </si>
  <si>
    <t>Ambient 03</t>
  </si>
  <si>
    <t>Toxic Surge</t>
  </si>
  <si>
    <t>Star Road</t>
  </si>
  <si>
    <t>Diminution</t>
  </si>
  <si>
    <t>Xtrullor - Neophyte</t>
  </si>
  <si>
    <t>ShiftLeaf Temple</t>
  </si>
  <si>
    <t>The Citadel</t>
  </si>
  <si>
    <t>panap</t>
  </si>
  <si>
    <t>Cave Dungeon</t>
  </si>
  <si>
    <t>Super Dash Boy</t>
  </si>
  <si>
    <t>Atron21</t>
  </si>
  <si>
    <t>"Fast Track to Browntown / Salt Factory Boss" - Super Meat Boy! |Epic REMIX|</t>
  </si>
  <si>
    <t>Quasar City</t>
  </si>
  <si>
    <t>durewmsiwe_2</t>
  </si>
  <si>
    <t>Sunset Summit</t>
  </si>
  <si>
    <t>ScriptedNil</t>
  </si>
  <si>
    <t>zami - break inflection (house flip)</t>
  </si>
  <si>
    <t>The Spectre</t>
  </si>
  <si>
    <t>old site gdside</t>
  </si>
  <si>
    <t>ArcadiacManiac</t>
  </si>
  <si>
    <t>Celeste - Resurrections</t>
  </si>
  <si>
    <t>Toomas</t>
  </si>
  <si>
    <t>Pink Future</t>
  </si>
  <si>
    <t>The Abyss</t>
  </si>
  <si>
    <t>Celeste-Heart of the Moutain (Dakota Rineer remix)</t>
  </si>
  <si>
    <t>Coaster Mountain</t>
  </si>
  <si>
    <t>Snowy Night</t>
  </si>
  <si>
    <t>Xolotl</t>
  </si>
  <si>
    <t>Desert Citadel</t>
  </si>
  <si>
    <t>Maethrillian</t>
  </si>
  <si>
    <t>Space Night Club</t>
  </si>
  <si>
    <t>Merry Cripmax</t>
  </si>
  <si>
    <t>22 Trials of PAIN</t>
  </si>
  <si>
    <t>The Wires</t>
  </si>
  <si>
    <t>Dual Escape</t>
  </si>
  <si>
    <t>Laurendi222</t>
  </si>
  <si>
    <t>Ready</t>
  </si>
  <si>
    <t>Storm</t>
  </si>
  <si>
    <t>Logodomy</t>
  </si>
  <si>
    <t>TheMilkCat</t>
  </si>
  <si>
    <t>DsinK</t>
  </si>
  <si>
    <t>blindsighted</t>
  </si>
  <si>
    <t>sowre</t>
  </si>
  <si>
    <t>Midnight Blue</t>
  </si>
  <si>
    <t>Launch Factory</t>
  </si>
  <si>
    <t>Toyou</t>
  </si>
  <si>
    <t>Sunset Orange</t>
  </si>
  <si>
    <t>Cxnder - Daytime To Night (Remastered)</t>
  </si>
  <si>
    <t>SEHNSUCHT</t>
  </si>
  <si>
    <t>Lil Pet</t>
  </si>
  <si>
    <t>JeffGmD</t>
  </si>
  <si>
    <t>Back Alleys</t>
  </si>
  <si>
    <t>FIZTEKO</t>
  </si>
  <si>
    <t>FOX</t>
  </si>
  <si>
    <t>FLOAT</t>
  </si>
  <si>
    <t>Neostic</t>
  </si>
  <si>
    <t>Necromancy</t>
  </si>
  <si>
    <t>I see ees I</t>
  </si>
  <si>
    <t>sequence of senses - sight</t>
  </si>
  <si>
    <t>Flipswap Factory</t>
  </si>
  <si>
    <t>Machine Factory</t>
  </si>
  <si>
    <t>Friend Factory</t>
  </si>
  <si>
    <t>miamakura</t>
  </si>
  <si>
    <t>duAlist</t>
  </si>
  <si>
    <t>KingEggplant987</t>
  </si>
  <si>
    <t>Worm Caves (Adventure of Leek OST)</t>
  </si>
  <si>
    <t>GD Tower Tiny Square</t>
  </si>
  <si>
    <t>liamiamliam</t>
  </si>
  <si>
    <t>Pixelbits of Reality</t>
  </si>
  <si>
    <t>lost myself</t>
  </si>
  <si>
    <t>My Feelings</t>
  </si>
  <si>
    <t>Buddy Trials</t>
  </si>
  <si>
    <t>The Ascension</t>
  </si>
  <si>
    <t>thejshadow</t>
  </si>
  <si>
    <t>Forest</t>
  </si>
  <si>
    <t>Give Up</t>
  </si>
  <si>
    <t>UPSCOPE</t>
  </si>
  <si>
    <t>BUZ BAM</t>
  </si>
  <si>
    <t>PentuGD</t>
  </si>
  <si>
    <t>SPACEWALKER</t>
  </si>
  <si>
    <t>Angibobs Revenge</t>
  </si>
  <si>
    <t>Pleavalance</t>
  </si>
  <si>
    <t>Aspartam</t>
  </si>
  <si>
    <t>Save this wrld</t>
  </si>
  <si>
    <t>XDjoa</t>
  </si>
  <si>
    <t>Salt</t>
  </si>
  <si>
    <t>ThiKn</t>
  </si>
  <si>
    <t>Aeon Flux</t>
  </si>
  <si>
    <t>n???? ????f[l]ux</t>
  </si>
  <si>
    <t>Loveless</t>
  </si>
  <si>
    <t>Skybreak &amp; Christian Hayward - Loveless</t>
  </si>
  <si>
    <t>dashing over it</t>
  </si>
  <si>
    <t>Halapeenyo</t>
  </si>
  <si>
    <t>First Steps</t>
  </si>
  <si>
    <t>J E N O V A</t>
  </si>
  <si>
    <t>ELEPS - START AGAIN (DUBSTEP)</t>
  </si>
  <si>
    <t>FISHPUNCH</t>
  </si>
  <si>
    <t>6FINGERDEATHPUNCH</t>
  </si>
  <si>
    <t>Cosmic Curse</t>
  </si>
  <si>
    <t>The Devourer of Gods</t>
  </si>
  <si>
    <t>IAMHER0BRINE</t>
  </si>
  <si>
    <t>BIG SHOT</t>
  </si>
  <si>
    <t>trolololay</t>
  </si>
  <si>
    <t>BIG SHOT - Deltarune (Metal Cover)</t>
  </si>
  <si>
    <t>As Reality Falls</t>
  </si>
  <si>
    <t>arachnid tetris</t>
  </si>
  <si>
    <t>Chiptune Gameplay 07</t>
  </si>
  <si>
    <t>GravLab</t>
  </si>
  <si>
    <t>rtnman</t>
  </si>
  <si>
    <t>Tech Labs</t>
  </si>
  <si>
    <t>HYPER GRAVITRON</t>
  </si>
  <si>
    <t>exsii</t>
  </si>
  <si>
    <t>Pressure Cooker - VVVVVV [REMIX]</t>
  </si>
  <si>
    <t>Twenty Trials</t>
  </si>
  <si>
    <t>morpe</t>
  </si>
  <si>
    <t>Tendrils</t>
  </si>
  <si>
    <t>The Crypt</t>
  </si>
  <si>
    <t>NaezharGD</t>
  </si>
  <si>
    <t>Mongadishu</t>
  </si>
  <si>
    <t>ParagonX9 - Chaoz Japan</t>
  </si>
  <si>
    <t>Spider Dance</t>
  </si>
  <si>
    <t>TomscurseD</t>
  </si>
  <si>
    <t>Dunes Bastion</t>
  </si>
  <si>
    <t>Skeetawn</t>
  </si>
  <si>
    <t>Desert Ambience Dark</t>
  </si>
  <si>
    <t>DownWell</t>
  </si>
  <si>
    <t>NoneNothing</t>
  </si>
  <si>
    <t>Air</t>
  </si>
  <si>
    <t>Deni Lavoen</t>
  </si>
  <si>
    <t>Cyberphobia</t>
  </si>
  <si>
    <t>devins thorn zone</t>
  </si>
  <si>
    <t>ItzJitterbug325</t>
  </si>
  <si>
    <t>Death</t>
  </si>
  <si>
    <t>VARUSCAPE</t>
  </si>
  <si>
    <t>SoftMuffin76</t>
  </si>
  <si>
    <t>BLACK LASS</t>
  </si>
  <si>
    <t>Basil</t>
  </si>
  <si>
    <t>Swap Block Star Road</t>
  </si>
  <si>
    <t>Future Ambient 01</t>
  </si>
  <si>
    <t>Lobotomy Adventure</t>
  </si>
  <si>
    <t>VuroPearl</t>
  </si>
  <si>
    <t>A Forest Interlude</t>
  </si>
  <si>
    <t>Castellum</t>
  </si>
  <si>
    <t>Orelu</t>
  </si>
  <si>
    <t>Whg3 Lv5</t>
  </si>
  <si>
    <t>FakeHATETAG</t>
  </si>
  <si>
    <t>Maximum Security</t>
  </si>
  <si>
    <t>Battle Mode On</t>
  </si>
  <si>
    <t>Akkonchetumare</t>
  </si>
  <si>
    <t>ImAkKo</t>
  </si>
  <si>
    <t>ELEPS - We Gangsters (Original Mix)</t>
  </si>
  <si>
    <t>Retro Reality</t>
  </si>
  <si>
    <t>Shirobon - Break Away</t>
  </si>
  <si>
    <t>Ice Climbers</t>
  </si>
  <si>
    <t>Ice Climber: Hard Ice</t>
  </si>
  <si>
    <t>Kitchen Roll</t>
  </si>
  <si>
    <t>ROBERTTIMPER</t>
  </si>
  <si>
    <t>Dope Chaos</t>
  </si>
  <si>
    <t>NesGMD</t>
  </si>
  <si>
    <t>Apoplexy Tanks (Cover)</t>
  </si>
  <si>
    <t>Poisonous Chamber</t>
  </si>
  <si>
    <t>Lights Up</t>
  </si>
  <si>
    <t>Active Volcanic Mine</t>
  </si>
  <si>
    <t>Demro5479</t>
  </si>
  <si>
    <t>160 bpm old dnb jungle breakcore</t>
  </si>
  <si>
    <t>Idling Somewhere</t>
  </si>
  <si>
    <t>Concrete Park</t>
  </si>
  <si>
    <t>lopetrum</t>
  </si>
  <si>
    <t>im happy 4 you</t>
  </si>
  <si>
    <t>No ob</t>
  </si>
  <si>
    <t>BOXED</t>
  </si>
  <si>
    <t>NotAstrald</t>
  </si>
  <si>
    <t>8bit Dungeon Boss</t>
  </si>
  <si>
    <t>Tombstone Project</t>
  </si>
  <si>
    <t>Tomb</t>
  </si>
  <si>
    <t>it really circles</t>
  </si>
  <si>
    <t>[TMM43]So It Begins [F]</t>
  </si>
  <si>
    <t>de hel poes</t>
  </si>
  <si>
    <t>Failcat</t>
  </si>
  <si>
    <t>pit of 50 trials</t>
  </si>
  <si>
    <t>EpicLemon99</t>
  </si>
  <si>
    <t>Flip/Flopside Pit of 100 Trials (extended remix)</t>
  </si>
  <si>
    <t>Humanity will follow</t>
  </si>
  <si>
    <t>TheNamesSnek</t>
  </si>
  <si>
    <t>Granite</t>
  </si>
  <si>
    <t>wallywalrus</t>
  </si>
  <si>
    <t>Downfall</t>
  </si>
  <si>
    <t>Y0rk</t>
  </si>
  <si>
    <t>Terminal Heaven</t>
  </si>
  <si>
    <t>Anxiety</t>
  </si>
  <si>
    <t>CATHARSIS</t>
  </si>
  <si>
    <t>NTHRWRLD - Spinnin</t>
  </si>
  <si>
    <t>RAMRungkader</t>
  </si>
  <si>
    <t>MystikMan</t>
  </si>
  <si>
    <t>moonwalkR</t>
  </si>
  <si>
    <t>Rocket</t>
  </si>
  <si>
    <t>Gimmick Gauntlet</t>
  </si>
  <si>
    <t>Grred</t>
  </si>
  <si>
    <t>Perpetual Insanity</t>
  </si>
  <si>
    <t>AntiTech Revolution</t>
  </si>
  <si>
    <t>V3KTXR</t>
  </si>
  <si>
    <t>Spaze - In Attempt (Unofficial)</t>
  </si>
  <si>
    <t>Matrix</t>
  </si>
  <si>
    <t>GhostGuy707</t>
  </si>
  <si>
    <t>Stellae (Pixel Day 2022)</t>
  </si>
  <si>
    <t>XXV</t>
  </si>
  <si>
    <t>hudson / �</t>
  </si>
  <si>
    <t>R TYPE</t>
  </si>
  <si>
    <t>vegtam</t>
  </si>
  <si>
    <t>R-TYPE 02 opening (Vegtam remake)</t>
  </si>
  <si>
    <t>XRAY</t>
  </si>
  <si>
    <t>worlds hardest game</t>
  </si>
  <si>
    <t>Circlemaniac</t>
  </si>
  <si>
    <t>Starlight</t>
  </si>
  <si>
    <t>Tygore</t>
  </si>
  <si>
    <t>Destruction 19</t>
  </si>
  <si>
    <t>strawberrypizza</t>
  </si>
  <si>
    <t>aqwaris</t>
  </si>
  <si>
    <t>MID</t>
  </si>
  <si>
    <t>110227 - Back of the Bus</t>
  </si>
  <si>
    <t>Macula ii</t>
  </si>
  <si>
    <t>LE CHATEAU MAGIQUE</t>
  </si>
  <si>
    <t>-Thunder Storm-</t>
  </si>
  <si>
    <t>Toggling Theory</t>
  </si>
  <si>
    <t>Shinxray</t>
  </si>
  <si>
    <t>Madeline Is Jump</t>
  </si>
  <si>
    <t>Gravitas</t>
  </si>
  <si>
    <t>Lichas</t>
  </si>
  <si>
    <t>-Jungle Driver-</t>
  </si>
  <si>
    <t>Hemmalugn</t>
  </si>
  <si>
    <t>KattenVenus</t>
  </si>
  <si>
    <t>Vitamin B12</t>
  </si>
  <si>
    <t>MONDBLUMEN</t>
  </si>
  <si>
    <t>METAL HOLLOWS</t>
  </si>
  <si>
    <t>procurador</t>
  </si>
  <si>
    <t>Ancient Crystals</t>
  </si>
  <si>
    <t>tile</t>
  </si>
  <si>
    <t>Time Dodger x Spider in the Snow</t>
  </si>
  <si>
    <t>Life and Beauty</t>
  </si>
  <si>
    <t>c418 - subwoofer lullaby [lofi remix]</t>
  </si>
  <si>
    <t>Derelict instalation</t>
  </si>
  <si>
    <t>Unfamiliar</t>
  </si>
  <si>
    <t>VioletWire</t>
  </si>
  <si>
    <t>unfamiliar</t>
  </si>
  <si>
    <t>LAZER DASH GO</t>
  </si>
  <si>
    <t>PARANOMIA</t>
  </si>
  <si>
    <t>Moving Forward</t>
  </si>
  <si>
    <t>Infowler - Home Again (ft. Mizu)</t>
  </si>
  <si>
    <t>THE PRINCE</t>
  </si>
  <si>
    <t>JustWaaf</t>
  </si>
  <si>
    <t>Industrial</t>
  </si>
  <si>
    <t>Modchips</t>
  </si>
  <si>
    <t>PUMP UP KICK</t>
  </si>
  <si>
    <t>pump it up</t>
  </si>
  <si>
    <t>DASH KING</t>
  </si>
  <si>
    <t>Title 1</t>
  </si>
  <si>
    <t>RONALD MCDONALD</t>
  </si>
  <si>
    <t>mania 2</t>
  </si>
  <si>
    <t>3 Nights at Home</t>
  </si>
  <si>
    <t>witchinghour</t>
  </si>
  <si>
    <t>Project 001</t>
  </si>
  <si>
    <t>jmap3</t>
  </si>
  <si>
    <t>Funny Icejump StagE</t>
  </si>
  <si>
    <t>Osha Violation</t>
  </si>
  <si>
    <t>BROKEN VIDEOCARD</t>
  </si>
  <si>
    <t>MrYer</t>
  </si>
  <si>
    <t>Beat Ninja</t>
  </si>
  <si>
    <t>Rom1o</t>
  </si>
  <si>
    <t>gringus</t>
  </si>
  <si>
    <t>wwintop</t>
  </si>
  <si>
    <t>Starburst</t>
  </si>
  <si>
    <t>Robot King</t>
  </si>
  <si>
    <t>GDgalaxygaming</t>
  </si>
  <si>
    <t>Supreme Demon Mix</t>
  </si>
  <si>
    <t>Dash Labs</t>
  </si>
  <si>
    <t>finsden</t>
  </si>
  <si>
    <t>D Dastly</t>
  </si>
  <si>
    <t>CyanBoi</t>
  </si>
  <si>
    <t>dick dastardly richardson theme</t>
  </si>
  <si>
    <t>Entrenched</t>
  </si>
  <si>
    <t>easymode</t>
  </si>
  <si>
    <t>Donkey Kong - Ambiant Ocean</t>
  </si>
  <si>
    <t>Huellas En La Nieve</t>
  </si>
  <si>
    <t>Tus Huellas En La Nieve (feat. Ashesndreams)</t>
  </si>
  <si>
    <t>Cheyenne</t>
  </si>
  <si>
    <t>Cybermoon</t>
  </si>
  <si>
    <t>Moon Rays</t>
  </si>
  <si>
    <t>SHRED THE BONE</t>
  </si>
  <si>
    <t>iwivii</t>
  </si>
  <si>
    <t>Nebosvod</t>
  </si>
  <si>
    <t>DieXDi</t>
  </si>
  <si>
    <t>angel wings are made of static</t>
  </si>
  <si>
    <t>Shape Shifter</t>
  </si>
  <si>
    <t>Syupa</t>
  </si>
  <si>
    <t>Exyl x Paper Skies - HOW</t>
  </si>
  <si>
    <t>Warblade</t>
  </si>
  <si>
    <t>AuraStorm</t>
  </si>
  <si>
    <t>! SIREN PARTY !</t>
  </si>
  <si>
    <t>Orbswap Shrine</t>
  </si>
  <si>
    <t>ItsEmul</t>
  </si>
  <si>
    <t>P2P: Brute Force</t>
  </si>
  <si>
    <t>encroaching dark</t>
  </si>
  <si>
    <t>DEOGEN</t>
  </si>
  <si>
    <t>-Ghost train-</t>
  </si>
  <si>
    <t>60 Seconds</t>
  </si>
  <si>
    <t>zyphur</t>
  </si>
  <si>
    <t>Tick Tock</t>
  </si>
  <si>
    <t>Begin</t>
  </si>
  <si>
    <t>BaimDaKing</t>
  </si>
  <si>
    <t>RoVoTt</t>
  </si>
  <si>
    <t>JustMiguel7</t>
  </si>
  <si>
    <t>Give up</t>
  </si>
  <si>
    <t>WHIMSY</t>
  </si>
  <si>
    <t>flesh n bones girl</t>
  </si>
  <si>
    <t>???????????????????????????? ???????????????????????????? ???????? &lt;loop&gt;</t>
  </si>
  <si>
    <t>Indigent Dreamscape</t>
  </si>
  <si>
    <t>Infinite Powa</t>
  </si>
  <si>
    <t>Razzley</t>
  </si>
  <si>
    <t>Iapetus</t>
  </si>
  <si>
    <t>Stellar Test</t>
  </si>
  <si>
    <t>4x3lino</t>
  </si>
  <si>
    <t>Protostar [1/6]</t>
  </si>
  <si>
    <t>Meeting With Diana</t>
  </si>
  <si>
    <t>YellowAnimator</t>
  </si>
  <si>
    <t>The Center Will Not Hold (for YellowAnimator)</t>
  </si>
  <si>
    <t>Only Upwards</t>
  </si>
  <si>
    <t>OWOSI</t>
  </si>
  <si>
    <t>Conscious Space</t>
  </si>
  <si>
    <t>Funk Tower</t>
  </si>
  <si>
    <t>Funky Bonus</t>
  </si>
  <si>
    <t>8E8E8</t>
  </si>
  <si>
    <t>MOTOR MOGOK</t>
  </si>
  <si>
    <t>Imagine this lvl</t>
  </si>
  <si>
    <t>ParadoxTI</t>
  </si>
  <si>
    <t>hype</t>
  </si>
  <si>
    <t>Laser Labyrinth</t>
  </si>
  <si>
    <t>23jabeln</t>
  </si>
  <si>
    <t>Portals of Memory</t>
  </si>
  <si>
    <t>NinSam</t>
  </si>
  <si>
    <t>The Last Journey</t>
  </si>
  <si>
    <t>SebasuGD</t>
  </si>
  <si>
    <t>Dash v2</t>
  </si>
  <si>
    <t>Dash</t>
  </si>
  <si>
    <t>Magic Archer</t>
  </si>
  <si>
    <t>Cyborg Ninja</t>
  </si>
  <si>
    <t>Abyssal Whispers</t>
  </si>
  <si>
    <t>sad piano song :(((</t>
  </si>
  <si>
    <t>Flashing Tiles</t>
  </si>
  <si>
    <t>leotorol</t>
  </si>
  <si>
    <t>Waltz Und Basse</t>
  </si>
  <si>
    <t>Lazy Bones Show</t>
  </si>
  <si>
    <t>Syrosvich</t>
  </si>
  <si>
    <t>STRATUS</t>
  </si>
  <si>
    <t>Storm Front</t>
  </si>
  <si>
    <t>Nimbus</t>
  </si>
  <si>
    <t>Eternal Dreams</t>
  </si>
  <si>
    <t>Lumina</t>
  </si>
  <si>
    <t>Distorted Disco</t>
  </si>
  <si>
    <t>AlexAlex2323</t>
  </si>
  <si>
    <t>Move It</t>
  </si>
  <si>
    <t>NDagger</t>
  </si>
  <si>
    <t>Photon Mechanic</t>
  </si>
  <si>
    <t>backboard</t>
  </si>
  <si>
    <t>Chirplet</t>
  </si>
  <si>
    <t>Ascensions Remnants</t>
  </si>
  <si>
    <t>Antiprime</t>
  </si>
  <si>
    <t>Meteorite 2024</t>
  </si>
  <si>
    <t>Joyce</t>
  </si>
  <si>
    <t>RMDEofficial</t>
  </si>
  <si>
    <t>Purple</t>
  </si>
  <si>
    <t>STEEL CORE</t>
  </si>
  <si>
    <t>Ultra Cycles</t>
  </si>
  <si>
    <t>DUAL GUYS</t>
  </si>
  <si>
    <t>Kravli</t>
  </si>
  <si>
    <t>Viral Pandemonium</t>
  </si>
  <si>
    <t>RealKeg</t>
  </si>
  <si>
    <t>Rain and Jungle V1</t>
  </si>
  <si>
    <t>Interferenza</t>
  </si>
  <si>
    <t>Sunless City</t>
  </si>
  <si>
    <t>LakeIsEnby</t>
  </si>
  <si>
    <t>Sir Ealrics Theme</t>
  </si>
  <si>
    <t>Tower of Rage</t>
  </si>
  <si>
    <t>Nontypical</t>
  </si>
  <si>
    <t>Menu Loop</t>
  </si>
  <si>
    <t>Prismatic Spectrum</t>
  </si>
  <si>
    <t>thebun</t>
  </si>
  <si>
    <t>Dashplorers</t>
  </si>
  <si>
    <t>RuebeXPX</t>
  </si>
  <si>
    <t>tetris grandmaster</t>
  </si>
  <si>
    <t>krokoroko</t>
  </si>
  <si>
    <t>Third Axis</t>
  </si>
  <si>
    <t>funwolf7</t>
  </si>
  <si>
    <t>WatehRY</t>
  </si>
  <si>
    <t>Toxic Rave</t>
  </si>
  <si>
    <t>Ruol Ue</t>
  </si>
  <si>
    <t>Redunant</t>
  </si>
  <si>
    <t>Stranding</t>
  </si>
  <si>
    <t>Dahzen</t>
  </si>
  <si>
    <t>WACKY</t>
  </si>
  <si>
    <t>PICE - Snow</t>
  </si>
  <si>
    <t>Sunk</t>
  </si>
  <si>
    <t>Exofr</t>
  </si>
  <si>
    <t>Morphoss</t>
  </si>
  <si>
    <t>~BH~ At The Nationals</t>
  </si>
  <si>
    <t>Rainbow Flux</t>
  </si>
  <si>
    <t>Shining Star</t>
  </si>
  <si>
    <t>IReMaster22I</t>
  </si>
  <si>
    <t>Ciphers Trial</t>
  </si>
  <si>
    <t>DremonD</t>
  </si>
  <si>
    <t>Drop Point</t>
  </si>
  <si>
    <t>Pastel Pulse F</t>
  </si>
  <si>
    <t>wizards</t>
  </si>
  <si>
    <t>Cube Escape</t>
  </si>
  <si>
    <t>funky force</t>
  </si>
  <si>
    <t>VooBu</t>
  </si>
  <si>
    <t>Party Night VIP</t>
  </si>
  <si>
    <t>Insurgente</t>
  </si>
  <si>
    <t>MrLithium</t>
  </si>
  <si>
    <t>Vacuum Tank</t>
  </si>
  <si>
    <t>become fish and die</t>
  </si>
  <si>
    <t>AbstractMight</t>
  </si>
  <si>
    <t>Broken Belle</t>
  </si>
  <si>
    <t>Spidertek</t>
  </si>
  <si>
    <t>Mountain Cat Samurai</t>
  </si>
  <si>
    <t>wetcatsmell X Cacola - Catnap</t>
  </si>
  <si>
    <t>Jetpack Trials</t>
  </si>
  <si>
    <t>Eefy77</t>
  </si>
  <si>
    <t>cpmg</t>
  </si>
  <si>
    <t>p1ume</t>
  </si>
  <si>
    <t>lovel</t>
  </si>
  <si>
    <t>Switchscapes</t>
  </si>
  <si>
    <t>Letting go</t>
  </si>
  <si>
    <t>Magnum Opus</t>
  </si>
  <si>
    <t>Sacred Battle</t>
  </si>
  <si>
    <t>Hazel</t>
  </si>
  <si>
    <t>The Sleeping City (Sunken Valley II)</t>
  </si>
  <si>
    <t>Bouncy Ball</t>
  </si>
  <si>
    <t>Club Penguin - Thin Ice (AgentJDN Remix)</t>
  </si>
  <si>
    <t>Our Design</t>
  </si>
  <si>
    <t>Said - Dancing (Sharks Remix)</t>
  </si>
  <si>
    <t>GET UP</t>
  </si>
  <si>
    <t>Get Up</t>
  </si>
  <si>
    <t>BLITZ</t>
  </si>
  <si>
    <t>RHadium</t>
  </si>
  <si>
    <t>Bossfight - Toxic</t>
  </si>
  <si>
    <t>HYPERION</t>
  </si>
  <si>
    <t>PlantLife</t>
  </si>
  <si>
    <t>Eon</t>
  </si>
  <si>
    <t>The Angel (A Story in 15 Parts)</t>
  </si>
  <si>
    <t>SACRILEGE</t>
  </si>
  <si>
    <t>BULLET IN MY BRAIN</t>
  </si>
  <si>
    <t>WASTING THEY CYCLES</t>
  </si>
  <si>
    <t>infiltration</t>
  </si>
  <si>
    <t>Still Awake</t>
  </si>
  <si>
    <t>Reentry+</t>
  </si>
  <si>
    <t>back to the bizarre</t>
  </si>
  <si>
    <t>six impala - HATEHATEHATEHATEHATEHATE</t>
  </si>
  <si>
    <t>5000kelvin</t>
  </si>
  <si>
    <t>The Crucible</t>
  </si>
  <si>
    <t>Black Castle</t>
  </si>
  <si>
    <t>SpikyGMD</t>
  </si>
  <si>
    <t>ELECTRONIC BEAT</t>
  </si>
  <si>
    <t>ErFrancisMc12</t>
  </si>
  <si>
    <t>Electro Heart [Electro]</t>
  </si>
  <si>
    <t>ThunderStorm</t>
  </si>
  <si>
    <t>Tro5</t>
  </si>
  <si>
    <t>EXCLAMATION</t>
  </si>
  <si>
    <t>EnciGD</t>
  </si>
  <si>
    <t>SPLUGNATION</t>
  </si>
  <si>
    <t>Mayomaze</t>
  </si>
  <si>
    <t>Simplicity IV</t>
  </si>
  <si>
    <t>Wonder</t>
  </si>
  <si>
    <t>Jordi6304</t>
  </si>
  <si>
    <t>Blackout</t>
  </si>
  <si>
    <t>NIRIV</t>
  </si>
  <si>
    <t>BladeonGD</t>
  </si>
  <si>
    <t>Crerro Kaizo I</t>
  </si>
  <si>
    <t>Crerro</t>
  </si>
  <si>
    <t>Mario 64 - Secret Slide</t>
  </si>
  <si>
    <t>STRANGE KEYWORLD</t>
  </si>
  <si>
    <t>Super big soundtrack</t>
  </si>
  <si>
    <t>Ruins of Destiny</t>
  </si>
  <si>
    <t>Aethos</t>
  </si>
  <si>
    <t>cYsmix - FATES</t>
  </si>
  <si>
    <t>Decaying Silo</t>
  </si>
  <si>
    <t>LunarLeo77</t>
  </si>
  <si>
    <t>[BOF:ET] Interval</t>
  </si>
  <si>
    <t>Blamery</t>
  </si>
  <si>
    <t>ELEPS - Blame My Self (Original Mix)</t>
  </si>
  <si>
    <t>Fast N Accuracy</t>
  </si>
  <si>
    <t>IplmaI</t>
  </si>
  <si>
    <t>Mnemonic</t>
  </si>
  <si>
    <t>SirDany</t>
  </si>
  <si>
    <t>Ritual of Calamity</t>
  </si>
  <si>
    <t>b0bby123</t>
  </si>
  <si>
    <t>Stained, Brutal Calamity Remix</t>
  </si>
  <si>
    <t>asynchronous duett</t>
  </si>
  <si>
    <t>Dungeon Treasures</t>
  </si>
  <si>
    <t>Abandoned Warehouse</t>
  </si>
  <si>
    <t>New Beginning II</t>
  </si>
  <si>
    <t>TheFatRat - Never Be Alone</t>
  </si>
  <si>
    <t>ABSURDIA</t>
  </si>
  <si>
    <t>Machinal II</t>
  </si>
  <si>
    <t>What The Cat</t>
  </si>
  <si>
    <t>WHAT THE CAT</t>
  </si>
  <si>
    <t>DeepDive</t>
  </si>
  <si>
    <t>Level Three</t>
  </si>
  <si>
    <t>FakeRodri</t>
  </si>
  <si>
    <t>Abundance</t>
  </si>
  <si>
    <t>HugOFF</t>
  </si>
  <si>
    <t>Flame Arena II</t>
  </si>
  <si>
    <t>WORSTBRAINMAP</t>
  </si>
  <si>
    <t>cracko</t>
  </si>
  <si>
    <t>CPU</t>
  </si>
  <si>
    <t>Pootis Engage XTREME</t>
  </si>
  <si>
    <t>Still A Way</t>
  </si>
  <si>
    <t>Hack695</t>
  </si>
  <si>
    <t>Space Travel</t>
  </si>
  <si>
    <t>FlAsH</t>
  </si>
  <si>
    <t>MaryCat24</t>
  </si>
  <si>
    <t>Sonic Wave Unlimited</t>
  </si>
  <si>
    <t>zNotNinja</t>
  </si>
  <si>
    <t>Switchy Escape</t>
  </si>
  <si>
    <t>TamTixx</t>
  </si>
  <si>
    <t>The First Recital</t>
  </si>
  <si>
    <t>Amoris</t>
  </si>
  <si>
    <t>TRACKLIST</t>
  </si>
  <si>
    <t>Deadly Recognition</t>
  </si>
  <si>
    <t>Misty Rose</t>
  </si>
  <si>
    <t>How We Win</t>
  </si>
  <si>
    <t>DeeperSpace</t>
  </si>
  <si>
    <t>Space Invaders</t>
  </si>
  <si>
    <t>geography dash</t>
  </si>
  <si>
    <t>mwzn</t>
  </si>
  <si>
    <t>sterrenpoes</t>
  </si>
  <si>
    <t>PSYCHO</t>
  </si>
  <si>
    <t>F-777 - System Reboot</t>
  </si>
  <si>
    <t>Outer Wall</t>
  </si>
  <si>
    <t>gdpingua</t>
  </si>
  <si>
    <t>CS Moonsong V.2</t>
  </si>
  <si>
    <t>AERO BLUE VISTA</t>
  </si>
  <si>
    <t>Michaelsoft Binbows XP69</t>
  </si>
  <si>
    <t>CMD</t>
  </si>
  <si>
    <t>arom4k</t>
  </si>
  <si>
    <t>Termination Shock [Remake]</t>
  </si>
  <si>
    <t>Stormy DASHcent</t>
  </si>
  <si>
    <t>ImMasterX</t>
  </si>
  <si>
    <t>Dr. Neo Cortex (Crash 1) Smash Remix</t>
  </si>
  <si>
    <t>Back Again</t>
  </si>
  <si>
    <t>Siniristi</t>
  </si>
  <si>
    <t>Wall jump</t>
  </si>
  <si>
    <t>FuegoPro</t>
  </si>
  <si>
    <t>Aggressive 04</t>
  </si>
  <si>
    <t>Ascension Tower</t>
  </si>
  <si>
    <t>Cubical7</t>
  </si>
  <si>
    <t>The Tension Before</t>
  </si>
  <si>
    <t>Make it funky</t>
  </si>
  <si>
    <t>Live It Alone</t>
  </si>
  <si>
    <t>Izumo</t>
  </si>
  <si>
    <t>Swiftness</t>
  </si>
  <si>
    <t>diamondstorm</t>
  </si>
  <si>
    <t>Chief Needler</t>
  </si>
  <si>
    <t>imitation game</t>
  </si>
  <si>
    <t>Netrunner</t>
  </si>
  <si>
    <t>BOSS RUSH</t>
  </si>
  <si>
    <t>JUMPMAN</t>
  </si>
  <si>
    <t>DETROIT BEAT</t>
  </si>
  <si>
    <t>Falsch</t>
  </si>
  <si>
    <t>Ximm - False</t>
  </si>
  <si>
    <t>FLASHBEAT</t>
  </si>
  <si>
    <t>OutGuard</t>
  </si>
  <si>
    <t>BarbarosFinaleFinale</t>
  </si>
  <si>
    <t>In Visible</t>
  </si>
  <si>
    <t>Bjh6078</t>
  </si>
  <si>
    <t>GM,BW OST - 04 - Another Me?</t>
  </si>
  <si>
    <t>zStormy389</t>
  </si>
  <si>
    <t>???????? [Lofi]</t>
  </si>
  <si>
    <t>Painted Ascent</t>
  </si>
  <si>
    <t>woolypig</t>
  </si>
  <si>
    <t>Wind A 01</t>
  </si>
  <si>
    <t>3que Tuoi Lxn</t>
  </si>
  <si>
    <t>Zhuzhzhalka76</t>
  </si>
  <si>
    <t>Xy76</t>
  </si>
  <si>
    <t>radio tower</t>
  </si>
  <si>
    <t>DavidConcal</t>
  </si>
  <si>
    <t>Desert Theme</t>
  </si>
  <si>
    <t>Infinite Inversion</t>
  </si>
  <si>
    <t>Multidimensional</t>
  </si>
  <si>
    <t>The Towerverse</t>
  </si>
  <si>
    <t>Mass Surveillance</t>
  </si>
  <si>
    <t>Crud</t>
  </si>
  <si>
    <t>The Trials</t>
  </si>
  <si>
    <t>Cave</t>
  </si>
  <si>
    <t>Globed Tower</t>
  </si>
  <si>
    <t>Apple Forest</t>
  </si>
  <si>
    <t>BEATWORLD</t>
  </si>
  <si>
    <t>jbooster</t>
  </si>
  <si>
    <t>You are stronger than you think</t>
  </si>
  <si>
    <t>Mississippi Mudslide</t>
  </si>
  <si>
    <t>bbenja</t>
  </si>
  <si>
    <t>Dragonfly</t>
  </si>
  <si>
    <t>Le conteur de temps</t>
  </si>
  <si>
    <t>Dyltan77</t>
  </si>
  <si>
    <t>Techno Flashes</t>
  </si>
  <si>
    <t>Javixed4</t>
  </si>
  <si>
    <t>Lucid Lights</t>
  </si>
  <si>
    <t>Eternal</t>
  </si>
  <si>
    <t>Cubiminx</t>
  </si>
  <si>
    <t>Hyperstellar</t>
  </si>
  <si>
    <t>Graydient7</t>
  </si>
  <si>
    <t>Koi no Uta</t>
  </si>
  <si>
    <t>Yunomi - Koi no Uta (Vegtam melodic bass rmx)</t>
  </si>
  <si>
    <t>SisuSonic</t>
  </si>
  <si>
    <t>RpgRaketti</t>
  </si>
  <si>
    <t>RAINBOW GIRL</t>
  </si>
  <si>
    <t>LLoom</t>
  </si>
  <si>
    <t>Flower Peak</t>
  </si>
  <si>
    <t>Perox8</t>
  </si>
  <si>
    <t>Acceptance</t>
  </si>
  <si>
    <t>Electric Cherry</t>
  </si>
  <si>
    <t>Fish Collector</t>
  </si>
  <si>
    <t>Pixel Peeker Polka - slower</t>
  </si>
  <si>
    <t>mission CSI</t>
  </si>
  <si>
    <t>WhaleDP</t>
  </si>
  <si>
    <t>Selvatic Ruins</t>
  </si>
  <si>
    <t>simula</t>
  </si>
  <si>
    <t>Puasa</t>
  </si>
  <si>
    <t>Olympic</t>
  </si>
  <si>
    <t>LOUD</t>
  </si>
  <si>
    <t>EclipseSquad</t>
  </si>
  <si>
    <t>3rd Prototype - LOUD!</t>
  </si>
  <si>
    <t>fall</t>
  </si>
  <si>
    <t>LiLcAnE</t>
  </si>
  <si>
    <t>Beatpulse</t>
  </si>
  <si>
    <t>Getting Over It</t>
  </si>
  <si>
    <t>Jazz tune in 3/4</t>
  </si>
  <si>
    <t>FARBIDI THEORY</t>
  </si>
  <si>
    <t>Wacky Blocks</t>
  </si>
  <si>
    <t>Xorxis</t>
  </si>
  <si>
    <t>OXI</t>
  </si>
  <si>
    <t>oxi_gen</t>
  </si>
  <si>
    <t>Jungle Swing</t>
  </si>
  <si>
    <t>Lost in Jungle</t>
  </si>
  <si>
    <t>FURY</t>
  </si>
  <si>
    <t>fury. (w/ kydsky, bsterthegawd)</t>
  </si>
  <si>
    <t>NathanielPesta</t>
  </si>
  <si>
    <t>OrangeBoiiiiiii</t>
  </si>
  <si>
    <t>WAR</t>
  </si>
  <si>
    <t>caerbanoc</t>
  </si>
  <si>
    <t>Violence (Original Mix)</t>
  </si>
  <si>
    <t>PixelLocked</t>
  </si>
  <si>
    <t>Ghost Nova</t>
  </si>
  <si>
    <t>toothpaste YAY</t>
  </si>
  <si>
    <t>Color Temple</t>
  </si>
  <si>
    <t>PolikYT</t>
  </si>
  <si>
    <t>Beyond the Geostationary Orbit Level</t>
  </si>
  <si>
    <t>NTTE</t>
  </si>
  <si>
    <t>EnoOr4Real</t>
  </si>
  <si>
    <t>No Time To Explain</t>
  </si>
  <si>
    <t>Ball Revamped Dash</t>
  </si>
  <si>
    <t>GDFlutter</t>
  </si>
  <si>
    <t>EVERMORE</t>
  </si>
  <si>
    <t>Tapers (feat. Mokshadripp)</t>
  </si>
  <si>
    <t>Anarchy Road</t>
  </si>
  <si>
    <t>Electrify - The Path Untrodden</t>
  </si>
  <si>
    <t>FRUSTRATION</t>
  </si>
  <si>
    <t>Miniature Fantasy (Radio Edit)</t>
  </si>
  <si>
    <t>intense green</t>
  </si>
  <si>
    <t>watrmel1</t>
  </si>
  <si>
    <t>Lordant - Allegro Fratturato</t>
  </si>
  <si>
    <t>xKey</t>
  </si>
  <si>
    <t>HOOKTEK</t>
  </si>
  <si>
    <t>Dark Ambient</t>
  </si>
  <si>
    <t>last ship was cool</t>
  </si>
  <si>
    <t>GD Gecko</t>
  </si>
  <si>
    <t>Celestial Power</t>
  </si>
  <si>
    <t>QuadarVerse</t>
  </si>
  <si>
    <t>Nacreous Snowmelt</t>
  </si>
  <si>
    <t>Bomb Defusal</t>
  </si>
  <si>
    <t>BrutalSword</t>
  </si>
  <si>
    <t>kobai</t>
  </si>
  <si>
    <t>petalflowerr</t>
  </si>
  <si>
    <t>radiant glint</t>
  </si>
  <si>
    <t>fragments</t>
  </si>
  <si>
    <t>PSYCHOPATH</t>
  </si>
  <si>
    <t>CUT DEEP</t>
  </si>
  <si>
    <t>MALWARE HALO</t>
  </si>
  <si>
    <t>BROKEN LIMIT</t>
  </si>
  <si>
    <t>DizzyRoach</t>
  </si>
  <si>
    <t>LD50</t>
  </si>
  <si>
    <t>Lexapro Delirium - cover</t>
  </si>
  <si>
    <t>Marlboro reds</t>
  </si>
  <si>
    <t>xSlendy</t>
  </si>
  <si>
    <t>Rat King</t>
  </si>
  <si>
    <t>Unimportance - Ouch</t>
  </si>
  <si>
    <t>particle horizon</t>
  </si>
  <si>
    <t>Svallux</t>
  </si>
  <si>
    <t>ArchangeL - Short Version</t>
  </si>
  <si>
    <t>Mount Sorrow</t>
  </si>
  <si>
    <t>Free Solo</t>
  </si>
  <si>
    <t>meowmastererer</t>
  </si>
  <si>
    <t>Flowering Rain</t>
  </si>
  <si>
    <t>clWinter</t>
  </si>
  <si>
    <t>Shattered Mirror</t>
  </si>
  <si>
    <t>OVERKILL</t>
  </si>
  <si>
    <t>OVERKILL Super Yuri Remix</t>
  </si>
  <si>
    <t>Null</t>
  </si>
  <si>
    <t>RealMatter</t>
  </si>
  <si>
    <t>MidNight</t>
  </si>
  <si>
    <t>Starlite (Ft. Phelian)</t>
  </si>
  <si>
    <t>Unmei</t>
  </si>
  <si>
    <t>Cavzie</t>
  </si>
  <si>
    <t>3AM Water</t>
  </si>
  <si>
    <t>BadPurple</t>
  </si>
  <si>
    <t>Intervallum</t>
  </si>
  <si>
    <t>KEaliTgeo</t>
  </si>
  <si>
    <t>Climbing to the Mountain Top</t>
  </si>
  <si>
    <t>Crimson Moon</t>
  </si>
  <si>
    <t>BrexXes</t>
  </si>
  <si>
    <t>orbmaster</t>
  </si>
  <si>
    <t>w0lfram23</t>
  </si>
  <si>
    <t>GM,BW OST - 03 - Chipville</t>
  </si>
  <si>
    <t>Copywolf</t>
  </si>
  <si>
    <t>NORMAL MAN</t>
  </si>
  <si>
    <t>SPACE FACTORY 2.0</t>
  </si>
  <si>
    <t>Syncing</t>
  </si>
  <si>
    <t>LahariusIX</t>
  </si>
  <si>
    <t>Shploink Overdose</t>
  </si>
  <si>
    <t>DEVIL GIRL</t>
  </si>
  <si>
    <t>instinct5706a</t>
  </si>
  <si>
    <t>THE J</t>
  </si>
  <si>
    <t>Daneeko</t>
  </si>
  <si>
    <t>Day 1</t>
  </si>
  <si>
    <t>MathisCreator</t>
  </si>
  <si>
    <t>Hinkik - Explorers (Yozy Remix)</t>
  </si>
  <si>
    <t>Lucy</t>
  </si>
  <si>
    <t>Break Away</t>
  </si>
  <si>
    <t>HOOKIN UP WITH CUSTI</t>
  </si>
  <si>
    <t>IMBURNAL</t>
  </si>
  <si>
    <t>KalvinN</t>
  </si>
  <si>
    <t>Rakott krumpli</t>
  </si>
  <si>
    <t>trexhun</t>
  </si>
  <si>
    <t>Twenty Four</t>
  </si>
  <si>
    <t>How to platformer</t>
  </si>
  <si>
    <t>thearmyants</t>
  </si>
  <si>
    <t>Amazing Plan</t>
  </si>
  <si>
    <t>Akai Heya</t>
  </si>
  <si>
    <t>Trms01</t>
  </si>
  <si>
    <t>The Red Room</t>
  </si>
  <si>
    <t>a level i suppose</t>
  </si>
  <si>
    <t>FCMasloPL</t>
  </si>
  <si>
    <t>Arturlist</t>
  </si>
  <si>
    <t>Arepy</t>
  </si>
  <si>
    <t>Panda Eyes x Kozmoz - Null</t>
  </si>
  <si>
    <t>Spinbounce Zone</t>
  </si>
  <si>
    <t>EDM Bitpop Chiptune</t>
  </si>
  <si>
    <t>V O L L E Y</t>
  </si>
  <si>
    <t>IcyWindy</t>
  </si>
  <si>
    <t>NEON ISLAND (B-SIDE)</t>
  </si>
  <si>
    <t>Copilot</t>
  </si>
  <si>
    <t>Zomore</t>
  </si>
  <si>
    <t>Mystery Man</t>
  </si>
  <si>
    <t>PixelLolka</t>
  </si>
  <si>
    <t>SharaX - Dark Darker Yet Darker</t>
  </si>
  <si>
    <t>WRONG NUMBER</t>
  </si>
  <si>
    <t>19ZZ</t>
  </si>
  <si>
    <t>the DEADLANDS</t>
  </si>
  <si>
    <t>The Monolith</t>
  </si>
  <si>
    <t>Adrift</t>
  </si>
  <si>
    <t>orbius 3</t>
  </si>
  <si>
    <t>?????????... / / / S T R 8 V I B I N</t>
  </si>
  <si>
    <t>Brain Power</t>
  </si>
  <si>
    <t>SAOKI - BRAIN FURIOUS</t>
  </si>
  <si>
    <t>Ykds1479ymdppr</t>
  </si>
  <si>
    <t>Tiptoe</t>
  </si>
  <si>
    <t>SAWMERANG</t>
  </si>
  <si>
    <t>Yoku</t>
  </si>
  <si>
    <t>Do His Favor</t>
  </si>
  <si>
    <t>TitanTomahawk</t>
  </si>
  <si>
    <t>CITYFADE</t>
  </si>
  <si>
    <t>city fade cover</t>
  </si>
  <si>
    <t>OwnSelfduggedGrave</t>
  </si>
  <si>
    <t>Young Girl A (Feat. Hatsune Miku)</t>
  </si>
  <si>
    <t>Variable</t>
  </si>
  <si>
    <t>InideuX</t>
  </si>
  <si>
    <t>Zip Lash</t>
  </si>
  <si>
    <t>Colon</t>
  </si>
  <si>
    <t>Space Factory</t>
  </si>
  <si>
    <t>Unsatisfying</t>
  </si>
  <si>
    <t>AngelEffect</t>
  </si>
  <si>
    <t>hkmori - anybody can find love (rubixxd Remix)</t>
  </si>
  <si>
    <t>Lotus</t>
  </si>
  <si>
    <t>Redeilia - Rebound</t>
  </si>
  <si>
    <t>Mindless world</t>
  </si>
  <si>
    <t>FroxyPlay</t>
  </si>
  <si>
    <t>RITUAL</t>
  </si>
  <si>
    <t>recital</t>
  </si>
  <si>
    <t>eye contact</t>
  </si>
  <si>
    <t>The Garden of Eden</t>
  </si>
  <si>
    <t>Xtrullor - Arcana (Tennon Remix)</t>
  </si>
  <si>
    <t>Alto</t>
  </si>
  <si>
    <t>-Rave Hearts-</t>
  </si>
  <si>
    <t>ATOMIC CANNON Mk III</t>
  </si>
  <si>
    <t>Zip Zoom</t>
  </si>
  <si>
    <t>Droid Void</t>
  </si>
  <si>
    <t>Whats The Point</t>
  </si>
  <si>
    <t>fireo dominus</t>
  </si>
  <si>
    <t>kazaaah</t>
  </si>
  <si>
    <t>Kamah (Scythe)</t>
  </si>
  <si>
    <t>Two time</t>
  </si>
  <si>
    <t>Dribble Tape (remix)</t>
  </si>
  <si>
    <t>Audio Jungle</t>
  </si>
  <si>
    <t>CHUPACABRA</t>
  </si>
  <si>
    <t>FlashMeBack Maximized</t>
  </si>
  <si>
    <t>MINE SLAYER</t>
  </si>
  <si>
    <t>YoStarYeahya</t>
  </si>
  <si>
    <t>DanZe</t>
  </si>
  <si>
    <t>XanderGDC</t>
  </si>
  <si>
    <t>Press Meow Finale</t>
  </si>
  <si>
    <t>NEON TOWER</t>
  </si>
  <si>
    <t>paga2000</t>
  </si>
  <si>
    <t>Crow Rabbit</t>
  </si>
  <si>
    <t>idolize</t>
  </si>
  <si>
    <t>zSejun</t>
  </si>
  <si>
    <t>Tirami II</t>
  </si>
  <si>
    <t>ANTITHESIS</t>
  </si>
  <si>
    <t>Keep on With It</t>
  </si>
  <si>
    <t>MODERN JOLT</t>
  </si>
  <si>
    <t>zoidylol</t>
  </si>
  <si>
    <t>Ardolf - Rainbow Raceway</t>
  </si>
  <si>
    <t>PRSM</t>
  </si>
  <si>
    <t>crossroads</t>
  </si>
  <si>
    <t>FALSE SANITY</t>
  </si>
  <si>
    <t>0a1</t>
  </si>
  <si>
    <t>~BH~ True Insanity</t>
  </si>
  <si>
    <t>The Beacon</t>
  </si>
  <si>
    <t>Abyssal</t>
  </si>
  <si>
    <t>Wacky</t>
  </si>
  <si>
    <t>KOSTOK mode</t>
  </si>
  <si>
    <t>Kostok</t>
  </si>
  <si>
    <t>Western Movie</t>
  </si>
  <si>
    <t>Just a Generic Level</t>
  </si>
  <si>
    <t>Grand Arena Showdown</t>
  </si>
  <si>
    <t>AstralityAngel</t>
  </si>
  <si>
    <t>Tidal Line</t>
  </si>
  <si>
    <t>Sp4rce</t>
  </si>
  <si>
    <t>[TIDAL WAVE] Dion Timmer - Shiawase VIP (Vorlex Remix)</t>
  </si>
  <si>
    <t>Trap Adventure</t>
  </si>
  <si>
    <t>mariokirby1703</t>
  </si>
  <si>
    <t>Itty Bitty 8 Bit</t>
  </si>
  <si>
    <t>Little Kid Big World</t>
  </si>
  <si>
    <t>I often cry when I look at the sky</t>
  </si>
  <si>
    <t>The Witness</t>
  </si>
  <si>
    <t>Elevating Elevator</t>
  </si>
  <si>
    <t>NotDarpy</t>
  </si>
  <si>
    <t>elevator music rock remix</t>
  </si>
  <si>
    <t>Neon Mixtape Tour</t>
  </si>
  <si>
    <t>Tic  Tac  Change</t>
  </si>
  <si>
    <t>IIyunx18II</t>
  </si>
  <si>
    <t>SIDstorm</t>
  </si>
  <si>
    <t>Calm Frenzy</t>
  </si>
  <si>
    <t>I00</t>
  </si>
  <si>
    <t>DagSP</t>
  </si>
  <si>
    <t>Clock tower</t>
  </si>
  <si>
    <t>-OverClock-</t>
  </si>
  <si>
    <t>a platformer level</t>
  </si>
  <si>
    <t>Chase Sequence</t>
  </si>
  <si>
    <t>Red Moon</t>
  </si>
  <si>
    <t>One Violet Situation</t>
  </si>
  <si>
    <t>Lavencharm</t>
  </si>
  <si>
    <t>Spatium Gradu</t>
  </si>
  <si>
    <t>Party On</t>
  </si>
  <si>
    <t>Dashing Adventure</t>
  </si>
  <si>
    <t>limesplatus</t>
  </si>
  <si>
    <t>As if</t>
  </si>
  <si>
    <t>Seaglass Foundry</t>
  </si>
  <si>
    <t>SundayGMD</t>
  </si>
  <si>
    <t>My Onism</t>
  </si>
  <si>
    <t>Arachnophobia</t>
  </si>
  <si>
    <t>Salamonster</t>
  </si>
  <si>
    <t>A Bit Trippy</t>
  </si>
  <si>
    <t>Techno Relic</t>
  </si>
  <si>
    <t>Beljakow</t>
  </si>
  <si>
    <t>FULL FORCE</t>
  </si>
  <si>
    <t>Erosion</t>
  </si>
  <si>
    <t>P0LARnt</t>
  </si>
  <si>
    <t>Isthmus</t>
  </si>
  <si>
    <t>Buoy Base</t>
  </si>
  <si>
    <t>SMG - Buoy Base Galaxy</t>
  </si>
  <si>
    <t>2005landshark</t>
  </si>
  <si>
    <t>landosharku</t>
  </si>
  <si>
    <t>titan speakerman map</t>
  </si>
  <si>
    <t>YapoIIICPapu</t>
  </si>
  <si>
    <t>Quadratic Function</t>
  </si>
  <si>
    <t>i wanna rob the top</t>
  </si>
  <si>
    <t>Kill The Child</t>
  </si>
  <si>
    <t>skip ad</t>
  </si>
  <si>
    <t>spamton drip</t>
  </si>
  <si>
    <t>Dreamcatcher</t>
  </si>
  <si>
    <t>Crysticai</t>
  </si>
  <si>
    <t>Flame of Hope</t>
  </si>
  <si>
    <t>FURY OF 500</t>
  </si>
  <si>
    <t>Chromatique</t>
  </si>
  <si>
    <t>6th Dimension</t>
  </si>
  <si>
    <t>Brainiac Maniac</t>
  </si>
  <si>
    <t>CriChin</t>
  </si>
  <si>
    <t>Plants VS Zombies - Braniac</t>
  </si>
  <si>
    <t>THIS CITY LIT</t>
  </si>
  <si>
    <t>MATRIX RHYTHM</t>
  </si>
  <si>
    <t>khenomy</t>
  </si>
  <si>
    <t>Deep Sleep</t>
  </si>
  <si>
    <t>hunt4xr</t>
  </si>
  <si>
    <t>mididuck x Sofuu - blue sea</t>
  </si>
  <si>
    <t>lochness</t>
  </si>
  <si>
    <t>julie - lochness (partial cover)</t>
  </si>
  <si>
    <t>Forever</t>
  </si>
  <si>
    <t>Defentum</t>
  </si>
  <si>
    <t>I wanna be kocmoc</t>
  </si>
  <si>
    <t>The Kingdom</t>
  </si>
  <si>
    <t>Necrus</t>
  </si>
  <si>
    <t>Hellgrammite</t>
  </si>
  <si>
    <t>Deep Blue Sea</t>
  </si>
  <si>
    <t>depth</t>
  </si>
  <si>
    <t>kwezy</t>
  </si>
  <si>
    <t>Creator Contest</t>
  </si>
  <si>
    <t>Crerro Kaizo II</t>
  </si>
  <si>
    <t>Team, This Ones Stronger! | Bug Fables REMIX</t>
  </si>
  <si>
    <t>mellt</t>
  </si>
  <si>
    <t>ORDINARY</t>
  </si>
  <si>
    <t>My Ordinary Life-The Living Tombstone</t>
  </si>
  <si>
    <t>Destroy The Level</t>
  </si>
  <si>
    <t>Vaulted Heights</t>
  </si>
  <si>
    <t>btwmag</t>
  </si>
  <si>
    <t>Mazemory</t>
  </si>
  <si>
    <t>McCoco</t>
  </si>
  <si>
    <t>Guideless Goobering</t>
  </si>
  <si>
    <t>Lightness</t>
  </si>
  <si>
    <t>ShawDowBoy</t>
  </si>
  <si>
    <t>Light It Up</t>
  </si>
  <si>
    <t>BRAINROT</t>
  </si>
  <si>
    <t>InfernuZ</t>
  </si>
  <si>
    <t>SICKLY ILLNESS</t>
  </si>
  <si>
    <t>Crepuscule On Track</t>
  </si>
  <si>
    <t>DecepZion</t>
  </si>
  <si>
    <t>zTempeteG</t>
  </si>
  <si>
    <t>Cliffside</t>
  </si>
  <si>
    <t>CONVOLUTION</t>
  </si>
  <si>
    <t>Cyber Drift</t>
  </si>
  <si>
    <t>Libann</t>
  </si>
  <si>
    <t>BLAZING Through</t>
  </si>
  <si>
    <t>Meltdown on HELL</t>
  </si>
  <si>
    <t>Boss Fight</t>
  </si>
  <si>
    <t>Patatrak</t>
  </si>
  <si>
    <t>Checked Steam</t>
  </si>
  <si>
    <t>gruzzy</t>
  </si>
  <si>
    <t>{dj-N} Electrodynamix (Lo-fi Remix)</t>
  </si>
  <si>
    <t>Slargball</t>
  </si>
  <si>
    <t>Le Muguet de Mai</t>
  </si>
  <si>
    <t>minu - Forsythia</t>
  </si>
  <si>
    <t>EXPLORERS</t>
  </si>
  <si>
    <t>ROBERT55GD</t>
  </si>
  <si>
    <t>ANAMNESIS</t>
  </si>
  <si>
    <t>TheDolb1natoR</t>
  </si>
  <si>
    <t>Anamnesis (How it Began LP)</t>
  </si>
  <si>
    <t>SEGFAULT</t>
  </si>
  <si>
    <t>TEBBtBE</t>
  </si>
  <si>
    <t>Battle Hymn of the Republic cover</t>
  </si>
  <si>
    <t>The Typhoon</t>
  </si>
  <si>
    <t>SoundNinja - Typhoon</t>
  </si>
  <si>
    <t>Dryin Out</t>
  </si>
  <si>
    <t>Cloverkill</t>
  </si>
  <si>
    <t>Pncsr</t>
  </si>
  <si>
    <t>K1LL S0MEBODY</t>
  </si>
  <si>
    <t>ReckmorE</t>
  </si>
  <si>
    <t>Teminite - Reckless</t>
  </si>
  <si>
    <t>Houserock</t>
  </si>
  <si>
    <t>Opoxori - Healing</t>
  </si>
  <si>
    <t>Outside Eyesight</t>
  </si>
  <si>
    <t>Bradleys Smartest Race!</t>
  </si>
  <si>
    <t>NUCLEO</t>
  </si>
  <si>
    <t>iIMiXXdUpIi</t>
  </si>
  <si>
    <t>Out of This World</t>
  </si>
  <si>
    <t>archangel</t>
  </si>
  <si>
    <t>unsaved changes</t>
  </si>
  <si>
    <t>Zpicy</t>
  </si>
  <si>
    <t>2. 私には口がなくて、叫ばなくてなりません</t>
  </si>
  <si>
    <t>HOOBS</t>
  </si>
  <si>
    <t>Gift from the Stars</t>
  </si>
  <si>
    <t>Starfruit Supernova</t>
  </si>
  <si>
    <t>SWASH</t>
  </si>
  <si>
    <t>ameraldy</t>
  </si>
  <si>
    <t>Trippy</t>
  </si>
  <si>
    <t>3 Faze (Awakening)</t>
  </si>
  <si>
    <t>hello cro</t>
  </si>
  <si>
    <t>Mount Cuberest</t>
  </si>
  <si>
    <t>Forest Dark</t>
  </si>
  <si>
    <t>Invertigo</t>
  </si>
  <si>
    <t>Mechanical Flow</t>
  </si>
  <si>
    <t>Me map</t>
  </si>
  <si>
    <t>SadboylmaO</t>
  </si>
  <si>
    <t>Critical Hit</t>
  </si>
  <si>
    <t>Mee8</t>
  </si>
  <si>
    <t>Sink It</t>
  </si>
  <si>
    <t>Smauker</t>
  </si>
  <si>
    <t>In Synergy</t>
  </si>
  <si>
    <t>Creo - In Synergy</t>
  </si>
  <si>
    <t>PAIN CONTROL BUS</t>
  </si>
  <si>
    <t>Please Wake Up</t>
  </si>
  <si>
    <t>Funky Night</t>
  </si>
  <si>
    <t>Beat That</t>
  </si>
  <si>
    <t>Swingcubeter</t>
  </si>
  <si>
    <t>Vast Plateau</t>
  </si>
  <si>
    <t>Lavender Dreams</t>
  </si>
  <si>
    <t>candyclaws</t>
  </si>
  <si>
    <t>Peppermint</t>
  </si>
  <si>
    <t>Infinite Decimal Pi</t>
  </si>
  <si>
    <t>DESTROYED</t>
  </si>
  <si>
    <t>Sky Light</t>
  </si>
  <si>
    <t>Disintegrate</t>
  </si>
  <si>
    <t>kingsman265</t>
  </si>
  <si>
    <t>Mitosis</t>
  </si>
  <si>
    <t>Tsundere no Uta! (ft. Mao Komiya)</t>
  </si>
  <si>
    <t>SpikeRuins Deception</t>
  </si>
  <si>
    <t>PurpleGuy99</t>
  </si>
  <si>
    <t>Castlevania Curse Of Darkness - Garibaldi Courtyard (VRC6)</t>
  </si>
  <si>
    <t>Through time</t>
  </si>
  <si>
    <t>RadScorpionGD</t>
  </si>
  <si>
    <t>Retrospect</t>
  </si>
  <si>
    <t>UPPIES</t>
  </si>
  <si>
    <t>Neophyte</t>
  </si>
  <si>
    <t>Yoshme</t>
  </si>
  <si>
    <t>Augxessor</t>
  </si>
  <si>
    <t>Tower of hell</t>
  </si>
  <si>
    <t>Crossworld Leaps</t>
  </si>
  <si>
    <t>awesomallow</t>
  </si>
  <si>
    <t>The Path of Pain</t>
  </si>
  <si>
    <t>Hevii</t>
  </si>
  <si>
    <t>never alone</t>
  </si>
  <si>
    <t>Yagotta</t>
  </si>
  <si>
    <t>Syncroned</t>
  </si>
  <si>
    <t>eel</t>
  </si>
  <si>
    <t>Bloktle</t>
  </si>
  <si>
    <t>ThatBSgamer</t>
  </si>
  <si>
    <t>Hack The Mainframe</t>
  </si>
  <si>
    <t>Alpha</t>
  </si>
  <si>
    <t>Envy - Flare (Preview)</t>
  </si>
  <si>
    <t>Love shuttle</t>
  </si>
  <si>
    <t>Krboy369</t>
  </si>
  <si>
    <t>ChipSounds</t>
  </si>
  <si>
    <t>OlinN</t>
  </si>
  <si>
    <t>the guards mission</t>
  </si>
  <si>
    <t>2ItalianCats</t>
  </si>
  <si>
    <t>Bustling Blocks</t>
  </si>
  <si>
    <t>YESEvoi</t>
  </si>
  <si>
    <t>constellations</t>
  </si>
  <si>
    <t>Wonyoung</t>
  </si>
  <si>
    <t>issanagay</t>
  </si>
  <si>
    <t>We Are</t>
  </si>
  <si>
    <t>Ignited Levitation</t>
  </si>
  <si>
    <t>Taned777</t>
  </si>
  <si>
    <t>intermission</t>
  </si>
  <si>
    <t>BadRobotics</t>
  </si>
  <si>
    <t>BadTheHated</t>
  </si>
  <si>
    <t>-Advancer-</t>
  </si>
  <si>
    <t>GREAT FURY OF HEAVEN</t>
  </si>
  <si>
    <t>Great Fury of Heaven</t>
  </si>
  <si>
    <t>Conventional w1sdom</t>
  </si>
  <si>
    <t>Coral Reef</t>
  </si>
  <si>
    <t>arctic alpine</t>
  </si>
  <si>
    <t>-Body Panic-</t>
  </si>
  <si>
    <t>In Perceptible</t>
  </si>
  <si>
    <t>Together forever my lovely video game cartridges</t>
  </si>
  <si>
    <t>XtC</t>
  </si>
  <si>
    <t>Dogbite</t>
  </si>
  <si>
    <t>Deserted Dunes</t>
  </si>
  <si>
    <t>Deserted Dunes (Synth remix) WIP</t>
  </si>
  <si>
    <t>Astralith</t>
  </si>
  <si>
    <t>Sakuzyo - Lost Memory (Astralith Cover)</t>
  </si>
  <si>
    <t>Dry Out Copyable 2</t>
  </si>
  <si>
    <t>RoBKTA - Springroll</t>
  </si>
  <si>
    <t>Les Lueurs</t>
  </si>
  <si>
    <t>Constellation Cradle</t>
  </si>
  <si>
    <t>Stargaze</t>
  </si>
  <si>
    <t>Luddee</t>
  </si>
  <si>
    <t>Moonlight Dance (2017)</t>
  </si>
  <si>
    <t>WFLYTD</t>
  </si>
  <si>
    <t>six impala - WFLYTD (GOODMORNING)</t>
  </si>
  <si>
    <t>FLAMETHROWER</t>
  </si>
  <si>
    <t>BKNK222</t>
  </si>
  <si>
    <t>Forsaken KneeYawn</t>
  </si>
  <si>
    <t>H4nyuu</t>
  </si>
  <si>
    <t>egilpavel</t>
  </si>
  <si>
    <t>Look Up</t>
  </si>
  <si>
    <t>NODE</t>
  </si>
  <si>
    <t>Big Bass Bounce</t>
  </si>
  <si>
    <t>SM69animations</t>
  </si>
  <si>
    <t>drnfctn</t>
  </si>
  <si>
    <t>JIMISBAD95</t>
  </si>
  <si>
    <t>Kyrie</t>
  </si>
  <si>
    <t>VoHanxZ</t>
  </si>
  <si>
    <t>Apotheosic</t>
  </si>
  <si>
    <t>Create the Direction</t>
  </si>
  <si>
    <t>reset your mind</t>
  </si>
  <si>
    <t>OPEN YOUR 3RD EYE</t>
  </si>
  <si>
    <t>10 Rooms For Fun</t>
  </si>
  <si>
    <t>paultame</t>
  </si>
  <si>
    <t>A Quiet Place</t>
  </si>
  <si>
    <t>My Platformer Level</t>
  </si>
  <si>
    <t>A DJ Spins</t>
  </si>
  <si>
    <t>meteor strike</t>
  </si>
  <si>
    <t>Quarion</t>
  </si>
  <si>
    <t>Handshake</t>
  </si>
  <si>
    <t>Yuuchouze</t>
  </si>
  <si>
    <t>Lights Camera Action</t>
  </si>
  <si>
    <t>witness</t>
  </si>
  <si>
    <t>Squiggleopolis</t>
  </si>
  <si>
    <t>FISHL0VER</t>
  </si>
  <si>
    <t>Project Nexus</t>
  </si>
  <si>
    <t>Somewhere in Nevada (As Featured in the "Madness Project Nexus" Official Trailer)</t>
  </si>
  <si>
    <t>Everything i know is gone</t>
  </si>
  <si>
    <t>NEWER horizons</t>
  </si>
  <si>
    <t>CP Machine</t>
  </si>
  <si>
    <t>pla</t>
  </si>
  <si>
    <t>PixelPath II</t>
  </si>
  <si>
    <t>AwiXan</t>
  </si>
  <si>
    <t>Clouds</t>
  </si>
  <si>
    <t>No Room In Hell</t>
  </si>
  <si>
    <t>MixUpYT</t>
  </si>
  <si>
    <t>NO MORE ROOM IN HELL</t>
  </si>
  <si>
    <t>windglass</t>
  </si>
  <si>
    <t>glyphicon</t>
  </si>
  <si>
    <t>AMELANCHIER</t>
  </si>
  <si>
    <t>Void World</t>
  </si>
  <si>
    <t>Rain Weeping</t>
  </si>
  <si>
    <t>Apostheose</t>
  </si>
  <si>
    <t>9mauzer</t>
  </si>
  <si>
    <t>Intrusive ID</t>
  </si>
  <si>
    <t>Broken Toybox(original:Hartmanns Youkai Girl)</t>
  </si>
  <si>
    <t>Where We Are</t>
  </si>
  <si>
    <t>Zenreeio13</t>
  </si>
  <si>
    <t>where we are</t>
  </si>
  <si>
    <t>Certainly a Level</t>
  </si>
  <si>
    <t>IceRodGD</t>
  </si>
  <si>
    <t>Dark Angel IV</t>
  </si>
  <si>
    <t>Dark Angel 2</t>
  </si>
  <si>
    <t>Raw Gibijium</t>
  </si>
  <si>
    <t>SANCTITY</t>
  </si>
  <si>
    <t>Bermuda VIP</t>
  </si>
  <si>
    <t>The core</t>
  </si>
  <si>
    <t>AndresDVF</t>
  </si>
  <si>
    <t>Eisetsu</t>
  </si>
  <si>
    <t>Voyage Of The Nautilus (leveled)</t>
  </si>
  <si>
    <t>Dad Mountain</t>
  </si>
  <si>
    <t>Real Legends</t>
  </si>
  <si>
    <t>Tojita Sekai</t>
  </si>
  <si>
    <t>Unfair Evening</t>
  </si>
  <si>
    <t>1-14-2017 WIP</t>
  </si>
  <si>
    <t>Viprin UFO</t>
  </si>
  <si>
    <t>Make me FAIL</t>
  </si>
  <si>
    <t>Rocket Jump</t>
  </si>
  <si>
    <t>Luvery</t>
  </si>
  <si>
    <t>Axinie</t>
  </si>
  <si>
    <t>SaturMan</t>
  </si>
  <si>
    <t>EXIT THIS NIGHT</t>
  </si>
  <si>
    <t>yesterday</t>
  </si>
  <si>
    <t>CatGeo</t>
  </si>
  <si>
    <t>Ufo Trials</t>
  </si>
  <si>
    <t>KATALYSM</t>
  </si>
  <si>
    <t>Premier inn</t>
  </si>
  <si>
    <t>Woxius</t>
  </si>
  <si>
    <t>Premier Inn</t>
  </si>
  <si>
    <t>INCINERATE</t>
  </si>
  <si>
    <t>CASIO HELLBURST</t>
  </si>
  <si>
    <t>MVXgameS</t>
  </si>
  <si>
    <t>S?: Dream Tree [For Pinkamena Party]</t>
  </si>
  <si>
    <t>Nextphase</t>
  </si>
  <si>
    <t>Doshterhoz</t>
  </si>
  <si>
    <t>OFF THE RAILS</t>
  </si>
  <si>
    <t>danielsbadkarma</t>
  </si>
  <si>
    <t>-Clutterfunk 2.2-</t>
  </si>
  <si>
    <t>Finding love</t>
  </si>
  <si>
    <t>FwoggieOnMobile</t>
  </si>
  <si>
    <t>Free Birb</t>
  </si>
  <si>
    <t>Windswept Way</t>
  </si>
  <si>
    <t>Windswept</t>
  </si>
  <si>
    <t>trIhard</t>
  </si>
  <si>
    <t>Menacing Miasma</t>
  </si>
  <si>
    <t>SUPER FAST COLLAB</t>
  </si>
  <si>
    <t>FLEETING RACE</t>
  </si>
  <si>
    <t>DEAD OF NIGHT</t>
  </si>
  <si>
    <t>dreamdizzy</t>
  </si>
  <si>
    <t>Generic Wave Level</t>
  </si>
  <si>
    <t>Marpro750</t>
  </si>
  <si>
    <t>Undertale - CORE Remix</t>
  </si>
  <si>
    <t>SIGNAL 0 EVENT 1</t>
  </si>
  <si>
    <t>Meme.</t>
  </si>
  <si>
    <t>Infinite Highway</t>
  </si>
  <si>
    <t>SUPERB</t>
  </si>
  <si>
    <t>Supergiant [3/6]</t>
  </si>
  <si>
    <t>Future Karma</t>
  </si>
  <si>
    <t>RikoFinnZ</t>
  </si>
  <si>
    <t>SYlV?</t>
  </si>
  <si>
    <t>Project alter</t>
  </si>
  <si>
    <t>soumpeixe</t>
  </si>
  <si>
    <t>vast waters</t>
  </si>
  <si>
    <t>Spelunky 2 - Cosmic Ocean (Ripple Remix)</t>
  </si>
  <si>
    <t>UNKNOWN VOID</t>
  </si>
  <si>
    <t>Cradles</t>
  </si>
  <si>
    <t>RUIN</t>
  </si>
  <si>
    <t>SamuraiDev</t>
  </si>
  <si>
    <t>Into Death</t>
  </si>
  <si>
    <t>Tearful City</t>
  </si>
  <si>
    <t>ElotRN</t>
  </si>
  <si>
    <t>Odelette</t>
  </si>
  <si>
    <t>Bright Eyes in the Dark</t>
  </si>
  <si>
    <t>Mountainous Climb</t>
  </si>
  <si>
    <t>tornadoGD54</t>
  </si>
  <si>
    <t>Footprints in the Snow</t>
  </si>
  <si>
    <t>LXE</t>
  </si>
  <si>
    <t>Sound Effect: Wind... (OLD)</t>
  </si>
  <si>
    <t>Natural Disaster</t>
  </si>
  <si>
    <t>iIiLaSeRiIi</t>
  </si>
  <si>
    <t>Kolros716</t>
  </si>
  <si>
    <t>Reunited - Undertale Cover/Remix</t>
  </si>
  <si>
    <t>Prometheus</t>
  </si>
  <si>
    <t>Gabriel5700</t>
  </si>
  <si>
    <t>Red Line</t>
  </si>
  <si>
    <t>Bum Rush</t>
  </si>
  <si>
    <t>FLOOR BABA - WIGGLECORE</t>
  </si>
  <si>
    <t>Lovestruck</t>
  </si>
  <si>
    <t>Kidcore</t>
  </si>
  <si>
    <t>Koraii - Balloonimals</t>
  </si>
  <si>
    <t>Rolling Sky</t>
  </si>
  <si>
    <t>NGC5194</t>
  </si>
  <si>
    <t>Panda Smash</t>
  </si>
  <si>
    <t>Raven</t>
  </si>
  <si>
    <t>The Raven</t>
  </si>
  <si>
    <t>Menace</t>
  </si>
  <si>
    <t>BDash</t>
  </si>
  <si>
    <t>drren</t>
  </si>
  <si>
    <t>Dash Full</t>
  </si>
  <si>
    <t>Flipbreak</t>
  </si>
  <si>
    <t>prismatic cube</t>
  </si>
  <si>
    <t>Lets All Love Lain</t>
  </si>
  <si>
    <t>INTO°THE WIRED</t>
  </si>
  <si>
    <t>Scorched Earth</t>
  </si>
  <si>
    <t>MineCat9000</t>
  </si>
  <si>
    <t>Flairon1 - Thing (BARY Remix)</t>
  </si>
  <si>
    <t>wizardy</t>
  </si>
  <si>
    <t>lemumn</t>
  </si>
  <si>
    <t>Lonely Path</t>
  </si>
  <si>
    <t>SulphurXIV</t>
  </si>
  <si>
    <t>Nuke Powder</t>
  </si>
  <si>
    <t>IntensitY</t>
  </si>
  <si>
    <t>Raaaptor</t>
  </si>
  <si>
    <t>The Matremix [Matrix DnB]</t>
  </si>
  <si>
    <t>The Last Wish</t>
  </si>
  <si>
    <t>Pillars Of Pangea</t>
  </si>
  <si>
    <t>Pangea123VZLA</t>
  </si>
  <si>
    <t>Turnt Temp</t>
  </si>
  <si>
    <t>Strings</t>
  </si>
  <si>
    <t>Frama</t>
  </si>
  <si>
    <t>Dash Land</t>
  </si>
  <si>
    <t>trphqcdat</t>
  </si>
  <si>
    <t>Ancient Codex</t>
  </si>
  <si>
    <t>Sky Tower (Reorchestration)</t>
  </si>
  <si>
    <t>Arius</t>
  </si>
  <si>
    <t>Bittersweet (Remastered) in C</t>
  </si>
  <si>
    <t>cosr</t>
  </si>
  <si>
    <t>ECSTASIS</t>
  </si>
  <si>
    <t>Regret (original by Austin C)</t>
  </si>
  <si>
    <t>Helterskelter</t>
  </si>
  <si>
    <t>Bussin</t>
  </si>
  <si>
    <t>CujGD</t>
  </si>
  <si>
    <t>BUSSIN'</t>
  </si>
  <si>
    <t>DISSONANCE</t>
  </si>
  <si>
    <t>Resonant Harmony 2</t>
  </si>
  <si>
    <t>Four Way Sign</t>
  </si>
  <si>
    <t>ReJoi</t>
  </si>
  <si>
    <t>Slope Rush</t>
  </si>
  <si>
    <t>MrCreeperX</t>
  </si>
  <si>
    <t>Down the Forgotten Street</t>
  </si>
  <si>
    <t>KILL THE LIGHTS</t>
  </si>
  <si>
    <t>my project</t>
  </si>
  <si>
    <t>Sunrising Eve</t>
  </si>
  <si>
    <t>Stallia</t>
  </si>
  <si>
    <t>Collider</t>
  </si>
  <si>
    <t>Humanity</t>
  </si>
  <si>
    <t>GO bird</t>
  </si>
  <si>
    <t>The Golem Temple</t>
  </si>
  <si>
    <t>VonTexGD</t>
  </si>
  <si>
    <t>Limbo (ft. ELLIOT)</t>
  </si>
  <si>
    <t>PALM ANGEL</t>
  </si>
  <si>
    <t>Palm Angel (for thrasher)</t>
  </si>
  <si>
    <t>Stop Breathing</t>
  </si>
  <si>
    <t>Stop Breathing - cover</t>
  </si>
  <si>
    <t>DOWN</t>
  </si>
  <si>
    <t>Jayzzen</t>
  </si>
  <si>
    <t>Down</t>
  </si>
  <si>
    <t>Geometry Quest</t>
  </si>
  <si>
    <t>MyNameIsGreen</t>
  </si>
  <si>
    <t>move your body</t>
  </si>
  <si>
    <t>Move Your Body</t>
  </si>
  <si>
    <t>FTW</t>
  </si>
  <si>
    <t>Lets Be Friends - FTW [Monstercat Release] [GreenyToaster Remix]</t>
  </si>
  <si>
    <t>planet dash</t>
  </si>
  <si>
    <t>Gem Setter OST - 07 Diamond</t>
  </si>
  <si>
    <t>TOGGLE</t>
  </si>
  <si>
    <t>ddest1nyy</t>
  </si>
  <si>
    <t>dest1ny - Tidal (Remix)</t>
  </si>
  <si>
    <t>Pro Lov Ad</t>
  </si>
  <si>
    <t>pro:lov:ad cover</t>
  </si>
  <si>
    <t>The Sun</t>
  </si>
  <si>
    <t>Xkahan</t>
  </si>
  <si>
    <t>Cubidk10</t>
  </si>
  <si>
    <t>Io</t>
  </si>
  <si>
    <t>Great Asset</t>
  </si>
  <si>
    <t>wutend</t>
  </si>
  <si>
    <t>We Can Dream</t>
  </si>
  <si>
    <t>RevueGD</t>
  </si>
  <si>
    <t>OPSM2</t>
  </si>
  <si>
    <t>Kpokaht</t>
  </si>
  <si>
    <t>The Hell Tribute</t>
  </si>
  <si>
    <t>Nuclear Alarm</t>
  </si>
  <si>
    <t>GabestGD</t>
  </si>
  <si>
    <t>A Closer Look</t>
  </si>
  <si>
    <t>Hybrid Nature</t>
  </si>
  <si>
    <t>Xtrullor &amp; Zoftle - Gold</t>
  </si>
  <si>
    <t>LodoHerbata</t>
  </si>
  <si>
    <t>m4rchi</t>
  </si>
  <si>
    <t>UNLEASH WHALE WHALES</t>
  </si>
  <si>
    <t>kovosrutek</t>
  </si>
  <si>
    <t>Goukisan - Illusions</t>
  </si>
  <si>
    <t>Vaporware</t>
  </si>
  <si>
    <t>CryoMech</t>
  </si>
  <si>
    <t>204L</t>
  </si>
  <si>
    <t>Ocean dive</t>
  </si>
  <si>
    <t>Aleph Zero</t>
  </si>
  <si>
    <t>IlluminatyByN</t>
  </si>
  <si>
    <t>Aleph-0</t>
  </si>
  <si>
    <t>PROTON LAUNCHER</t>
  </si>
  <si>
    <t>STYLISH STICKUP</t>
  </si>
  <si>
    <t>STYLISH STICKUP | PHIGHTING! OST</t>
  </si>
  <si>
    <t>caelestia</t>
  </si>
  <si>
    <t>Mummy Issues</t>
  </si>
  <si>
    <t>DustyBud</t>
  </si>
  <si>
    <t>Camel By Camel (Ankha Mix)</t>
  </si>
  <si>
    <t>Maths</t>
  </si>
  <si>
    <t>Operation EVOLUTION</t>
  </si>
  <si>
    <t>Theideakid fightlist</t>
  </si>
  <si>
    <t>theideakid</t>
  </si>
  <si>
    <t>AWESOME SAUCE</t>
  </si>
  <si>
    <t>Twigziy</t>
  </si>
  <si>
    <t>SAMPLING REVOLVER</t>
  </si>
  <si>
    <t>Windrush</t>
  </si>
  <si>
    <t>Gonixel</t>
  </si>
  <si>
    <t>Superlunar</t>
  </si>
  <si>
    <t>CelestialCat</t>
  </si>
  <si>
    <t>Kavle</t>
  </si>
  <si>
    <t>Rozz Will Follow</t>
  </si>
  <si>
    <t>IAmRozz</t>
  </si>
  <si>
    <t>DISCOTEQUE</t>
  </si>
  <si>
    <t>sagecore</t>
  </si>
  <si>
    <t>Watching The Collapse</t>
  </si>
  <si>
    <t>TechnoSaur</t>
  </si>
  <si>
    <t>iIxDanielxIi</t>
  </si>
  <si>
    <t>My Pet Dino</t>
  </si>
  <si>
    <t>Destinies</t>
  </si>
  <si>
    <t>Chaewon</t>
  </si>
  <si>
    <t>Futurephonk</t>
  </si>
  <si>
    <t>Touchstop Tower</t>
  </si>
  <si>
    <t>TheRealSdslayer</t>
  </si>
  <si>
    <t>-FlyBoy&amp;GabberGirl-</t>
  </si>
  <si>
    <t>Azureland</t>
  </si>
  <si>
    <t>Krynio</t>
  </si>
  <si>
    <t>Coalescence</t>
  </si>
  <si>
    <t>TURQUOISE DEATH x SPURME - Angel Dispatch</t>
  </si>
  <si>
    <t>bunny</t>
  </si>
  <si>
    <t>chloi</t>
  </si>
  <si>
    <t>Kitty The Slayer</t>
  </si>
  <si>
    <t>Prqmka</t>
  </si>
  <si>
    <t>SALAD TONG DESTRUCTION</t>
  </si>
  <si>
    <t>Parabox</t>
  </si>
  <si>
    <t>Alluvial</t>
  </si>
  <si>
    <t>Great Arena Showdown</t>
  </si>
  <si>
    <t>Among Us Theme</t>
  </si>
  <si>
    <t>Fresh Fruit Festival</t>
  </si>
  <si>
    <t>Feel Good</t>
  </si>
  <si>
    <t>SECLUSION</t>
  </si>
  <si>
    <t>Say0nar</t>
  </si>
  <si>
    <t>Aegleseeker (razaplays remix)</t>
  </si>
  <si>
    <t>Balloon Room</t>
  </si>
  <si>
    <t>evenfall</t>
  </si>
  <si>
    <t>gloop demon</t>
  </si>
  <si>
    <t>Emotional Contagion</t>
  </si>
  <si>
    <t>Airu7</t>
  </si>
  <si>
    <t>Moonflower</t>
  </si>
  <si>
    <t>Abyssal Aura</t>
  </si>
  <si>
    <t>My World</t>
  </si>
  <si>
    <t>GDGrazy</t>
  </si>
  <si>
    <t>SOUL ARCS</t>
  </si>
  <si>
    <t>Hudson Lee &amp; False Noise - Soul Arcs</t>
  </si>
  <si>
    <t>What remains of me</t>
  </si>
  <si>
    <t>Nautical Nightmare</t>
  </si>
  <si>
    <t>Start That Fire</t>
  </si>
  <si>
    <t>PONIEs</t>
  </si>
  <si>
    <t>Hyperspade</t>
  </si>
  <si>
    <t>My Little Pony: Fim Derp Theme</t>
  </si>
  <si>
    <t>STELLAR CORRIDOR</t>
  </si>
  <si>
    <t>StraRQ</t>
  </si>
  <si>
    <t>Wrath of the Thorns</t>
  </si>
  <si>
    <t>Necron Doom (398s "s+ nd rp" Mix)</t>
  </si>
  <si>
    <t>Minutest Reborn</t>
  </si>
  <si>
    <t>forced</t>
  </si>
  <si>
    <t>DoggyPlayzYTL</t>
  </si>
  <si>
    <t>FORMAT</t>
  </si>
  <si>
    <t>EVAPORATE</t>
  </si>
  <si>
    <t>OUTPUT SPRING</t>
  </si>
  <si>
    <t>Lit Fuse (Remastered Album Mix)</t>
  </si>
  <si>
    <t>Mountain Quest</t>
  </si>
  <si>
    <t>Lordant - Murmansk</t>
  </si>
  <si>
    <t>digitaverse</t>
  </si>
  <si>
    <t>MuncherManiac</t>
  </si>
  <si>
    <t>Memory</t>
  </si>
  <si>
    <t>Club Sealing</t>
  </si>
  <si>
    <t>Beat em up - Floopy / Cynax</t>
  </si>
  <si>
    <t>Crushed</t>
  </si>
  <si>
    <t>0hGreen</t>
  </si>
  <si>
    <t>Centurion</t>
  </si>
  <si>
    <t>eurana</t>
  </si>
  <si>
    <t>TUNNEL RUSH</t>
  </si>
  <si>
    <t>Albee - Artificial Soul</t>
  </si>
  <si>
    <t>Pessimism</t>
  </si>
  <si>
    <t>PIXELTHING</t>
  </si>
  <si>
    <t>it pays to forget</t>
  </si>
  <si>
    <t>TOKYO SLASHER</t>
  </si>
  <si>
    <t>Colombia Dash</t>
  </si>
  <si>
    <t>SLASH</t>
  </si>
  <si>
    <t>Blips n Chitz</t>
  </si>
  <si>
    <t>Dancefloor</t>
  </si>
  <si>
    <t>TeamTCM</t>
  </si>
  <si>
    <t>Shattered Realms</t>
  </si>
  <si>
    <t>cals birthday quest</t>
  </si>
  <si>
    <t>8bit Dungeon Level</t>
  </si>
  <si>
    <t>Towerinator</t>
  </si>
  <si>
    <t>Dioma</t>
  </si>
  <si>
    <t>CASINO BLITZ</t>
  </si>
  <si>
    <t>MaffStep</t>
  </si>
  <si>
    <t>MoonJumper</t>
  </si>
  <si>
    <t>Mechanical Nightmare [chiptune]</t>
  </si>
  <si>
    <t>The Great Beyond</t>
  </si>
  <si>
    <t>vLibra</t>
  </si>
  <si>
    <t>Haven</t>
  </si>
  <si>
    <t>Funk city</t>
  </si>
  <si>
    <t>Factory Funk</t>
  </si>
  <si>
    <t>Splashy Fever Zone</t>
  </si>
  <si>
    <t>Waterfall (ft. awfuless)</t>
  </si>
  <si>
    <t>Schrodingers Gibbage</t>
  </si>
  <si>
    <t>Pertland</t>
  </si>
  <si>
    <t>cr3tins</t>
  </si>
  <si>
    <t>Liminal Landscapes</t>
  </si>
  <si>
    <t>BAD CHOICE ROAD</t>
  </si>
  <si>
    <t>Maysyzzel</t>
  </si>
  <si>
    <t>A Stranger's Dead</t>
  </si>
  <si>
    <t>Cosmic War</t>
  </si>
  <si>
    <t>czodi</t>
  </si>
  <si>
    <t>Laser Tag</t>
  </si>
  <si>
    <t>R7nTy</t>
  </si>
  <si>
    <t>LukHash x Shirobon - Exile</t>
  </si>
  <si>
    <t>In transit</t>
  </si>
  <si>
    <t>ECR</t>
  </si>
  <si>
    <t>PC2P2C</t>
  </si>
  <si>
    <t>Xeinth</t>
  </si>
  <si>
    <t>Throat of the World</t>
  </si>
  <si>
    <t>Magic Forest</t>
  </si>
  <si>
    <t>THY KINGDOM COME</t>
  </si>
  <si>
    <t>DoctorANC</t>
  </si>
  <si>
    <t>PANDA EYES - KIKO</t>
  </si>
  <si>
    <t>Tungsten Cube</t>
  </si>
  <si>
    <t>MrPoopyBurger</t>
  </si>
  <si>
    <t>Kepler K2</t>
  </si>
  <si>
    <t>Perpetual Motion</t>
  </si>
  <si>
    <t>give me a minute</t>
  </si>
  <si>
    <t>EymanGD</t>
  </si>
  <si>
    <t>Awakening of Darkness</t>
  </si>
  <si>
    <t>50 Slope Trials</t>
  </si>
  <si>
    <t>NubotGD</t>
  </si>
  <si>
    <t>The Incinerator</t>
  </si>
  <si>
    <t>Watch The World Burn (ft. Chris Linton)</t>
  </si>
  <si>
    <t>Rooms of Goinglet</t>
  </si>
  <si>
    <t>On The School Grounds</t>
  </si>
  <si>
    <t>KOSETSU</t>
  </si>
  <si>
    <t>MewneI</t>
  </si>
  <si>
    <t>LightINovel</t>
  </si>
  <si>
    <t>Hinode</t>
  </si>
  <si>
    <t>koifishypants</t>
  </si>
  <si>
    <t>Jinraihoutourambu</t>
  </si>
  <si>
    <t>Hooligan Hunt</t>
  </si>
  <si>
    <t>NotXak</t>
  </si>
  <si>
    <t>Jolly Roger</t>
  </si>
  <si>
    <t>The Backdoor</t>
  </si>
  <si>
    <t>BeeJee</t>
  </si>
  <si>
    <t>HOT SWAP</t>
  </si>
  <si>
    <t>Organon</t>
  </si>
  <si>
    <t>The Massacre V2</t>
  </si>
  <si>
    <t>STARGAZE</t>
  </si>
  <si>
    <t>Sparktwee</t>
  </si>
  <si>
    <t>Comet</t>
  </si>
  <si>
    <t>HeatSeeker</t>
  </si>
  <si>
    <t>Massive Star [2/6]</t>
  </si>
  <si>
    <t>GALOOCHXY</t>
  </si>
  <si>
    <t>7th element Remix</t>
  </si>
  <si>
    <t>ReVolution Unleashed</t>
  </si>
  <si>
    <t>WayAway04</t>
  </si>
  <si>
    <t>R3v0lut1on</t>
  </si>
  <si>
    <t>Bram4Fake</t>
  </si>
  <si>
    <t>V - Gray Bird</t>
  </si>
  <si>
    <t>Royal Roost Ruins</t>
  </si>
  <si>
    <t>Glubfuberz</t>
  </si>
  <si>
    <t>Skydiver</t>
  </si>
  <si>
    <t>Rombus Teleportus</t>
  </si>
  <si>
    <t>Back In Time</t>
  </si>
  <si>
    <t>DASH MASTER</t>
  </si>
  <si>
    <t>Sandy Springs</t>
  </si>
  <si>
    <t>Robtop Rave</t>
  </si>
  <si>
    <t>HappyMoby</t>
  </si>
  <si>
    <t>-Skelter-</t>
  </si>
  <si>
    <t>Jang Wonyoung</t>
  </si>
  <si>
    <t>Room After Room</t>
  </si>
  <si>
    <t>Twilight Spire</t>
  </si>
  <si>
    <t>Vanish</t>
  </si>
  <si>
    <t>SeoRo</t>
  </si>
  <si>
    <t>ALESDA! - Alone</t>
  </si>
  <si>
    <t>UFO Circles</t>
  </si>
  <si>
    <t>Artificial Powder</t>
  </si>
  <si>
    <t>DRisccuN8</t>
  </si>
  <si>
    <t>SYNOPSIS</t>
  </si>
  <si>
    <t>tiny windows (with Frizk)</t>
  </si>
  <si>
    <t>EQUIS</t>
  </si>
  <si>
    <t>EVILF</t>
  </si>
  <si>
    <t>ECTOPLASM</t>
  </si>
  <si>
    <t>KISS ME THRU THE PHONE</t>
  </si>
  <si>
    <t>The Great White Moon</t>
  </si>
  <si>
    <t>Shadow Of Ages (BORDERS &amp; Fryware Remix)</t>
  </si>
  <si>
    <t>qalli slop</t>
  </si>
  <si>
    <t>25 Boxes</t>
  </si>
  <si>
    <t>ZauberNiko</t>
  </si>
  <si>
    <t>the super hotdog</t>
  </si>
  <si>
    <t>eeeeeeeeeeeeeeeeeeeeek!</t>
  </si>
  <si>
    <t>Final Impact</t>
  </si>
  <si>
    <t>Nullscapes</t>
  </si>
  <si>
    <t>Malware Zero</t>
  </si>
  <si>
    <t>HargChucu</t>
  </si>
  <si>
    <t>Hush</t>
  </si>
  <si>
    <t>Advancer</t>
  </si>
  <si>
    <t>Options</t>
  </si>
  <si>
    <t>Camping trip XXXV</t>
  </si>
  <si>
    <t>SIRSPLASH</t>
  </si>
  <si>
    <t>A Traveller's Solitude</t>
  </si>
  <si>
    <t>GW Milky Way</t>
  </si>
  <si>
    <t>Ducknorriss</t>
  </si>
  <si>
    <t>Tower of Futility</t>
  </si>
  <si>
    <t>Stradpult</t>
  </si>
  <si>
    <t>Drone - Horror</t>
  </si>
  <si>
    <t>spidash</t>
  </si>
  <si>
    <t>MINUS ONE</t>
  </si>
  <si>
    <t>nxctill89</t>
  </si>
  <si>
    <t>The Funeral</t>
  </si>
  <si>
    <t>100 jumps</t>
  </si>
  <si>
    <t>TheRealPepsiMan</t>
  </si>
  <si>
    <t>Super Gourmet Race</t>
  </si>
  <si>
    <t>Pandoras Seal</t>
  </si>
  <si>
    <t>Calamity Fortune</t>
  </si>
  <si>
    <t>Cog</t>
  </si>
  <si>
    <t>silence</t>
  </si>
  <si>
    <t>Warios Gold MinE</t>
  </si>
  <si>
    <t>Warios Gold Mine [REMIX]</t>
  </si>
  <si>
    <t>A Berry</t>
  </si>
  <si>
    <t>ORB MASTER</t>
  </si>
  <si>
    <t>Thing Four</t>
  </si>
  <si>
    <t>somewhere somehow</t>
  </si>
  <si>
    <t>Someday - G6400</t>
  </si>
  <si>
    <t>Intersummisse</t>
  </si>
  <si>
    <t>Peat bog at night</t>
  </si>
  <si>
    <t>BPATA MPAKA</t>
  </si>
  <si>
    <t>Internett</t>
  </si>
  <si>
    <t>DeCubey</t>
  </si>
  <si>
    <t>do you think the internet is dangerous?</t>
  </si>
  <si>
    <t>Trial After Trial</t>
  </si>
  <si>
    <t>Aquatic Labyrinth</t>
  </si>
  <si>
    <t>burningmagma</t>
  </si>
  <si>
    <t>Super Mario World - Underwater</t>
  </si>
  <si>
    <t>InTerFeRenCe</t>
  </si>
  <si>
    <t>LiquidoxGMD</t>
  </si>
  <si>
    <t>everybodyisworthlessihavenosoulburneverythingdownihopeeveryonewhodiesgoestohellnomatterwhat</t>
  </si>
  <si>
    <t>The Biggest Heat</t>
  </si>
  <si>
    <t>Albergraser19</t>
  </si>
  <si>
    <t>Moongrinder Marathon</t>
  </si>
  <si>
    <t>Trap</t>
  </si>
  <si>
    <t>bramble scramble</t>
  </si>
  <si>
    <t>Fluffing a Duck</t>
  </si>
  <si>
    <t>Sruj</t>
  </si>
  <si>
    <t>Girls and boys</t>
  </si>
  <si>
    <t>Jane Doe</t>
  </si>
  <si>
    <t>Water World</t>
  </si>
  <si>
    <t>Over The Seas</t>
  </si>
  <si>
    <t>The Climb</t>
  </si>
  <si>
    <t>RGBA</t>
  </si>
  <si>
    <t>Drifting Sea Ice</t>
  </si>
  <si>
    <t>Flower Festival</t>
  </si>
  <si>
    <t>Geoplex - Esoteria</t>
  </si>
  <si>
    <t>Eunos</t>
  </si>
  <si>
    <t>Speeeeeeed</t>
  </si>
  <si>
    <t>cheeseW</t>
  </si>
  <si>
    <t>Break It</t>
  </si>
  <si>
    <t>DREAMS TAKE OVER</t>
  </si>
  <si>
    <t>Dive (featuring. Parannoul &amp; Asian Glow)</t>
  </si>
  <si>
    <t>Lazer</t>
  </si>
  <si>
    <t>Companion Cube</t>
  </si>
  <si>
    <t>milo</t>
  </si>
  <si>
    <t>Treatment Facility</t>
  </si>
  <si>
    <t>MMANH</t>
  </si>
  <si>
    <t>between stations</t>
  </si>
  <si>
    <t>Theme for a Theme</t>
  </si>
  <si>
    <t>Reactor Meltdown</t>
  </si>
  <si>
    <t>newSakePlayS</t>
  </si>
  <si>
    <t>TNTking531</t>
  </si>
  <si>
    <t>eight sacred moons</t>
  </si>
  <si>
    <t>NH22 - Isotope</t>
  </si>
  <si>
    <t>Nothing Last Forever</t>
  </si>
  <si>
    <t>Goalers</t>
  </si>
  <si>
    <t>Oblivion (ft. Micah Martin)</t>
  </si>
  <si>
    <t>Savage</t>
  </si>
  <si>
    <t>Spire of Arcanum</t>
  </si>
  <si>
    <t>Amb Forest</t>
  </si>
  <si>
    <t>Ackermans Legacy</t>
  </si>
  <si>
    <t>Dreadnought</t>
  </si>
  <si>
    <t>Fuse Rush</t>
  </si>
  <si>
    <t>Playlist</t>
  </si>
  <si>
    <t>LightPotatoDev</t>
  </si>
  <si>
    <t>You</t>
  </si>
  <si>
    <t>warp beyond the sky</t>
  </si>
  <si>
    <t>atebahpcla</t>
  </si>
  <si>
    <t>Dance of the Moonlight Jellies (Remix)</t>
  </si>
  <si>
    <t>Yonder Sky Temple</t>
  </si>
  <si>
    <t>Celtic Mist</t>
  </si>
  <si>
    <t>How to Dash Orbs</t>
  </si>
  <si>
    <t>Electro325</t>
  </si>
  <si>
    <t>Breaktime</t>
  </si>
  <si>
    <t>Dokimasies</t>
  </si>
  <si>
    <t>Alexchi</t>
  </si>
  <si>
    <t>Dual Vision</t>
  </si>
  <si>
    <t>A Slick And Cool Menu Screen</t>
  </si>
  <si>
    <t>Frozen Factory</t>
  </si>
  <si>
    <t>attackriders</t>
  </si>
  <si>
    <t>LinuGi</t>
  </si>
  <si>
    <t>LinuDi</t>
  </si>
  <si>
    <t>MAGISTRO</t>
  </si>
  <si>
    <t>CHRAPIVA</t>
  </si>
  <si>
    <t>Vienna (ft. PhiloSofie)</t>
  </si>
  <si>
    <t>TACHOPHOBIA</t>
  </si>
  <si>
    <t>Desert Winds</t>
  </si>
  <si>
    <t>Cold Level Go BRRRR</t>
  </si>
  <si>
    <t>I am Gaming</t>
  </si>
  <si>
    <t>LYNX</t>
  </si>
  <si>
    <t>Abyss</t>
  </si>
  <si>
    <t>The Yangire</t>
  </si>
  <si>
    <t>pivot</t>
  </si>
  <si>
    <t>Layer And Void</t>
  </si>
  <si>
    <t>AuroraTrix</t>
  </si>
  <si>
    <t>CreatorZP</t>
  </si>
  <si>
    <t>Our Darkest Dream -Piano</t>
  </si>
  <si>
    <t>Hollow Knight</t>
  </si>
  <si>
    <t>SaraGM</t>
  </si>
  <si>
    <t>Electric Algal Bloom</t>
  </si>
  <si>
    <t>Cut The Check</t>
  </si>
  <si>
    <t>eorock</t>
  </si>
  <si>
    <t>EARDRUM</t>
  </si>
  <si>
    <t>WOOLPOOL II</t>
  </si>
  <si>
    <t>ALTERNATE</t>
  </si>
  <si>
    <t>invincible copy</t>
  </si>
  <si>
    <t>Deep Hue 2</t>
  </si>
  <si>
    <t>Fairy's Cavern</t>
  </si>
  <si>
    <t>Helion</t>
  </si>
  <si>
    <t>cronibet</t>
  </si>
  <si>
    <t>SKENET</t>
  </si>
  <si>
    <t>Vault</t>
  </si>
  <si>
    <t>Edifice</t>
  </si>
  <si>
    <t>Next Cab Soon</t>
  </si>
  <si>
    <t>Call On Me</t>
  </si>
  <si>
    <t>heyyeh</t>
  </si>
  <si>
    <t>Bouncy Ball Expert</t>
  </si>
  <si>
    <t>JH1235</t>
  </si>
  <si>
    <t>The Abomination</t>
  </si>
  <si>
    <t>Neozenith</t>
  </si>
  <si>
    <t>War Machine</t>
  </si>
  <si>
    <t>Novae Project</t>
  </si>
  <si>
    <t>Dashtek</t>
  </si>
  <si>
    <t>357 Magnum</t>
  </si>
  <si>
    <t>commatose</t>
  </si>
  <si>
    <t>commatose (replacement song)</t>
  </si>
  <si>
    <t>Calming Presence</t>
  </si>
  <si>
    <t>Cozy</t>
  </si>
  <si>
    <t>Even HIGHER Voltage</t>
  </si>
  <si>
    <t>ThesoulofprosGD</t>
  </si>
  <si>
    <t>Cyberpunk</t>
  </si>
  <si>
    <t>8 Rooms of Gravity</t>
  </si>
  <si>
    <t>SpestaYT</t>
  </si>
  <si>
    <t>Celestial Currents</t>
  </si>
  <si>
    <t>Slasher</t>
  </si>
  <si>
    <t>Lost W</t>
  </si>
  <si>
    <t>multi arm</t>
  </si>
  <si>
    <t>KISS AND TELL</t>
  </si>
  <si>
    <t>tv room - Kiss and Tell</t>
  </si>
  <si>
    <t>CYBER INFINITY</t>
  </si>
  <si>
    <t>Hyperphantasia</t>
  </si>
  <si>
    <t>Memory Lane</t>
  </si>
  <si>
    <t>MelonSyndicate</t>
  </si>
  <si>
    <t>Terraphobia</t>
  </si>
  <si>
    <t>unwell</t>
  </si>
  <si>
    <t>City by the Sea</t>
  </si>
  <si>
    <t>Homework Simulator</t>
  </si>
  <si>
    <t>Tornorr</t>
  </si>
  <si>
    <t>Infinite</t>
  </si>
  <si>
    <t>Royalty</t>
  </si>
  <si>
    <t>folie</t>
  </si>
  <si>
    <t>feel</t>
  </si>
  <si>
    <t>AdvenTure</t>
  </si>
  <si>
    <t>astopZ</t>
  </si>
  <si>
    <t>fish in the sink</t>
  </si>
  <si>
    <t>pumpkininabox</t>
  </si>
  <si>
    <t>The Ghost</t>
  </si>
  <si>
    <t>Hollow Earth</t>
  </si>
  <si>
    <t>FileExplorerExe</t>
  </si>
  <si>
    <t>Phantasia</t>
  </si>
  <si>
    <t>PlexifyGD</t>
  </si>
  <si>
    <t>Ignite</t>
  </si>
  <si>
    <t>Inishia</t>
  </si>
  <si>
    <t>H.A.Y</t>
  </si>
  <si>
    <t>NEO Sound</t>
  </si>
  <si>
    <t>Seapeng</t>
  </si>
  <si>
    <t>Magnificent Gaps</t>
  </si>
  <si>
    <t>JohnNwaogu</t>
  </si>
  <si>
    <t>Overcome</t>
  </si>
  <si>
    <t>project girlboss</t>
  </si>
  <si>
    <t>Uprising</t>
  </si>
  <si>
    <t>Phoenix</t>
  </si>
  <si>
    <t>ASTRO</t>
  </si>
  <si>
    <t>Exotic soul</t>
  </si>
  <si>
    <t>Festival of Lights</t>
  </si>
  <si>
    <t>ledog32</t>
  </si>
  <si>
    <t>Rollercoaster</t>
  </si>
  <si>
    <t>Sugar HIGH</t>
  </si>
  <si>
    <t>I See Stars</t>
  </si>
  <si>
    <t>meeloz</t>
  </si>
  <si>
    <t>WANNACRY</t>
  </si>
  <si>
    <t>Annabelle's Tea Party</t>
  </si>
  <si>
    <t>ToE 3</t>
  </si>
  <si>
    <t>Masterthecube5</t>
  </si>
  <si>
    <t>{dj-N} Theory of Everything 3</t>
  </si>
  <si>
    <t>Northwest Manor</t>
  </si>
  <si>
    <t>Rocky105</t>
  </si>
  <si>
    <t>Darkbirch Manor</t>
  </si>
  <si>
    <t>Cosmic Techno 2</t>
  </si>
  <si>
    <t>G0ldcraft</t>
  </si>
  <si>
    <t>Soaring the Wind - F-777</t>
  </si>
  <si>
    <t>Dash rusH</t>
  </si>
  <si>
    <t>zenothecheetah</t>
  </si>
  <si>
    <t>mischievousmechanism</t>
  </si>
  <si>
    <t>FuZeBomB</t>
  </si>
  <si>
    <t>Room403</t>
  </si>
  <si>
    <t>Spectre</t>
  </si>
  <si>
    <t>xander556</t>
  </si>
  <si>
    <t>BOOBAWAMBA</t>
  </si>
  <si>
    <t>Portal To The Other Side (feat. Hatsune Miku)</t>
  </si>
  <si>
    <t>Factory Frostbite</t>
  </si>
  <si>
    <t>Daniel</t>
  </si>
  <si>
    <t>Casual Night</t>
  </si>
  <si>
    <t>Mountainous Journey</t>
  </si>
  <si>
    <t>Battle at the Mountain Pass</t>
  </si>
  <si>
    <t>Sagittarius</t>
  </si>
  <si>
    <t>MDJr</t>
  </si>
  <si>
    <t>Supreme Triad</t>
  </si>
  <si>
    <t>Dungeon Drama!!! - LeFIdoot remix</t>
  </si>
  <si>
    <t>LAP TWO</t>
  </si>
  <si>
    <t>PIZZA TOWER - THE DEATH I DESERVIOLI (EXT4NT REMIX)</t>
  </si>
  <si>
    <t>TANGY</t>
  </si>
  <si>
    <t>electroCUTEd!</t>
  </si>
  <si>
    <t>HookAround N FindOut</t>
  </si>
  <si>
    <t>Fenster's Explanation</t>
  </si>
  <si>
    <t>Mesabisos</t>
  </si>
  <si>
    <t>Judgement Knights</t>
  </si>
  <si>
    <t>Runaway Railway</t>
  </si>
  <si>
    <t>Deadshot</t>
  </si>
  <si>
    <t>sky garden</t>
  </si>
  <si>
    <t>Grenada</t>
  </si>
  <si>
    <t>fake sun</t>
  </si>
  <si>
    <t>Darkness</t>
  </si>
  <si>
    <t>darkness cover</t>
  </si>
  <si>
    <t>Sewer Temple</t>
  </si>
  <si>
    <t>Walk Anew</t>
  </si>
  <si>
    <t>incident</t>
  </si>
  <si>
    <t>IIIGamBiTIII</t>
  </si>
  <si>
    <t>Francis</t>
  </si>
  <si>
    <t>Ancient Winds</t>
  </si>
  <si>
    <t>YoAJung</t>
  </si>
  <si>
    <t>kiannuh</t>
  </si>
  <si>
    <t>march</t>
  </si>
  <si>
    <t>Neuf Cercles</t>
  </si>
  <si>
    <t>Ricochet</t>
  </si>
  <si>
    <t>applesnail soda</t>
  </si>
  <si>
    <t>o0py</t>
  </si>
  <si>
    <t>Nabil Let Go</t>
  </si>
  <si>
    <t>Christmas Scavenge</t>
  </si>
  <si>
    <t>RECRAH &amp; LuFlexo - Friday Night (feat. Mary Ayly) [WEARY Remix]</t>
  </si>
  <si>
    <t>Stinky Shafts</t>
  </si>
  <si>
    <t>cooperishere</t>
  </si>
  <si>
    <t>-Invaders-</t>
  </si>
  <si>
    <t>Breaking In</t>
  </si>
  <si>
    <t>Kompany x Bossfight - Neck Snap</t>
  </si>
  <si>
    <t>Deja Vu</t>
  </si>
  <si>
    <t>Waterfall</t>
  </si>
  <si>
    <t>AXIUS LINK - Hoarfrost | Waterfall (Remix)</t>
  </si>
  <si>
    <t>Zenith Of The Sky</t>
  </si>
  <si>
    <t>blackdashh</t>
  </si>
  <si>
    <t>Infernal Shockwave</t>
  </si>
  <si>
    <t>V99</t>
  </si>
  <si>
    <t>Energetic Alloy</t>
  </si>
  <si>
    <t>Aerios</t>
  </si>
  <si>
    <t>Strike The Earth!!</t>
  </si>
  <si>
    <t>Give Up II</t>
  </si>
  <si>
    <t>ABSOLUTE ZERO</t>
  </si>
  <si>
    <t>skywyrd</t>
  </si>
  <si>
    <t>Angoisse</t>
  </si>
  <si>
    <t>Daaniv</t>
  </si>
  <si>
    <t>Echoes</t>
  </si>
  <si>
    <t>nguyen bang qua</t>
  </si>
  <si>
    <t>mexican-tomboy</t>
  </si>
  <si>
    <t>Funny Thing</t>
  </si>
  <si>
    <t>82wyatt</t>
  </si>
  <si>
    <t>Funny Thing - Thundercat (TWELVE4 Remix)</t>
  </si>
  <si>
    <t>Project BUZZKILL</t>
  </si>
  <si>
    <t>Superkobster</t>
  </si>
  <si>
    <t>flareon plushie</t>
  </si>
  <si>
    <t>Impatiens</t>
  </si>
  <si>
    <t>Synth1ze</t>
  </si>
  <si>
    <t>Shirobon - Out Of Love</t>
  </si>
  <si>
    <t>ERA</t>
  </si>
  <si>
    <t>Foreign Place</t>
  </si>
  <si>
    <t>Maniamatic</t>
  </si>
  <si>
    <t>Calamitous Fortune</t>
  </si>
  <si>
    <t>Xyraphella</t>
  </si>
  <si>
    <t>Scrubbabingo force</t>
  </si>
  <si>
    <t>Funky Grove</t>
  </si>
  <si>
    <t>GdEnDzoNe</t>
  </si>
  <si>
    <t>Floralysium</t>
  </si>
  <si>
    <t>Always</t>
  </si>
  <si>
    <t>Evernight</t>
  </si>
  <si>
    <t>Gaming 35</t>
  </si>
  <si>
    <t>Crystal Caverns</t>
  </si>
  <si>
    <t>GaMeV3rSe</t>
  </si>
  <si>
    <t>who am I?</t>
  </si>
  <si>
    <t>selaphobia</t>
  </si>
  <si>
    <t>Tag Team</t>
  </si>
  <si>
    <t>Defaultv7</t>
  </si>
  <si>
    <t>Crystal Odyssey OST - Main Theme</t>
  </si>
  <si>
    <t>Scattered n Lost</t>
  </si>
  <si>
    <t>zami - Scattered and Lost (Remix)</t>
  </si>
  <si>
    <t>inMind</t>
  </si>
  <si>
    <t>Wonder (Night Owl Collective Release)</t>
  </si>
  <si>
    <t>Moire</t>
  </si>
  <si>
    <t>{Mercury}</t>
  </si>
  <si>
    <t>Flag Bot</t>
  </si>
  <si>
    <t>walter22gd</t>
  </si>
  <si>
    <t>Mesmerizing Midnight</t>
  </si>
  <si>
    <t>Faze 3</t>
  </si>
  <si>
    <t>PAST THE STARS</t>
  </si>
  <si>
    <t>ClingingBog</t>
  </si>
  <si>
    <t>The Perfect Shape</t>
  </si>
  <si>
    <t>Fusione</t>
  </si>
  <si>
    <t>aloe lite</t>
  </si>
  <si>
    <t>geniusmode</t>
  </si>
  <si>
    <t>Aloe Lite</t>
  </si>
  <si>
    <t>PNEPAP</t>
  </si>
  <si>
    <t>Flipside Skyline</t>
  </si>
  <si>
    <t>Circuit Board City</t>
  </si>
  <si>
    <t>Pulse Shift</t>
  </si>
  <si>
    <t>hieugg</t>
  </si>
  <si>
    <t>Calamari Inkantation EDM Remix</t>
  </si>
  <si>
    <t>Jail Break</t>
  </si>
  <si>
    <t>Otu</t>
  </si>
  <si>
    <t>Oshi Shinobu</t>
  </si>
  <si>
    <t>universal odyssey</t>
  </si>
  <si>
    <t>NovaSteel</t>
  </si>
  <si>
    <t>love0</t>
  </si>
  <si>
    <t>evol0</t>
  </si>
  <si>
    <t>stereophonic</t>
  </si>
  <si>
    <t>Adelucid</t>
  </si>
  <si>
    <t>Sky Conflux</t>
  </si>
  <si>
    <t>Nstryder - 2ODIAC</t>
  </si>
  <si>
    <t>God Help Us All</t>
  </si>
  <si>
    <t>Megabyte</t>
  </si>
  <si>
    <t>Avixel</t>
  </si>
  <si>
    <t>NIGHT RUNNER</t>
  </si>
  <si>
    <t>Change Your Ways (ft. Charlotte Haining)</t>
  </si>
  <si>
    <t>Plumber Madness</t>
  </si>
  <si>
    <t>Sinister Abode</t>
  </si>
  <si>
    <t>Kebnekaise</t>
  </si>
  <si>
    <t>Irony</t>
  </si>
  <si>
    <t>wolf</t>
  </si>
  <si>
    <t>Enouf</t>
  </si>
  <si>
    <t>Why Were Here</t>
  </si>
  <si>
    <t>Birthday Boy</t>
  </si>
  <si>
    <t>Cynixk</t>
  </si>
  <si>
    <t>Trxpping Eyebxlls</t>
  </si>
  <si>
    <t>Waaffllee</t>
  </si>
  <si>
    <t>femtanyl - ACT RIGHT</t>
  </si>
  <si>
    <t>Frostbite caves</t>
  </si>
  <si>
    <t>Jesus94</t>
  </si>
  <si>
    <t>project dreams</t>
  </si>
  <si>
    <t>skeleskull</t>
  </si>
  <si>
    <t>Another year of life</t>
  </si>
  <si>
    <t>SWAP CORE</t>
  </si>
  <si>
    <t>cherry ~ !</t>
  </si>
  <si>
    <t>Decimator</t>
  </si>
  <si>
    <t>Ber Zer Ker (Rob Gasser Remix)</t>
  </si>
  <si>
    <t>vigilante</t>
  </si>
  <si>
    <t>dawnii</t>
  </si>
  <si>
    <t>Enter The Raminox FULL</t>
  </si>
  <si>
    <t>From The Start</t>
  </si>
  <si>
    <t>Bonsow</t>
  </si>
  <si>
    <t>Azenka</t>
  </si>
  <si>
    <t>Barracuda</t>
  </si>
  <si>
    <t>Speedrun Temple</t>
  </si>
  <si>
    <t>Atmosphere of Danger</t>
  </si>
  <si>
    <t>Sea Hunter</t>
  </si>
  <si>
    <t>DaVyZ</t>
  </si>
  <si>
    <t>Chaoz Japan</t>
  </si>
  <si>
    <t>Chaoz Japan (V2)</t>
  </si>
  <si>
    <t>LineN</t>
  </si>
  <si>
    <t>River Flows</t>
  </si>
  <si>
    <t>0 mind</t>
  </si>
  <si>
    <t>Agent Smith</t>
  </si>
  <si>
    <t>Desespoir</t>
  </si>
  <si>
    <t>Strange Relationship</t>
  </si>
  <si>
    <t>Paintingorange</t>
  </si>
  <si>
    <t>LILITH</t>
  </si>
  <si>
    <t>midnight bloom</t>
  </si>
  <si>
    <t>llolez</t>
  </si>
  <si>
    <t>15 darab szint</t>
  </si>
  <si>
    <t>Downside Lab</t>
  </si>
  <si>
    <t>Orbdancer</t>
  </si>
  <si>
    <t>Grimoire</t>
  </si>
  <si>
    <t>The Impaler</t>
  </si>
  <si>
    <t>Sandstone Shafts</t>
  </si>
  <si>
    <t>-Sunwalker-</t>
  </si>
  <si>
    <t>LOVES1CK</t>
  </si>
  <si>
    <t>DOMIANGELI</t>
  </si>
  <si>
    <t>femtanyl - LOVESICK, CANNIBAL!</t>
  </si>
  <si>
    <t>Spooky Rush</t>
  </si>
  <si>
    <t>CyberrTeam</t>
  </si>
  <si>
    <t>Lilith</t>
  </si>
  <si>
    <t>elianaaa</t>
  </si>
  <si>
    <t>can i have mod now</t>
  </si>
  <si>
    <t>Devils Lair</t>
  </si>
  <si>
    <t>This Is Halloween</t>
  </si>
  <si>
    <t>Yasa</t>
  </si>
  <si>
    <t>Alass</t>
  </si>
  <si>
    <t>paranoid android (demo) cover</t>
  </si>
  <si>
    <t>Always Changing</t>
  </si>
  <si>
    <t>Blocktober Casino</t>
  </si>
  <si>
    <t>Stray</t>
  </si>
  <si>
    <t>Clubman</t>
  </si>
  <si>
    <t>Belial</t>
  </si>
  <si>
    <t>Crimson Fires of Bloodthirsty Serpents</t>
  </si>
  <si>
    <t>Size Mania</t>
  </si>
  <si>
    <t>kiez</t>
  </si>
  <si>
    <t>Gingerbread House</t>
  </si>
  <si>
    <t>mzlff - gingerbread house (remix)</t>
  </si>
  <si>
    <t>Minigame Mayhem</t>
  </si>
  <si>
    <t>GabeLucario</t>
  </si>
  <si>
    <t>Local Elevator - Elevator</t>
  </si>
  <si>
    <t>Tears of Denial</t>
  </si>
  <si>
    <t>MattewGame</t>
  </si>
  <si>
    <t>Canneles au chocolat</t>
  </si>
  <si>
    <t>brz1128 - cannelés au chocolat (gd remix)</t>
  </si>
  <si>
    <t>Heartstring</t>
  </si>
  <si>
    <t>Agony</t>
  </si>
  <si>
    <t>Burial</t>
  </si>
  <si>
    <t>RAINWAY</t>
  </si>
  <si>
    <t>Desderok</t>
  </si>
  <si>
    <t>The theme I play while you are not here</t>
  </si>
  <si>
    <t>BOOST</t>
  </si>
  <si>
    <t>Hommarju - Purple Verse (PastaYaY Remix)</t>
  </si>
  <si>
    <t>EverAfter</t>
  </si>
  <si>
    <t>Geom3zon</t>
  </si>
  <si>
    <t>Warriors Journey</t>
  </si>
  <si>
    <t>StudioBois</t>
  </si>
  <si>
    <t>Rose Garden</t>
  </si>
  <si>
    <t>AlexanderX1ta</t>
  </si>
  <si>
    <t>The Rose Garden</t>
  </si>
  <si>
    <t>Ironworks</t>
  </si>
  <si>
    <t>Airborne Takedown</t>
  </si>
  <si>
    <t>seannnn</t>
  </si>
  <si>
    <t>Cobra</t>
  </si>
  <si>
    <t>Dont steal my moons</t>
  </si>
  <si>
    <t>posdhatv</t>
  </si>
  <si>
    <t>Waterlogged Ruins</t>
  </si>
  <si>
    <t>Corrbs</t>
  </si>
  <si>
    <t>Birds 01</t>
  </si>
  <si>
    <t>Eternal Aqua Sanctum</t>
  </si>
  <si>
    <t>Chronos 01</t>
  </si>
  <si>
    <t>Industrial Clash</t>
  </si>
  <si>
    <t>Dropdown</t>
  </si>
  <si>
    <t>InfraredFire</t>
  </si>
  <si>
    <t>Jelly Castle</t>
  </si>
  <si>
    <t>facility meltdown</t>
  </si>
  <si>
    <t>TV Breaker</t>
  </si>
  <si>
    <t>Radioactive Reloaded</t>
  </si>
  <si>
    <t>Monowi River</t>
  </si>
  <si>
    <t>Back and Forth</t>
  </si>
  <si>
    <t>Back and Forth OST - Main Menu</t>
  </si>
  <si>
    <t>CHEERLEADER</t>
  </si>
  <si>
    <t>Porter Robinson - Cheerleader (LeFidoot Remix)</t>
  </si>
  <si>
    <t>Citadel</t>
  </si>
  <si>
    <t>cja</t>
  </si>
  <si>
    <t>DWGro</t>
  </si>
  <si>
    <t>BadLand</t>
  </si>
  <si>
    <t>GenteelNoobie</t>
  </si>
  <si>
    <t>METALLOHOLIC</t>
  </si>
  <si>
    <t>Who I Know</t>
  </si>
  <si>
    <t>Bizzare Autumn</t>
  </si>
  <si>
    <t>-Rampart-</t>
  </si>
  <si>
    <t>Anonymous</t>
  </si>
  <si>
    <t>Haunted Moon</t>
  </si>
  <si>
    <t>BitZGD</t>
  </si>
  <si>
    <t>-Slash-</t>
  </si>
  <si>
    <t>Junk Realm</t>
  </si>
  <si>
    <t>Start Your Engines</t>
  </si>
  <si>
    <t>Anathema</t>
  </si>
  <si>
    <t>Speed Town</t>
  </si>
  <si>
    <t>LAUNDROMADNESS - LEONJD (yeletez remix)</t>
  </si>
  <si>
    <t>Orbiter</t>
  </si>
  <si>
    <t>Cancer</t>
  </si>
  <si>
    <t>Many Fun Rooms Await</t>
  </si>
  <si>
    <t>NRG</t>
  </si>
  <si>
    <t>Corpo</t>
  </si>
  <si>
    <t>Hexagonestestestest</t>
  </si>
  <si>
    <t>Hexagon and On</t>
  </si>
  <si>
    <t>Lakes of Lava</t>
  </si>
  <si>
    <t>Happy Birdsong</t>
  </si>
  <si>
    <t>Sank</t>
  </si>
  <si>
    <t>Waterbound</t>
  </si>
  <si>
    <t>Lone Firework</t>
  </si>
  <si>
    <t>The lightning road</t>
  </si>
  <si>
    <t>The Retro Tower</t>
  </si>
  <si>
    <t>The Depths Above</t>
  </si>
  <si>
    <t>Esc4pe</t>
  </si>
  <si>
    <t>RiperRionGD</t>
  </si>
  <si>
    <t>Blood Ruins</t>
  </si>
  <si>
    <t>Clarity</t>
  </si>
  <si>
    <t>Desx &amp; Ranipla - diamond gaming</t>
  </si>
  <si>
    <t>Void of Time</t>
  </si>
  <si>
    <t>JustFili</t>
  </si>
  <si>
    <t>Novae</t>
  </si>
  <si>
    <t>-Rawstar-</t>
  </si>
  <si>
    <t>Uhm Huh</t>
  </si>
  <si>
    <t>Backup Plan</t>
  </si>
  <si>
    <t>FlashBack Collector</t>
  </si>
  <si>
    <t>Ivelll</t>
  </si>
  <si>
    <t>Guidance</t>
  </si>
  <si>
    <t>New world</t>
  </si>
  <si>
    <t>Donbartollo</t>
  </si>
  <si>
    <t>Conductive</t>
  </si>
  <si>
    <t>Night of Nights</t>
  </si>
  <si>
    <t>Air Fryer</t>
  </si>
  <si>
    <t>B U R N</t>
  </si>
  <si>
    <t>Overgrown Garden</t>
  </si>
  <si>
    <t>SolarrGD</t>
  </si>
  <si>
    <t>glungus</t>
  </si>
  <si>
    <t>SUPER SERIOUS WORLD</t>
  </si>
  <si>
    <t>iIPrototypeIi</t>
  </si>
  <si>
    <t>Piercing Lazer - Death Over Life (JinoBeats "SUPER SERIOUS" Short Remake)</t>
  </si>
  <si>
    <t>Shadowbound</t>
  </si>
  <si>
    <t>Flash-Back</t>
  </si>
  <si>
    <t>Bangarang</t>
  </si>
  <si>
    <t>ORB CLICKER</t>
  </si>
  <si>
    <t>[phntmnz] JABBERJAW</t>
  </si>
  <si>
    <t>wishlane</t>
  </si>
  <si>
    <t>jasmine???????</t>
  </si>
  <si>
    <t>Green Mountain</t>
  </si>
  <si>
    <t>End of the Play</t>
  </si>
  <si>
    <t>Rackett</t>
  </si>
  <si>
    <t>Ninja Warrior Temple</t>
  </si>
  <si>
    <t>SpotL</t>
  </si>
  <si>
    <t>Splitting Time</t>
  </si>
  <si>
    <t>Revelations</t>
  </si>
  <si>
    <t>zatexdoom</t>
  </si>
  <si>
    <t>ElatedBlossomLTD</t>
  </si>
  <si>
    <t>0rions B3lt</t>
  </si>
  <si>
    <t>Degasi</t>
  </si>
  <si>
    <t>Picture Museum</t>
  </si>
  <si>
    <t>Local Forecast</t>
  </si>
  <si>
    <t>Indivine</t>
  </si>
  <si>
    <t>TRIPLE SWAP</t>
  </si>
  <si>
    <t>3rd Quarter</t>
  </si>
  <si>
    <t>Wigglytuffs Guild (Remastared)</t>
  </si>
  <si>
    <t>Pluto</t>
  </si>
  <si>
    <t>painting with sounds</t>
  </si>
  <si>
    <t>GeometryWare</t>
  </si>
  <si>
    <t>recollection</t>
  </si>
  <si>
    <t>FVIII</t>
  </si>
  <si>
    <t>YOU vs ME</t>
  </si>
  <si>
    <t>VirusxXI</t>
  </si>
  <si>
    <t>Teminite &amp; Boom Kitty - The Master</t>
  </si>
  <si>
    <t>ChronoTempo</t>
  </si>
  <si>
    <t>Metamorph</t>
  </si>
  <si>
    <t>Mrshl</t>
  </si>
  <si>
    <t>Warming Softly</t>
  </si>
  <si>
    <t>Pepper</t>
  </si>
  <si>
    <t>Sights of Dreadworld</t>
  </si>
  <si>
    <t>Intervanmisse</t>
  </si>
  <si>
    <t>Nightcrawler Mid Intensity</t>
  </si>
  <si>
    <t>Terminus</t>
  </si>
  <si>
    <t>MoistenedEgg</t>
  </si>
  <si>
    <t>Shooter Synthwave 04</t>
  </si>
  <si>
    <t>KPYT6IE L9GUSHKI</t>
  </si>
  <si>
    <t>EliziumTM</t>
  </si>
  <si>
    <t>Frog Rave (FREE DOWNLOAD)</t>
  </si>
  <si>
    <t>experiment</t>
  </si>
  <si>
    <t>Wavetapper</t>
  </si>
  <si>
    <t>Night Palace</t>
  </si>
  <si>
    <t>Blizzard [Melodic EDM]</t>
  </si>
  <si>
    <t>ZIP BOMB</t>
  </si>
  <si>
    <t>Paa_Brain.zip</t>
  </si>
  <si>
    <t>Happy 19</t>
  </si>
  <si>
    <t>Where's The Rum Gone-</t>
  </si>
  <si>
    <t>Voltstorm Summit</t>
  </si>
  <si>
    <t>Melforz</t>
  </si>
  <si>
    <t>Parallel Voids</t>
  </si>
  <si>
    <t>BEAST MODE</t>
  </si>
  <si>
    <t>Ballcopter</t>
  </si>
  <si>
    <t>Railway To Oblivion</t>
  </si>
  <si>
    <t>Royal Tomb</t>
  </si>
  <si>
    <t>NuclearCore</t>
  </si>
  <si>
    <t>JunchiX</t>
  </si>
  <si>
    <t>Station00</t>
  </si>
  <si>
    <t>Slumx</t>
  </si>
  <si>
    <t>Diossel - PINK NOISE [Phonk House]</t>
  </si>
  <si>
    <t>Meka Dynamism</t>
  </si>
  <si>
    <t>xVicoGD</t>
  </si>
  <si>
    <t>Venom Valley</t>
  </si>
  <si>
    <t>Midnight Glimmer</t>
  </si>
  <si>
    <t>McCollab</t>
  </si>
  <si>
    <t>McMiner3244</t>
  </si>
  <si>
    <t>Trouncy Ball</t>
  </si>
  <si>
    <t>Depths of the Box Dimension [Club Penguin Remix]</t>
  </si>
  <si>
    <t>AntiCheat</t>
  </si>
  <si>
    <t>first day</t>
  </si>
  <si>
    <t>grab the CHEESE</t>
  </si>
  <si>
    <t>RedBad</t>
  </si>
  <si>
    <t>Peaks and Shrieks</t>
  </si>
  <si>
    <t>Chaos Broadcast</t>
  </si>
  <si>
    <t>Soyeon</t>
  </si>
  <si>
    <t>THE BADDEST</t>
  </si>
  <si>
    <t>Dimensional Shift</t>
  </si>
  <si>
    <t>QbieGD</t>
  </si>
  <si>
    <t>Paradiso</t>
  </si>
  <si>
    <t>Ichika Nito - Away (Cover for "Paradiso")</t>
  </si>
  <si>
    <t>Aquanemesis</t>
  </si>
  <si>
    <t>Broken Terminal 01</t>
  </si>
  <si>
    <t>Cheat Codes</t>
  </si>
  <si>
    <t>CHEAT CODES</t>
  </si>
  <si>
    <t>Estufa</t>
  </si>
  <si>
    <t>Samamba</t>
  </si>
  <si>
    <t>Bottomless Pit</t>
  </si>
  <si>
    <t>Zenology (NGADM - Round 2)</t>
  </si>
  <si>
    <t>z3r0 s3nse</t>
  </si>
  <si>
    <t>dead4beats</t>
  </si>
  <si>
    <t>H4ckland</t>
  </si>
  <si>
    <t>Cheese Tower III</t>
  </si>
  <si>
    <t>Pinwas</t>
  </si>
  <si>
    <t>Downstreet</t>
  </si>
  <si>
    <t>Christmas Is Here</t>
  </si>
  <si>
    <t>FREAKY MODE</t>
  </si>
  <si>
    <t>SHURIMA</t>
  </si>
  <si>
    <t>RADIOACTIVE</t>
  </si>
  <si>
    <t>AFKTEAMS</t>
  </si>
  <si>
    <t>Expedition</t>
  </si>
  <si>
    <t>E S C A P E</t>
  </si>
  <si>
    <t>DaryCamel</t>
  </si>
  <si>
    <t>In_Game_Menu_Theme_03</t>
  </si>
  <si>
    <t>The Plunge</t>
  </si>
  <si>
    <t>Dolabill</t>
  </si>
  <si>
    <t>???????????????????????????????????? - green eyes</t>
  </si>
  <si>
    <t>A Divine Christmas</t>
  </si>
  <si>
    <t>Forestopia</t>
  </si>
  <si>
    <t>TYPHOON 8</t>
  </si>
  <si>
    <t>akiaura</t>
  </si>
  <si>
    <t>gray1sh</t>
  </si>
  <si>
    <t>Chromaton</t>
  </si>
  <si>
    <t>FWLR &amp; Twistex - Break Out</t>
  </si>
  <si>
    <t>Disco Fever</t>
  </si>
  <si>
    <t>I Like It</t>
  </si>
  <si>
    <t>rnexel</t>
  </si>
  <si>
    <t>Who Wants to Collab</t>
  </si>
  <si>
    <t>MECHANICAL</t>
  </si>
  <si>
    <t>Ad0NAY27GD</t>
  </si>
  <si>
    <t>Fever Time</t>
  </si>
  <si>
    <t>Helvetican - Pivot</t>
  </si>
  <si>
    <t>Forgotten Metropolis</t>
  </si>
  <si>
    <t>COMPACT</t>
  </si>
  <si>
    <t>DONDO DANCE</t>
  </si>
  <si>
    <t>Afro Universe</t>
  </si>
  <si>
    <t>581C0re</t>
  </si>
  <si>
    <t>Project 09 continued</t>
  </si>
  <si>
    <t>FUNK INSIGHTS</t>
  </si>
  <si>
    <t>SirSplash</t>
  </si>
  <si>
    <t>ProtoShift</t>
  </si>
  <si>
    <t>iobeast</t>
  </si>
  <si>
    <t>Breathing in</t>
  </si>
  <si>
    <t>Dyson</t>
  </si>
  <si>
    <t>Through the eyes</t>
  </si>
  <si>
    <t>Noel Electra</t>
  </si>
  <si>
    <t>Silent Mind</t>
  </si>
  <si>
    <t>BrothersFTW</t>
  </si>
  <si>
    <t>Crumbling Citadel</t>
  </si>
  <si>
    <t>GHHH</t>
  </si>
  <si>
    <t>Apocalyptic Trilogy</t>
  </si>
  <si>
    <t>At The Speed of Light [DOOM]</t>
  </si>
  <si>
    <t>Lovers Sadness</t>
  </si>
  <si>
    <t>fernace</t>
  </si>
  <si>
    <t>Okame Overdrive</t>
  </si>
  <si>
    <t>ALESDA! - Koto Overdrive</t>
  </si>
  <si>
    <t>MEGABITE</t>
  </si>
  <si>
    <t>robotnipper11</t>
  </si>
  <si>
    <t>BREAKOUT</t>
  </si>
  <si>
    <t>A Farbidi Christmas</t>
  </si>
  <si>
    <t>Ice Melt</t>
  </si>
  <si>
    <t>Crumb - Balloon (pipedog! bootleg)</t>
  </si>
  <si>
    <t>IvanCrafter026</t>
  </si>
  <si>
    <t>Let Me In</t>
  </si>
  <si>
    <t>ICUP</t>
  </si>
  <si>
    <t>Cryptofunk</t>
  </si>
  <si>
    <t>Jinta22</t>
  </si>
  <si>
    <t>CRYPTOFUNK</t>
  </si>
  <si>
    <t>SwitchStepGDYT</t>
  </si>
  <si>
    <t>S3NT1M3NT</t>
  </si>
  <si>
    <t>shynethecreator</t>
  </si>
  <si>
    <t>Merry Rizzmas</t>
  </si>
  <si>
    <t>December</t>
  </si>
  <si>
    <t>Duque01</t>
  </si>
  <si>
    <t>Pimu</t>
  </si>
  <si>
    <t>Sci Fi Special</t>
  </si>
  <si>
    <t>glitter</t>
  </si>
  <si>
    <t>GRIDLOCK MACHINE</t>
  </si>
  <si>
    <t>Augment</t>
  </si>
  <si>
    <t>SCORCHING LANDSCAPE</t>
  </si>
  <si>
    <t>Giants</t>
  </si>
  <si>
    <t>The AnomalY</t>
  </si>
  <si>
    <t>Subterminal Point</t>
  </si>
  <si>
    <t>Clown Control</t>
  </si>
  <si>
    <t>Radiant Expanse</t>
  </si>
  <si>
    <t>ZeroFolgd</t>
  </si>
  <si>
    <t>-Field of Memories 2-</t>
  </si>
  <si>
    <t>Blocky Antics</t>
  </si>
  <si>
    <t>ASERT - NO</t>
  </si>
  <si>
    <t>thanks for play</t>
  </si>
  <si>
    <t>Deer</t>
  </si>
  <si>
    <t>Auroral Valhalla</t>
  </si>
  <si>
    <t>Anirium</t>
  </si>
  <si>
    <t>bass KING</t>
  </si>
  <si>
    <t>Kosmonauts</t>
  </si>
  <si>
    <t>Kosmonaut</t>
  </si>
  <si>
    <t>Dungeon Run</t>
  </si>
  <si>
    <t>What You Gonna Do</t>
  </si>
  <si>
    <t>The Vermin Queen</t>
  </si>
  <si>
    <t>Shiny Suits For Shiny Gents</t>
  </si>
  <si>
    <t>The Man With No Eyes</t>
  </si>
  <si>
    <t>Plushiest</t>
  </si>
  <si>
    <t>goin down</t>
  </si>
  <si>
    <t>oGo</t>
  </si>
  <si>
    <t>Crimson Citadel</t>
  </si>
  <si>
    <t>Wonder Rush</t>
  </si>
  <si>
    <t>Juan27XD2010</t>
  </si>
  <si>
    <t>Nuit en Folie pt. 2</t>
  </si>
  <si>
    <t>A Ripple in the Dark</t>
  </si>
  <si>
    <t>Nosedive</t>
  </si>
  <si>
    <t>Who Knows</t>
  </si>
  <si>
    <t>LAVA OUTRUNNER</t>
  </si>
  <si>
    <t>Sleepover</t>
  </si>
  <si>
    <t>farstove</t>
  </si>
  <si>
    <t>RP Voicelines [4]</t>
  </si>
  <si>
    <t>SPITZER</t>
  </si>
  <si>
    <t>Void interstellar</t>
  </si>
  <si>
    <t>jordanRM</t>
  </si>
  <si>
    <t>The Dead Silence</t>
  </si>
  <si>
    <t>Zap Cannon</t>
  </si>
  <si>
    <t>Diamond in the ruff</t>
  </si>
  <si>
    <t>Dead God Cult</t>
  </si>
  <si>
    <t>Soverney - Cassette</t>
  </si>
  <si>
    <t>i wanna be tombstone</t>
  </si>
  <si>
    <t>PelucheCuery</t>
  </si>
  <si>
    <t>PEAK OF THE SUN</t>
  </si>
  <si>
    <t>Prismas</t>
  </si>
  <si>
    <t>Supernova Shakedown</t>
  </si>
  <si>
    <t>HYPER MAGIC BEAM</t>
  </si>
  <si>
    <t>TornadoMan616</t>
  </si>
  <si>
    <t>Hyper Magic Beam</t>
  </si>
  <si>
    <t>ARGIBI</t>
  </si>
  <si>
    <t>7rodo</t>
  </si>
  <si>
    <t>Backstreet Boy</t>
  </si>
  <si>
    <t>ECT6 KOHTAKT</t>
  </si>
  <si>
    <t>itzCybercube</t>
  </si>
  <si>
    <t>Unknown</t>
  </si>
  <si>
    <t>Firebird</t>
  </si>
  <si>
    <t>Firebird (ft. Nick Sadler)</t>
  </si>
  <si>
    <t>Blessing</t>
  </si>
  <si>
    <t>D3xtron7</t>
  </si>
  <si>
    <t>UnderTides</t>
  </si>
  <si>
    <t>Arclia</t>
  </si>
  <si>
    <t>re:Entry/int0.the.atm0sphere/</t>
  </si>
  <si>
    <t>SPEEDSLINGER</t>
  </si>
  <si>
    <t>LupoDZN</t>
  </si>
  <si>
    <t>ᴀ ᴅᴇꜱᴇʀᴛ ᴛʜᴀᴛ ᴏɴᴄᴇ ᴡᴀꜱ &lt;loop&gt;</t>
  </si>
  <si>
    <t>Pastel Trance</t>
  </si>
  <si>
    <t>Probably Demon</t>
  </si>
  <si>
    <t>jeg1</t>
  </si>
  <si>
    <t>Trigger Warning</t>
  </si>
  <si>
    <t>Electrolysis</t>
  </si>
  <si>
    <t>Lucid Factory</t>
  </si>
  <si>
    <t>geawsomedash</t>
  </si>
  <si>
    <t>sleepwalk station</t>
  </si>
  <si>
    <t>EON 0</t>
  </si>
  <si>
    <t>Endless Tower</t>
  </si>
  <si>
    <t>Sakup3nMarkus</t>
  </si>
  <si>
    <t>Sandset Sunstorm</t>
  </si>
  <si>
    <t>Degi07</t>
  </si>
  <si>
    <t>Olden Pyramid</t>
  </si>
  <si>
    <t>Funk</t>
  </si>
  <si>
    <t>bluey0shi</t>
  </si>
  <si>
    <t>dorabae kydermode</t>
  </si>
  <si>
    <t>corrupted</t>
  </si>
  <si>
    <t>Skyline Pt II</t>
  </si>
  <si>
    <t>Skyline Pt.II</t>
  </si>
  <si>
    <t>FEEL ALIVE</t>
  </si>
  <si>
    <t>Loc9e</t>
  </si>
  <si>
    <t>Porter Robinson - Language (TwT Remake)</t>
  </si>
  <si>
    <t>Mechanical Warehouse</t>
  </si>
  <si>
    <t>iownfish</t>
  </si>
  <si>
    <t>Roboids.</t>
  </si>
  <si>
    <t>Shattering skies</t>
  </si>
  <si>
    <t>BRAINWASH</t>
  </si>
  <si>
    <t>plxzTM</t>
  </si>
  <si>
    <t>TheTechniTeam</t>
  </si>
  <si>
    <t>Charge</t>
  </si>
  <si>
    <t>HoolyDuck</t>
  </si>
  <si>
    <t>Bossfight - Charge</t>
  </si>
  <si>
    <t>andromeda</t>
  </si>
  <si>
    <t>Insxne97</t>
  </si>
  <si>
    <t>omnipresent (AIM 2023)</t>
  </si>
  <si>
    <t>Septette</t>
  </si>
  <si>
    <t>Future Station</t>
  </si>
  <si>
    <t>Crystal Light</t>
  </si>
  <si>
    <t>Daniel Olsén - inside (lefidoot remix)</t>
  </si>
  <si>
    <t>one bad apple</t>
  </si>
  <si>
    <t>AtomicRest</t>
  </si>
  <si>
    <t>cYsmix - Freya</t>
  </si>
  <si>
    <t>LIMU</t>
  </si>
  <si>
    <t>Rocket Science</t>
  </si>
  <si>
    <t>The SMR Collection</t>
  </si>
  <si>
    <t>gr8ness</t>
  </si>
  <si>
    <t>Symbolism pt. III</t>
  </si>
  <si>
    <t>Axiom Asterism</t>
  </si>
  <si>
    <t>Cubenssi - Abyss Walk (SPURMEs Remix)</t>
  </si>
  <si>
    <t>Phalcron</t>
  </si>
  <si>
    <t>EXECUTIONER</t>
  </si>
  <si>
    <t>THOSE WHO PHONK</t>
  </si>
  <si>
    <t>those who phonk</t>
  </si>
  <si>
    <t>Two Boss Fight</t>
  </si>
  <si>
    <t>ALDTne</t>
  </si>
  <si>
    <t>Doggo420Doggo Kaizo</t>
  </si>
  <si>
    <t>In The Final (Mudstep Remaster)</t>
  </si>
  <si>
    <t>Mission H</t>
  </si>
  <si>
    <t>MattyS28</t>
  </si>
  <si>
    <t>This Game Dubstep RmX</t>
  </si>
  <si>
    <t>RIVERS OF NAZARETH</t>
  </si>
  <si>
    <t>Rat River</t>
  </si>
  <si>
    <t>my balls are fragile</t>
  </si>
  <si>
    <t>fear of change</t>
  </si>
  <si>
    <t>Jorbettt</t>
  </si>
  <si>
    <t>Lights [Dream Trance]</t>
  </si>
  <si>
    <t>The Square</t>
  </si>
  <si>
    <t>Phalexx</t>
  </si>
  <si>
    <t>cabbit</t>
  </si>
  <si>
    <t>enter snake</t>
  </si>
  <si>
    <t>The Snake Temple</t>
  </si>
  <si>
    <t>Unmaded</t>
  </si>
  <si>
    <t>Sydorf</t>
  </si>
  <si>
    <t>watching everything burn right in front of me</t>
  </si>
  <si>
    <t>The Submarine</t>
  </si>
  <si>
    <t>Adriot</t>
  </si>
  <si>
    <t>A Toast To The Past</t>
  </si>
  <si>
    <t>Scavenger</t>
  </si>
  <si>
    <t>PinoySquad</t>
  </si>
  <si>
    <t>Shimmer</t>
  </si>
  <si>
    <t>The World Border</t>
  </si>
  <si>
    <t>Ligeia</t>
  </si>
  <si>
    <t>follow me CLOSELY</t>
  </si>
  <si>
    <t>??????????????????4???????????????</t>
  </si>
  <si>
    <t>The Menhir</t>
  </si>
  <si>
    <t>Magical Evening Forest</t>
  </si>
  <si>
    <t>AVALANCHE</t>
  </si>
  <si>
    <t>Emariii</t>
  </si>
  <si>
    <t>Effervescent</t>
  </si>
  <si>
    <t>Simplicity V</t>
  </si>
  <si>
    <t>All Systems Go! (Introduction)</t>
  </si>
  <si>
    <t>WHAT THE BASS</t>
  </si>
  <si>
    <t>What The Bass!</t>
  </si>
  <si>
    <t>SKENET FORTRESS</t>
  </si>
  <si>
    <t>Noble Plague</t>
  </si>
  <si>
    <t>Go You</t>
  </si>
  <si>
    <t>Casual Game Music 07</t>
  </si>
  <si>
    <t>The Night Warrior</t>
  </si>
  <si>
    <t>Quinleyang</t>
  </si>
  <si>
    <t>We Forgot Everything</t>
  </si>
  <si>
    <t>K A C A</t>
  </si>
  <si>
    <t>R1N3Y</t>
  </si>
  <si>
    <t>3 Deathless Pillars</t>
  </si>
  <si>
    <t>realingameworld</t>
  </si>
  <si>
    <t>Chill out!</t>
  </si>
  <si>
    <t>Super Wubtendo</t>
  </si>
  <si>
    <t>Super Wubtendo (ft. FamilyJules)</t>
  </si>
  <si>
    <t>Upside Down</t>
  </si>
  <si>
    <t>The Labyrinth</t>
  </si>
  <si>
    <t>The valhalla II</t>
  </si>
  <si>
    <t>Moonix37</t>
  </si>
  <si>
    <t>Breathings</t>
  </si>
  <si>
    <t>Ambidexter</t>
  </si>
  <si>
    <t>TestFiles</t>
  </si>
  <si>
    <t>Void Heart</t>
  </si>
  <si>
    <t>Xtreme31</t>
  </si>
  <si>
    <t>Arcade Fun</t>
  </si>
  <si>
    <t>Bad habit</t>
  </si>
  <si>
    <t>Bad Habit (ft. Zaug) - Phonk Version</t>
  </si>
  <si>
    <t>SANTA FE</t>
  </si>
  <si>
    <t>Wawa REEL 2025</t>
  </si>
  <si>
    <t>???????? Visual Studio?????</t>
  </si>
  <si>
    <t>DISTINCT</t>
  </si>
  <si>
    <t>Before the Square</t>
  </si>
  <si>
    <t>Twen1y On3</t>
  </si>
  <si>
    <t>Aleiz21</t>
  </si>
  <si>
    <t>OUCH</t>
  </si>
  <si>
    <t>In Sensible</t>
  </si>
  <si>
    <t>LOCK IN</t>
  </si>
  <si>
    <t>sparktwo</t>
  </si>
  <si>
    <t>MORPHINE</t>
  </si>
  <si>
    <t>Waimalien</t>
  </si>
  <si>
    <t>=Amphetamine=</t>
  </si>
  <si>
    <t>The Fog</t>
  </si>
  <si>
    <t>...and Yet, It Goes Nowhere</t>
  </si>
  <si>
    <t>Adrenadash</t>
  </si>
  <si>
    <t>Kluu &amp; availax - adrenaline</t>
  </si>
  <si>
    <t>Box After Box</t>
  </si>
  <si>
    <t>Through The Decay</t>
  </si>
  <si>
    <t>Heartwarmth</t>
  </si>
  <si>
    <t>Asrium</t>
  </si>
  <si>
    <t>Only Down</t>
  </si>
  <si>
    <t>g o o d t h i n g</t>
  </si>
  <si>
    <t>Miss side</t>
  </si>
  <si>
    <t>highscore</t>
  </si>
  <si>
    <t>snoozyporo</t>
  </si>
  <si>
    <t>Cave World</t>
  </si>
  <si>
    <t>Dog Whistle</t>
  </si>
  <si>
    <t>Gaggatrondra</t>
  </si>
  <si>
    <t>Going Home</t>
  </si>
  <si>
    <t>AERISTAS</t>
  </si>
  <si>
    <t>Hidden Horizons</t>
  </si>
  <si>
    <t>Eyes of The World - A OneShot Fan Song</t>
  </si>
  <si>
    <t>WhiteBlue</t>
  </si>
  <si>
    <t>Mrphn</t>
  </si>
  <si>
    <t>Middle Window</t>
  </si>
  <si>
    <t>BUTTON MASHER</t>
  </si>
  <si>
    <t>Button Masher</t>
  </si>
  <si>
    <t>MoonblasT</t>
  </si>
  <si>
    <t>Moonbeam</t>
  </si>
  <si>
    <t>PALETTE</t>
  </si>
  <si>
    <t>nnexterr</t>
  </si>
  <si>
    <t>Nexter - NEXT2</t>
  </si>
  <si>
    <t>Fabulous</t>
  </si>
  <si>
    <t>Common Loon</t>
  </si>
  <si>
    <t>Akuste - Confined</t>
  </si>
  <si>
    <t>Mocha V</t>
  </si>
  <si>
    <t>latteeee</t>
  </si>
  <si>
    <t>Gem Setter OST - 02 Circle</t>
  </si>
  <si>
    <t>odywtbmv2</t>
  </si>
  <si>
    <t>OCCCCCO</t>
  </si>
  <si>
    <t>TheFatRat &amp; Laura Brehm - Well Meet Again</t>
  </si>
  <si>
    <t>Midnight Thoughts</t>
  </si>
  <si>
    <t>ta1LSD0ll</t>
  </si>
  <si>
    <t>ta1lsdoll</t>
  </si>
  <si>
    <t>Feel The Rush</t>
  </si>
  <si>
    <t>JRJRJR</t>
  </si>
  <si>
    <t>RJRJRJ</t>
  </si>
  <si>
    <t>Lowest atmosphere</t>
  </si>
  <si>
    <t>Work in progress - Dance</t>
  </si>
  <si>
    <t>Compuesto V</t>
  </si>
  <si>
    <t>Song for the Masses</t>
  </si>
  <si>
    <t>Weow Squad</t>
  </si>
  <si>
    <t>Chrysalis</t>
  </si>
  <si>
    <t>cyanog3n</t>
  </si>
  <si>
    <t>IAHN - Transform (Original Mix)</t>
  </si>
  <si>
    <t>Come to Daddy</t>
  </si>
  <si>
    <t>Come To Daddy (FXkveion Remix)</t>
  </si>
  <si>
    <t>Blank</t>
  </si>
  <si>
    <t>kaacu</t>
  </si>
  <si>
    <t>Perigee</t>
  </si>
  <si>
    <t>N0 S1GNAL</t>
  </si>
  <si>
    <t>TaxEvas10n</t>
  </si>
  <si>
    <t>SGN7</t>
  </si>
  <si>
    <t>Battery Drainer</t>
  </si>
  <si>
    <t>ily</t>
  </si>
  <si>
    <t>something new</t>
  </si>
  <si>
    <t>stormpunk</t>
  </si>
  <si>
    <t>Mick Gordon - Rip &amp; Tear (Cover)</t>
  </si>
  <si>
    <t>Boltstorm Collapse</t>
  </si>
  <si>
    <t>SYTTEN</t>
  </si>
  <si>
    <t>GetFixedBoi</t>
  </si>
  <si>
    <t>dewpidergaming</t>
  </si>
  <si>
    <t>Monkeys Spinning Monkeys</t>
  </si>
  <si>
    <t>Alexandria</t>
  </si>
  <si>
    <t>Artificial Snow</t>
  </si>
  <si>
    <t>ENTANGLEMENT</t>
  </si>
  <si>
    <t>SFX Wind 01</t>
  </si>
  <si>
    <t>Starlit Stroll</t>
  </si>
  <si>
    <t>Banshee</t>
  </si>
  <si>
    <t>Impact</t>
  </si>
  <si>
    <t>PARASITE CHAMBERS</t>
  </si>
  <si>
    <t>From Beyond</t>
  </si>
  <si>
    <t>The undergarden</t>
  </si>
  <si>
    <t>Celph Sifer</t>
  </si>
  <si>
    <t>SHRADED</t>
  </si>
  <si>
    <t>MasmeCrescent</t>
  </si>
  <si>
    <t>Norbex</t>
  </si>
  <si>
    <t>Apr1city</t>
  </si>
  <si>
    <t>Scrollbump Freeze</t>
  </si>
  <si>
    <t>Lightning Pattern Verbatim</t>
  </si>
  <si>
    <t>Crerro Kaizo III</t>
  </si>
  <si>
    <t>lock-with-ink-pen-step</t>
  </si>
  <si>
    <t>Vagueness</t>
  </si>
  <si>
    <t>BloomOcean</t>
  </si>
  <si>
    <t>Marquee</t>
  </si>
  <si>
    <t>Compute It With Some Devilish Alcoholic Steampunk Engines</t>
  </si>
  <si>
    <t>POSSESSIVE</t>
  </si>
  <si>
    <t>kwoob</t>
  </si>
  <si>
    <t>ZØMB x durpo1x - POSSESSIVE LOVE DISORDER</t>
  </si>
  <si>
    <t>glowfishD</t>
  </si>
  <si>
    <t>house song i never finished</t>
  </si>
  <si>
    <t>Automathorium</t>
  </si>
  <si>
    <t>I'll Be There</t>
  </si>
  <si>
    <t>Theory of Nebo</t>
  </si>
  <si>
    <t>Hyperspace</t>
  </si>
  <si>
    <t>Forecast</t>
  </si>
  <si>
    <t>Controlled Chaos</t>
  </si>
  <si>
    <t>Bustling Block</t>
  </si>
  <si>
    <t>Holographic</t>
  </si>
  <si>
    <t>5Gorge</t>
  </si>
  <si>
    <t>Kreno Kaizo I</t>
  </si>
  <si>
    <t>Mario 64~Bomb-omb Battlefield</t>
  </si>
  <si>
    <t>Tipito Bossfight</t>
  </si>
  <si>
    <t>Delightfall</t>
  </si>
  <si>
    <t>chloechu</t>
  </si>
  <si>
    <t>SENSORY OVERLOAD | PHIGHTING! OST</t>
  </si>
  <si>
    <t>ULTRA FAST COLLAB</t>
  </si>
  <si>
    <t>Paper Rings</t>
  </si>
  <si>
    <t>Heave Ho</t>
  </si>
  <si>
    <t>Boom Kitty x Teminite - Heave Ho (GD Edit)</t>
  </si>
  <si>
    <t>Rabbit Hole</t>
  </si>
  <si>
    <t>RABBIT HOLE</t>
  </si>
  <si>
    <t>JumpSaver</t>
  </si>
  <si>
    <t>DeeTee26</t>
  </si>
  <si>
    <t>Bongo Boogie Menu</t>
  </si>
  <si>
    <t>Sinister Glow</t>
  </si>
  <si>
    <t>Charivny Prigody</t>
  </si>
  <si>
    <t>Qimu</t>
  </si>
  <si>
    <t>Two Steps Back</t>
  </si>
  <si>
    <t>BACKWARDS w/ babebee</t>
  </si>
  <si>
    <t>Avalon Chronicles</t>
  </si>
  <si>
    <t>Map Travel</t>
  </si>
  <si>
    <t>consistency</t>
  </si>
  <si>
    <t>RaposaRdiogamer</t>
  </si>
  <si>
    <t>Exaltation</t>
  </si>
  <si>
    <t>Hellscape Open Field Large Dark Room Tone</t>
  </si>
  <si>
    <t>Uh Oh</t>
  </si>
  <si>
    <t>Pixel Sprinter</t>
  </si>
  <si>
    <t>Every End</t>
  </si>
  <si>
    <t>Every End...</t>
  </si>
  <si>
    <t>neo tinNitus</t>
  </si>
  <si>
    <t>Gund34th</t>
  </si>
  <si>
    <t>neo tinnitus</t>
  </si>
  <si>
    <t>Iliobasilema</t>
  </si>
  <si>
    <t>Night time</t>
  </si>
  <si>
    <t>mindopolis</t>
  </si>
  <si>
    <t>Mastypx</t>
  </si>
  <si>
    <t>Counterstrike</t>
  </si>
  <si>
    <t>ParaMotion</t>
  </si>
  <si>
    <t>Supercollider</t>
  </si>
  <si>
    <t>Dans la mer de son</t>
  </si>
  <si>
    <t>Miracle</t>
  </si>
  <si>
    <t>Exit This Earth's Atomosphere</t>
  </si>
  <si>
    <t>Rodent Adventure</t>
  </si>
  <si>
    <t>Uz3rr</t>
  </si>
  <si>
    <t>Galaxy Gas</t>
  </si>
  <si>
    <t>XPloring</t>
  </si>
  <si>
    <t>F-777 - Map Exploring</t>
  </si>
  <si>
    <t>Levels Created</t>
  </si>
  <si>
    <t>Avg Tier</t>
  </si>
  <si>
    <t>Avg enjoyment</t>
  </si>
  <si>
    <t>Hardest Level</t>
  </si>
  <si>
    <t>Most fun level rate</t>
  </si>
  <si>
    <t>Esta es la lista de TODOS los niveles, con un total de 8800+ niveles, las hojas de la parte inferior muestran algunas formulas aplicadas y tablas dinamicas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</si>
</sst>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quotePrefix="1"/>
    <xf numFmtId="20" fontId="0" fillId="0" borderId="0" xfId="0" applyNumberFormat="1"/>
    <xf numFmtId="18" fontId="0" fillId="0" borderId="0" xfId="0" applyNumberFormat="1"/>
    <xf numFmtId="0" fontId="0" fillId="33" borderId="0" xfId="0" applyFill="1" applyBorder="1" applyAlignment="1">
      <alignment horizontal="center"/>
    </xf>
    <xf numFmtId="0" fontId="0" fillId="33" borderId="0" xfId="0" applyFill="1" applyBorder="1" applyAlignment="1">
      <alignment horizontal="center"/>
    </xf>
    <xf numFmtId="0" fontId="0" fillId="35" borderId="10" xfId="0" applyFont="1" applyFill="1" applyBorder="1"/>
    <xf numFmtId="0" fontId="13" fillId="34" borderId="12" xfId="0" applyFont="1" applyFill="1" applyBorder="1"/>
    <xf numFmtId="0" fontId="0" fillId="35" borderId="11" xfId="0" applyFont="1" applyFill="1" applyBorder="1"/>
    <xf numFmtId="0" fontId="0" fillId="36" borderId="10" xfId="0" applyFont="1" applyFill="1" applyBorder="1"/>
    <xf numFmtId="0" fontId="18" fillId="0" borderId="0" xfId="0" applyFon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6"/>
          <bgColor theme="6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54687-25CA-4F74-BD22-C3C7EBDCD768}" name="Tabla1" displayName="Tabla1" ref="A1:F8858" totalsRowShown="0">
  <autoFilter ref="A1:F8858" xr:uid="{96E54687-25CA-4F74-BD22-C3C7EBDCD768}"/>
  <sortState xmlns:xlrd2="http://schemas.microsoft.com/office/spreadsheetml/2017/richdata2" ref="A2:F8858">
    <sortCondition ref="D2:D8858"/>
  </sortState>
  <tableColumns count="6">
    <tableColumn id="1" xr3:uid="{ADA98873-1210-4AA8-BC87-444A8325FF90}" name="Level Name"/>
    <tableColumn id="2" xr3:uid="{095BAC26-3C2A-4842-8BA7-F554CAD7BD1C}" name="Creator"/>
    <tableColumn id="3" xr3:uid="{5381CDFA-1BE9-4FEB-A842-DE961F3F2804}" name="Song"/>
    <tableColumn id="4" xr3:uid="{EFCA0F0B-7FDE-4EB3-BE0F-646168674112}" name="ID"/>
    <tableColumn id="5" xr3:uid="{1F75B5F7-78AC-4F77-AD3D-E30B19DCC977}" name="Tier"/>
    <tableColumn id="6" xr3:uid="{18E4C605-0445-4020-BC34-67B438114EDB}" name="Enjoyment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CBFB9E-A881-44A9-AC25-D2BA2EB7DAE0}" name="Tabla3" displayName="Tabla3" ref="A1:F3322" totalsRowShown="0" headerRowDxfId="0" dataDxfId="1">
  <autoFilter ref="A1:F3322" xr:uid="{1BCBFB9E-A881-44A9-AC25-D2BA2EB7DAE0}"/>
  <tableColumns count="6">
    <tableColumn id="1" xr3:uid="{E59FEEB0-B402-47AA-B999-B1A3EDFDFD60}" name="Creator"/>
    <tableColumn id="2" xr3:uid="{5B21F221-03D6-44E9-9EC0-C28EF44C3A93}" name="Levels Created" dataDxfId="6">
      <calculatedColumnFormula>COUNTIF(Levels!B:B,A2)</calculatedColumnFormula>
    </tableColumn>
    <tableColumn id="3" xr3:uid="{A4A56636-CF05-4A71-A4C8-3090FF20474B}" name="Avg Tier" dataDxfId="5">
      <calculatedColumnFormula>IFERROR(AVERAGEIF(Levels!B:B,A2,Levels!E:E),0)</calculatedColumnFormula>
    </tableColumn>
    <tableColumn id="4" xr3:uid="{7E6BE75E-C524-4590-98E6-3AA26C53E5C9}" name="Avg enjoyment" dataDxfId="4">
      <calculatedColumnFormula>IFERROR(AVERAGEIF(Levels!B:B,A2,Levels!F:F),0)</calculatedColumnFormula>
    </tableColumn>
    <tableColumn id="5" xr3:uid="{23A5D8F1-6E4C-43E4-BDBC-3B3044119819}" name="Hardest Level" dataDxfId="3">
      <calculatedColumnFormula>_xlfn.MAXIFS(Levels!E:E,Levels!B:B,A2)</calculatedColumnFormula>
    </tableColumn>
    <tableColumn id="6" xr3:uid="{BFA3102D-3DE9-4592-ADE7-7ABEE21BE27A}" name="Most fun level rate" dataDxfId="2">
      <calculatedColumnFormula>_xlfn.MAXIFS(Levels!F:F,Levels!B:B,A2)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3D651-A5C9-4DBB-9303-1B00EC310EBC}">
  <dimension ref="A1:L8858"/>
  <sheetViews>
    <sheetView workbookViewId="0">
      <selection activeCell="I10" sqref="I10"/>
    </sheetView>
  </sheetViews>
  <sheetFormatPr baseColWidth="10" defaultRowHeight="14.4" x14ac:dyDescent="0.3"/>
  <cols>
    <col min="1" max="1" width="22" customWidth="1"/>
    <col min="2" max="2" width="18.21875" customWidth="1"/>
    <col min="3" max="3" width="41.33203125" customWidth="1"/>
    <col min="4" max="4" width="16.21875" customWidth="1"/>
    <col min="6" max="6" width="11.66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/>
      <c r="H1" s="4"/>
      <c r="I1" s="4"/>
      <c r="J1" s="4"/>
      <c r="K1" s="4"/>
      <c r="L1" s="4"/>
    </row>
    <row r="2" spans="1:12" x14ac:dyDescent="0.3">
      <c r="A2" t="s">
        <v>6</v>
      </c>
      <c r="B2" t="s">
        <v>7</v>
      </c>
      <c r="C2" t="s">
        <v>6</v>
      </c>
      <c r="D2">
        <v>1</v>
      </c>
      <c r="E2">
        <v>2.82</v>
      </c>
      <c r="F2">
        <v>6.57</v>
      </c>
      <c r="G2" s="5"/>
      <c r="H2" s="10" t="s">
        <v>15173</v>
      </c>
      <c r="I2" s="10"/>
      <c r="J2" s="10"/>
      <c r="K2" s="10"/>
      <c r="L2" s="4"/>
    </row>
    <row r="3" spans="1:12" x14ac:dyDescent="0.3">
      <c r="A3" t="s">
        <v>8</v>
      </c>
      <c r="B3" t="s">
        <v>7</v>
      </c>
      <c r="C3" t="s">
        <v>8</v>
      </c>
      <c r="D3">
        <v>2</v>
      </c>
      <c r="E3">
        <v>3</v>
      </c>
      <c r="F3">
        <v>7.18</v>
      </c>
      <c r="G3" s="4"/>
      <c r="H3" s="10"/>
      <c r="I3" s="10"/>
      <c r="J3" s="10"/>
      <c r="K3" s="10"/>
      <c r="L3" s="4"/>
    </row>
    <row r="4" spans="1:12" x14ac:dyDescent="0.3">
      <c r="A4" t="s">
        <v>9</v>
      </c>
      <c r="B4" t="s">
        <v>7</v>
      </c>
      <c r="C4" t="s">
        <v>9</v>
      </c>
      <c r="D4">
        <v>3</v>
      </c>
      <c r="E4">
        <v>4.82</v>
      </c>
      <c r="F4">
        <v>7.13</v>
      </c>
      <c r="G4" s="4"/>
      <c r="H4" s="10"/>
      <c r="I4" s="10"/>
      <c r="J4" s="10"/>
      <c r="K4" s="10"/>
      <c r="L4" s="4"/>
    </row>
    <row r="5" spans="1:12" x14ac:dyDescent="0.3">
      <c r="A5" t="s">
        <v>10</v>
      </c>
      <c r="B5" t="s">
        <v>11</v>
      </c>
      <c r="C5" t="s">
        <v>12</v>
      </c>
      <c r="D5">
        <v>10109</v>
      </c>
      <c r="E5">
        <v>2.84</v>
      </c>
      <c r="F5">
        <v>5.61</v>
      </c>
      <c r="G5" s="4"/>
      <c r="H5" s="4"/>
      <c r="I5" s="4"/>
      <c r="J5" s="4"/>
      <c r="K5" s="4"/>
      <c r="L5" s="4"/>
    </row>
    <row r="6" spans="1:12" x14ac:dyDescent="0.3">
      <c r="A6" t="s">
        <v>13</v>
      </c>
      <c r="B6" t="s">
        <v>14</v>
      </c>
      <c r="C6" t="s">
        <v>12</v>
      </c>
      <c r="D6">
        <v>12556</v>
      </c>
      <c r="E6">
        <v>3.93</v>
      </c>
      <c r="F6">
        <v>5.3</v>
      </c>
    </row>
    <row r="7" spans="1:12" x14ac:dyDescent="0.3">
      <c r="A7" t="s">
        <v>15</v>
      </c>
      <c r="B7" t="s">
        <v>16</v>
      </c>
      <c r="C7" t="s">
        <v>17</v>
      </c>
      <c r="D7">
        <v>13519</v>
      </c>
      <c r="E7">
        <v>1</v>
      </c>
      <c r="F7">
        <v>5.81</v>
      </c>
    </row>
    <row r="8" spans="1:12" x14ac:dyDescent="0.3">
      <c r="A8" t="s">
        <v>18</v>
      </c>
      <c r="B8" t="s">
        <v>19</v>
      </c>
      <c r="C8" t="s">
        <v>20</v>
      </c>
      <c r="D8">
        <v>55520</v>
      </c>
      <c r="E8">
        <v>1</v>
      </c>
      <c r="F8">
        <v>4.9000000000000004</v>
      </c>
    </row>
    <row r="9" spans="1:12" x14ac:dyDescent="0.3">
      <c r="A9" t="s">
        <v>21</v>
      </c>
      <c r="B9" t="s">
        <v>22</v>
      </c>
      <c r="C9" t="s">
        <v>23</v>
      </c>
      <c r="D9">
        <v>56287</v>
      </c>
      <c r="E9">
        <v>6.89</v>
      </c>
      <c r="F9">
        <v>6.52</v>
      </c>
    </row>
    <row r="10" spans="1:12" x14ac:dyDescent="0.3">
      <c r="A10" t="s">
        <v>24</v>
      </c>
      <c r="B10" t="s">
        <v>16</v>
      </c>
      <c r="C10" t="s">
        <v>25</v>
      </c>
      <c r="D10">
        <v>57730</v>
      </c>
      <c r="E10">
        <v>1.86</v>
      </c>
      <c r="F10">
        <v>5.31</v>
      </c>
    </row>
    <row r="11" spans="1:12" x14ac:dyDescent="0.3">
      <c r="A11" t="s">
        <v>26</v>
      </c>
      <c r="B11" t="s">
        <v>27</v>
      </c>
      <c r="C11" t="s">
        <v>28</v>
      </c>
      <c r="D11">
        <v>70059</v>
      </c>
      <c r="E11">
        <v>1.77</v>
      </c>
      <c r="F11">
        <v>5.31</v>
      </c>
    </row>
    <row r="12" spans="1:12" x14ac:dyDescent="0.3">
      <c r="A12" t="s">
        <v>29</v>
      </c>
      <c r="B12" t="s">
        <v>30</v>
      </c>
      <c r="C12" t="s">
        <v>28</v>
      </c>
      <c r="D12">
        <v>72282</v>
      </c>
      <c r="E12">
        <v>1.88</v>
      </c>
      <c r="F12">
        <v>5.14</v>
      </c>
    </row>
    <row r="13" spans="1:12" x14ac:dyDescent="0.3">
      <c r="A13" t="s">
        <v>31</v>
      </c>
      <c r="B13" t="s">
        <v>32</v>
      </c>
      <c r="C13" t="s">
        <v>28</v>
      </c>
      <c r="D13">
        <v>72540</v>
      </c>
      <c r="E13">
        <v>8.1</v>
      </c>
      <c r="F13">
        <v>4.34</v>
      </c>
    </row>
    <row r="14" spans="1:12" x14ac:dyDescent="0.3">
      <c r="A14" t="s">
        <v>33</v>
      </c>
      <c r="B14" t="s">
        <v>34</v>
      </c>
      <c r="C14" t="s">
        <v>20</v>
      </c>
      <c r="D14">
        <v>74449</v>
      </c>
      <c r="E14">
        <v>4.63</v>
      </c>
      <c r="F14">
        <v>6.02</v>
      </c>
    </row>
    <row r="15" spans="1:12" x14ac:dyDescent="0.3">
      <c r="A15" t="s">
        <v>35</v>
      </c>
      <c r="B15" t="s">
        <v>14</v>
      </c>
      <c r="C15" t="s">
        <v>36</v>
      </c>
      <c r="D15">
        <v>74482</v>
      </c>
      <c r="E15">
        <v>1.6</v>
      </c>
      <c r="F15">
        <v>4.24</v>
      </c>
    </row>
    <row r="16" spans="1:12" x14ac:dyDescent="0.3">
      <c r="A16" t="s">
        <v>37</v>
      </c>
      <c r="B16" t="s">
        <v>22</v>
      </c>
      <c r="C16" t="s">
        <v>17</v>
      </c>
      <c r="D16">
        <v>79939</v>
      </c>
      <c r="E16">
        <v>2.76</v>
      </c>
      <c r="F16">
        <v>5.82</v>
      </c>
    </row>
    <row r="17" spans="1:6" x14ac:dyDescent="0.3">
      <c r="A17" t="s">
        <v>38</v>
      </c>
      <c r="B17" t="s">
        <v>14</v>
      </c>
      <c r="C17" t="s">
        <v>39</v>
      </c>
      <c r="D17">
        <v>83434</v>
      </c>
      <c r="E17">
        <v>1.93</v>
      </c>
      <c r="F17">
        <v>5.81</v>
      </c>
    </row>
    <row r="18" spans="1:6" x14ac:dyDescent="0.3">
      <c r="A18" t="s">
        <v>40</v>
      </c>
      <c r="B18" t="s">
        <v>14</v>
      </c>
      <c r="C18" t="s">
        <v>12</v>
      </c>
      <c r="D18">
        <v>91402</v>
      </c>
      <c r="E18">
        <v>6.7</v>
      </c>
      <c r="F18">
        <v>5.59</v>
      </c>
    </row>
    <row r="19" spans="1:6" x14ac:dyDescent="0.3">
      <c r="A19" t="s">
        <v>41</v>
      </c>
      <c r="B19" t="s">
        <v>42</v>
      </c>
      <c r="C19" t="s">
        <v>12</v>
      </c>
      <c r="D19">
        <v>99361</v>
      </c>
      <c r="E19">
        <v>5.03</v>
      </c>
      <c r="F19">
        <v>4.7699999999999996</v>
      </c>
    </row>
    <row r="20" spans="1:6" x14ac:dyDescent="0.3">
      <c r="A20" t="s">
        <v>43</v>
      </c>
      <c r="B20" t="s">
        <v>44</v>
      </c>
      <c r="C20" t="s">
        <v>45</v>
      </c>
      <c r="D20">
        <v>99719</v>
      </c>
      <c r="E20">
        <v>8.19</v>
      </c>
      <c r="F20">
        <v>5.4</v>
      </c>
    </row>
    <row r="21" spans="1:6" x14ac:dyDescent="0.3">
      <c r="A21" t="s">
        <v>46</v>
      </c>
      <c r="B21" t="s">
        <v>22</v>
      </c>
      <c r="C21" t="s">
        <v>28</v>
      </c>
      <c r="D21">
        <v>100091</v>
      </c>
      <c r="E21">
        <v>4.7</v>
      </c>
      <c r="F21">
        <v>6.14</v>
      </c>
    </row>
    <row r="22" spans="1:6" x14ac:dyDescent="0.3">
      <c r="A22" t="s">
        <v>47</v>
      </c>
      <c r="B22" t="s">
        <v>27</v>
      </c>
      <c r="C22" t="s">
        <v>23</v>
      </c>
      <c r="D22">
        <v>102765</v>
      </c>
      <c r="E22">
        <v>1.75</v>
      </c>
      <c r="F22">
        <v>5.96</v>
      </c>
    </row>
    <row r="23" spans="1:6" x14ac:dyDescent="0.3">
      <c r="A23" t="s">
        <v>48</v>
      </c>
      <c r="B23" t="s">
        <v>49</v>
      </c>
      <c r="C23" t="s">
        <v>20</v>
      </c>
      <c r="D23">
        <v>109927</v>
      </c>
      <c r="E23">
        <v>9.84</v>
      </c>
      <c r="F23">
        <v>6.56</v>
      </c>
    </row>
    <row r="24" spans="1:6" x14ac:dyDescent="0.3">
      <c r="A24" t="s">
        <v>50</v>
      </c>
      <c r="B24" t="s">
        <v>51</v>
      </c>
      <c r="C24" t="s">
        <v>28</v>
      </c>
      <c r="D24">
        <v>110067</v>
      </c>
      <c r="E24">
        <v>1.01</v>
      </c>
      <c r="F24">
        <v>5.7</v>
      </c>
    </row>
    <row r="25" spans="1:6" x14ac:dyDescent="0.3">
      <c r="A25" t="s">
        <v>52</v>
      </c>
      <c r="B25" t="s">
        <v>53</v>
      </c>
      <c r="C25" t="s">
        <v>28</v>
      </c>
      <c r="D25">
        <v>111010</v>
      </c>
      <c r="E25">
        <v>5.73</v>
      </c>
      <c r="F25">
        <v>5.6</v>
      </c>
    </row>
    <row r="26" spans="1:6" x14ac:dyDescent="0.3">
      <c r="A26" t="s">
        <v>54</v>
      </c>
      <c r="B26" t="s">
        <v>14</v>
      </c>
      <c r="C26" t="s">
        <v>12</v>
      </c>
      <c r="D26">
        <v>112849</v>
      </c>
      <c r="E26">
        <v>2.1800000000000002</v>
      </c>
      <c r="F26">
        <v>5.37</v>
      </c>
    </row>
    <row r="27" spans="1:6" x14ac:dyDescent="0.3">
      <c r="A27" t="s">
        <v>55</v>
      </c>
      <c r="B27" t="s">
        <v>56</v>
      </c>
      <c r="C27" t="s">
        <v>25</v>
      </c>
      <c r="D27">
        <v>113790</v>
      </c>
      <c r="E27">
        <v>3.2</v>
      </c>
      <c r="F27">
        <v>5.74</v>
      </c>
    </row>
    <row r="28" spans="1:6" x14ac:dyDescent="0.3">
      <c r="A28" t="s">
        <v>57</v>
      </c>
      <c r="B28" t="s">
        <v>58</v>
      </c>
      <c r="C28" t="s">
        <v>28</v>
      </c>
      <c r="D28">
        <v>116474</v>
      </c>
      <c r="E28">
        <v>4.8099999999999996</v>
      </c>
      <c r="F28">
        <v>5.71</v>
      </c>
    </row>
    <row r="29" spans="1:6" x14ac:dyDescent="0.3">
      <c r="A29" t="s">
        <v>59</v>
      </c>
      <c r="B29" t="s">
        <v>14</v>
      </c>
      <c r="C29" t="s">
        <v>23</v>
      </c>
      <c r="D29">
        <v>116631</v>
      </c>
      <c r="E29">
        <v>6.13</v>
      </c>
      <c r="F29">
        <v>4.45</v>
      </c>
    </row>
    <row r="30" spans="1:6" x14ac:dyDescent="0.3">
      <c r="A30" t="s">
        <v>60</v>
      </c>
      <c r="B30" t="s">
        <v>61</v>
      </c>
      <c r="C30" t="s">
        <v>25</v>
      </c>
      <c r="D30">
        <v>120432</v>
      </c>
      <c r="E30">
        <v>8.23</v>
      </c>
      <c r="F30">
        <v>6.31</v>
      </c>
    </row>
    <row r="31" spans="1:6" x14ac:dyDescent="0.3">
      <c r="A31" t="s">
        <v>62</v>
      </c>
      <c r="B31" t="s">
        <v>53</v>
      </c>
      <c r="C31" t="s">
        <v>63</v>
      </c>
      <c r="D31">
        <v>121377</v>
      </c>
      <c r="E31">
        <v>6.11</v>
      </c>
      <c r="F31">
        <v>5.97</v>
      </c>
    </row>
    <row r="32" spans="1:6" x14ac:dyDescent="0.3">
      <c r="A32" t="s">
        <v>64</v>
      </c>
      <c r="B32" t="s">
        <v>56</v>
      </c>
      <c r="C32" t="s">
        <v>65</v>
      </c>
      <c r="D32">
        <v>123247</v>
      </c>
      <c r="E32">
        <v>3.66</v>
      </c>
      <c r="F32">
        <v>5.14</v>
      </c>
    </row>
    <row r="33" spans="1:6" x14ac:dyDescent="0.3">
      <c r="A33" t="s">
        <v>66</v>
      </c>
      <c r="B33" t="s">
        <v>14</v>
      </c>
      <c r="C33" t="s">
        <v>65</v>
      </c>
      <c r="D33">
        <v>124354</v>
      </c>
      <c r="E33">
        <v>1.96</v>
      </c>
      <c r="F33">
        <v>5.85</v>
      </c>
    </row>
    <row r="34" spans="1:6" x14ac:dyDescent="0.3">
      <c r="A34" t="s">
        <v>67</v>
      </c>
      <c r="B34" t="s">
        <v>14</v>
      </c>
      <c r="C34" t="s">
        <v>65</v>
      </c>
      <c r="D34">
        <v>125283</v>
      </c>
      <c r="E34">
        <v>2.82</v>
      </c>
      <c r="F34">
        <v>4.45</v>
      </c>
    </row>
    <row r="35" spans="1:6" x14ac:dyDescent="0.3">
      <c r="A35" t="s">
        <v>68</v>
      </c>
      <c r="B35" t="s">
        <v>14</v>
      </c>
      <c r="C35" t="s">
        <v>25</v>
      </c>
      <c r="D35">
        <v>128930</v>
      </c>
      <c r="E35">
        <v>3.93</v>
      </c>
      <c r="F35">
        <v>4.3099999999999996</v>
      </c>
    </row>
    <row r="36" spans="1:6" x14ac:dyDescent="0.3">
      <c r="A36" t="s">
        <v>69</v>
      </c>
      <c r="B36" t="s">
        <v>14</v>
      </c>
      <c r="C36" t="s">
        <v>65</v>
      </c>
      <c r="D36">
        <v>130414</v>
      </c>
      <c r="E36">
        <v>4.58</v>
      </c>
      <c r="F36">
        <v>4.08</v>
      </c>
    </row>
    <row r="37" spans="1:6" x14ac:dyDescent="0.3">
      <c r="A37" t="s">
        <v>70</v>
      </c>
      <c r="B37" t="s">
        <v>34</v>
      </c>
      <c r="C37" t="s">
        <v>65</v>
      </c>
      <c r="D37">
        <v>131552</v>
      </c>
      <c r="E37">
        <v>5.08</v>
      </c>
      <c r="F37">
        <v>6.23</v>
      </c>
    </row>
    <row r="38" spans="1:6" x14ac:dyDescent="0.3">
      <c r="A38" t="s">
        <v>71</v>
      </c>
      <c r="B38" t="s">
        <v>72</v>
      </c>
      <c r="C38" t="s">
        <v>25</v>
      </c>
      <c r="D38">
        <v>134458</v>
      </c>
      <c r="E38">
        <v>5.96</v>
      </c>
      <c r="F38">
        <v>5.65</v>
      </c>
    </row>
    <row r="39" spans="1:6" x14ac:dyDescent="0.3">
      <c r="A39" t="s">
        <v>73</v>
      </c>
      <c r="B39" t="s">
        <v>22</v>
      </c>
      <c r="C39" t="s">
        <v>65</v>
      </c>
      <c r="D39">
        <v>135561</v>
      </c>
      <c r="E39">
        <v>3.7</v>
      </c>
      <c r="F39">
        <v>4.07</v>
      </c>
    </row>
    <row r="40" spans="1:6" x14ac:dyDescent="0.3">
      <c r="A40" t="s">
        <v>74</v>
      </c>
      <c r="B40" t="s">
        <v>14</v>
      </c>
      <c r="C40" t="s">
        <v>65</v>
      </c>
      <c r="D40">
        <v>141457</v>
      </c>
      <c r="E40">
        <v>1.06</v>
      </c>
      <c r="F40">
        <v>5.05</v>
      </c>
    </row>
    <row r="41" spans="1:6" x14ac:dyDescent="0.3">
      <c r="A41" t="s">
        <v>75</v>
      </c>
      <c r="B41" t="s">
        <v>11</v>
      </c>
      <c r="C41" t="s">
        <v>65</v>
      </c>
      <c r="D41">
        <v>142596</v>
      </c>
      <c r="E41">
        <v>3.08</v>
      </c>
      <c r="F41">
        <v>5.39</v>
      </c>
    </row>
    <row r="42" spans="1:6" x14ac:dyDescent="0.3">
      <c r="A42" t="s">
        <v>76</v>
      </c>
      <c r="B42" t="s">
        <v>14</v>
      </c>
      <c r="C42" t="s">
        <v>65</v>
      </c>
      <c r="D42">
        <v>144503</v>
      </c>
      <c r="E42">
        <v>7.17</v>
      </c>
      <c r="F42">
        <v>4.8099999999999996</v>
      </c>
    </row>
    <row r="43" spans="1:6" x14ac:dyDescent="0.3">
      <c r="A43" t="s">
        <v>77</v>
      </c>
      <c r="B43" t="s">
        <v>78</v>
      </c>
      <c r="C43" t="s">
        <v>36</v>
      </c>
      <c r="D43">
        <v>149377</v>
      </c>
      <c r="E43">
        <v>2.7</v>
      </c>
      <c r="F43">
        <v>5.35</v>
      </c>
    </row>
    <row r="44" spans="1:6" x14ac:dyDescent="0.3">
      <c r="A44" t="s">
        <v>79</v>
      </c>
      <c r="B44" t="s">
        <v>14</v>
      </c>
      <c r="C44" t="s">
        <v>25</v>
      </c>
      <c r="D44">
        <v>149635</v>
      </c>
      <c r="E44">
        <v>2.67</v>
      </c>
      <c r="F44">
        <v>5.53</v>
      </c>
    </row>
    <row r="45" spans="1:6" x14ac:dyDescent="0.3">
      <c r="A45" t="s">
        <v>80</v>
      </c>
      <c r="B45" t="s">
        <v>81</v>
      </c>
      <c r="C45" t="s">
        <v>65</v>
      </c>
      <c r="D45">
        <v>151076</v>
      </c>
      <c r="E45">
        <v>6.2</v>
      </c>
      <c r="F45">
        <v>5.0999999999999996</v>
      </c>
    </row>
    <row r="46" spans="1:6" x14ac:dyDescent="0.3">
      <c r="A46" t="s">
        <v>82</v>
      </c>
      <c r="B46" t="s">
        <v>83</v>
      </c>
      <c r="C46" t="s">
        <v>25</v>
      </c>
      <c r="D46">
        <v>151941</v>
      </c>
      <c r="E46">
        <v>17.739999999999998</v>
      </c>
      <c r="F46">
        <v>3.35</v>
      </c>
    </row>
    <row r="47" spans="1:6" x14ac:dyDescent="0.3">
      <c r="A47" t="s">
        <v>84</v>
      </c>
      <c r="B47" t="s">
        <v>85</v>
      </c>
      <c r="C47" t="s">
        <v>25</v>
      </c>
      <c r="D47">
        <v>152040</v>
      </c>
      <c r="E47">
        <v>10.49</v>
      </c>
      <c r="F47">
        <v>5.98</v>
      </c>
    </row>
    <row r="48" spans="1:6" x14ac:dyDescent="0.3">
      <c r="A48" t="s">
        <v>86</v>
      </c>
      <c r="B48" t="s">
        <v>14</v>
      </c>
      <c r="C48" t="s">
        <v>20</v>
      </c>
      <c r="D48">
        <v>153697</v>
      </c>
      <c r="E48">
        <v>8.91</v>
      </c>
      <c r="F48">
        <v>5.47</v>
      </c>
    </row>
    <row r="49" spans="1:6" x14ac:dyDescent="0.3">
      <c r="A49" t="s">
        <v>87</v>
      </c>
      <c r="B49" t="s">
        <v>88</v>
      </c>
      <c r="C49" t="s">
        <v>89</v>
      </c>
      <c r="D49">
        <v>154754</v>
      </c>
      <c r="E49">
        <v>3.67</v>
      </c>
      <c r="F49">
        <v>4.62</v>
      </c>
    </row>
    <row r="50" spans="1:6" x14ac:dyDescent="0.3">
      <c r="A50" t="s">
        <v>90</v>
      </c>
      <c r="B50" t="s">
        <v>91</v>
      </c>
      <c r="C50" t="s">
        <v>12</v>
      </c>
      <c r="D50">
        <v>156473</v>
      </c>
      <c r="E50">
        <v>1.65</v>
      </c>
      <c r="F50">
        <v>6.39</v>
      </c>
    </row>
    <row r="51" spans="1:6" x14ac:dyDescent="0.3">
      <c r="A51" t="s">
        <v>92</v>
      </c>
      <c r="B51" t="s">
        <v>14</v>
      </c>
      <c r="C51" t="s">
        <v>28</v>
      </c>
      <c r="D51">
        <v>157845</v>
      </c>
      <c r="E51">
        <v>2.86</v>
      </c>
      <c r="F51">
        <v>5.1100000000000003</v>
      </c>
    </row>
    <row r="52" spans="1:6" x14ac:dyDescent="0.3">
      <c r="A52" t="s">
        <v>93</v>
      </c>
      <c r="B52" t="s">
        <v>94</v>
      </c>
      <c r="C52" t="s">
        <v>20</v>
      </c>
      <c r="D52">
        <v>158646</v>
      </c>
      <c r="E52">
        <v>6</v>
      </c>
      <c r="F52">
        <v>4.57</v>
      </c>
    </row>
    <row r="53" spans="1:6" x14ac:dyDescent="0.3">
      <c r="A53" t="s">
        <v>95</v>
      </c>
      <c r="B53" t="s">
        <v>96</v>
      </c>
      <c r="C53" t="s">
        <v>39</v>
      </c>
      <c r="D53">
        <v>160166</v>
      </c>
      <c r="E53">
        <v>4.87</v>
      </c>
      <c r="F53">
        <v>5.97</v>
      </c>
    </row>
    <row r="54" spans="1:6" x14ac:dyDescent="0.3">
      <c r="A54" t="s">
        <v>97</v>
      </c>
      <c r="B54" t="s">
        <v>98</v>
      </c>
      <c r="C54" t="s">
        <v>28</v>
      </c>
      <c r="D54">
        <v>162204</v>
      </c>
      <c r="E54">
        <v>3.3</v>
      </c>
      <c r="F54">
        <v>5.79</v>
      </c>
    </row>
    <row r="55" spans="1:6" x14ac:dyDescent="0.3">
      <c r="A55" t="s">
        <v>99</v>
      </c>
      <c r="B55" t="s">
        <v>100</v>
      </c>
      <c r="C55" t="s">
        <v>65</v>
      </c>
      <c r="D55">
        <v>164422</v>
      </c>
      <c r="E55">
        <v>7.44</v>
      </c>
      <c r="F55">
        <v>6.25</v>
      </c>
    </row>
    <row r="56" spans="1:6" x14ac:dyDescent="0.3">
      <c r="A56" t="s">
        <v>101</v>
      </c>
      <c r="B56" t="s">
        <v>88</v>
      </c>
      <c r="C56" t="s">
        <v>65</v>
      </c>
      <c r="D56">
        <v>165155</v>
      </c>
      <c r="E56">
        <v>7.85</v>
      </c>
      <c r="F56">
        <v>4.47</v>
      </c>
    </row>
    <row r="57" spans="1:6" x14ac:dyDescent="0.3">
      <c r="A57" t="s">
        <v>102</v>
      </c>
      <c r="B57" t="s">
        <v>16</v>
      </c>
      <c r="C57" t="s">
        <v>36</v>
      </c>
      <c r="D57">
        <v>166421</v>
      </c>
      <c r="E57">
        <v>1.86</v>
      </c>
      <c r="F57">
        <v>6.04</v>
      </c>
    </row>
    <row r="58" spans="1:6" x14ac:dyDescent="0.3">
      <c r="A58" t="s">
        <v>103</v>
      </c>
      <c r="B58" t="s">
        <v>27</v>
      </c>
      <c r="C58" t="s">
        <v>65</v>
      </c>
      <c r="D58">
        <v>167178</v>
      </c>
      <c r="E58">
        <v>2.6</v>
      </c>
      <c r="F58">
        <v>5.63</v>
      </c>
    </row>
    <row r="59" spans="1:6" x14ac:dyDescent="0.3">
      <c r="A59" t="s">
        <v>104</v>
      </c>
      <c r="B59" t="s">
        <v>105</v>
      </c>
      <c r="C59" t="s">
        <v>65</v>
      </c>
      <c r="D59">
        <v>169052</v>
      </c>
      <c r="E59">
        <v>7.86</v>
      </c>
      <c r="F59">
        <v>4.8899999999999997</v>
      </c>
    </row>
    <row r="60" spans="1:6" x14ac:dyDescent="0.3">
      <c r="A60" t="s">
        <v>106</v>
      </c>
      <c r="B60" t="s">
        <v>14</v>
      </c>
      <c r="C60" t="s">
        <v>25</v>
      </c>
      <c r="D60">
        <v>169862</v>
      </c>
      <c r="E60">
        <v>2.98</v>
      </c>
      <c r="F60">
        <v>5.88</v>
      </c>
    </row>
    <row r="61" spans="1:6" x14ac:dyDescent="0.3">
      <c r="A61" t="s">
        <v>107</v>
      </c>
      <c r="B61" t="s">
        <v>108</v>
      </c>
      <c r="C61" t="s">
        <v>12</v>
      </c>
      <c r="D61">
        <v>171334</v>
      </c>
      <c r="E61">
        <v>15.39</v>
      </c>
      <c r="F61">
        <v>4.7699999999999996</v>
      </c>
    </row>
    <row r="62" spans="1:6" x14ac:dyDescent="0.3">
      <c r="A62" t="s">
        <v>109</v>
      </c>
      <c r="B62" t="s">
        <v>34</v>
      </c>
      <c r="C62" t="s">
        <v>17</v>
      </c>
      <c r="D62">
        <v>173009</v>
      </c>
      <c r="E62">
        <v>2.86</v>
      </c>
      <c r="F62">
        <v>5.49</v>
      </c>
    </row>
    <row r="63" spans="1:6" x14ac:dyDescent="0.3">
      <c r="A63" t="s">
        <v>110</v>
      </c>
      <c r="B63" t="s">
        <v>98</v>
      </c>
      <c r="C63" t="s">
        <v>17</v>
      </c>
      <c r="D63">
        <v>173966</v>
      </c>
      <c r="E63">
        <v>2.23</v>
      </c>
      <c r="F63">
        <v>5.67</v>
      </c>
    </row>
    <row r="64" spans="1:6" x14ac:dyDescent="0.3">
      <c r="A64" t="s">
        <v>111</v>
      </c>
      <c r="B64" t="s">
        <v>112</v>
      </c>
      <c r="C64" t="s">
        <v>65</v>
      </c>
      <c r="D64">
        <v>175491</v>
      </c>
      <c r="E64">
        <v>8.56</v>
      </c>
      <c r="F64">
        <v>5.92</v>
      </c>
    </row>
    <row r="65" spans="1:6" x14ac:dyDescent="0.3">
      <c r="A65" t="s">
        <v>113</v>
      </c>
      <c r="B65" t="s">
        <v>14</v>
      </c>
      <c r="C65" t="s">
        <v>25</v>
      </c>
      <c r="D65">
        <v>179906</v>
      </c>
      <c r="E65">
        <v>6.35</v>
      </c>
      <c r="F65">
        <v>3.08</v>
      </c>
    </row>
    <row r="66" spans="1:6" x14ac:dyDescent="0.3">
      <c r="A66" t="s">
        <v>114</v>
      </c>
      <c r="B66" t="s">
        <v>56</v>
      </c>
      <c r="C66" t="s">
        <v>28</v>
      </c>
      <c r="D66">
        <v>179964</v>
      </c>
      <c r="E66">
        <v>6</v>
      </c>
      <c r="F66">
        <v>5.89</v>
      </c>
    </row>
    <row r="67" spans="1:6" x14ac:dyDescent="0.3">
      <c r="A67" t="s">
        <v>115</v>
      </c>
      <c r="B67" t="s">
        <v>22</v>
      </c>
      <c r="C67" t="s">
        <v>23</v>
      </c>
      <c r="D67">
        <v>180857</v>
      </c>
      <c r="E67">
        <v>9.8800000000000008</v>
      </c>
      <c r="F67">
        <v>6.34</v>
      </c>
    </row>
    <row r="68" spans="1:6" x14ac:dyDescent="0.3">
      <c r="A68" t="s">
        <v>116</v>
      </c>
      <c r="B68" t="s">
        <v>88</v>
      </c>
      <c r="C68" t="s">
        <v>23</v>
      </c>
      <c r="D68">
        <v>183427</v>
      </c>
      <c r="E68">
        <v>10.69</v>
      </c>
      <c r="F68">
        <v>5.63</v>
      </c>
    </row>
    <row r="69" spans="1:6" x14ac:dyDescent="0.3">
      <c r="A69" t="s">
        <v>117</v>
      </c>
      <c r="B69" t="s">
        <v>14</v>
      </c>
      <c r="C69" t="s">
        <v>12</v>
      </c>
      <c r="D69">
        <v>184880</v>
      </c>
      <c r="E69">
        <v>3.05</v>
      </c>
      <c r="F69">
        <v>3.38</v>
      </c>
    </row>
    <row r="70" spans="1:6" x14ac:dyDescent="0.3">
      <c r="A70" t="s">
        <v>118</v>
      </c>
      <c r="B70" t="s">
        <v>119</v>
      </c>
      <c r="C70" t="s">
        <v>23</v>
      </c>
      <c r="D70">
        <v>184981</v>
      </c>
      <c r="E70">
        <v>2.1800000000000002</v>
      </c>
      <c r="F70">
        <v>3.88</v>
      </c>
    </row>
    <row r="71" spans="1:6" x14ac:dyDescent="0.3">
      <c r="A71" t="s">
        <v>120</v>
      </c>
      <c r="B71" t="s">
        <v>98</v>
      </c>
      <c r="C71" t="s">
        <v>121</v>
      </c>
      <c r="D71">
        <v>186646</v>
      </c>
      <c r="E71">
        <v>1.8</v>
      </c>
      <c r="F71">
        <v>4.88</v>
      </c>
    </row>
    <row r="72" spans="1:6" x14ac:dyDescent="0.3">
      <c r="A72" t="s">
        <v>122</v>
      </c>
      <c r="B72" t="s">
        <v>105</v>
      </c>
      <c r="C72" t="s">
        <v>121</v>
      </c>
      <c r="D72">
        <v>188337</v>
      </c>
      <c r="E72">
        <v>2.71</v>
      </c>
      <c r="F72">
        <v>5.22</v>
      </c>
    </row>
    <row r="73" spans="1:6" x14ac:dyDescent="0.3">
      <c r="A73" t="s">
        <v>123</v>
      </c>
      <c r="B73" t="s">
        <v>124</v>
      </c>
      <c r="C73" t="s">
        <v>121</v>
      </c>
      <c r="D73">
        <v>189290</v>
      </c>
      <c r="E73">
        <v>4.2</v>
      </c>
      <c r="F73">
        <v>4.47</v>
      </c>
    </row>
    <row r="74" spans="1:6" x14ac:dyDescent="0.3">
      <c r="A74" t="s">
        <v>125</v>
      </c>
      <c r="B74" t="s">
        <v>14</v>
      </c>
      <c r="C74" t="s">
        <v>12</v>
      </c>
      <c r="D74">
        <v>189521</v>
      </c>
      <c r="E74">
        <v>9.52</v>
      </c>
      <c r="F74">
        <v>4.75</v>
      </c>
    </row>
    <row r="75" spans="1:6" x14ac:dyDescent="0.3">
      <c r="A75" t="s">
        <v>126</v>
      </c>
      <c r="B75" t="s">
        <v>14</v>
      </c>
      <c r="C75" t="s">
        <v>28</v>
      </c>
      <c r="D75">
        <v>190003</v>
      </c>
      <c r="E75">
        <v>4.01</v>
      </c>
      <c r="F75">
        <v>4.3099999999999996</v>
      </c>
    </row>
    <row r="76" spans="1:6" x14ac:dyDescent="0.3">
      <c r="A76" t="s">
        <v>127</v>
      </c>
      <c r="B76" t="s">
        <v>14</v>
      </c>
      <c r="C76" t="s">
        <v>12</v>
      </c>
      <c r="D76">
        <v>193345</v>
      </c>
      <c r="E76">
        <v>11.18</v>
      </c>
      <c r="F76">
        <v>4.84</v>
      </c>
    </row>
    <row r="77" spans="1:6" x14ac:dyDescent="0.3">
      <c r="A77" t="s">
        <v>128</v>
      </c>
      <c r="B77" t="s">
        <v>14</v>
      </c>
      <c r="C77" t="s">
        <v>121</v>
      </c>
      <c r="D77">
        <v>193368</v>
      </c>
      <c r="E77">
        <v>3.45</v>
      </c>
      <c r="F77">
        <v>5.94</v>
      </c>
    </row>
    <row r="78" spans="1:6" x14ac:dyDescent="0.3">
      <c r="A78" t="s">
        <v>129</v>
      </c>
      <c r="B78" t="s">
        <v>14</v>
      </c>
      <c r="C78" t="s">
        <v>121</v>
      </c>
      <c r="D78">
        <v>194073</v>
      </c>
      <c r="E78">
        <v>2.16</v>
      </c>
      <c r="F78">
        <v>5.55</v>
      </c>
    </row>
    <row r="79" spans="1:6" x14ac:dyDescent="0.3">
      <c r="A79" t="s">
        <v>130</v>
      </c>
      <c r="B79" t="s">
        <v>131</v>
      </c>
      <c r="C79" t="s">
        <v>121</v>
      </c>
      <c r="D79">
        <v>195070</v>
      </c>
      <c r="E79">
        <v>7.89</v>
      </c>
      <c r="F79">
        <v>4.0199999999999996</v>
      </c>
    </row>
    <row r="80" spans="1:6" x14ac:dyDescent="0.3">
      <c r="A80" t="s">
        <v>132</v>
      </c>
      <c r="B80" t="s">
        <v>133</v>
      </c>
      <c r="C80" t="s">
        <v>89</v>
      </c>
      <c r="D80">
        <v>199557</v>
      </c>
      <c r="E80">
        <v>4.66</v>
      </c>
      <c r="F80">
        <v>5.78</v>
      </c>
    </row>
    <row r="81" spans="1:6" x14ac:dyDescent="0.3">
      <c r="A81" t="s">
        <v>134</v>
      </c>
      <c r="B81" t="s">
        <v>14</v>
      </c>
      <c r="C81" t="s">
        <v>23</v>
      </c>
      <c r="D81">
        <v>199761</v>
      </c>
      <c r="E81">
        <v>1.06</v>
      </c>
      <c r="F81">
        <v>4.84</v>
      </c>
    </row>
    <row r="82" spans="1:6" x14ac:dyDescent="0.3">
      <c r="A82" t="s">
        <v>135</v>
      </c>
      <c r="B82" t="s">
        <v>136</v>
      </c>
      <c r="C82" t="s">
        <v>121</v>
      </c>
      <c r="D82">
        <v>200868</v>
      </c>
      <c r="E82">
        <v>2.8</v>
      </c>
      <c r="F82">
        <v>5.37</v>
      </c>
    </row>
    <row r="83" spans="1:6" x14ac:dyDescent="0.3">
      <c r="A83" t="s">
        <v>137</v>
      </c>
      <c r="B83" t="s">
        <v>138</v>
      </c>
      <c r="C83" t="s">
        <v>121</v>
      </c>
      <c r="D83">
        <v>204054</v>
      </c>
      <c r="E83">
        <v>6.15</v>
      </c>
      <c r="F83">
        <v>5.17</v>
      </c>
    </row>
    <row r="84" spans="1:6" x14ac:dyDescent="0.3">
      <c r="A84" t="s">
        <v>139</v>
      </c>
      <c r="B84" t="s">
        <v>140</v>
      </c>
      <c r="C84" t="s">
        <v>36</v>
      </c>
      <c r="D84">
        <v>204204</v>
      </c>
      <c r="E84">
        <v>2.89</v>
      </c>
      <c r="F84">
        <v>5.44</v>
      </c>
    </row>
    <row r="85" spans="1:6" x14ac:dyDescent="0.3">
      <c r="A85" t="s">
        <v>141</v>
      </c>
      <c r="B85" t="s">
        <v>88</v>
      </c>
      <c r="C85" t="s">
        <v>63</v>
      </c>
      <c r="D85">
        <v>210122</v>
      </c>
      <c r="E85">
        <v>3.84</v>
      </c>
      <c r="F85">
        <v>5.33</v>
      </c>
    </row>
    <row r="86" spans="1:6" x14ac:dyDescent="0.3">
      <c r="A86" t="s">
        <v>142</v>
      </c>
      <c r="B86" t="s">
        <v>98</v>
      </c>
      <c r="C86" t="s">
        <v>65</v>
      </c>
      <c r="D86">
        <v>212857</v>
      </c>
      <c r="E86">
        <v>1.69</v>
      </c>
      <c r="F86">
        <v>6.17</v>
      </c>
    </row>
    <row r="87" spans="1:6" x14ac:dyDescent="0.3">
      <c r="A87" t="s">
        <v>143</v>
      </c>
      <c r="B87" t="s">
        <v>144</v>
      </c>
      <c r="C87" t="s">
        <v>28</v>
      </c>
      <c r="D87">
        <v>213862</v>
      </c>
      <c r="E87">
        <v>1.03</v>
      </c>
      <c r="F87">
        <v>5.33</v>
      </c>
    </row>
    <row r="88" spans="1:6" x14ac:dyDescent="0.3">
      <c r="A88" t="s">
        <v>145</v>
      </c>
      <c r="B88" t="s">
        <v>27</v>
      </c>
      <c r="C88" t="s">
        <v>12</v>
      </c>
      <c r="D88">
        <v>214523</v>
      </c>
      <c r="E88">
        <v>2.11</v>
      </c>
      <c r="F88">
        <v>4.97</v>
      </c>
    </row>
    <row r="89" spans="1:6" x14ac:dyDescent="0.3">
      <c r="A89" t="s">
        <v>146</v>
      </c>
      <c r="B89" t="s">
        <v>14</v>
      </c>
      <c r="C89" t="s">
        <v>65</v>
      </c>
      <c r="D89">
        <v>214563</v>
      </c>
      <c r="E89">
        <v>2.31</v>
      </c>
      <c r="F89">
        <v>3.64</v>
      </c>
    </row>
    <row r="90" spans="1:6" x14ac:dyDescent="0.3">
      <c r="A90" t="s">
        <v>147</v>
      </c>
      <c r="B90" t="s">
        <v>148</v>
      </c>
      <c r="C90" t="s">
        <v>28</v>
      </c>
      <c r="D90">
        <v>215619</v>
      </c>
      <c r="E90">
        <v>3.86</v>
      </c>
      <c r="F90">
        <v>6.71</v>
      </c>
    </row>
    <row r="91" spans="1:6" x14ac:dyDescent="0.3">
      <c r="A91" t="s">
        <v>149</v>
      </c>
      <c r="B91" t="s">
        <v>150</v>
      </c>
      <c r="C91" t="s">
        <v>12</v>
      </c>
      <c r="D91">
        <v>215832</v>
      </c>
      <c r="E91">
        <v>9.51</v>
      </c>
      <c r="F91">
        <v>3</v>
      </c>
    </row>
    <row r="92" spans="1:6" x14ac:dyDescent="0.3">
      <c r="A92" t="s">
        <v>151</v>
      </c>
      <c r="B92" t="s">
        <v>14</v>
      </c>
      <c r="C92" t="s">
        <v>17</v>
      </c>
      <c r="D92">
        <v>216526</v>
      </c>
      <c r="E92">
        <v>3.23</v>
      </c>
      <c r="F92">
        <v>4.79</v>
      </c>
    </row>
    <row r="93" spans="1:6" x14ac:dyDescent="0.3">
      <c r="A93" t="s">
        <v>152</v>
      </c>
      <c r="B93" t="s">
        <v>153</v>
      </c>
      <c r="C93" t="s">
        <v>28</v>
      </c>
      <c r="D93">
        <v>217541</v>
      </c>
      <c r="E93">
        <v>5.96</v>
      </c>
      <c r="F93">
        <v>5.83</v>
      </c>
    </row>
    <row r="94" spans="1:6" x14ac:dyDescent="0.3">
      <c r="A94" t="s">
        <v>154</v>
      </c>
      <c r="B94" t="s">
        <v>14</v>
      </c>
      <c r="C94" t="s">
        <v>121</v>
      </c>
      <c r="D94">
        <v>218652</v>
      </c>
      <c r="E94">
        <v>10.33</v>
      </c>
      <c r="F94">
        <v>4.6399999999999997</v>
      </c>
    </row>
    <row r="95" spans="1:6" x14ac:dyDescent="0.3">
      <c r="A95" t="s">
        <v>155</v>
      </c>
      <c r="B95" t="s">
        <v>14</v>
      </c>
      <c r="C95" t="s">
        <v>121</v>
      </c>
      <c r="D95">
        <v>218690</v>
      </c>
      <c r="E95">
        <v>2.2000000000000002</v>
      </c>
      <c r="F95">
        <v>5.05</v>
      </c>
    </row>
    <row r="96" spans="1:6" x14ac:dyDescent="0.3">
      <c r="A96" t="s">
        <v>156</v>
      </c>
      <c r="B96" t="s">
        <v>14</v>
      </c>
      <c r="C96" t="s">
        <v>121</v>
      </c>
      <c r="D96">
        <v>220369</v>
      </c>
      <c r="E96">
        <v>4.58</v>
      </c>
      <c r="F96">
        <v>5.5</v>
      </c>
    </row>
    <row r="97" spans="1:6" x14ac:dyDescent="0.3">
      <c r="A97" t="s">
        <v>157</v>
      </c>
      <c r="B97" t="s">
        <v>14</v>
      </c>
      <c r="C97" t="s">
        <v>121</v>
      </c>
      <c r="D97">
        <v>223646</v>
      </c>
      <c r="E97">
        <v>1.88</v>
      </c>
      <c r="F97">
        <v>5.01</v>
      </c>
    </row>
    <row r="98" spans="1:6" x14ac:dyDescent="0.3">
      <c r="A98" t="s">
        <v>158</v>
      </c>
      <c r="B98" t="s">
        <v>14</v>
      </c>
      <c r="C98" t="s">
        <v>121</v>
      </c>
      <c r="D98">
        <v>226632</v>
      </c>
      <c r="E98">
        <v>6.47</v>
      </c>
      <c r="F98">
        <v>5.85</v>
      </c>
    </row>
    <row r="99" spans="1:6" x14ac:dyDescent="0.3">
      <c r="A99" t="s">
        <v>159</v>
      </c>
      <c r="B99" t="s">
        <v>133</v>
      </c>
      <c r="C99" t="s">
        <v>28</v>
      </c>
      <c r="D99">
        <v>227173</v>
      </c>
      <c r="E99">
        <v>4.25</v>
      </c>
      <c r="F99">
        <v>5.45</v>
      </c>
    </row>
    <row r="100" spans="1:6" x14ac:dyDescent="0.3">
      <c r="A100" t="s">
        <v>160</v>
      </c>
      <c r="B100" t="s">
        <v>85</v>
      </c>
      <c r="C100" t="s">
        <v>12</v>
      </c>
      <c r="D100">
        <v>227407</v>
      </c>
      <c r="E100">
        <v>11.52</v>
      </c>
      <c r="F100">
        <v>5.45</v>
      </c>
    </row>
    <row r="101" spans="1:6" x14ac:dyDescent="0.3">
      <c r="A101" t="s">
        <v>161</v>
      </c>
      <c r="B101" t="s">
        <v>14</v>
      </c>
      <c r="C101" t="s">
        <v>65</v>
      </c>
      <c r="D101">
        <v>230791</v>
      </c>
      <c r="E101">
        <v>6.22</v>
      </c>
      <c r="F101">
        <v>6.35</v>
      </c>
    </row>
    <row r="102" spans="1:6" x14ac:dyDescent="0.3">
      <c r="A102" t="s">
        <v>162</v>
      </c>
      <c r="B102" t="s">
        <v>56</v>
      </c>
      <c r="C102" t="s">
        <v>121</v>
      </c>
      <c r="D102">
        <v>230798</v>
      </c>
      <c r="E102">
        <v>3.89</v>
      </c>
      <c r="F102">
        <v>4.95</v>
      </c>
    </row>
    <row r="103" spans="1:6" x14ac:dyDescent="0.3">
      <c r="A103" t="s">
        <v>163</v>
      </c>
      <c r="B103" t="s">
        <v>14</v>
      </c>
      <c r="C103" t="s">
        <v>12</v>
      </c>
      <c r="D103">
        <v>231205</v>
      </c>
      <c r="E103">
        <v>4.76</v>
      </c>
      <c r="F103">
        <v>4.83</v>
      </c>
    </row>
    <row r="104" spans="1:6" x14ac:dyDescent="0.3">
      <c r="A104" t="s">
        <v>164</v>
      </c>
      <c r="B104" t="s">
        <v>14</v>
      </c>
      <c r="C104" t="s">
        <v>121</v>
      </c>
      <c r="D104">
        <v>235610</v>
      </c>
      <c r="E104">
        <v>7.82</v>
      </c>
      <c r="F104">
        <v>3.94</v>
      </c>
    </row>
    <row r="105" spans="1:6" x14ac:dyDescent="0.3">
      <c r="A105" t="s">
        <v>165</v>
      </c>
      <c r="B105" t="s">
        <v>14</v>
      </c>
      <c r="C105" t="s">
        <v>12</v>
      </c>
      <c r="D105">
        <v>236248</v>
      </c>
      <c r="E105">
        <v>4.8499999999999996</v>
      </c>
      <c r="F105">
        <v>4.62</v>
      </c>
    </row>
    <row r="106" spans="1:6" x14ac:dyDescent="0.3">
      <c r="A106" t="s">
        <v>166</v>
      </c>
      <c r="B106" t="s">
        <v>98</v>
      </c>
      <c r="C106" t="s">
        <v>121</v>
      </c>
      <c r="D106">
        <v>239006</v>
      </c>
      <c r="E106">
        <v>2.11</v>
      </c>
      <c r="F106">
        <v>5.46</v>
      </c>
    </row>
    <row r="107" spans="1:6" x14ac:dyDescent="0.3">
      <c r="A107" t="s">
        <v>167</v>
      </c>
      <c r="B107" t="s">
        <v>168</v>
      </c>
      <c r="C107" t="s">
        <v>121</v>
      </c>
      <c r="D107">
        <v>241950</v>
      </c>
      <c r="E107">
        <v>9.24</v>
      </c>
      <c r="F107">
        <v>6.37</v>
      </c>
    </row>
    <row r="108" spans="1:6" x14ac:dyDescent="0.3">
      <c r="A108" t="s">
        <v>169</v>
      </c>
      <c r="B108" t="s">
        <v>124</v>
      </c>
      <c r="C108" t="s">
        <v>25</v>
      </c>
      <c r="D108">
        <v>245244</v>
      </c>
      <c r="E108">
        <v>4.63</v>
      </c>
      <c r="F108">
        <v>5.38</v>
      </c>
    </row>
    <row r="109" spans="1:6" x14ac:dyDescent="0.3">
      <c r="A109" t="s">
        <v>170</v>
      </c>
      <c r="B109" t="s">
        <v>14</v>
      </c>
      <c r="C109" t="s">
        <v>121</v>
      </c>
      <c r="D109">
        <v>247138</v>
      </c>
      <c r="E109">
        <v>4.78</v>
      </c>
      <c r="F109">
        <v>5.93</v>
      </c>
    </row>
    <row r="110" spans="1:6" x14ac:dyDescent="0.3">
      <c r="A110" t="s">
        <v>171</v>
      </c>
      <c r="B110" t="s">
        <v>14</v>
      </c>
      <c r="C110" t="s">
        <v>121</v>
      </c>
      <c r="D110">
        <v>249090</v>
      </c>
      <c r="E110">
        <v>14.03</v>
      </c>
      <c r="F110">
        <v>4.43</v>
      </c>
    </row>
    <row r="111" spans="1:6" x14ac:dyDescent="0.3">
      <c r="A111" t="s">
        <v>172</v>
      </c>
      <c r="B111" t="s">
        <v>138</v>
      </c>
      <c r="C111" t="s">
        <v>20</v>
      </c>
      <c r="D111">
        <v>249100</v>
      </c>
      <c r="E111">
        <v>5.2</v>
      </c>
      <c r="F111">
        <v>5</v>
      </c>
    </row>
    <row r="112" spans="1:6" x14ac:dyDescent="0.3">
      <c r="A112" t="s">
        <v>173</v>
      </c>
      <c r="B112" t="s">
        <v>34</v>
      </c>
      <c r="C112" t="s">
        <v>121</v>
      </c>
      <c r="D112">
        <v>249302</v>
      </c>
      <c r="E112">
        <v>7.11</v>
      </c>
      <c r="F112">
        <v>5.62</v>
      </c>
    </row>
    <row r="113" spans="1:6" x14ac:dyDescent="0.3">
      <c r="A113" t="s">
        <v>174</v>
      </c>
      <c r="B113" t="s">
        <v>108</v>
      </c>
      <c r="C113" t="s">
        <v>175</v>
      </c>
      <c r="D113">
        <v>249473</v>
      </c>
      <c r="E113">
        <v>14.9</v>
      </c>
      <c r="F113">
        <v>7.28</v>
      </c>
    </row>
    <row r="114" spans="1:6" x14ac:dyDescent="0.3">
      <c r="A114" t="s">
        <v>176</v>
      </c>
      <c r="B114" t="s">
        <v>177</v>
      </c>
      <c r="C114" t="s">
        <v>121</v>
      </c>
      <c r="D114">
        <v>249777</v>
      </c>
      <c r="E114">
        <v>1.91</v>
      </c>
      <c r="F114">
        <v>5.61</v>
      </c>
    </row>
    <row r="115" spans="1:6" x14ac:dyDescent="0.3">
      <c r="A115" t="s">
        <v>178</v>
      </c>
      <c r="B115" t="s">
        <v>14</v>
      </c>
      <c r="C115" t="s">
        <v>25</v>
      </c>
      <c r="D115">
        <v>252772</v>
      </c>
      <c r="E115">
        <v>3.66</v>
      </c>
      <c r="F115">
        <v>5.5</v>
      </c>
    </row>
    <row r="116" spans="1:6" x14ac:dyDescent="0.3">
      <c r="A116" t="s">
        <v>179</v>
      </c>
      <c r="B116" t="s">
        <v>72</v>
      </c>
      <c r="C116" t="s">
        <v>65</v>
      </c>
      <c r="D116">
        <v>253904</v>
      </c>
      <c r="E116">
        <v>7.62</v>
      </c>
      <c r="F116">
        <v>5.44</v>
      </c>
    </row>
    <row r="117" spans="1:6" x14ac:dyDescent="0.3">
      <c r="A117" t="s">
        <v>180</v>
      </c>
      <c r="B117" t="s">
        <v>85</v>
      </c>
      <c r="C117" t="s">
        <v>121</v>
      </c>
      <c r="D117">
        <v>254873</v>
      </c>
      <c r="E117">
        <v>9.4600000000000009</v>
      </c>
      <c r="F117">
        <v>5.09</v>
      </c>
    </row>
    <row r="118" spans="1:6" x14ac:dyDescent="0.3">
      <c r="A118" t="s">
        <v>181</v>
      </c>
      <c r="B118" t="s">
        <v>14</v>
      </c>
      <c r="C118" t="s">
        <v>121</v>
      </c>
      <c r="D118">
        <v>260489</v>
      </c>
      <c r="E118">
        <v>1.81</v>
      </c>
      <c r="F118">
        <v>5.51</v>
      </c>
    </row>
    <row r="119" spans="1:6" x14ac:dyDescent="0.3">
      <c r="A119" t="s">
        <v>182</v>
      </c>
      <c r="B119" t="s">
        <v>44</v>
      </c>
      <c r="C119" t="s">
        <v>39</v>
      </c>
      <c r="D119">
        <v>260693</v>
      </c>
      <c r="E119">
        <v>15.69</v>
      </c>
      <c r="F119">
        <v>5.23</v>
      </c>
    </row>
    <row r="120" spans="1:6" x14ac:dyDescent="0.3">
      <c r="A120" t="s">
        <v>183</v>
      </c>
      <c r="B120" t="s">
        <v>177</v>
      </c>
      <c r="C120" t="s">
        <v>63</v>
      </c>
      <c r="D120">
        <v>262161</v>
      </c>
      <c r="E120">
        <v>1.79</v>
      </c>
      <c r="F120">
        <v>5.75</v>
      </c>
    </row>
    <row r="121" spans="1:6" x14ac:dyDescent="0.3">
      <c r="A121" t="s">
        <v>184</v>
      </c>
      <c r="B121" t="s">
        <v>81</v>
      </c>
      <c r="C121" t="s">
        <v>12</v>
      </c>
      <c r="D121">
        <v>263287</v>
      </c>
      <c r="E121">
        <v>6.96</v>
      </c>
      <c r="F121">
        <v>4.6900000000000004</v>
      </c>
    </row>
    <row r="122" spans="1:6" x14ac:dyDescent="0.3">
      <c r="A122" t="s">
        <v>185</v>
      </c>
      <c r="B122" t="s">
        <v>186</v>
      </c>
      <c r="C122" t="s">
        <v>121</v>
      </c>
      <c r="D122">
        <v>267443</v>
      </c>
      <c r="E122">
        <v>9.2100000000000009</v>
      </c>
      <c r="F122">
        <v>6.1</v>
      </c>
    </row>
    <row r="123" spans="1:6" x14ac:dyDescent="0.3">
      <c r="A123" t="s">
        <v>187</v>
      </c>
      <c r="B123" t="s">
        <v>78</v>
      </c>
      <c r="C123" t="s">
        <v>17</v>
      </c>
      <c r="D123">
        <v>267746</v>
      </c>
      <c r="E123">
        <v>7.67</v>
      </c>
      <c r="F123">
        <v>6.65</v>
      </c>
    </row>
    <row r="124" spans="1:6" x14ac:dyDescent="0.3">
      <c r="A124" t="s">
        <v>188</v>
      </c>
      <c r="B124" t="s">
        <v>14</v>
      </c>
      <c r="C124" t="s">
        <v>17</v>
      </c>
      <c r="D124">
        <v>270128</v>
      </c>
      <c r="E124">
        <v>6.81</v>
      </c>
      <c r="F124">
        <v>4.57</v>
      </c>
    </row>
    <row r="125" spans="1:6" x14ac:dyDescent="0.3">
      <c r="A125" t="s">
        <v>189</v>
      </c>
      <c r="B125" t="s">
        <v>190</v>
      </c>
      <c r="C125" t="s">
        <v>121</v>
      </c>
      <c r="D125">
        <v>270479</v>
      </c>
      <c r="E125">
        <v>3.6</v>
      </c>
      <c r="F125">
        <v>4.79</v>
      </c>
    </row>
    <row r="126" spans="1:6" x14ac:dyDescent="0.3">
      <c r="A126" t="s">
        <v>191</v>
      </c>
      <c r="B126" t="s">
        <v>192</v>
      </c>
      <c r="C126" t="s">
        <v>121</v>
      </c>
      <c r="D126">
        <v>277142</v>
      </c>
      <c r="E126">
        <v>9.85</v>
      </c>
      <c r="F126">
        <v>6.57</v>
      </c>
    </row>
    <row r="127" spans="1:6" x14ac:dyDescent="0.3">
      <c r="A127" t="s">
        <v>193</v>
      </c>
      <c r="B127" t="s">
        <v>194</v>
      </c>
      <c r="C127" t="s">
        <v>121</v>
      </c>
      <c r="D127">
        <v>277503</v>
      </c>
      <c r="E127">
        <v>5.09</v>
      </c>
      <c r="F127">
        <v>4.7300000000000004</v>
      </c>
    </row>
    <row r="128" spans="1:6" x14ac:dyDescent="0.3">
      <c r="A128" t="s">
        <v>195</v>
      </c>
      <c r="B128" t="s">
        <v>196</v>
      </c>
      <c r="C128" t="s">
        <v>63</v>
      </c>
      <c r="D128">
        <v>281499</v>
      </c>
      <c r="E128">
        <v>7.38</v>
      </c>
      <c r="F128">
        <v>6.17</v>
      </c>
    </row>
    <row r="129" spans="1:6" x14ac:dyDescent="0.3">
      <c r="A129" t="s">
        <v>197</v>
      </c>
      <c r="B129" t="s">
        <v>14</v>
      </c>
      <c r="C129" t="s">
        <v>65</v>
      </c>
      <c r="D129">
        <v>281652</v>
      </c>
      <c r="E129">
        <v>3.11</v>
      </c>
      <c r="F129">
        <v>5.76</v>
      </c>
    </row>
    <row r="130" spans="1:6" x14ac:dyDescent="0.3">
      <c r="A130" t="s">
        <v>198</v>
      </c>
      <c r="B130" t="s">
        <v>138</v>
      </c>
      <c r="C130" t="s">
        <v>89</v>
      </c>
      <c r="D130">
        <v>282065</v>
      </c>
      <c r="E130">
        <v>4.16</v>
      </c>
      <c r="F130">
        <v>4.71</v>
      </c>
    </row>
    <row r="131" spans="1:6" x14ac:dyDescent="0.3">
      <c r="A131" t="s">
        <v>199</v>
      </c>
      <c r="B131" t="s">
        <v>88</v>
      </c>
      <c r="C131" t="s">
        <v>12</v>
      </c>
      <c r="D131">
        <v>284555</v>
      </c>
      <c r="E131">
        <v>10.23</v>
      </c>
      <c r="F131">
        <v>6.18</v>
      </c>
    </row>
    <row r="132" spans="1:6" x14ac:dyDescent="0.3">
      <c r="A132" t="s">
        <v>200</v>
      </c>
      <c r="B132" t="s">
        <v>72</v>
      </c>
      <c r="C132" t="s">
        <v>28</v>
      </c>
      <c r="D132">
        <v>286279</v>
      </c>
      <c r="E132">
        <v>5.24</v>
      </c>
      <c r="F132">
        <v>7.13</v>
      </c>
    </row>
    <row r="133" spans="1:6" x14ac:dyDescent="0.3">
      <c r="A133" t="s">
        <v>201</v>
      </c>
      <c r="B133" t="s">
        <v>14</v>
      </c>
      <c r="C133" t="s">
        <v>121</v>
      </c>
      <c r="D133">
        <v>292418</v>
      </c>
      <c r="E133">
        <v>8.1199999999999992</v>
      </c>
      <c r="F133">
        <v>4.8499999999999996</v>
      </c>
    </row>
    <row r="134" spans="1:6" x14ac:dyDescent="0.3">
      <c r="A134" t="s">
        <v>202</v>
      </c>
      <c r="B134" t="s">
        <v>85</v>
      </c>
      <c r="C134" t="s">
        <v>65</v>
      </c>
      <c r="D134">
        <v>295984</v>
      </c>
      <c r="E134">
        <v>10.93</v>
      </c>
      <c r="F134">
        <v>5.62</v>
      </c>
    </row>
    <row r="135" spans="1:6" x14ac:dyDescent="0.3">
      <c r="A135" t="s">
        <v>203</v>
      </c>
      <c r="B135" t="s">
        <v>14</v>
      </c>
      <c r="C135" t="s">
        <v>12</v>
      </c>
      <c r="D135">
        <v>296176</v>
      </c>
      <c r="E135">
        <v>11</v>
      </c>
      <c r="F135">
        <v>5.88</v>
      </c>
    </row>
    <row r="136" spans="1:6" x14ac:dyDescent="0.3">
      <c r="A136" t="s">
        <v>204</v>
      </c>
      <c r="B136" t="s">
        <v>205</v>
      </c>
      <c r="C136" t="s">
        <v>36</v>
      </c>
      <c r="D136">
        <v>300866</v>
      </c>
      <c r="E136">
        <v>3.32</v>
      </c>
      <c r="F136">
        <v>4.76</v>
      </c>
    </row>
    <row r="137" spans="1:6" x14ac:dyDescent="0.3">
      <c r="A137" t="s">
        <v>206</v>
      </c>
      <c r="B137" t="s">
        <v>14</v>
      </c>
      <c r="C137" t="s">
        <v>121</v>
      </c>
      <c r="D137">
        <v>305550</v>
      </c>
      <c r="E137">
        <v>1.07</v>
      </c>
      <c r="F137">
        <v>4.79</v>
      </c>
    </row>
    <row r="138" spans="1:6" x14ac:dyDescent="0.3">
      <c r="A138" t="s">
        <v>207</v>
      </c>
      <c r="B138" t="s">
        <v>14</v>
      </c>
      <c r="C138" t="s">
        <v>65</v>
      </c>
      <c r="D138">
        <v>307217</v>
      </c>
      <c r="E138">
        <v>2.57</v>
      </c>
      <c r="F138">
        <v>5.37</v>
      </c>
    </row>
    <row r="139" spans="1:6" x14ac:dyDescent="0.3">
      <c r="A139" t="s">
        <v>208</v>
      </c>
      <c r="B139" t="s">
        <v>14</v>
      </c>
      <c r="C139" t="s">
        <v>121</v>
      </c>
      <c r="D139">
        <v>307887</v>
      </c>
      <c r="E139">
        <v>5.63</v>
      </c>
      <c r="F139">
        <v>5.64</v>
      </c>
    </row>
    <row r="140" spans="1:6" x14ac:dyDescent="0.3">
      <c r="A140" t="s">
        <v>209</v>
      </c>
      <c r="B140" t="s">
        <v>98</v>
      </c>
      <c r="C140" t="s">
        <v>39</v>
      </c>
      <c r="D140">
        <v>308891</v>
      </c>
      <c r="E140">
        <v>4.95</v>
      </c>
      <c r="F140">
        <v>3.97</v>
      </c>
    </row>
    <row r="141" spans="1:6" x14ac:dyDescent="0.3">
      <c r="A141" t="s">
        <v>210</v>
      </c>
      <c r="B141" t="s">
        <v>194</v>
      </c>
      <c r="C141" t="s">
        <v>121</v>
      </c>
      <c r="D141">
        <v>313526</v>
      </c>
      <c r="E141">
        <v>2.0499999999999998</v>
      </c>
      <c r="F141">
        <v>4.76</v>
      </c>
    </row>
    <row r="142" spans="1:6" x14ac:dyDescent="0.3">
      <c r="A142" t="s">
        <v>211</v>
      </c>
      <c r="B142" t="s">
        <v>205</v>
      </c>
      <c r="C142" t="s">
        <v>121</v>
      </c>
      <c r="D142">
        <v>316982</v>
      </c>
      <c r="E142">
        <v>2.08</v>
      </c>
      <c r="F142">
        <v>5.13</v>
      </c>
    </row>
    <row r="143" spans="1:6" x14ac:dyDescent="0.3">
      <c r="A143" t="s">
        <v>212</v>
      </c>
      <c r="B143" t="s">
        <v>14</v>
      </c>
      <c r="C143" t="s">
        <v>25</v>
      </c>
      <c r="D143">
        <v>318864</v>
      </c>
      <c r="E143">
        <v>1.01</v>
      </c>
      <c r="F143">
        <v>5.29</v>
      </c>
    </row>
    <row r="144" spans="1:6" x14ac:dyDescent="0.3">
      <c r="A144" t="s">
        <v>213</v>
      </c>
      <c r="B144" t="s">
        <v>196</v>
      </c>
      <c r="C144" t="s">
        <v>214</v>
      </c>
      <c r="D144">
        <v>320589</v>
      </c>
      <c r="E144">
        <v>2.96</v>
      </c>
      <c r="F144">
        <v>5.32</v>
      </c>
    </row>
    <row r="145" spans="1:6" x14ac:dyDescent="0.3">
      <c r="A145" t="s">
        <v>215</v>
      </c>
      <c r="B145" t="s">
        <v>192</v>
      </c>
      <c r="C145" t="s">
        <v>65</v>
      </c>
      <c r="D145">
        <v>330157</v>
      </c>
      <c r="E145">
        <v>15.1</v>
      </c>
      <c r="F145">
        <v>4.41</v>
      </c>
    </row>
    <row r="146" spans="1:6" x14ac:dyDescent="0.3">
      <c r="A146" t="s">
        <v>216</v>
      </c>
      <c r="B146" t="s">
        <v>177</v>
      </c>
      <c r="C146" t="s">
        <v>65</v>
      </c>
      <c r="D146">
        <v>332723</v>
      </c>
      <c r="E146">
        <v>1.21</v>
      </c>
      <c r="F146">
        <v>5.14</v>
      </c>
    </row>
    <row r="147" spans="1:6" x14ac:dyDescent="0.3">
      <c r="A147" t="s">
        <v>217</v>
      </c>
      <c r="B147" t="s">
        <v>218</v>
      </c>
      <c r="C147" t="s">
        <v>28</v>
      </c>
      <c r="D147">
        <v>341613</v>
      </c>
      <c r="E147">
        <v>1.72</v>
      </c>
      <c r="F147">
        <v>5.78</v>
      </c>
    </row>
    <row r="148" spans="1:6" x14ac:dyDescent="0.3">
      <c r="A148" t="s">
        <v>219</v>
      </c>
      <c r="B148" t="s">
        <v>105</v>
      </c>
      <c r="C148" t="s">
        <v>28</v>
      </c>
      <c r="D148">
        <v>350329</v>
      </c>
      <c r="E148">
        <v>2.87</v>
      </c>
      <c r="F148">
        <v>4.97</v>
      </c>
    </row>
    <row r="149" spans="1:6" x14ac:dyDescent="0.3">
      <c r="A149" t="s">
        <v>220</v>
      </c>
      <c r="B149" t="s">
        <v>177</v>
      </c>
      <c r="C149" t="s">
        <v>17</v>
      </c>
      <c r="D149">
        <v>356198</v>
      </c>
      <c r="E149">
        <v>1.68</v>
      </c>
      <c r="F149">
        <v>5.76</v>
      </c>
    </row>
    <row r="150" spans="1:6" x14ac:dyDescent="0.3">
      <c r="A150" t="s">
        <v>221</v>
      </c>
      <c r="B150" t="s">
        <v>192</v>
      </c>
      <c r="C150" t="s">
        <v>17</v>
      </c>
      <c r="D150">
        <v>358049</v>
      </c>
      <c r="E150">
        <v>7.21</v>
      </c>
      <c r="F150">
        <v>5.93</v>
      </c>
    </row>
    <row r="151" spans="1:6" x14ac:dyDescent="0.3">
      <c r="A151" t="s">
        <v>222</v>
      </c>
      <c r="B151" t="s">
        <v>223</v>
      </c>
      <c r="C151" t="s">
        <v>17</v>
      </c>
      <c r="D151">
        <v>358365</v>
      </c>
      <c r="E151">
        <v>5.5</v>
      </c>
      <c r="F151">
        <v>5.64</v>
      </c>
    </row>
    <row r="152" spans="1:6" x14ac:dyDescent="0.3">
      <c r="A152" t="s">
        <v>224</v>
      </c>
      <c r="B152" t="s">
        <v>218</v>
      </c>
      <c r="C152" t="s">
        <v>65</v>
      </c>
      <c r="D152">
        <v>358750</v>
      </c>
      <c r="E152">
        <v>2.67</v>
      </c>
      <c r="F152">
        <v>5.68</v>
      </c>
    </row>
    <row r="153" spans="1:6" x14ac:dyDescent="0.3">
      <c r="A153" t="s">
        <v>225</v>
      </c>
      <c r="B153" t="s">
        <v>124</v>
      </c>
      <c r="C153" t="s">
        <v>23</v>
      </c>
      <c r="D153">
        <v>362829</v>
      </c>
      <c r="E153">
        <v>4.24</v>
      </c>
      <c r="F153">
        <v>6.06</v>
      </c>
    </row>
    <row r="154" spans="1:6" x14ac:dyDescent="0.3">
      <c r="A154" t="s">
        <v>226</v>
      </c>
      <c r="B154" t="s">
        <v>78</v>
      </c>
      <c r="C154" t="s">
        <v>227</v>
      </c>
      <c r="D154">
        <v>369214</v>
      </c>
      <c r="E154">
        <v>9.43</v>
      </c>
      <c r="F154">
        <v>6.53</v>
      </c>
    </row>
    <row r="155" spans="1:6" x14ac:dyDescent="0.3">
      <c r="A155" t="s">
        <v>228</v>
      </c>
      <c r="B155" t="s">
        <v>218</v>
      </c>
      <c r="C155" t="s">
        <v>121</v>
      </c>
      <c r="D155">
        <v>369294</v>
      </c>
      <c r="E155">
        <v>2.0299999999999998</v>
      </c>
      <c r="F155">
        <v>5.61</v>
      </c>
    </row>
    <row r="156" spans="1:6" x14ac:dyDescent="0.3">
      <c r="A156" t="s">
        <v>229</v>
      </c>
      <c r="B156" t="s">
        <v>44</v>
      </c>
      <c r="C156" t="s">
        <v>89</v>
      </c>
      <c r="D156">
        <v>369759</v>
      </c>
      <c r="E156">
        <v>13.56</v>
      </c>
      <c r="F156">
        <v>4.18</v>
      </c>
    </row>
    <row r="157" spans="1:6" x14ac:dyDescent="0.3">
      <c r="A157" t="s">
        <v>230</v>
      </c>
      <c r="B157" t="s">
        <v>14</v>
      </c>
      <c r="C157" t="s">
        <v>121</v>
      </c>
      <c r="D157">
        <v>370328</v>
      </c>
      <c r="E157">
        <v>4.92</v>
      </c>
      <c r="F157">
        <v>4.0599999999999996</v>
      </c>
    </row>
    <row r="158" spans="1:6" x14ac:dyDescent="0.3">
      <c r="A158" t="s">
        <v>231</v>
      </c>
      <c r="B158" t="s">
        <v>232</v>
      </c>
      <c r="C158" t="s">
        <v>65</v>
      </c>
      <c r="D158">
        <v>376998</v>
      </c>
      <c r="E158">
        <v>3.96</v>
      </c>
      <c r="F158">
        <v>5.78</v>
      </c>
    </row>
    <row r="159" spans="1:6" x14ac:dyDescent="0.3">
      <c r="A159" t="s">
        <v>233</v>
      </c>
      <c r="B159" t="s">
        <v>91</v>
      </c>
      <c r="C159" t="s">
        <v>25</v>
      </c>
      <c r="D159">
        <v>379772</v>
      </c>
      <c r="E159">
        <v>2.0499999999999998</v>
      </c>
      <c r="F159">
        <v>5.86</v>
      </c>
    </row>
    <row r="160" spans="1:6" x14ac:dyDescent="0.3">
      <c r="A160" t="s">
        <v>234</v>
      </c>
      <c r="B160" t="s">
        <v>190</v>
      </c>
      <c r="C160" t="s">
        <v>28</v>
      </c>
      <c r="D160">
        <v>379959</v>
      </c>
      <c r="E160">
        <v>5.52</v>
      </c>
      <c r="F160">
        <v>4.8899999999999997</v>
      </c>
    </row>
    <row r="161" spans="1:6" x14ac:dyDescent="0.3">
      <c r="A161" t="s">
        <v>235</v>
      </c>
      <c r="B161" t="s">
        <v>98</v>
      </c>
      <c r="C161" t="s">
        <v>12</v>
      </c>
      <c r="D161">
        <v>380082</v>
      </c>
      <c r="E161">
        <v>2.27</v>
      </c>
      <c r="F161">
        <v>4.5199999999999996</v>
      </c>
    </row>
    <row r="162" spans="1:6" x14ac:dyDescent="0.3">
      <c r="A162" t="s">
        <v>236</v>
      </c>
      <c r="B162" t="s">
        <v>196</v>
      </c>
      <c r="C162" t="s">
        <v>89</v>
      </c>
      <c r="D162">
        <v>381594</v>
      </c>
      <c r="E162">
        <v>3.86</v>
      </c>
      <c r="F162">
        <v>4.84</v>
      </c>
    </row>
    <row r="163" spans="1:6" x14ac:dyDescent="0.3">
      <c r="A163" t="s">
        <v>237</v>
      </c>
      <c r="B163" t="s">
        <v>238</v>
      </c>
      <c r="C163" t="s">
        <v>121</v>
      </c>
      <c r="D163">
        <v>393159</v>
      </c>
      <c r="E163">
        <v>1.8</v>
      </c>
      <c r="F163">
        <v>4.95</v>
      </c>
    </row>
    <row r="164" spans="1:6" x14ac:dyDescent="0.3">
      <c r="A164" t="s">
        <v>239</v>
      </c>
      <c r="B164" t="s">
        <v>72</v>
      </c>
      <c r="C164" t="s">
        <v>12</v>
      </c>
      <c r="D164">
        <v>396874</v>
      </c>
      <c r="E164">
        <v>3.02</v>
      </c>
      <c r="F164">
        <v>5.09</v>
      </c>
    </row>
    <row r="165" spans="1:6" x14ac:dyDescent="0.3">
      <c r="A165" t="s">
        <v>240</v>
      </c>
      <c r="B165" t="s">
        <v>14</v>
      </c>
      <c r="C165" t="s">
        <v>20</v>
      </c>
      <c r="D165">
        <v>398923</v>
      </c>
      <c r="E165">
        <v>3.84</v>
      </c>
      <c r="F165">
        <v>4.74</v>
      </c>
    </row>
    <row r="166" spans="1:6" x14ac:dyDescent="0.3">
      <c r="A166" t="s">
        <v>241</v>
      </c>
      <c r="B166" t="s">
        <v>192</v>
      </c>
      <c r="C166" t="s">
        <v>28</v>
      </c>
      <c r="D166">
        <v>400123</v>
      </c>
      <c r="E166">
        <v>13.48</v>
      </c>
      <c r="F166">
        <v>4.25</v>
      </c>
    </row>
    <row r="167" spans="1:6" x14ac:dyDescent="0.3">
      <c r="A167" t="s">
        <v>242</v>
      </c>
      <c r="B167" t="s">
        <v>243</v>
      </c>
      <c r="C167" t="s">
        <v>23</v>
      </c>
      <c r="D167">
        <v>405465</v>
      </c>
      <c r="E167">
        <v>5.9</v>
      </c>
      <c r="F167">
        <v>5.96</v>
      </c>
    </row>
    <row r="168" spans="1:6" x14ac:dyDescent="0.3">
      <c r="A168" t="s">
        <v>244</v>
      </c>
      <c r="B168" t="s">
        <v>85</v>
      </c>
      <c r="C168" t="s">
        <v>89</v>
      </c>
      <c r="D168">
        <v>412557</v>
      </c>
      <c r="E168">
        <v>7.65</v>
      </c>
      <c r="F168">
        <v>6.53</v>
      </c>
    </row>
    <row r="169" spans="1:6" x14ac:dyDescent="0.3">
      <c r="A169" t="s">
        <v>245</v>
      </c>
      <c r="B169" t="s">
        <v>91</v>
      </c>
      <c r="C169" t="s">
        <v>65</v>
      </c>
      <c r="D169">
        <v>413504</v>
      </c>
      <c r="E169">
        <v>2.1800000000000002</v>
      </c>
      <c r="F169">
        <v>6.15</v>
      </c>
    </row>
    <row r="170" spans="1:6" x14ac:dyDescent="0.3">
      <c r="A170" t="s">
        <v>246</v>
      </c>
      <c r="B170" t="s">
        <v>232</v>
      </c>
      <c r="C170" t="s">
        <v>28</v>
      </c>
      <c r="D170">
        <v>418434</v>
      </c>
      <c r="E170">
        <v>2.04</v>
      </c>
      <c r="F170">
        <v>5.78</v>
      </c>
    </row>
    <row r="171" spans="1:6" x14ac:dyDescent="0.3">
      <c r="A171" t="s">
        <v>247</v>
      </c>
      <c r="B171" t="s">
        <v>218</v>
      </c>
      <c r="C171" t="s">
        <v>227</v>
      </c>
      <c r="D171">
        <v>428765</v>
      </c>
      <c r="E171">
        <v>1.9</v>
      </c>
      <c r="F171">
        <v>6.33</v>
      </c>
    </row>
    <row r="172" spans="1:6" x14ac:dyDescent="0.3">
      <c r="A172" t="s">
        <v>248</v>
      </c>
      <c r="B172" t="s">
        <v>205</v>
      </c>
      <c r="C172" t="s">
        <v>227</v>
      </c>
      <c r="D172">
        <v>429412</v>
      </c>
      <c r="E172">
        <v>2.72</v>
      </c>
      <c r="F172">
        <v>5.1100000000000003</v>
      </c>
    </row>
    <row r="173" spans="1:6" x14ac:dyDescent="0.3">
      <c r="A173" t="s">
        <v>249</v>
      </c>
      <c r="B173" t="s">
        <v>250</v>
      </c>
      <c r="C173" t="s">
        <v>121</v>
      </c>
      <c r="D173">
        <v>429491</v>
      </c>
      <c r="E173">
        <v>2.61</v>
      </c>
      <c r="F173">
        <v>5.51</v>
      </c>
    </row>
    <row r="174" spans="1:6" x14ac:dyDescent="0.3">
      <c r="A174" t="s">
        <v>251</v>
      </c>
      <c r="B174" t="s">
        <v>177</v>
      </c>
      <c r="C174" t="s">
        <v>6</v>
      </c>
      <c r="D174">
        <v>434901</v>
      </c>
      <c r="E174">
        <v>1.67</v>
      </c>
      <c r="F174">
        <v>5.81</v>
      </c>
    </row>
    <row r="175" spans="1:6" x14ac:dyDescent="0.3">
      <c r="A175" t="s">
        <v>252</v>
      </c>
      <c r="B175" t="s">
        <v>14</v>
      </c>
      <c r="C175" t="s">
        <v>227</v>
      </c>
      <c r="D175">
        <v>436624</v>
      </c>
      <c r="E175">
        <v>1.8</v>
      </c>
      <c r="F175">
        <v>5.38</v>
      </c>
    </row>
    <row r="176" spans="1:6" x14ac:dyDescent="0.3">
      <c r="A176" t="s">
        <v>253</v>
      </c>
      <c r="B176" t="s">
        <v>14</v>
      </c>
      <c r="C176" t="s">
        <v>6</v>
      </c>
      <c r="D176">
        <v>440927</v>
      </c>
      <c r="E176">
        <v>1.77</v>
      </c>
      <c r="F176">
        <v>6.11</v>
      </c>
    </row>
    <row r="177" spans="1:6" x14ac:dyDescent="0.3">
      <c r="A177" t="s">
        <v>254</v>
      </c>
      <c r="B177" t="s">
        <v>192</v>
      </c>
      <c r="C177" t="s">
        <v>6</v>
      </c>
      <c r="D177">
        <v>449431</v>
      </c>
      <c r="E177">
        <v>10.86</v>
      </c>
      <c r="F177">
        <v>5</v>
      </c>
    </row>
    <row r="178" spans="1:6" x14ac:dyDescent="0.3">
      <c r="A178" t="s">
        <v>255</v>
      </c>
      <c r="B178" t="s">
        <v>177</v>
      </c>
      <c r="C178" t="s">
        <v>17</v>
      </c>
      <c r="D178">
        <v>449502</v>
      </c>
      <c r="E178">
        <v>1.63</v>
      </c>
      <c r="F178">
        <v>5.47</v>
      </c>
    </row>
    <row r="179" spans="1:6" x14ac:dyDescent="0.3">
      <c r="A179" t="s">
        <v>256</v>
      </c>
      <c r="B179" t="s">
        <v>140</v>
      </c>
      <c r="C179" t="s">
        <v>121</v>
      </c>
      <c r="D179">
        <v>449683</v>
      </c>
      <c r="E179">
        <v>10.95</v>
      </c>
      <c r="F179">
        <v>4.57</v>
      </c>
    </row>
    <row r="180" spans="1:6" x14ac:dyDescent="0.3">
      <c r="A180" t="s">
        <v>257</v>
      </c>
      <c r="B180" t="s">
        <v>218</v>
      </c>
      <c r="C180" t="s">
        <v>6</v>
      </c>
      <c r="D180">
        <v>450920</v>
      </c>
      <c r="E180">
        <v>6.82</v>
      </c>
      <c r="F180">
        <v>5.77</v>
      </c>
    </row>
    <row r="181" spans="1:6" x14ac:dyDescent="0.3">
      <c r="A181" t="s">
        <v>258</v>
      </c>
      <c r="B181" t="s">
        <v>14</v>
      </c>
      <c r="C181" t="s">
        <v>6</v>
      </c>
      <c r="D181">
        <v>453613</v>
      </c>
      <c r="E181">
        <v>1.1499999999999999</v>
      </c>
      <c r="F181">
        <v>5.12</v>
      </c>
    </row>
    <row r="182" spans="1:6" x14ac:dyDescent="0.3">
      <c r="A182" t="s">
        <v>259</v>
      </c>
      <c r="B182" t="s">
        <v>112</v>
      </c>
      <c r="C182" t="s">
        <v>6</v>
      </c>
      <c r="D182">
        <v>456678</v>
      </c>
      <c r="E182">
        <v>7.66</v>
      </c>
      <c r="F182">
        <v>4.3600000000000003</v>
      </c>
    </row>
    <row r="183" spans="1:6" x14ac:dyDescent="0.3">
      <c r="A183" t="s">
        <v>260</v>
      </c>
      <c r="B183" t="s">
        <v>148</v>
      </c>
      <c r="C183" t="s">
        <v>17</v>
      </c>
      <c r="D183">
        <v>458402</v>
      </c>
      <c r="E183">
        <v>8.75</v>
      </c>
      <c r="F183">
        <v>6.67</v>
      </c>
    </row>
    <row r="184" spans="1:6" x14ac:dyDescent="0.3">
      <c r="A184" t="s">
        <v>261</v>
      </c>
      <c r="B184" t="s">
        <v>124</v>
      </c>
      <c r="C184" t="s">
        <v>6</v>
      </c>
      <c r="D184">
        <v>469297</v>
      </c>
      <c r="E184">
        <v>5.73</v>
      </c>
      <c r="F184">
        <v>4</v>
      </c>
    </row>
    <row r="185" spans="1:6" x14ac:dyDescent="0.3">
      <c r="A185" t="s">
        <v>262</v>
      </c>
      <c r="B185" t="s">
        <v>263</v>
      </c>
      <c r="C185" t="s">
        <v>264</v>
      </c>
      <c r="D185">
        <v>481354</v>
      </c>
      <c r="E185">
        <v>11.16</v>
      </c>
      <c r="F185">
        <v>5.64</v>
      </c>
    </row>
    <row r="186" spans="1:6" x14ac:dyDescent="0.3">
      <c r="A186" t="s">
        <v>265</v>
      </c>
      <c r="B186" t="s">
        <v>192</v>
      </c>
      <c r="C186" t="s">
        <v>227</v>
      </c>
      <c r="D186">
        <v>487908</v>
      </c>
      <c r="E186">
        <v>7.84</v>
      </c>
      <c r="F186">
        <v>5.21</v>
      </c>
    </row>
    <row r="187" spans="1:6" x14ac:dyDescent="0.3">
      <c r="A187" t="s">
        <v>266</v>
      </c>
      <c r="B187" t="s">
        <v>267</v>
      </c>
      <c r="C187" t="s">
        <v>121</v>
      </c>
      <c r="D187">
        <v>488134</v>
      </c>
      <c r="E187">
        <v>9.94</v>
      </c>
      <c r="F187">
        <v>6.42</v>
      </c>
    </row>
    <row r="188" spans="1:6" x14ac:dyDescent="0.3">
      <c r="A188" t="s">
        <v>268</v>
      </c>
      <c r="B188" t="s">
        <v>14</v>
      </c>
      <c r="C188" t="s">
        <v>6</v>
      </c>
      <c r="D188">
        <v>492190</v>
      </c>
      <c r="E188">
        <v>3.28</v>
      </c>
      <c r="F188">
        <v>5.81</v>
      </c>
    </row>
    <row r="189" spans="1:6" x14ac:dyDescent="0.3">
      <c r="A189" t="s">
        <v>269</v>
      </c>
      <c r="B189" t="s">
        <v>14</v>
      </c>
      <c r="C189" t="s">
        <v>227</v>
      </c>
      <c r="D189">
        <v>496763</v>
      </c>
      <c r="E189">
        <v>5.3</v>
      </c>
      <c r="F189">
        <v>4.9000000000000004</v>
      </c>
    </row>
    <row r="190" spans="1:6" x14ac:dyDescent="0.3">
      <c r="A190" t="s">
        <v>270</v>
      </c>
      <c r="B190" t="s">
        <v>238</v>
      </c>
      <c r="C190" t="s">
        <v>6</v>
      </c>
      <c r="D190">
        <v>497514</v>
      </c>
      <c r="E190">
        <v>1.64</v>
      </c>
      <c r="F190">
        <v>5.73</v>
      </c>
    </row>
    <row r="191" spans="1:6" x14ac:dyDescent="0.3">
      <c r="A191" t="s">
        <v>271</v>
      </c>
      <c r="B191" t="s">
        <v>14</v>
      </c>
      <c r="C191" t="s">
        <v>28</v>
      </c>
      <c r="D191">
        <v>504100</v>
      </c>
      <c r="E191">
        <v>3.85</v>
      </c>
      <c r="F191">
        <v>5.83</v>
      </c>
    </row>
    <row r="192" spans="1:6" x14ac:dyDescent="0.3">
      <c r="A192" t="s">
        <v>272</v>
      </c>
      <c r="B192" t="s">
        <v>14</v>
      </c>
      <c r="C192" t="s">
        <v>36</v>
      </c>
      <c r="D192">
        <v>511289</v>
      </c>
      <c r="E192">
        <v>4.57</v>
      </c>
      <c r="F192">
        <v>5.4</v>
      </c>
    </row>
    <row r="193" spans="1:6" x14ac:dyDescent="0.3">
      <c r="A193" t="s">
        <v>273</v>
      </c>
      <c r="B193" t="s">
        <v>190</v>
      </c>
      <c r="C193" t="s">
        <v>6</v>
      </c>
      <c r="D193">
        <v>511533</v>
      </c>
      <c r="E193">
        <v>5.05</v>
      </c>
      <c r="F193">
        <v>5.19</v>
      </c>
    </row>
    <row r="194" spans="1:6" x14ac:dyDescent="0.3">
      <c r="A194" t="s">
        <v>274</v>
      </c>
      <c r="B194" t="s">
        <v>14</v>
      </c>
      <c r="C194" t="s">
        <v>6</v>
      </c>
      <c r="D194">
        <v>512006</v>
      </c>
      <c r="E194">
        <v>5.62</v>
      </c>
      <c r="F194">
        <v>5.8</v>
      </c>
    </row>
    <row r="195" spans="1:6" x14ac:dyDescent="0.3">
      <c r="A195" t="s">
        <v>275</v>
      </c>
      <c r="B195" t="s">
        <v>88</v>
      </c>
      <c r="C195" t="s">
        <v>6</v>
      </c>
      <c r="D195">
        <v>513137</v>
      </c>
      <c r="E195">
        <v>10.73</v>
      </c>
      <c r="F195">
        <v>5.3</v>
      </c>
    </row>
    <row r="196" spans="1:6" x14ac:dyDescent="0.3">
      <c r="A196" t="s">
        <v>276</v>
      </c>
      <c r="B196" t="s">
        <v>277</v>
      </c>
      <c r="C196" t="s">
        <v>227</v>
      </c>
      <c r="D196">
        <v>518113</v>
      </c>
      <c r="E196">
        <v>2.04</v>
      </c>
      <c r="F196">
        <v>5.69</v>
      </c>
    </row>
    <row r="197" spans="1:6" x14ac:dyDescent="0.3">
      <c r="A197" t="s">
        <v>278</v>
      </c>
      <c r="B197" t="s">
        <v>14</v>
      </c>
      <c r="C197" t="s">
        <v>6</v>
      </c>
      <c r="D197">
        <v>520238</v>
      </c>
      <c r="E197">
        <v>5.75</v>
      </c>
      <c r="F197">
        <v>4.45</v>
      </c>
    </row>
    <row r="198" spans="1:6" x14ac:dyDescent="0.3">
      <c r="A198" t="s">
        <v>279</v>
      </c>
      <c r="B198" t="s">
        <v>223</v>
      </c>
      <c r="C198" t="s">
        <v>227</v>
      </c>
      <c r="D198">
        <v>523638</v>
      </c>
      <c r="E198">
        <v>16.2</v>
      </c>
      <c r="F198">
        <v>6.08</v>
      </c>
    </row>
    <row r="199" spans="1:6" x14ac:dyDescent="0.3">
      <c r="A199" t="s">
        <v>280</v>
      </c>
      <c r="B199" t="s">
        <v>85</v>
      </c>
      <c r="C199" t="s">
        <v>20</v>
      </c>
      <c r="D199">
        <v>529119</v>
      </c>
      <c r="E199">
        <v>9.15</v>
      </c>
      <c r="F199">
        <v>5.89</v>
      </c>
    </row>
    <row r="200" spans="1:6" x14ac:dyDescent="0.3">
      <c r="A200" t="s">
        <v>281</v>
      </c>
      <c r="B200" t="s">
        <v>282</v>
      </c>
      <c r="C200" t="s">
        <v>6</v>
      </c>
      <c r="D200">
        <v>533315</v>
      </c>
      <c r="E200">
        <v>1.79</v>
      </c>
      <c r="F200">
        <v>5.48</v>
      </c>
    </row>
    <row r="201" spans="1:6" x14ac:dyDescent="0.3">
      <c r="A201" t="s">
        <v>283</v>
      </c>
      <c r="B201" t="s">
        <v>192</v>
      </c>
      <c r="C201" t="s">
        <v>121</v>
      </c>
      <c r="D201">
        <v>533426</v>
      </c>
      <c r="E201">
        <v>8.86</v>
      </c>
      <c r="F201">
        <v>4.8499999999999996</v>
      </c>
    </row>
    <row r="202" spans="1:6" x14ac:dyDescent="0.3">
      <c r="A202" t="s">
        <v>284</v>
      </c>
      <c r="B202" t="s">
        <v>186</v>
      </c>
      <c r="C202" t="s">
        <v>6</v>
      </c>
      <c r="D202">
        <v>536159</v>
      </c>
      <c r="E202">
        <v>6.28</v>
      </c>
      <c r="F202">
        <v>6.88</v>
      </c>
    </row>
    <row r="203" spans="1:6" x14ac:dyDescent="0.3">
      <c r="A203" t="s">
        <v>285</v>
      </c>
      <c r="B203" t="s">
        <v>286</v>
      </c>
      <c r="C203" t="s">
        <v>6</v>
      </c>
      <c r="D203">
        <v>541675</v>
      </c>
      <c r="E203">
        <v>4.95</v>
      </c>
      <c r="F203">
        <v>4.47</v>
      </c>
    </row>
    <row r="204" spans="1:6" x14ac:dyDescent="0.3">
      <c r="A204" t="s">
        <v>287</v>
      </c>
      <c r="B204" t="s">
        <v>288</v>
      </c>
      <c r="C204" t="s">
        <v>121</v>
      </c>
      <c r="D204">
        <v>541811</v>
      </c>
      <c r="E204">
        <v>5.38</v>
      </c>
      <c r="F204">
        <v>5.2</v>
      </c>
    </row>
    <row r="205" spans="1:6" x14ac:dyDescent="0.3">
      <c r="A205" t="s">
        <v>289</v>
      </c>
      <c r="B205" t="s">
        <v>27</v>
      </c>
      <c r="C205" t="s">
        <v>6</v>
      </c>
      <c r="D205">
        <v>541953</v>
      </c>
      <c r="E205">
        <v>2.0299999999999998</v>
      </c>
      <c r="F205">
        <v>5.86</v>
      </c>
    </row>
    <row r="206" spans="1:6" x14ac:dyDescent="0.3">
      <c r="A206" t="s">
        <v>290</v>
      </c>
      <c r="B206" t="s">
        <v>124</v>
      </c>
      <c r="C206" t="s">
        <v>227</v>
      </c>
      <c r="D206">
        <v>542144</v>
      </c>
      <c r="E206">
        <v>5.15</v>
      </c>
      <c r="F206">
        <v>5.58</v>
      </c>
    </row>
    <row r="207" spans="1:6" x14ac:dyDescent="0.3">
      <c r="A207" t="s">
        <v>291</v>
      </c>
      <c r="B207" t="s">
        <v>218</v>
      </c>
      <c r="C207" t="s">
        <v>121</v>
      </c>
      <c r="D207">
        <v>553327</v>
      </c>
      <c r="E207">
        <v>5.74</v>
      </c>
      <c r="F207">
        <v>5.05</v>
      </c>
    </row>
    <row r="208" spans="1:6" x14ac:dyDescent="0.3">
      <c r="A208" t="s">
        <v>292</v>
      </c>
      <c r="B208" t="s">
        <v>277</v>
      </c>
      <c r="C208" t="s">
        <v>17</v>
      </c>
      <c r="D208">
        <v>558292</v>
      </c>
      <c r="E208">
        <v>4.1500000000000004</v>
      </c>
      <c r="F208">
        <v>5.82</v>
      </c>
    </row>
    <row r="209" spans="1:6" x14ac:dyDescent="0.3">
      <c r="A209" t="s">
        <v>293</v>
      </c>
      <c r="B209" t="s">
        <v>14</v>
      </c>
      <c r="C209" t="s">
        <v>6</v>
      </c>
      <c r="D209">
        <v>561457</v>
      </c>
      <c r="E209">
        <v>1.98</v>
      </c>
      <c r="F209">
        <v>5.05</v>
      </c>
    </row>
    <row r="210" spans="1:6" x14ac:dyDescent="0.3">
      <c r="A210" t="s">
        <v>294</v>
      </c>
      <c r="B210" t="s">
        <v>108</v>
      </c>
      <c r="C210" t="s">
        <v>65</v>
      </c>
      <c r="D210">
        <v>564682</v>
      </c>
      <c r="E210">
        <v>10.14</v>
      </c>
      <c r="F210">
        <v>3.78</v>
      </c>
    </row>
    <row r="211" spans="1:6" x14ac:dyDescent="0.3">
      <c r="A211" t="s">
        <v>295</v>
      </c>
      <c r="B211" t="s">
        <v>296</v>
      </c>
      <c r="C211" t="s">
        <v>12</v>
      </c>
      <c r="D211">
        <v>566659</v>
      </c>
      <c r="E211">
        <v>1.01</v>
      </c>
      <c r="F211">
        <v>4.88</v>
      </c>
    </row>
    <row r="212" spans="1:6" x14ac:dyDescent="0.3">
      <c r="A212" t="s">
        <v>297</v>
      </c>
      <c r="B212" t="s">
        <v>282</v>
      </c>
      <c r="C212" t="s">
        <v>6</v>
      </c>
      <c r="D212">
        <v>574035</v>
      </c>
      <c r="E212">
        <v>2.77</v>
      </c>
      <c r="F212">
        <v>5.12</v>
      </c>
    </row>
    <row r="213" spans="1:6" x14ac:dyDescent="0.3">
      <c r="A213" t="s">
        <v>298</v>
      </c>
      <c r="B213" t="s">
        <v>299</v>
      </c>
      <c r="C213" t="s">
        <v>121</v>
      </c>
      <c r="D213">
        <v>577607</v>
      </c>
      <c r="E213">
        <v>1.97</v>
      </c>
      <c r="F213">
        <v>5.46</v>
      </c>
    </row>
    <row r="214" spans="1:6" x14ac:dyDescent="0.3">
      <c r="A214" t="s">
        <v>300</v>
      </c>
      <c r="B214" t="s">
        <v>301</v>
      </c>
      <c r="C214" t="s">
        <v>227</v>
      </c>
      <c r="D214">
        <v>579269</v>
      </c>
      <c r="E214">
        <v>5.66</v>
      </c>
      <c r="F214">
        <v>4</v>
      </c>
    </row>
    <row r="215" spans="1:6" x14ac:dyDescent="0.3">
      <c r="A215" t="s">
        <v>302</v>
      </c>
      <c r="B215" t="s">
        <v>196</v>
      </c>
      <c r="C215" t="s">
        <v>227</v>
      </c>
      <c r="D215">
        <v>580034</v>
      </c>
      <c r="E215">
        <v>7.96</v>
      </c>
      <c r="F215">
        <v>5.76</v>
      </c>
    </row>
    <row r="216" spans="1:6" x14ac:dyDescent="0.3">
      <c r="A216" t="s">
        <v>303</v>
      </c>
      <c r="B216" t="s">
        <v>192</v>
      </c>
      <c r="C216" t="s">
        <v>6</v>
      </c>
      <c r="D216">
        <v>584621</v>
      </c>
      <c r="E216">
        <v>5.93</v>
      </c>
      <c r="F216">
        <v>5</v>
      </c>
    </row>
    <row r="217" spans="1:6" x14ac:dyDescent="0.3">
      <c r="A217" t="s">
        <v>304</v>
      </c>
      <c r="B217" t="s">
        <v>277</v>
      </c>
      <c r="C217" t="s">
        <v>89</v>
      </c>
      <c r="D217">
        <v>589455</v>
      </c>
      <c r="E217">
        <v>1.68</v>
      </c>
      <c r="F217">
        <v>5.94</v>
      </c>
    </row>
    <row r="218" spans="1:6" x14ac:dyDescent="0.3">
      <c r="A218" t="s">
        <v>305</v>
      </c>
      <c r="B218" t="s">
        <v>190</v>
      </c>
      <c r="C218" t="s">
        <v>121</v>
      </c>
      <c r="D218">
        <v>591845</v>
      </c>
      <c r="E218">
        <v>4.59</v>
      </c>
      <c r="F218">
        <v>6.63</v>
      </c>
    </row>
    <row r="219" spans="1:6" x14ac:dyDescent="0.3">
      <c r="A219" t="s">
        <v>306</v>
      </c>
      <c r="B219" t="s">
        <v>168</v>
      </c>
      <c r="C219" t="s">
        <v>6</v>
      </c>
      <c r="D219">
        <v>595482</v>
      </c>
      <c r="E219">
        <v>6.62</v>
      </c>
      <c r="F219">
        <v>5.03</v>
      </c>
    </row>
    <row r="220" spans="1:6" x14ac:dyDescent="0.3">
      <c r="A220" t="s">
        <v>307</v>
      </c>
      <c r="B220" t="s">
        <v>250</v>
      </c>
      <c r="C220" t="s">
        <v>6</v>
      </c>
      <c r="D220">
        <v>596247</v>
      </c>
      <c r="E220">
        <v>3.84</v>
      </c>
      <c r="F220">
        <v>4.54</v>
      </c>
    </row>
    <row r="221" spans="1:6" x14ac:dyDescent="0.3">
      <c r="A221" t="s">
        <v>308</v>
      </c>
      <c r="B221" t="s">
        <v>14</v>
      </c>
      <c r="C221" t="s">
        <v>121</v>
      </c>
      <c r="D221">
        <v>603196</v>
      </c>
      <c r="E221">
        <v>6.14</v>
      </c>
      <c r="F221">
        <v>4.62</v>
      </c>
    </row>
    <row r="222" spans="1:6" x14ac:dyDescent="0.3">
      <c r="A222" t="s">
        <v>309</v>
      </c>
      <c r="B222" t="s">
        <v>310</v>
      </c>
      <c r="C222" t="s">
        <v>28</v>
      </c>
      <c r="D222">
        <v>608361</v>
      </c>
      <c r="E222">
        <v>17.04</v>
      </c>
      <c r="F222">
        <v>3.45</v>
      </c>
    </row>
    <row r="223" spans="1:6" x14ac:dyDescent="0.3">
      <c r="A223" t="s">
        <v>311</v>
      </c>
      <c r="B223" t="s">
        <v>243</v>
      </c>
      <c r="C223" t="s">
        <v>39</v>
      </c>
      <c r="D223">
        <v>615520</v>
      </c>
      <c r="E223">
        <v>6.88</v>
      </c>
      <c r="F223">
        <v>4.6900000000000004</v>
      </c>
    </row>
    <row r="224" spans="1:6" x14ac:dyDescent="0.3">
      <c r="A224" t="s">
        <v>312</v>
      </c>
      <c r="B224" t="s">
        <v>34</v>
      </c>
      <c r="C224" t="s">
        <v>313</v>
      </c>
      <c r="D224">
        <v>617045</v>
      </c>
      <c r="E224">
        <v>7.17</v>
      </c>
      <c r="F224">
        <v>6</v>
      </c>
    </row>
    <row r="225" spans="1:6" x14ac:dyDescent="0.3">
      <c r="A225" t="s">
        <v>314</v>
      </c>
      <c r="B225" t="s">
        <v>140</v>
      </c>
      <c r="C225" t="s">
        <v>227</v>
      </c>
      <c r="D225">
        <v>620758</v>
      </c>
      <c r="E225">
        <v>8.67</v>
      </c>
      <c r="F225">
        <v>6</v>
      </c>
    </row>
    <row r="226" spans="1:6" x14ac:dyDescent="0.3">
      <c r="A226" t="s">
        <v>315</v>
      </c>
      <c r="B226" t="s">
        <v>192</v>
      </c>
      <c r="C226" t="s">
        <v>65</v>
      </c>
      <c r="D226">
        <v>622770</v>
      </c>
      <c r="E226">
        <v>3.75</v>
      </c>
      <c r="F226">
        <v>5.18</v>
      </c>
    </row>
    <row r="227" spans="1:6" x14ac:dyDescent="0.3">
      <c r="A227" t="s">
        <v>316</v>
      </c>
      <c r="B227" t="s">
        <v>218</v>
      </c>
      <c r="C227" t="s">
        <v>28</v>
      </c>
      <c r="D227">
        <v>626543</v>
      </c>
      <c r="E227">
        <v>6.06</v>
      </c>
      <c r="F227">
        <v>6.22</v>
      </c>
    </row>
    <row r="228" spans="1:6" x14ac:dyDescent="0.3">
      <c r="A228" t="s">
        <v>317</v>
      </c>
      <c r="B228" t="s">
        <v>318</v>
      </c>
      <c r="C228" t="s">
        <v>6</v>
      </c>
      <c r="D228">
        <v>628073</v>
      </c>
      <c r="E228">
        <v>3.77</v>
      </c>
      <c r="F228">
        <v>4.97</v>
      </c>
    </row>
    <row r="229" spans="1:6" x14ac:dyDescent="0.3">
      <c r="A229" t="s">
        <v>319</v>
      </c>
      <c r="B229" t="s">
        <v>14</v>
      </c>
      <c r="C229" t="s">
        <v>25</v>
      </c>
      <c r="D229">
        <v>633893</v>
      </c>
      <c r="E229">
        <v>1.96</v>
      </c>
      <c r="F229">
        <v>5.62</v>
      </c>
    </row>
    <row r="230" spans="1:6" x14ac:dyDescent="0.3">
      <c r="A230" t="s">
        <v>320</v>
      </c>
      <c r="B230" t="s">
        <v>321</v>
      </c>
      <c r="C230" t="s">
        <v>39</v>
      </c>
      <c r="D230">
        <v>636918</v>
      </c>
      <c r="E230">
        <v>4.63</v>
      </c>
      <c r="F230">
        <v>7.13</v>
      </c>
    </row>
    <row r="231" spans="1:6" x14ac:dyDescent="0.3">
      <c r="A231" t="s">
        <v>322</v>
      </c>
      <c r="B231" t="s">
        <v>192</v>
      </c>
      <c r="C231" t="s">
        <v>25</v>
      </c>
      <c r="D231">
        <v>647226</v>
      </c>
      <c r="E231">
        <v>2</v>
      </c>
      <c r="F231">
        <v>5.42</v>
      </c>
    </row>
    <row r="232" spans="1:6" x14ac:dyDescent="0.3">
      <c r="A232" t="s">
        <v>323</v>
      </c>
      <c r="B232" t="s">
        <v>14</v>
      </c>
      <c r="C232" t="s">
        <v>6</v>
      </c>
      <c r="D232">
        <v>651676</v>
      </c>
      <c r="E232">
        <v>2.16</v>
      </c>
      <c r="F232">
        <v>4.79</v>
      </c>
    </row>
    <row r="233" spans="1:6" x14ac:dyDescent="0.3">
      <c r="A233" t="s">
        <v>324</v>
      </c>
      <c r="B233" t="s">
        <v>325</v>
      </c>
      <c r="C233" t="s">
        <v>6</v>
      </c>
      <c r="D233">
        <v>652062</v>
      </c>
      <c r="E233">
        <v>9.7100000000000009</v>
      </c>
      <c r="F233">
        <v>5.61</v>
      </c>
    </row>
    <row r="234" spans="1:6" x14ac:dyDescent="0.3">
      <c r="A234" t="s">
        <v>326</v>
      </c>
      <c r="B234" t="s">
        <v>14</v>
      </c>
      <c r="C234" t="s">
        <v>6</v>
      </c>
      <c r="D234">
        <v>657255</v>
      </c>
      <c r="E234">
        <v>1.95</v>
      </c>
      <c r="F234">
        <v>5.2</v>
      </c>
    </row>
    <row r="235" spans="1:6" x14ac:dyDescent="0.3">
      <c r="A235" t="s">
        <v>327</v>
      </c>
      <c r="B235" t="s">
        <v>328</v>
      </c>
      <c r="C235" t="s">
        <v>6</v>
      </c>
      <c r="D235">
        <v>658311</v>
      </c>
      <c r="E235">
        <v>4.21</v>
      </c>
      <c r="F235">
        <v>4.67</v>
      </c>
    </row>
    <row r="236" spans="1:6" x14ac:dyDescent="0.3">
      <c r="A236" t="s">
        <v>329</v>
      </c>
      <c r="B236" t="s">
        <v>14</v>
      </c>
      <c r="C236" t="s">
        <v>6</v>
      </c>
      <c r="D236">
        <v>659434</v>
      </c>
      <c r="E236">
        <v>4.78</v>
      </c>
      <c r="F236">
        <v>5.92</v>
      </c>
    </row>
    <row r="237" spans="1:6" x14ac:dyDescent="0.3">
      <c r="A237" t="s">
        <v>330</v>
      </c>
      <c r="B237" t="s">
        <v>288</v>
      </c>
      <c r="C237" t="s">
        <v>6</v>
      </c>
      <c r="D237">
        <v>663347</v>
      </c>
      <c r="E237">
        <v>5.9</v>
      </c>
      <c r="F237">
        <v>5.25</v>
      </c>
    </row>
    <row r="238" spans="1:6" x14ac:dyDescent="0.3">
      <c r="A238" t="s">
        <v>331</v>
      </c>
      <c r="B238" t="s">
        <v>136</v>
      </c>
      <c r="C238" t="s">
        <v>6</v>
      </c>
      <c r="D238">
        <v>664867</v>
      </c>
      <c r="E238">
        <v>2.87</v>
      </c>
      <c r="F238">
        <v>4.96</v>
      </c>
    </row>
    <row r="239" spans="1:6" x14ac:dyDescent="0.3">
      <c r="A239" t="s">
        <v>332</v>
      </c>
      <c r="B239" t="s">
        <v>333</v>
      </c>
      <c r="C239" t="s">
        <v>28</v>
      </c>
      <c r="D239">
        <v>665521</v>
      </c>
      <c r="E239">
        <v>3</v>
      </c>
      <c r="F239">
        <v>6.12</v>
      </c>
    </row>
    <row r="240" spans="1:6" x14ac:dyDescent="0.3">
      <c r="A240" t="s">
        <v>334</v>
      </c>
      <c r="B240" t="s">
        <v>192</v>
      </c>
      <c r="C240" t="s">
        <v>28</v>
      </c>
      <c r="D240">
        <v>667148</v>
      </c>
      <c r="E240">
        <v>1.64</v>
      </c>
      <c r="F240">
        <v>5.54</v>
      </c>
    </row>
    <row r="241" spans="1:6" x14ac:dyDescent="0.3">
      <c r="A241" t="s">
        <v>335</v>
      </c>
      <c r="B241" t="s">
        <v>336</v>
      </c>
      <c r="C241" t="s">
        <v>6</v>
      </c>
      <c r="D241">
        <v>671471</v>
      </c>
      <c r="E241">
        <v>2.46</v>
      </c>
      <c r="F241">
        <v>6.21</v>
      </c>
    </row>
    <row r="242" spans="1:6" x14ac:dyDescent="0.3">
      <c r="A242" t="s">
        <v>337</v>
      </c>
      <c r="B242" t="s">
        <v>192</v>
      </c>
      <c r="C242" t="s">
        <v>12</v>
      </c>
      <c r="D242">
        <v>682941</v>
      </c>
      <c r="E242">
        <v>3.09</v>
      </c>
      <c r="F242">
        <v>4.84</v>
      </c>
    </row>
    <row r="243" spans="1:6" x14ac:dyDescent="0.3">
      <c r="A243" t="s">
        <v>338</v>
      </c>
      <c r="B243" t="s">
        <v>232</v>
      </c>
      <c r="C243" t="s">
        <v>227</v>
      </c>
      <c r="D243">
        <v>683367</v>
      </c>
      <c r="E243">
        <v>3.65</v>
      </c>
      <c r="F243">
        <v>5.4</v>
      </c>
    </row>
    <row r="244" spans="1:6" x14ac:dyDescent="0.3">
      <c r="A244" t="s">
        <v>339</v>
      </c>
      <c r="B244" t="s">
        <v>340</v>
      </c>
      <c r="C244" t="s">
        <v>65</v>
      </c>
      <c r="D244">
        <v>692918</v>
      </c>
      <c r="E244">
        <v>6.43</v>
      </c>
      <c r="F244">
        <v>4.83</v>
      </c>
    </row>
    <row r="245" spans="1:6" x14ac:dyDescent="0.3">
      <c r="A245" t="s">
        <v>341</v>
      </c>
      <c r="B245" t="s">
        <v>196</v>
      </c>
      <c r="C245" t="s">
        <v>227</v>
      </c>
      <c r="D245">
        <v>694459</v>
      </c>
      <c r="E245">
        <v>2.96</v>
      </c>
      <c r="F245">
        <v>4.96</v>
      </c>
    </row>
    <row r="246" spans="1:6" x14ac:dyDescent="0.3">
      <c r="A246" t="s">
        <v>342</v>
      </c>
      <c r="B246" t="s">
        <v>301</v>
      </c>
      <c r="C246" t="s">
        <v>65</v>
      </c>
      <c r="D246">
        <v>697220</v>
      </c>
      <c r="E246">
        <v>2.95</v>
      </c>
      <c r="F246">
        <v>4.3499999999999996</v>
      </c>
    </row>
    <row r="247" spans="1:6" x14ac:dyDescent="0.3">
      <c r="A247" t="s">
        <v>343</v>
      </c>
      <c r="B247" t="s">
        <v>192</v>
      </c>
      <c r="C247" t="s">
        <v>6</v>
      </c>
      <c r="D247">
        <v>697865</v>
      </c>
      <c r="E247">
        <v>2.76</v>
      </c>
      <c r="F247">
        <v>5.14</v>
      </c>
    </row>
    <row r="248" spans="1:6" x14ac:dyDescent="0.3">
      <c r="A248" t="s">
        <v>344</v>
      </c>
      <c r="B248" t="s">
        <v>223</v>
      </c>
      <c r="C248" t="s">
        <v>28</v>
      </c>
      <c r="D248">
        <v>698322</v>
      </c>
      <c r="E248">
        <v>15.52</v>
      </c>
      <c r="F248">
        <v>4.78</v>
      </c>
    </row>
    <row r="249" spans="1:6" x14ac:dyDescent="0.3">
      <c r="A249" t="s">
        <v>345</v>
      </c>
      <c r="B249" t="s">
        <v>14</v>
      </c>
      <c r="C249" t="s">
        <v>6</v>
      </c>
      <c r="D249">
        <v>700046</v>
      </c>
      <c r="E249">
        <v>4.7699999999999996</v>
      </c>
      <c r="F249">
        <v>5</v>
      </c>
    </row>
    <row r="250" spans="1:6" x14ac:dyDescent="0.3">
      <c r="A250" t="s">
        <v>346</v>
      </c>
      <c r="B250" t="s">
        <v>277</v>
      </c>
      <c r="C250" t="s">
        <v>6</v>
      </c>
      <c r="D250">
        <v>700238</v>
      </c>
      <c r="E250">
        <v>1.8</v>
      </c>
      <c r="F250">
        <v>5.78</v>
      </c>
    </row>
    <row r="251" spans="1:6" x14ac:dyDescent="0.3">
      <c r="A251" t="s">
        <v>347</v>
      </c>
      <c r="B251" t="s">
        <v>22</v>
      </c>
      <c r="C251" t="s">
        <v>227</v>
      </c>
      <c r="D251">
        <v>700880</v>
      </c>
      <c r="E251">
        <v>7.19</v>
      </c>
      <c r="F251">
        <v>4.4000000000000004</v>
      </c>
    </row>
    <row r="252" spans="1:6" x14ac:dyDescent="0.3">
      <c r="A252" t="s">
        <v>348</v>
      </c>
      <c r="B252" t="s">
        <v>44</v>
      </c>
      <c r="C252" t="s">
        <v>349</v>
      </c>
      <c r="D252">
        <v>707510</v>
      </c>
      <c r="E252">
        <v>2.99</v>
      </c>
      <c r="F252">
        <v>5.26</v>
      </c>
    </row>
    <row r="253" spans="1:6" x14ac:dyDescent="0.3">
      <c r="A253" t="s">
        <v>350</v>
      </c>
      <c r="B253" t="s">
        <v>72</v>
      </c>
      <c r="C253" t="s">
        <v>65</v>
      </c>
      <c r="D253">
        <v>709020</v>
      </c>
      <c r="E253">
        <v>1.79</v>
      </c>
      <c r="F253">
        <v>6.07</v>
      </c>
    </row>
    <row r="254" spans="1:6" x14ac:dyDescent="0.3">
      <c r="A254" t="s">
        <v>351</v>
      </c>
      <c r="B254" t="s">
        <v>192</v>
      </c>
      <c r="C254" t="s">
        <v>121</v>
      </c>
      <c r="D254">
        <v>709201</v>
      </c>
      <c r="E254">
        <v>1.7</v>
      </c>
      <c r="F254">
        <v>5.83</v>
      </c>
    </row>
    <row r="255" spans="1:6" x14ac:dyDescent="0.3">
      <c r="A255" t="s">
        <v>352</v>
      </c>
      <c r="B255" t="s">
        <v>192</v>
      </c>
      <c r="C255" t="s">
        <v>65</v>
      </c>
      <c r="D255">
        <v>714993</v>
      </c>
      <c r="E255">
        <v>2.02</v>
      </c>
      <c r="F255">
        <v>5.03</v>
      </c>
    </row>
    <row r="256" spans="1:6" x14ac:dyDescent="0.3">
      <c r="A256" t="s">
        <v>353</v>
      </c>
      <c r="B256" t="s">
        <v>192</v>
      </c>
      <c r="C256" t="s">
        <v>17</v>
      </c>
      <c r="D256">
        <v>721140</v>
      </c>
      <c r="E256">
        <v>2.98</v>
      </c>
      <c r="F256">
        <v>5.89</v>
      </c>
    </row>
    <row r="257" spans="1:6" x14ac:dyDescent="0.3">
      <c r="A257" t="s">
        <v>354</v>
      </c>
      <c r="B257" t="s">
        <v>192</v>
      </c>
      <c r="C257" t="s">
        <v>6</v>
      </c>
      <c r="D257">
        <v>726062</v>
      </c>
      <c r="E257">
        <v>9.33</v>
      </c>
      <c r="F257">
        <v>4.3600000000000003</v>
      </c>
    </row>
    <row r="258" spans="1:6" x14ac:dyDescent="0.3">
      <c r="A258" t="s">
        <v>355</v>
      </c>
      <c r="B258" t="s">
        <v>263</v>
      </c>
      <c r="C258" t="s">
        <v>313</v>
      </c>
      <c r="D258">
        <v>731493</v>
      </c>
      <c r="E258">
        <v>10.19</v>
      </c>
      <c r="F258">
        <v>4.55</v>
      </c>
    </row>
    <row r="259" spans="1:6" x14ac:dyDescent="0.3">
      <c r="A259" t="s">
        <v>356</v>
      </c>
      <c r="B259" t="s">
        <v>91</v>
      </c>
      <c r="C259" t="s">
        <v>6</v>
      </c>
      <c r="D259">
        <v>735154</v>
      </c>
      <c r="E259">
        <v>9.8000000000000007</v>
      </c>
      <c r="F259">
        <v>5.46</v>
      </c>
    </row>
    <row r="260" spans="1:6" x14ac:dyDescent="0.3">
      <c r="A260" t="s">
        <v>357</v>
      </c>
      <c r="B260" t="s">
        <v>105</v>
      </c>
      <c r="C260" t="s">
        <v>36</v>
      </c>
      <c r="D260">
        <v>741635</v>
      </c>
      <c r="E260">
        <v>6.6</v>
      </c>
      <c r="F260">
        <v>4.3499999999999996</v>
      </c>
    </row>
    <row r="261" spans="1:6" x14ac:dyDescent="0.3">
      <c r="A261" t="s">
        <v>358</v>
      </c>
      <c r="B261" t="s">
        <v>44</v>
      </c>
      <c r="C261" t="s">
        <v>17</v>
      </c>
      <c r="D261">
        <v>743732</v>
      </c>
      <c r="E261">
        <v>4.26</v>
      </c>
      <c r="F261">
        <v>4.7699999999999996</v>
      </c>
    </row>
    <row r="262" spans="1:6" x14ac:dyDescent="0.3">
      <c r="A262" t="s">
        <v>359</v>
      </c>
      <c r="B262" t="s">
        <v>192</v>
      </c>
      <c r="C262" t="s">
        <v>12</v>
      </c>
      <c r="D262">
        <v>744247</v>
      </c>
      <c r="E262">
        <v>2.9</v>
      </c>
      <c r="F262">
        <v>5.63</v>
      </c>
    </row>
    <row r="263" spans="1:6" x14ac:dyDescent="0.3">
      <c r="A263" t="s">
        <v>360</v>
      </c>
      <c r="B263" t="s">
        <v>361</v>
      </c>
      <c r="C263" t="s">
        <v>28</v>
      </c>
      <c r="D263">
        <v>758361</v>
      </c>
      <c r="E263">
        <v>5</v>
      </c>
      <c r="F263">
        <v>4</v>
      </c>
    </row>
    <row r="264" spans="1:6" x14ac:dyDescent="0.3">
      <c r="A264" t="s">
        <v>362</v>
      </c>
      <c r="B264" t="s">
        <v>44</v>
      </c>
      <c r="C264" t="s">
        <v>63</v>
      </c>
      <c r="D264">
        <v>760070</v>
      </c>
      <c r="E264">
        <v>4.1399999999999997</v>
      </c>
      <c r="F264">
        <v>5.31</v>
      </c>
    </row>
    <row r="265" spans="1:6" x14ac:dyDescent="0.3">
      <c r="A265" t="s">
        <v>363</v>
      </c>
      <c r="B265" t="s">
        <v>98</v>
      </c>
      <c r="C265" t="s">
        <v>6</v>
      </c>
      <c r="D265">
        <v>763864</v>
      </c>
      <c r="E265">
        <v>2.9</v>
      </c>
      <c r="F265">
        <v>4.17</v>
      </c>
    </row>
    <row r="266" spans="1:6" x14ac:dyDescent="0.3">
      <c r="A266" t="s">
        <v>364</v>
      </c>
      <c r="B266" t="s">
        <v>218</v>
      </c>
      <c r="C266" t="s">
        <v>65</v>
      </c>
      <c r="D266">
        <v>764038</v>
      </c>
      <c r="E266">
        <v>5.64</v>
      </c>
      <c r="F266">
        <v>5.28</v>
      </c>
    </row>
    <row r="267" spans="1:6" x14ac:dyDescent="0.3">
      <c r="A267" t="s">
        <v>365</v>
      </c>
      <c r="B267" t="s">
        <v>91</v>
      </c>
      <c r="C267" t="s">
        <v>121</v>
      </c>
      <c r="D267">
        <v>776919</v>
      </c>
      <c r="E267">
        <v>1.79</v>
      </c>
      <c r="F267">
        <v>6.08</v>
      </c>
    </row>
    <row r="268" spans="1:6" x14ac:dyDescent="0.3">
      <c r="A268" t="s">
        <v>366</v>
      </c>
      <c r="B268" t="s">
        <v>367</v>
      </c>
      <c r="C268" t="s">
        <v>6</v>
      </c>
      <c r="D268">
        <v>783778</v>
      </c>
      <c r="E268">
        <v>4.4000000000000004</v>
      </c>
      <c r="F268">
        <v>4.75</v>
      </c>
    </row>
    <row r="269" spans="1:6" x14ac:dyDescent="0.3">
      <c r="A269" t="s">
        <v>368</v>
      </c>
      <c r="B269" t="s">
        <v>177</v>
      </c>
      <c r="C269" t="s">
        <v>65</v>
      </c>
      <c r="D269">
        <v>785536</v>
      </c>
      <c r="E269">
        <v>2.11</v>
      </c>
      <c r="F269">
        <v>5.63</v>
      </c>
    </row>
    <row r="270" spans="1:6" x14ac:dyDescent="0.3">
      <c r="A270" t="s">
        <v>369</v>
      </c>
      <c r="B270" t="s">
        <v>22</v>
      </c>
      <c r="C270" t="s">
        <v>121</v>
      </c>
      <c r="D270">
        <v>790375</v>
      </c>
      <c r="E270">
        <v>6</v>
      </c>
      <c r="F270">
        <v>6.86</v>
      </c>
    </row>
    <row r="271" spans="1:6" x14ac:dyDescent="0.3">
      <c r="A271" t="s">
        <v>370</v>
      </c>
      <c r="B271" t="s">
        <v>150</v>
      </c>
      <c r="C271" t="s">
        <v>28</v>
      </c>
      <c r="D271">
        <v>793662</v>
      </c>
      <c r="E271">
        <v>8.99</v>
      </c>
      <c r="F271">
        <v>5.52</v>
      </c>
    </row>
    <row r="272" spans="1:6" x14ac:dyDescent="0.3">
      <c r="A272" t="s">
        <v>371</v>
      </c>
      <c r="B272" t="s">
        <v>44</v>
      </c>
      <c r="C272" t="s">
        <v>20</v>
      </c>
      <c r="D272">
        <v>796046</v>
      </c>
      <c r="E272">
        <v>12.46</v>
      </c>
      <c r="F272">
        <v>4.5</v>
      </c>
    </row>
    <row r="273" spans="1:6" x14ac:dyDescent="0.3">
      <c r="A273" t="s">
        <v>372</v>
      </c>
      <c r="B273" t="s">
        <v>14</v>
      </c>
      <c r="C273" t="s">
        <v>65</v>
      </c>
      <c r="D273">
        <v>803536</v>
      </c>
      <c r="E273">
        <v>1.22</v>
      </c>
      <c r="F273">
        <v>4.32</v>
      </c>
    </row>
    <row r="274" spans="1:6" x14ac:dyDescent="0.3">
      <c r="A274" t="s">
        <v>373</v>
      </c>
      <c r="B274" t="s">
        <v>192</v>
      </c>
      <c r="C274" t="s">
        <v>65</v>
      </c>
      <c r="D274">
        <v>808862</v>
      </c>
      <c r="E274">
        <v>2.69</v>
      </c>
      <c r="F274">
        <v>5.05</v>
      </c>
    </row>
    <row r="275" spans="1:6" x14ac:dyDescent="0.3">
      <c r="A275" t="s">
        <v>374</v>
      </c>
      <c r="B275" t="s">
        <v>14</v>
      </c>
      <c r="C275" t="s">
        <v>6</v>
      </c>
      <c r="D275">
        <v>814678</v>
      </c>
      <c r="E275">
        <v>19.79</v>
      </c>
      <c r="F275">
        <v>4.55</v>
      </c>
    </row>
    <row r="276" spans="1:6" x14ac:dyDescent="0.3">
      <c r="A276" t="s">
        <v>375</v>
      </c>
      <c r="B276" t="s">
        <v>44</v>
      </c>
      <c r="C276" t="s">
        <v>376</v>
      </c>
      <c r="D276">
        <v>827581</v>
      </c>
      <c r="E276">
        <v>6.83</v>
      </c>
      <c r="F276">
        <v>5.19</v>
      </c>
    </row>
    <row r="277" spans="1:6" x14ac:dyDescent="0.3">
      <c r="A277" t="s">
        <v>377</v>
      </c>
      <c r="B277" t="s">
        <v>318</v>
      </c>
      <c r="C277" t="s">
        <v>65</v>
      </c>
      <c r="D277">
        <v>829373</v>
      </c>
      <c r="E277">
        <v>1.96</v>
      </c>
      <c r="F277">
        <v>5.46</v>
      </c>
    </row>
    <row r="278" spans="1:6" x14ac:dyDescent="0.3">
      <c r="A278" t="s">
        <v>378</v>
      </c>
      <c r="B278" t="s">
        <v>14</v>
      </c>
      <c r="C278" t="s">
        <v>379</v>
      </c>
      <c r="D278">
        <v>836107</v>
      </c>
      <c r="E278">
        <v>7.83</v>
      </c>
      <c r="F278">
        <v>5.0599999999999996</v>
      </c>
    </row>
    <row r="279" spans="1:6" x14ac:dyDescent="0.3">
      <c r="A279" t="s">
        <v>380</v>
      </c>
      <c r="B279" t="s">
        <v>192</v>
      </c>
      <c r="C279" t="s">
        <v>6</v>
      </c>
      <c r="D279">
        <v>837173</v>
      </c>
      <c r="E279">
        <v>7.2</v>
      </c>
      <c r="F279">
        <v>4.29</v>
      </c>
    </row>
    <row r="280" spans="1:6" x14ac:dyDescent="0.3">
      <c r="A280" t="s">
        <v>381</v>
      </c>
      <c r="B280" t="s">
        <v>218</v>
      </c>
      <c r="C280" t="s">
        <v>379</v>
      </c>
      <c r="D280">
        <v>839175</v>
      </c>
      <c r="E280">
        <v>6.61</v>
      </c>
      <c r="F280">
        <v>6.17</v>
      </c>
    </row>
    <row r="281" spans="1:6" x14ac:dyDescent="0.3">
      <c r="A281" t="s">
        <v>382</v>
      </c>
      <c r="B281" t="s">
        <v>238</v>
      </c>
      <c r="C281" t="s">
        <v>6</v>
      </c>
      <c r="D281">
        <v>840397</v>
      </c>
      <c r="E281">
        <v>2.08</v>
      </c>
      <c r="F281">
        <v>5.71</v>
      </c>
    </row>
    <row r="282" spans="1:6" x14ac:dyDescent="0.3">
      <c r="A282" t="s">
        <v>383</v>
      </c>
      <c r="B282" t="s">
        <v>384</v>
      </c>
      <c r="C282" t="s">
        <v>6</v>
      </c>
      <c r="D282">
        <v>846153</v>
      </c>
      <c r="E282">
        <v>1.78</v>
      </c>
      <c r="F282">
        <v>5.75</v>
      </c>
    </row>
    <row r="283" spans="1:6" x14ac:dyDescent="0.3">
      <c r="A283" t="s">
        <v>385</v>
      </c>
      <c r="B283" t="s">
        <v>14</v>
      </c>
      <c r="C283" t="s">
        <v>379</v>
      </c>
      <c r="D283">
        <v>846763</v>
      </c>
      <c r="E283">
        <v>2.0299999999999998</v>
      </c>
      <c r="F283">
        <v>5.3</v>
      </c>
    </row>
    <row r="284" spans="1:6" x14ac:dyDescent="0.3">
      <c r="A284" t="s">
        <v>386</v>
      </c>
      <c r="B284" t="s">
        <v>14</v>
      </c>
      <c r="C284" t="s">
        <v>39</v>
      </c>
      <c r="D284">
        <v>847961</v>
      </c>
      <c r="E284">
        <v>1.04</v>
      </c>
      <c r="F284">
        <v>4.99</v>
      </c>
    </row>
    <row r="285" spans="1:6" x14ac:dyDescent="0.3">
      <c r="A285" t="s">
        <v>387</v>
      </c>
      <c r="B285" t="s">
        <v>136</v>
      </c>
      <c r="C285" t="s">
        <v>379</v>
      </c>
      <c r="D285">
        <v>848722</v>
      </c>
      <c r="E285">
        <v>1.53</v>
      </c>
      <c r="F285">
        <v>5.85</v>
      </c>
    </row>
    <row r="286" spans="1:6" x14ac:dyDescent="0.3">
      <c r="A286" t="s">
        <v>388</v>
      </c>
      <c r="B286" t="s">
        <v>192</v>
      </c>
      <c r="C286" t="s">
        <v>379</v>
      </c>
      <c r="D286">
        <v>859657</v>
      </c>
      <c r="E286">
        <v>1.32</v>
      </c>
      <c r="F286">
        <v>5.35</v>
      </c>
    </row>
    <row r="287" spans="1:6" x14ac:dyDescent="0.3">
      <c r="A287" t="s">
        <v>389</v>
      </c>
      <c r="B287" t="s">
        <v>390</v>
      </c>
      <c r="C287" t="s">
        <v>227</v>
      </c>
      <c r="D287">
        <v>866033</v>
      </c>
      <c r="E287">
        <v>4.92</v>
      </c>
      <c r="F287">
        <v>5.42</v>
      </c>
    </row>
    <row r="288" spans="1:6" x14ac:dyDescent="0.3">
      <c r="A288" t="s">
        <v>391</v>
      </c>
      <c r="B288" t="s">
        <v>392</v>
      </c>
      <c r="C288" t="s">
        <v>65</v>
      </c>
      <c r="D288">
        <v>873805</v>
      </c>
      <c r="E288">
        <v>1.63</v>
      </c>
      <c r="F288">
        <v>5.22</v>
      </c>
    </row>
    <row r="289" spans="1:6" x14ac:dyDescent="0.3">
      <c r="A289" t="s">
        <v>393</v>
      </c>
      <c r="B289" t="s">
        <v>27</v>
      </c>
      <c r="C289" t="s">
        <v>379</v>
      </c>
      <c r="D289">
        <v>874540</v>
      </c>
      <c r="E289">
        <v>2.02</v>
      </c>
      <c r="F289">
        <v>6.07</v>
      </c>
    </row>
    <row r="290" spans="1:6" x14ac:dyDescent="0.3">
      <c r="A290" t="s">
        <v>394</v>
      </c>
      <c r="B290" t="s">
        <v>205</v>
      </c>
      <c r="C290" t="s">
        <v>6</v>
      </c>
      <c r="D290">
        <v>881590</v>
      </c>
      <c r="E290">
        <v>5.75</v>
      </c>
      <c r="F290">
        <v>5.5</v>
      </c>
    </row>
    <row r="291" spans="1:6" x14ac:dyDescent="0.3">
      <c r="A291" t="s">
        <v>395</v>
      </c>
      <c r="B291" t="s">
        <v>14</v>
      </c>
      <c r="C291" t="s">
        <v>379</v>
      </c>
      <c r="D291">
        <v>890206</v>
      </c>
      <c r="E291">
        <v>5</v>
      </c>
      <c r="F291">
        <v>4.13</v>
      </c>
    </row>
    <row r="292" spans="1:6" x14ac:dyDescent="0.3">
      <c r="A292" t="s">
        <v>396</v>
      </c>
      <c r="B292" t="s">
        <v>336</v>
      </c>
      <c r="C292" t="s">
        <v>20</v>
      </c>
      <c r="D292">
        <v>890580</v>
      </c>
      <c r="E292">
        <v>2.79</v>
      </c>
      <c r="F292">
        <v>7.53</v>
      </c>
    </row>
    <row r="293" spans="1:6" x14ac:dyDescent="0.3">
      <c r="A293" t="s">
        <v>397</v>
      </c>
      <c r="B293" t="s">
        <v>14</v>
      </c>
      <c r="C293" t="s">
        <v>379</v>
      </c>
      <c r="D293">
        <v>897342</v>
      </c>
      <c r="E293">
        <v>5.94</v>
      </c>
      <c r="F293">
        <v>4.07</v>
      </c>
    </row>
    <row r="294" spans="1:6" x14ac:dyDescent="0.3">
      <c r="A294" t="s">
        <v>398</v>
      </c>
      <c r="B294" t="s">
        <v>399</v>
      </c>
      <c r="C294" t="s">
        <v>379</v>
      </c>
      <c r="D294">
        <v>897837</v>
      </c>
      <c r="E294">
        <v>3.03</v>
      </c>
      <c r="F294">
        <v>4.45</v>
      </c>
    </row>
    <row r="295" spans="1:6" x14ac:dyDescent="0.3">
      <c r="A295" t="s">
        <v>400</v>
      </c>
      <c r="B295" t="s">
        <v>401</v>
      </c>
      <c r="C295" t="s">
        <v>65</v>
      </c>
      <c r="D295">
        <v>897987</v>
      </c>
      <c r="E295">
        <v>3.26</v>
      </c>
      <c r="F295">
        <v>2.93</v>
      </c>
    </row>
    <row r="296" spans="1:6" x14ac:dyDescent="0.3">
      <c r="A296" t="s">
        <v>402</v>
      </c>
      <c r="B296" t="s">
        <v>192</v>
      </c>
      <c r="C296" t="s">
        <v>379</v>
      </c>
      <c r="D296">
        <v>912788</v>
      </c>
      <c r="E296">
        <v>1.96</v>
      </c>
      <c r="F296">
        <v>5.69</v>
      </c>
    </row>
    <row r="297" spans="1:6" x14ac:dyDescent="0.3">
      <c r="A297" t="s">
        <v>403</v>
      </c>
      <c r="B297" t="s">
        <v>124</v>
      </c>
      <c r="C297" t="s">
        <v>379</v>
      </c>
      <c r="D297">
        <v>912797</v>
      </c>
      <c r="E297">
        <v>6.54</v>
      </c>
      <c r="F297">
        <v>4.1399999999999997</v>
      </c>
    </row>
    <row r="298" spans="1:6" x14ac:dyDescent="0.3">
      <c r="A298" t="s">
        <v>404</v>
      </c>
      <c r="B298" t="s">
        <v>277</v>
      </c>
      <c r="C298" t="s">
        <v>379</v>
      </c>
      <c r="D298">
        <v>915886</v>
      </c>
      <c r="E298">
        <v>1.91</v>
      </c>
      <c r="F298">
        <v>5.87</v>
      </c>
    </row>
    <row r="299" spans="1:6" x14ac:dyDescent="0.3">
      <c r="A299" t="s">
        <v>405</v>
      </c>
      <c r="B299" t="s">
        <v>406</v>
      </c>
      <c r="C299" t="s">
        <v>407</v>
      </c>
      <c r="D299">
        <v>918766</v>
      </c>
      <c r="E299">
        <v>16.43</v>
      </c>
      <c r="F299">
        <v>3.79</v>
      </c>
    </row>
    <row r="300" spans="1:6" x14ac:dyDescent="0.3">
      <c r="A300" t="s">
        <v>408</v>
      </c>
      <c r="B300" t="s">
        <v>14</v>
      </c>
      <c r="C300" t="s">
        <v>379</v>
      </c>
      <c r="D300">
        <v>919172</v>
      </c>
      <c r="E300">
        <v>1.1100000000000001</v>
      </c>
      <c r="F300">
        <v>5.27</v>
      </c>
    </row>
    <row r="301" spans="1:6" x14ac:dyDescent="0.3">
      <c r="A301" t="s">
        <v>409</v>
      </c>
      <c r="B301" t="s">
        <v>321</v>
      </c>
      <c r="C301" t="s">
        <v>12</v>
      </c>
      <c r="D301">
        <v>923264</v>
      </c>
      <c r="E301">
        <v>3</v>
      </c>
      <c r="F301">
        <v>5.75</v>
      </c>
    </row>
    <row r="302" spans="1:6" x14ac:dyDescent="0.3">
      <c r="A302" t="s">
        <v>410</v>
      </c>
      <c r="B302" t="s">
        <v>14</v>
      </c>
      <c r="C302" t="s">
        <v>12</v>
      </c>
      <c r="D302">
        <v>928589</v>
      </c>
      <c r="E302">
        <v>14.04</v>
      </c>
      <c r="F302">
        <v>7.19</v>
      </c>
    </row>
    <row r="303" spans="1:6" x14ac:dyDescent="0.3">
      <c r="A303" t="s">
        <v>411</v>
      </c>
      <c r="B303" t="s">
        <v>412</v>
      </c>
      <c r="C303" t="s">
        <v>121</v>
      </c>
      <c r="D303">
        <v>933759</v>
      </c>
      <c r="E303">
        <v>2.14</v>
      </c>
      <c r="F303">
        <v>5.69</v>
      </c>
    </row>
    <row r="304" spans="1:6" x14ac:dyDescent="0.3">
      <c r="A304" t="s">
        <v>413</v>
      </c>
      <c r="B304" t="s">
        <v>414</v>
      </c>
      <c r="C304" t="s">
        <v>6</v>
      </c>
      <c r="D304">
        <v>935157</v>
      </c>
      <c r="E304">
        <v>6.58</v>
      </c>
      <c r="F304">
        <v>6.13</v>
      </c>
    </row>
    <row r="305" spans="1:6" x14ac:dyDescent="0.3">
      <c r="A305" t="s">
        <v>415</v>
      </c>
      <c r="B305" t="s">
        <v>44</v>
      </c>
      <c r="C305" t="s">
        <v>379</v>
      </c>
      <c r="D305">
        <v>936973</v>
      </c>
      <c r="E305">
        <v>9.1999999999999993</v>
      </c>
      <c r="F305">
        <v>4.0599999999999996</v>
      </c>
    </row>
    <row r="306" spans="1:6" x14ac:dyDescent="0.3">
      <c r="A306" t="s">
        <v>416</v>
      </c>
      <c r="B306" t="s">
        <v>325</v>
      </c>
      <c r="C306" t="s">
        <v>379</v>
      </c>
      <c r="D306">
        <v>940558</v>
      </c>
      <c r="E306">
        <v>7.74</v>
      </c>
      <c r="F306">
        <v>5.75</v>
      </c>
    </row>
    <row r="307" spans="1:6" x14ac:dyDescent="0.3">
      <c r="A307" t="s">
        <v>417</v>
      </c>
      <c r="B307" t="s">
        <v>14</v>
      </c>
      <c r="C307" t="s">
        <v>6</v>
      </c>
      <c r="D307">
        <v>941713</v>
      </c>
      <c r="E307">
        <v>1.19</v>
      </c>
      <c r="F307">
        <v>5.0999999999999996</v>
      </c>
    </row>
    <row r="308" spans="1:6" x14ac:dyDescent="0.3">
      <c r="A308" t="s">
        <v>418</v>
      </c>
      <c r="B308" t="s">
        <v>419</v>
      </c>
      <c r="C308" t="s">
        <v>121</v>
      </c>
      <c r="D308">
        <v>941962</v>
      </c>
      <c r="E308">
        <v>4.05</v>
      </c>
      <c r="F308">
        <v>4.8899999999999997</v>
      </c>
    </row>
    <row r="309" spans="1:6" x14ac:dyDescent="0.3">
      <c r="A309" t="s">
        <v>420</v>
      </c>
      <c r="B309" t="s">
        <v>421</v>
      </c>
      <c r="C309" t="s">
        <v>379</v>
      </c>
      <c r="D309">
        <v>946003</v>
      </c>
      <c r="E309">
        <v>2.9</v>
      </c>
      <c r="F309">
        <v>4.9400000000000004</v>
      </c>
    </row>
    <row r="310" spans="1:6" x14ac:dyDescent="0.3">
      <c r="A310" t="s">
        <v>422</v>
      </c>
      <c r="B310" t="s">
        <v>423</v>
      </c>
      <c r="C310" t="s">
        <v>379</v>
      </c>
      <c r="D310">
        <v>947301</v>
      </c>
      <c r="E310">
        <v>2.08</v>
      </c>
      <c r="F310">
        <v>6.3</v>
      </c>
    </row>
    <row r="311" spans="1:6" x14ac:dyDescent="0.3">
      <c r="A311" t="s">
        <v>424</v>
      </c>
      <c r="B311" t="s">
        <v>399</v>
      </c>
      <c r="C311" t="s">
        <v>121</v>
      </c>
      <c r="D311">
        <v>949673</v>
      </c>
      <c r="E311">
        <v>2.2400000000000002</v>
      </c>
      <c r="F311">
        <v>4.83</v>
      </c>
    </row>
    <row r="312" spans="1:6" x14ac:dyDescent="0.3">
      <c r="A312" t="s">
        <v>425</v>
      </c>
      <c r="B312" t="s">
        <v>85</v>
      </c>
      <c r="C312" t="s">
        <v>6</v>
      </c>
      <c r="D312">
        <v>957229</v>
      </c>
      <c r="E312">
        <v>3.84</v>
      </c>
      <c r="F312">
        <v>5.5</v>
      </c>
    </row>
    <row r="313" spans="1:6" x14ac:dyDescent="0.3">
      <c r="A313" t="s">
        <v>426</v>
      </c>
      <c r="B313" t="s">
        <v>412</v>
      </c>
      <c r="C313" t="s">
        <v>20</v>
      </c>
      <c r="D313">
        <v>960890</v>
      </c>
      <c r="E313">
        <v>3.36</v>
      </c>
      <c r="F313">
        <v>5.32</v>
      </c>
    </row>
    <row r="314" spans="1:6" x14ac:dyDescent="0.3">
      <c r="A314" t="s">
        <v>427</v>
      </c>
      <c r="B314" t="s">
        <v>190</v>
      </c>
      <c r="C314" t="s">
        <v>6</v>
      </c>
      <c r="D314">
        <v>963572</v>
      </c>
      <c r="E314">
        <v>2.12</v>
      </c>
      <c r="F314">
        <v>5.41</v>
      </c>
    </row>
    <row r="315" spans="1:6" x14ac:dyDescent="0.3">
      <c r="A315" t="s">
        <v>428</v>
      </c>
      <c r="B315" t="s">
        <v>138</v>
      </c>
      <c r="C315" t="s">
        <v>6</v>
      </c>
      <c r="D315">
        <v>971914</v>
      </c>
      <c r="E315">
        <v>11.12</v>
      </c>
      <c r="F315">
        <v>3.19</v>
      </c>
    </row>
    <row r="316" spans="1:6" x14ac:dyDescent="0.3">
      <c r="A316" t="s">
        <v>429</v>
      </c>
      <c r="B316" t="s">
        <v>14</v>
      </c>
      <c r="C316" t="s">
        <v>227</v>
      </c>
      <c r="D316">
        <v>973476</v>
      </c>
      <c r="E316">
        <v>3.15</v>
      </c>
      <c r="F316">
        <v>5.79</v>
      </c>
    </row>
    <row r="317" spans="1:6" x14ac:dyDescent="0.3">
      <c r="A317" t="s">
        <v>430</v>
      </c>
      <c r="B317" t="s">
        <v>340</v>
      </c>
      <c r="C317" t="s">
        <v>379</v>
      </c>
      <c r="D317">
        <v>976871</v>
      </c>
      <c r="E317">
        <v>7.83</v>
      </c>
      <c r="F317">
        <v>4.4000000000000004</v>
      </c>
    </row>
    <row r="318" spans="1:6" x14ac:dyDescent="0.3">
      <c r="A318" t="s">
        <v>431</v>
      </c>
      <c r="B318" t="s">
        <v>44</v>
      </c>
      <c r="C318" t="s">
        <v>25</v>
      </c>
      <c r="D318">
        <v>979565</v>
      </c>
      <c r="E318">
        <v>8.82</v>
      </c>
      <c r="F318">
        <v>5.6</v>
      </c>
    </row>
    <row r="319" spans="1:6" x14ac:dyDescent="0.3">
      <c r="A319" t="s">
        <v>432</v>
      </c>
      <c r="B319" t="s">
        <v>433</v>
      </c>
      <c r="C319" t="s">
        <v>6</v>
      </c>
      <c r="D319">
        <v>987052</v>
      </c>
      <c r="E319">
        <v>7.79</v>
      </c>
      <c r="F319">
        <v>6</v>
      </c>
    </row>
    <row r="320" spans="1:6" x14ac:dyDescent="0.3">
      <c r="A320" t="s">
        <v>434</v>
      </c>
      <c r="B320" t="s">
        <v>112</v>
      </c>
      <c r="C320" t="s">
        <v>121</v>
      </c>
      <c r="D320">
        <v>989533</v>
      </c>
      <c r="E320">
        <v>9.07</v>
      </c>
      <c r="F320">
        <v>6.53</v>
      </c>
    </row>
    <row r="321" spans="1:6" x14ac:dyDescent="0.3">
      <c r="A321" t="s">
        <v>435</v>
      </c>
      <c r="B321" t="s">
        <v>140</v>
      </c>
      <c r="C321" t="s">
        <v>6</v>
      </c>
      <c r="D321">
        <v>991220</v>
      </c>
      <c r="E321">
        <v>11.46</v>
      </c>
      <c r="F321">
        <v>4.82</v>
      </c>
    </row>
    <row r="322" spans="1:6" x14ac:dyDescent="0.3">
      <c r="A322" t="s">
        <v>436</v>
      </c>
      <c r="B322" t="s">
        <v>267</v>
      </c>
      <c r="C322" t="s">
        <v>89</v>
      </c>
      <c r="D322">
        <v>992985</v>
      </c>
      <c r="E322">
        <v>3.01</v>
      </c>
      <c r="F322">
        <v>6.3</v>
      </c>
    </row>
    <row r="323" spans="1:6" x14ac:dyDescent="0.3">
      <c r="A323" t="s">
        <v>437</v>
      </c>
      <c r="B323" t="s">
        <v>192</v>
      </c>
      <c r="C323" t="s">
        <v>379</v>
      </c>
      <c r="D323">
        <v>994282</v>
      </c>
      <c r="E323">
        <v>1.54</v>
      </c>
      <c r="F323">
        <v>5.53</v>
      </c>
    </row>
    <row r="324" spans="1:6" x14ac:dyDescent="0.3">
      <c r="A324" t="s">
        <v>438</v>
      </c>
      <c r="B324" t="s">
        <v>399</v>
      </c>
      <c r="C324" t="s">
        <v>25</v>
      </c>
      <c r="D324">
        <v>998398</v>
      </c>
      <c r="E324">
        <v>2.69</v>
      </c>
      <c r="F324">
        <v>5.83</v>
      </c>
    </row>
    <row r="325" spans="1:6" x14ac:dyDescent="0.3">
      <c r="A325" t="s">
        <v>439</v>
      </c>
      <c r="B325" t="s">
        <v>440</v>
      </c>
      <c r="C325" t="s">
        <v>12</v>
      </c>
      <c r="D325">
        <v>999024</v>
      </c>
      <c r="E325">
        <v>2.81</v>
      </c>
      <c r="F325">
        <v>4.25</v>
      </c>
    </row>
    <row r="326" spans="1:6" x14ac:dyDescent="0.3">
      <c r="A326" t="s">
        <v>441</v>
      </c>
      <c r="B326" t="s">
        <v>14</v>
      </c>
      <c r="C326" t="s">
        <v>65</v>
      </c>
      <c r="D326">
        <v>1018758</v>
      </c>
      <c r="E326">
        <v>3.09</v>
      </c>
      <c r="F326">
        <v>4.93</v>
      </c>
    </row>
    <row r="327" spans="1:6" x14ac:dyDescent="0.3">
      <c r="A327" t="s">
        <v>442</v>
      </c>
      <c r="B327" t="s">
        <v>14</v>
      </c>
      <c r="C327" t="s">
        <v>379</v>
      </c>
      <c r="D327">
        <v>1023387</v>
      </c>
      <c r="E327">
        <v>4.75</v>
      </c>
      <c r="F327">
        <v>4.92</v>
      </c>
    </row>
    <row r="328" spans="1:6" x14ac:dyDescent="0.3">
      <c r="A328" t="s">
        <v>443</v>
      </c>
      <c r="B328" t="s">
        <v>14</v>
      </c>
      <c r="C328" t="s">
        <v>28</v>
      </c>
      <c r="D328">
        <v>1034085</v>
      </c>
      <c r="E328">
        <v>8.67</v>
      </c>
      <c r="F328">
        <v>5.2</v>
      </c>
    </row>
    <row r="329" spans="1:6" x14ac:dyDescent="0.3">
      <c r="A329" t="s">
        <v>444</v>
      </c>
      <c r="B329" t="s">
        <v>445</v>
      </c>
      <c r="C329" t="s">
        <v>63</v>
      </c>
      <c r="D329">
        <v>1037675</v>
      </c>
      <c r="E329">
        <v>3.06</v>
      </c>
      <c r="F329">
        <v>6.08</v>
      </c>
    </row>
    <row r="330" spans="1:6" x14ac:dyDescent="0.3">
      <c r="A330" t="s">
        <v>446</v>
      </c>
      <c r="B330" t="s">
        <v>399</v>
      </c>
      <c r="C330" t="s">
        <v>6</v>
      </c>
      <c r="D330">
        <v>1041005</v>
      </c>
      <c r="E330">
        <v>2.7</v>
      </c>
      <c r="F330">
        <v>5.41</v>
      </c>
    </row>
    <row r="331" spans="1:6" x14ac:dyDescent="0.3">
      <c r="A331" t="s">
        <v>447</v>
      </c>
      <c r="B331" t="s">
        <v>177</v>
      </c>
      <c r="C331" t="s">
        <v>28</v>
      </c>
      <c r="D331">
        <v>1044292</v>
      </c>
      <c r="E331">
        <v>2.15</v>
      </c>
      <c r="F331">
        <v>5.89</v>
      </c>
    </row>
    <row r="332" spans="1:6" x14ac:dyDescent="0.3">
      <c r="A332" t="s">
        <v>448</v>
      </c>
      <c r="B332" t="s">
        <v>88</v>
      </c>
      <c r="C332" t="s">
        <v>25</v>
      </c>
      <c r="D332">
        <v>1048226</v>
      </c>
      <c r="E332">
        <v>8.7799999999999994</v>
      </c>
      <c r="F332">
        <v>6.29</v>
      </c>
    </row>
    <row r="333" spans="1:6" x14ac:dyDescent="0.3">
      <c r="A333" t="s">
        <v>449</v>
      </c>
      <c r="B333" t="s">
        <v>44</v>
      </c>
      <c r="C333" t="s">
        <v>450</v>
      </c>
      <c r="D333">
        <v>1051977</v>
      </c>
      <c r="E333">
        <v>7.76</v>
      </c>
      <c r="F333">
        <v>5.22</v>
      </c>
    </row>
    <row r="334" spans="1:6" x14ac:dyDescent="0.3">
      <c r="A334" t="s">
        <v>451</v>
      </c>
      <c r="B334" t="s">
        <v>452</v>
      </c>
      <c r="C334" t="s">
        <v>17</v>
      </c>
      <c r="D334">
        <v>1052122</v>
      </c>
      <c r="E334">
        <v>3.89</v>
      </c>
      <c r="F334">
        <v>5.27</v>
      </c>
    </row>
    <row r="335" spans="1:6" x14ac:dyDescent="0.3">
      <c r="A335" t="s">
        <v>453</v>
      </c>
      <c r="B335" t="s">
        <v>192</v>
      </c>
      <c r="C335" t="s">
        <v>28</v>
      </c>
      <c r="D335">
        <v>1057126</v>
      </c>
      <c r="E335">
        <v>2.12</v>
      </c>
      <c r="F335">
        <v>6.28</v>
      </c>
    </row>
    <row r="336" spans="1:6" x14ac:dyDescent="0.3">
      <c r="A336" t="s">
        <v>454</v>
      </c>
      <c r="B336" t="s">
        <v>412</v>
      </c>
      <c r="C336" t="s">
        <v>455</v>
      </c>
      <c r="D336">
        <v>1060305</v>
      </c>
      <c r="E336">
        <v>3.6</v>
      </c>
      <c r="F336">
        <v>5.81</v>
      </c>
    </row>
    <row r="337" spans="1:6" x14ac:dyDescent="0.3">
      <c r="A337" t="s">
        <v>456</v>
      </c>
      <c r="B337" t="s">
        <v>421</v>
      </c>
      <c r="C337" t="s">
        <v>379</v>
      </c>
      <c r="D337">
        <v>1061550</v>
      </c>
      <c r="E337">
        <v>3.17</v>
      </c>
      <c r="F337">
        <v>6.19</v>
      </c>
    </row>
    <row r="338" spans="1:6" x14ac:dyDescent="0.3">
      <c r="A338" t="s">
        <v>457</v>
      </c>
      <c r="B338" t="s">
        <v>336</v>
      </c>
      <c r="C338" t="s">
        <v>12</v>
      </c>
      <c r="D338">
        <v>1072272</v>
      </c>
      <c r="E338">
        <v>2.85</v>
      </c>
      <c r="F338">
        <v>6.96</v>
      </c>
    </row>
    <row r="339" spans="1:6" x14ac:dyDescent="0.3">
      <c r="A339" t="s">
        <v>224</v>
      </c>
      <c r="B339" t="s">
        <v>458</v>
      </c>
      <c r="C339" t="s">
        <v>65</v>
      </c>
      <c r="D339">
        <v>1074870</v>
      </c>
      <c r="E339">
        <v>3.89</v>
      </c>
      <c r="F339">
        <v>5.63</v>
      </c>
    </row>
    <row r="340" spans="1:6" x14ac:dyDescent="0.3">
      <c r="A340" t="s">
        <v>459</v>
      </c>
      <c r="B340" t="s">
        <v>14</v>
      </c>
      <c r="C340" t="s">
        <v>6</v>
      </c>
      <c r="D340">
        <v>1084112</v>
      </c>
      <c r="E340">
        <v>3.66</v>
      </c>
      <c r="F340">
        <v>4.84</v>
      </c>
    </row>
    <row r="341" spans="1:6" x14ac:dyDescent="0.3">
      <c r="A341" t="s">
        <v>460</v>
      </c>
      <c r="B341" t="s">
        <v>461</v>
      </c>
      <c r="C341" t="s">
        <v>20</v>
      </c>
      <c r="D341">
        <v>1095500</v>
      </c>
      <c r="E341">
        <v>3.23</v>
      </c>
      <c r="F341">
        <v>6.59</v>
      </c>
    </row>
    <row r="342" spans="1:6" x14ac:dyDescent="0.3">
      <c r="A342" t="s">
        <v>88</v>
      </c>
      <c r="B342" t="s">
        <v>22</v>
      </c>
      <c r="C342" t="s">
        <v>65</v>
      </c>
      <c r="D342">
        <v>1099152</v>
      </c>
      <c r="E342">
        <v>6.23</v>
      </c>
      <c r="F342">
        <v>6.18</v>
      </c>
    </row>
    <row r="343" spans="1:6" x14ac:dyDescent="0.3">
      <c r="A343" t="s">
        <v>462</v>
      </c>
      <c r="B343" t="s">
        <v>463</v>
      </c>
      <c r="C343" t="s">
        <v>379</v>
      </c>
      <c r="D343">
        <v>1104816</v>
      </c>
      <c r="E343">
        <v>2.56</v>
      </c>
      <c r="F343">
        <v>4.8</v>
      </c>
    </row>
    <row r="344" spans="1:6" x14ac:dyDescent="0.3">
      <c r="A344" t="s">
        <v>464</v>
      </c>
      <c r="B344" t="s">
        <v>465</v>
      </c>
      <c r="C344" t="s">
        <v>89</v>
      </c>
      <c r="D344">
        <v>1107696</v>
      </c>
      <c r="E344">
        <v>8</v>
      </c>
      <c r="F344">
        <v>4.5</v>
      </c>
    </row>
    <row r="345" spans="1:6" x14ac:dyDescent="0.3">
      <c r="A345" t="s">
        <v>466</v>
      </c>
      <c r="B345" t="s">
        <v>412</v>
      </c>
      <c r="C345" t="s">
        <v>28</v>
      </c>
      <c r="D345">
        <v>1123217</v>
      </c>
      <c r="E345">
        <v>5.05</v>
      </c>
      <c r="F345">
        <v>5.0999999999999996</v>
      </c>
    </row>
    <row r="346" spans="1:6" x14ac:dyDescent="0.3">
      <c r="A346" t="s">
        <v>467</v>
      </c>
      <c r="B346" t="s">
        <v>14</v>
      </c>
      <c r="C346" t="s">
        <v>17</v>
      </c>
      <c r="D346">
        <v>1147673</v>
      </c>
      <c r="E346">
        <v>10</v>
      </c>
      <c r="F346">
        <v>5.67</v>
      </c>
    </row>
    <row r="347" spans="1:6" x14ac:dyDescent="0.3">
      <c r="A347" t="s">
        <v>468</v>
      </c>
      <c r="B347" t="s">
        <v>85</v>
      </c>
      <c r="C347" t="s">
        <v>36</v>
      </c>
      <c r="D347">
        <v>1157720</v>
      </c>
      <c r="E347">
        <v>12.22</v>
      </c>
      <c r="F347">
        <v>5.93</v>
      </c>
    </row>
    <row r="348" spans="1:6" x14ac:dyDescent="0.3">
      <c r="A348" t="s">
        <v>469</v>
      </c>
      <c r="B348" t="s">
        <v>192</v>
      </c>
      <c r="C348" t="s">
        <v>6</v>
      </c>
      <c r="D348">
        <v>1168060</v>
      </c>
      <c r="E348">
        <v>2.27</v>
      </c>
      <c r="F348">
        <v>5.88</v>
      </c>
    </row>
    <row r="349" spans="1:6" x14ac:dyDescent="0.3">
      <c r="A349" t="s">
        <v>470</v>
      </c>
      <c r="B349" t="s">
        <v>340</v>
      </c>
      <c r="C349" t="s">
        <v>12</v>
      </c>
      <c r="D349">
        <v>1174452</v>
      </c>
      <c r="E349">
        <v>5.2</v>
      </c>
      <c r="F349">
        <v>6</v>
      </c>
    </row>
    <row r="350" spans="1:6" x14ac:dyDescent="0.3">
      <c r="A350" t="s">
        <v>471</v>
      </c>
      <c r="B350" t="s">
        <v>140</v>
      </c>
      <c r="C350" t="s">
        <v>6</v>
      </c>
      <c r="D350">
        <v>1177859</v>
      </c>
      <c r="E350">
        <v>11.1</v>
      </c>
      <c r="F350">
        <v>4.8499999999999996</v>
      </c>
    </row>
    <row r="351" spans="1:6" x14ac:dyDescent="0.3">
      <c r="A351" t="s">
        <v>472</v>
      </c>
      <c r="B351" t="s">
        <v>463</v>
      </c>
      <c r="C351" t="s">
        <v>473</v>
      </c>
      <c r="D351">
        <v>1178834</v>
      </c>
      <c r="E351">
        <v>2.77</v>
      </c>
      <c r="F351">
        <v>5.03</v>
      </c>
    </row>
    <row r="352" spans="1:6" x14ac:dyDescent="0.3">
      <c r="A352" t="s">
        <v>474</v>
      </c>
      <c r="B352" t="s">
        <v>475</v>
      </c>
      <c r="C352" t="s">
        <v>28</v>
      </c>
      <c r="D352">
        <v>1184402</v>
      </c>
      <c r="E352">
        <v>4.43</v>
      </c>
      <c r="F352">
        <v>5.48</v>
      </c>
    </row>
    <row r="353" spans="1:6" x14ac:dyDescent="0.3">
      <c r="A353" t="s">
        <v>476</v>
      </c>
      <c r="B353" t="s">
        <v>463</v>
      </c>
      <c r="C353" t="s">
        <v>65</v>
      </c>
      <c r="D353">
        <v>1193581</v>
      </c>
      <c r="E353">
        <v>4.09</v>
      </c>
      <c r="F353">
        <v>5.43</v>
      </c>
    </row>
    <row r="354" spans="1:6" x14ac:dyDescent="0.3">
      <c r="A354" t="s">
        <v>477</v>
      </c>
      <c r="B354" t="s">
        <v>478</v>
      </c>
      <c r="C354" t="s">
        <v>479</v>
      </c>
      <c r="D354">
        <v>1196687</v>
      </c>
      <c r="E354">
        <v>3.59</v>
      </c>
      <c r="F354">
        <v>5.63</v>
      </c>
    </row>
    <row r="355" spans="1:6" x14ac:dyDescent="0.3">
      <c r="A355" t="s">
        <v>480</v>
      </c>
      <c r="B355" t="s">
        <v>399</v>
      </c>
      <c r="C355" t="s">
        <v>6</v>
      </c>
      <c r="D355">
        <v>1199226</v>
      </c>
      <c r="E355">
        <v>3.7</v>
      </c>
      <c r="F355">
        <v>5.28</v>
      </c>
    </row>
    <row r="356" spans="1:6" x14ac:dyDescent="0.3">
      <c r="A356" t="s">
        <v>481</v>
      </c>
      <c r="B356" t="s">
        <v>412</v>
      </c>
      <c r="C356" t="s">
        <v>12</v>
      </c>
      <c r="D356">
        <v>1200831</v>
      </c>
      <c r="E356">
        <v>7.87</v>
      </c>
      <c r="F356">
        <v>5.2</v>
      </c>
    </row>
    <row r="357" spans="1:6" x14ac:dyDescent="0.3">
      <c r="A357" t="s">
        <v>482</v>
      </c>
      <c r="B357" t="s">
        <v>192</v>
      </c>
      <c r="C357" t="s">
        <v>65</v>
      </c>
      <c r="D357">
        <v>1233956</v>
      </c>
      <c r="E357">
        <v>1.75</v>
      </c>
      <c r="F357">
        <v>6.34</v>
      </c>
    </row>
    <row r="358" spans="1:6" x14ac:dyDescent="0.3">
      <c r="A358" t="s">
        <v>483</v>
      </c>
      <c r="B358" t="s">
        <v>412</v>
      </c>
      <c r="C358" t="s">
        <v>6</v>
      </c>
      <c r="D358">
        <v>1250634</v>
      </c>
      <c r="E358">
        <v>5.22</v>
      </c>
      <c r="F358">
        <v>5.63</v>
      </c>
    </row>
    <row r="359" spans="1:6" x14ac:dyDescent="0.3">
      <c r="A359" t="s">
        <v>484</v>
      </c>
      <c r="B359" t="s">
        <v>177</v>
      </c>
      <c r="C359" t="s">
        <v>379</v>
      </c>
      <c r="D359">
        <v>1253759</v>
      </c>
      <c r="E359">
        <v>1.06</v>
      </c>
      <c r="F359">
        <v>5.7</v>
      </c>
    </row>
    <row r="360" spans="1:6" x14ac:dyDescent="0.3">
      <c r="A360" t="s">
        <v>485</v>
      </c>
      <c r="B360" t="s">
        <v>14</v>
      </c>
      <c r="C360" t="s">
        <v>6</v>
      </c>
      <c r="D360">
        <v>1257245</v>
      </c>
      <c r="E360">
        <v>5.56</v>
      </c>
      <c r="F360">
        <v>3.67</v>
      </c>
    </row>
    <row r="361" spans="1:6" x14ac:dyDescent="0.3">
      <c r="A361" t="s">
        <v>486</v>
      </c>
      <c r="B361" t="s">
        <v>177</v>
      </c>
      <c r="C361" t="s">
        <v>65</v>
      </c>
      <c r="D361">
        <v>1266557</v>
      </c>
      <c r="E361">
        <v>1.04</v>
      </c>
      <c r="F361">
        <v>5.28</v>
      </c>
    </row>
    <row r="362" spans="1:6" x14ac:dyDescent="0.3">
      <c r="A362" t="s">
        <v>487</v>
      </c>
      <c r="B362" t="s">
        <v>414</v>
      </c>
      <c r="C362" t="s">
        <v>23</v>
      </c>
      <c r="D362">
        <v>1271318</v>
      </c>
      <c r="E362">
        <v>2.78</v>
      </c>
      <c r="F362">
        <v>5.67</v>
      </c>
    </row>
    <row r="363" spans="1:6" x14ac:dyDescent="0.3">
      <c r="A363" t="s">
        <v>488</v>
      </c>
      <c r="B363" t="s">
        <v>361</v>
      </c>
      <c r="C363" t="s">
        <v>121</v>
      </c>
      <c r="D363">
        <v>1279296</v>
      </c>
      <c r="E363">
        <v>6.52</v>
      </c>
      <c r="F363">
        <v>5.38</v>
      </c>
    </row>
    <row r="364" spans="1:6" x14ac:dyDescent="0.3">
      <c r="A364" t="s">
        <v>489</v>
      </c>
      <c r="B364" t="s">
        <v>463</v>
      </c>
      <c r="C364" t="s">
        <v>25</v>
      </c>
      <c r="D364">
        <v>1285881</v>
      </c>
      <c r="E364">
        <v>3.06</v>
      </c>
      <c r="F364">
        <v>4.92</v>
      </c>
    </row>
    <row r="365" spans="1:6" x14ac:dyDescent="0.3">
      <c r="A365" t="s">
        <v>490</v>
      </c>
      <c r="B365" t="s">
        <v>412</v>
      </c>
      <c r="C365" t="s">
        <v>28</v>
      </c>
      <c r="D365">
        <v>1287725</v>
      </c>
      <c r="E365">
        <v>4.4400000000000004</v>
      </c>
      <c r="F365">
        <v>6.08</v>
      </c>
    </row>
    <row r="366" spans="1:6" x14ac:dyDescent="0.3">
      <c r="A366" t="s">
        <v>491</v>
      </c>
      <c r="B366" t="s">
        <v>218</v>
      </c>
      <c r="C366" t="s">
        <v>6</v>
      </c>
      <c r="D366">
        <v>1299298</v>
      </c>
      <c r="E366">
        <v>13.76</v>
      </c>
      <c r="F366">
        <v>4.95</v>
      </c>
    </row>
    <row r="367" spans="1:6" x14ac:dyDescent="0.3">
      <c r="A367" t="s">
        <v>492</v>
      </c>
      <c r="B367" t="s">
        <v>390</v>
      </c>
      <c r="C367" t="s">
        <v>25</v>
      </c>
      <c r="D367">
        <v>1299335</v>
      </c>
      <c r="E367">
        <v>2.5499999999999998</v>
      </c>
      <c r="F367">
        <v>5.52</v>
      </c>
    </row>
    <row r="368" spans="1:6" x14ac:dyDescent="0.3">
      <c r="A368" t="s">
        <v>493</v>
      </c>
      <c r="B368" t="s">
        <v>419</v>
      </c>
      <c r="C368" t="s">
        <v>6</v>
      </c>
      <c r="D368">
        <v>1303124</v>
      </c>
      <c r="E368">
        <v>4.5199999999999996</v>
      </c>
      <c r="F368">
        <v>6.82</v>
      </c>
    </row>
    <row r="369" spans="1:6" x14ac:dyDescent="0.3">
      <c r="A369" t="s">
        <v>494</v>
      </c>
      <c r="B369" t="s">
        <v>495</v>
      </c>
      <c r="C369" t="s">
        <v>36</v>
      </c>
      <c r="D369">
        <v>1310467</v>
      </c>
      <c r="E369">
        <v>10.58</v>
      </c>
      <c r="F369">
        <v>3.73</v>
      </c>
    </row>
    <row r="370" spans="1:6" x14ac:dyDescent="0.3">
      <c r="A370" t="s">
        <v>496</v>
      </c>
      <c r="B370" t="s">
        <v>98</v>
      </c>
      <c r="C370" t="s">
        <v>36</v>
      </c>
      <c r="D370">
        <v>1310775</v>
      </c>
      <c r="E370">
        <v>5.9</v>
      </c>
      <c r="F370">
        <v>6.44</v>
      </c>
    </row>
    <row r="371" spans="1:6" x14ac:dyDescent="0.3">
      <c r="A371" t="s">
        <v>497</v>
      </c>
      <c r="B371" t="s">
        <v>14</v>
      </c>
      <c r="C371" t="s">
        <v>121</v>
      </c>
      <c r="D371">
        <v>1313097</v>
      </c>
      <c r="E371">
        <v>1.0900000000000001</v>
      </c>
      <c r="F371">
        <v>5.28</v>
      </c>
    </row>
    <row r="372" spans="1:6" x14ac:dyDescent="0.3">
      <c r="A372" t="s">
        <v>498</v>
      </c>
      <c r="B372" t="s">
        <v>192</v>
      </c>
      <c r="C372" t="s">
        <v>6</v>
      </c>
      <c r="D372">
        <v>1326086</v>
      </c>
      <c r="E372">
        <v>4.01</v>
      </c>
      <c r="F372">
        <v>4.6900000000000004</v>
      </c>
    </row>
    <row r="373" spans="1:6" x14ac:dyDescent="0.3">
      <c r="A373" t="s">
        <v>499</v>
      </c>
      <c r="B373" t="s">
        <v>412</v>
      </c>
      <c r="C373" t="s">
        <v>39</v>
      </c>
      <c r="D373">
        <v>1329149</v>
      </c>
      <c r="E373">
        <v>5.45</v>
      </c>
      <c r="F373">
        <v>5.4</v>
      </c>
    </row>
    <row r="374" spans="1:6" x14ac:dyDescent="0.3">
      <c r="A374" t="s">
        <v>500</v>
      </c>
      <c r="B374" t="s">
        <v>177</v>
      </c>
      <c r="C374" t="s">
        <v>20</v>
      </c>
      <c r="D374">
        <v>1343862</v>
      </c>
      <c r="E374">
        <v>1.76</v>
      </c>
      <c r="F374">
        <v>6.06</v>
      </c>
    </row>
    <row r="375" spans="1:6" x14ac:dyDescent="0.3">
      <c r="A375" t="s">
        <v>501</v>
      </c>
      <c r="B375" t="s">
        <v>414</v>
      </c>
      <c r="C375" t="s">
        <v>6</v>
      </c>
      <c r="D375">
        <v>1345944</v>
      </c>
      <c r="E375">
        <v>4.1900000000000004</v>
      </c>
      <c r="F375">
        <v>4.5599999999999996</v>
      </c>
    </row>
    <row r="376" spans="1:6" x14ac:dyDescent="0.3">
      <c r="A376" t="s">
        <v>502</v>
      </c>
      <c r="B376" t="s">
        <v>14</v>
      </c>
      <c r="C376" t="s">
        <v>6</v>
      </c>
      <c r="D376">
        <v>1347537</v>
      </c>
      <c r="E376">
        <v>2.69</v>
      </c>
      <c r="F376">
        <v>5.6</v>
      </c>
    </row>
    <row r="377" spans="1:6" x14ac:dyDescent="0.3">
      <c r="A377" t="s">
        <v>503</v>
      </c>
      <c r="B377" t="s">
        <v>504</v>
      </c>
      <c r="C377" t="s">
        <v>505</v>
      </c>
      <c r="D377">
        <v>1360404</v>
      </c>
      <c r="E377">
        <v>2.75</v>
      </c>
      <c r="F377">
        <v>5.75</v>
      </c>
    </row>
    <row r="378" spans="1:6" x14ac:dyDescent="0.3">
      <c r="A378" t="s">
        <v>506</v>
      </c>
      <c r="B378" t="s">
        <v>412</v>
      </c>
      <c r="C378" t="s">
        <v>121</v>
      </c>
      <c r="D378">
        <v>1386230</v>
      </c>
      <c r="E378">
        <v>3.9</v>
      </c>
      <c r="F378">
        <v>4</v>
      </c>
    </row>
    <row r="379" spans="1:6" x14ac:dyDescent="0.3">
      <c r="A379" t="s">
        <v>507</v>
      </c>
      <c r="B379" t="s">
        <v>22</v>
      </c>
      <c r="C379" t="s">
        <v>379</v>
      </c>
      <c r="D379">
        <v>1390267</v>
      </c>
      <c r="E379">
        <v>6.76</v>
      </c>
      <c r="F379">
        <v>6.33</v>
      </c>
    </row>
    <row r="380" spans="1:6" x14ac:dyDescent="0.3">
      <c r="A380" t="s">
        <v>508</v>
      </c>
      <c r="B380" t="s">
        <v>509</v>
      </c>
      <c r="C380" t="s">
        <v>6</v>
      </c>
      <c r="D380">
        <v>1397498</v>
      </c>
      <c r="E380">
        <v>2.38</v>
      </c>
      <c r="F380">
        <v>4.78</v>
      </c>
    </row>
    <row r="381" spans="1:6" x14ac:dyDescent="0.3">
      <c r="A381" t="s">
        <v>510</v>
      </c>
      <c r="B381" t="s">
        <v>44</v>
      </c>
      <c r="C381" t="s">
        <v>36</v>
      </c>
      <c r="D381">
        <v>1408567</v>
      </c>
      <c r="E381">
        <v>6.05</v>
      </c>
      <c r="F381">
        <v>6.39</v>
      </c>
    </row>
    <row r="382" spans="1:6" x14ac:dyDescent="0.3">
      <c r="A382" t="s">
        <v>511</v>
      </c>
      <c r="B382" t="s">
        <v>414</v>
      </c>
      <c r="C382" t="s">
        <v>39</v>
      </c>
      <c r="D382">
        <v>1412727</v>
      </c>
      <c r="E382">
        <v>4.7300000000000004</v>
      </c>
      <c r="F382">
        <v>5.88</v>
      </c>
    </row>
    <row r="383" spans="1:6" x14ac:dyDescent="0.3">
      <c r="A383" t="s">
        <v>512</v>
      </c>
      <c r="B383" t="s">
        <v>513</v>
      </c>
      <c r="C383" t="s">
        <v>379</v>
      </c>
      <c r="D383">
        <v>1424106</v>
      </c>
      <c r="E383">
        <v>1.71</v>
      </c>
      <c r="F383">
        <v>6.33</v>
      </c>
    </row>
    <row r="384" spans="1:6" x14ac:dyDescent="0.3">
      <c r="A384" t="s">
        <v>514</v>
      </c>
      <c r="B384" t="s">
        <v>515</v>
      </c>
      <c r="C384" t="s">
        <v>36</v>
      </c>
      <c r="D384">
        <v>1433985</v>
      </c>
      <c r="E384">
        <v>13.93</v>
      </c>
      <c r="F384">
        <v>5.43</v>
      </c>
    </row>
    <row r="385" spans="1:6" x14ac:dyDescent="0.3">
      <c r="A385" t="s">
        <v>516</v>
      </c>
      <c r="B385" t="s">
        <v>517</v>
      </c>
      <c r="C385" t="s">
        <v>121</v>
      </c>
      <c r="D385">
        <v>1446831</v>
      </c>
      <c r="E385">
        <v>1.8</v>
      </c>
      <c r="F385">
        <v>5.71</v>
      </c>
    </row>
    <row r="386" spans="1:6" x14ac:dyDescent="0.3">
      <c r="A386" t="s">
        <v>518</v>
      </c>
      <c r="B386" t="s">
        <v>463</v>
      </c>
      <c r="C386" t="s">
        <v>36</v>
      </c>
      <c r="D386">
        <v>1456559</v>
      </c>
      <c r="E386">
        <v>3.67</v>
      </c>
      <c r="F386">
        <v>5.75</v>
      </c>
    </row>
    <row r="387" spans="1:6" x14ac:dyDescent="0.3">
      <c r="A387" t="s">
        <v>519</v>
      </c>
      <c r="B387" t="s">
        <v>520</v>
      </c>
      <c r="C387" t="s">
        <v>6</v>
      </c>
      <c r="D387">
        <v>1459700</v>
      </c>
      <c r="E387">
        <v>8.2899999999999991</v>
      </c>
      <c r="F387">
        <v>5.67</v>
      </c>
    </row>
    <row r="388" spans="1:6" x14ac:dyDescent="0.3">
      <c r="A388" t="s">
        <v>521</v>
      </c>
      <c r="B388" t="s">
        <v>399</v>
      </c>
      <c r="C388" t="s">
        <v>12</v>
      </c>
      <c r="D388">
        <v>1468106</v>
      </c>
      <c r="E388">
        <v>6.23</v>
      </c>
      <c r="F388">
        <v>6</v>
      </c>
    </row>
    <row r="389" spans="1:6" x14ac:dyDescent="0.3">
      <c r="A389" t="s">
        <v>522</v>
      </c>
      <c r="B389" t="s">
        <v>523</v>
      </c>
      <c r="C389" t="s">
        <v>36</v>
      </c>
      <c r="D389">
        <v>1471422</v>
      </c>
      <c r="E389">
        <v>5.9</v>
      </c>
      <c r="F389">
        <v>6.78</v>
      </c>
    </row>
    <row r="390" spans="1:6" x14ac:dyDescent="0.3">
      <c r="A390" t="s">
        <v>524</v>
      </c>
      <c r="B390" t="s">
        <v>177</v>
      </c>
      <c r="C390" t="s">
        <v>36</v>
      </c>
      <c r="D390">
        <v>1474319</v>
      </c>
      <c r="E390">
        <v>2.2000000000000002</v>
      </c>
      <c r="F390">
        <v>5.28</v>
      </c>
    </row>
    <row r="391" spans="1:6" x14ac:dyDescent="0.3">
      <c r="A391" t="s">
        <v>525</v>
      </c>
      <c r="B391" t="s">
        <v>14</v>
      </c>
      <c r="C391" t="s">
        <v>6</v>
      </c>
      <c r="D391">
        <v>1480690</v>
      </c>
      <c r="E391">
        <v>6.87</v>
      </c>
      <c r="F391">
        <v>6.44</v>
      </c>
    </row>
    <row r="392" spans="1:6" x14ac:dyDescent="0.3">
      <c r="A392" t="s">
        <v>526</v>
      </c>
      <c r="B392" t="s">
        <v>414</v>
      </c>
      <c r="C392" t="s">
        <v>227</v>
      </c>
      <c r="D392">
        <v>1485305</v>
      </c>
      <c r="E392">
        <v>1.01</v>
      </c>
      <c r="F392">
        <v>5.68</v>
      </c>
    </row>
    <row r="393" spans="1:6" x14ac:dyDescent="0.3">
      <c r="A393" t="s">
        <v>527</v>
      </c>
      <c r="B393" t="s">
        <v>412</v>
      </c>
      <c r="C393" t="s">
        <v>89</v>
      </c>
      <c r="D393">
        <v>1506652</v>
      </c>
      <c r="E393">
        <v>7.31</v>
      </c>
      <c r="F393">
        <v>5</v>
      </c>
    </row>
    <row r="394" spans="1:6" x14ac:dyDescent="0.3">
      <c r="A394" t="s">
        <v>528</v>
      </c>
      <c r="B394" t="s">
        <v>192</v>
      </c>
      <c r="C394" t="s">
        <v>36</v>
      </c>
      <c r="D394">
        <v>1520197</v>
      </c>
      <c r="E394">
        <v>4.18</v>
      </c>
      <c r="F394">
        <v>5.33</v>
      </c>
    </row>
    <row r="395" spans="1:6" x14ac:dyDescent="0.3">
      <c r="A395" t="s">
        <v>529</v>
      </c>
      <c r="B395" t="s">
        <v>399</v>
      </c>
      <c r="C395" t="s">
        <v>121</v>
      </c>
      <c r="D395">
        <v>1529740</v>
      </c>
      <c r="E395">
        <v>5.77</v>
      </c>
      <c r="F395">
        <v>5.88</v>
      </c>
    </row>
    <row r="396" spans="1:6" x14ac:dyDescent="0.3">
      <c r="A396" t="s">
        <v>530</v>
      </c>
      <c r="B396" t="s">
        <v>523</v>
      </c>
      <c r="C396" t="s">
        <v>6</v>
      </c>
      <c r="D396">
        <v>1536895</v>
      </c>
      <c r="E396">
        <v>5.27</v>
      </c>
      <c r="F396">
        <v>4.7300000000000004</v>
      </c>
    </row>
    <row r="397" spans="1:6" x14ac:dyDescent="0.3">
      <c r="A397" t="s">
        <v>531</v>
      </c>
      <c r="B397" t="s">
        <v>532</v>
      </c>
      <c r="C397" t="s">
        <v>121</v>
      </c>
      <c r="D397">
        <v>1553504</v>
      </c>
      <c r="E397">
        <v>9.1</v>
      </c>
      <c r="F397">
        <v>6.09</v>
      </c>
    </row>
    <row r="398" spans="1:6" x14ac:dyDescent="0.3">
      <c r="A398" t="s">
        <v>533</v>
      </c>
      <c r="B398" t="s">
        <v>131</v>
      </c>
      <c r="C398" t="s">
        <v>65</v>
      </c>
      <c r="D398">
        <v>1567615</v>
      </c>
      <c r="E398">
        <v>5.04</v>
      </c>
      <c r="F398">
        <v>4.6500000000000004</v>
      </c>
    </row>
    <row r="399" spans="1:6" x14ac:dyDescent="0.3">
      <c r="A399" t="s">
        <v>534</v>
      </c>
      <c r="B399" t="s">
        <v>412</v>
      </c>
      <c r="C399" t="s">
        <v>12</v>
      </c>
      <c r="D399">
        <v>1576350</v>
      </c>
      <c r="E399">
        <v>6.57</v>
      </c>
      <c r="F399">
        <v>5.08</v>
      </c>
    </row>
    <row r="400" spans="1:6" x14ac:dyDescent="0.3">
      <c r="A400" t="s">
        <v>535</v>
      </c>
      <c r="B400" t="s">
        <v>14</v>
      </c>
      <c r="C400" t="s">
        <v>6</v>
      </c>
      <c r="D400">
        <v>1583789</v>
      </c>
      <c r="E400">
        <v>8</v>
      </c>
      <c r="F400">
        <v>6.78</v>
      </c>
    </row>
    <row r="401" spans="1:6" x14ac:dyDescent="0.3">
      <c r="A401" t="s">
        <v>536</v>
      </c>
      <c r="B401" t="s">
        <v>44</v>
      </c>
      <c r="C401" t="s">
        <v>121</v>
      </c>
      <c r="D401">
        <v>1585924</v>
      </c>
      <c r="E401">
        <v>3.82</v>
      </c>
      <c r="F401">
        <v>5</v>
      </c>
    </row>
    <row r="402" spans="1:6" x14ac:dyDescent="0.3">
      <c r="A402" t="s">
        <v>537</v>
      </c>
      <c r="B402" t="s">
        <v>14</v>
      </c>
      <c r="C402" t="s">
        <v>20</v>
      </c>
      <c r="D402">
        <v>1590256</v>
      </c>
      <c r="E402">
        <v>3.3</v>
      </c>
      <c r="F402">
        <v>5.33</v>
      </c>
    </row>
    <row r="403" spans="1:6" x14ac:dyDescent="0.3">
      <c r="A403" t="s">
        <v>538</v>
      </c>
      <c r="B403" t="s">
        <v>414</v>
      </c>
      <c r="C403" t="s">
        <v>65</v>
      </c>
      <c r="D403">
        <v>1590379</v>
      </c>
      <c r="E403">
        <v>2.88</v>
      </c>
      <c r="F403">
        <v>5.29</v>
      </c>
    </row>
    <row r="404" spans="1:6" x14ac:dyDescent="0.3">
      <c r="A404" t="s">
        <v>539</v>
      </c>
      <c r="B404" t="s">
        <v>540</v>
      </c>
      <c r="C404" t="s">
        <v>379</v>
      </c>
      <c r="D404">
        <v>1590981</v>
      </c>
      <c r="E404">
        <v>5.93</v>
      </c>
      <c r="F404">
        <v>5.92</v>
      </c>
    </row>
    <row r="405" spans="1:6" x14ac:dyDescent="0.3">
      <c r="A405" t="s">
        <v>541</v>
      </c>
      <c r="B405" t="s">
        <v>14</v>
      </c>
      <c r="C405" t="s">
        <v>379</v>
      </c>
      <c r="D405">
        <v>1596738</v>
      </c>
      <c r="E405">
        <v>7.8</v>
      </c>
      <c r="F405">
        <v>6</v>
      </c>
    </row>
    <row r="406" spans="1:6" x14ac:dyDescent="0.3">
      <c r="A406" t="s">
        <v>542</v>
      </c>
      <c r="B406" t="s">
        <v>412</v>
      </c>
      <c r="C406" t="s">
        <v>63</v>
      </c>
      <c r="D406">
        <v>1602632</v>
      </c>
      <c r="E406">
        <v>5.93</v>
      </c>
      <c r="F406">
        <v>5.58</v>
      </c>
    </row>
    <row r="407" spans="1:6" x14ac:dyDescent="0.3">
      <c r="A407" t="s">
        <v>543</v>
      </c>
      <c r="B407" t="s">
        <v>361</v>
      </c>
      <c r="C407" t="s">
        <v>6</v>
      </c>
      <c r="D407">
        <v>1616126</v>
      </c>
      <c r="E407">
        <v>3.24</v>
      </c>
      <c r="F407">
        <v>4.6900000000000004</v>
      </c>
    </row>
    <row r="408" spans="1:6" x14ac:dyDescent="0.3">
      <c r="A408" t="s">
        <v>544</v>
      </c>
      <c r="B408" t="s">
        <v>14</v>
      </c>
      <c r="C408" t="s">
        <v>6</v>
      </c>
      <c r="D408">
        <v>1643122</v>
      </c>
      <c r="E408">
        <v>6.21</v>
      </c>
      <c r="F408">
        <v>5.62</v>
      </c>
    </row>
    <row r="409" spans="1:6" x14ac:dyDescent="0.3">
      <c r="A409" t="s">
        <v>545</v>
      </c>
      <c r="B409" t="s">
        <v>412</v>
      </c>
      <c r="C409" t="s">
        <v>505</v>
      </c>
      <c r="D409">
        <v>1650666</v>
      </c>
      <c r="E409">
        <v>3.88</v>
      </c>
      <c r="F409">
        <v>3.85</v>
      </c>
    </row>
    <row r="410" spans="1:6" x14ac:dyDescent="0.3">
      <c r="A410" t="s">
        <v>546</v>
      </c>
      <c r="B410" t="s">
        <v>14</v>
      </c>
      <c r="C410" t="s">
        <v>39</v>
      </c>
      <c r="D410">
        <v>1655600</v>
      </c>
      <c r="E410">
        <v>2.2200000000000002</v>
      </c>
      <c r="F410">
        <v>5.41</v>
      </c>
    </row>
    <row r="411" spans="1:6" x14ac:dyDescent="0.3">
      <c r="A411" t="s">
        <v>547</v>
      </c>
      <c r="B411" t="s">
        <v>548</v>
      </c>
      <c r="C411" t="s">
        <v>6</v>
      </c>
      <c r="D411">
        <v>1663793</v>
      </c>
      <c r="E411">
        <v>6.63</v>
      </c>
      <c r="F411">
        <v>6</v>
      </c>
    </row>
    <row r="412" spans="1:6" x14ac:dyDescent="0.3">
      <c r="A412" t="s">
        <v>549</v>
      </c>
      <c r="B412" t="s">
        <v>399</v>
      </c>
      <c r="C412" t="s">
        <v>505</v>
      </c>
      <c r="D412">
        <v>1664297</v>
      </c>
      <c r="E412">
        <v>6.13</v>
      </c>
      <c r="F412">
        <v>5.53</v>
      </c>
    </row>
    <row r="413" spans="1:6" x14ac:dyDescent="0.3">
      <c r="A413" t="s">
        <v>550</v>
      </c>
      <c r="B413" t="s">
        <v>463</v>
      </c>
      <c r="C413" t="s">
        <v>65</v>
      </c>
      <c r="D413">
        <v>1668221</v>
      </c>
      <c r="E413">
        <v>6.75</v>
      </c>
      <c r="F413">
        <v>5.83</v>
      </c>
    </row>
    <row r="414" spans="1:6" x14ac:dyDescent="0.3">
      <c r="A414" t="s">
        <v>551</v>
      </c>
      <c r="B414" t="s">
        <v>27</v>
      </c>
      <c r="C414" t="s">
        <v>6</v>
      </c>
      <c r="D414">
        <v>1668421</v>
      </c>
      <c r="E414">
        <v>2.76</v>
      </c>
      <c r="F414">
        <v>6.32</v>
      </c>
    </row>
    <row r="415" spans="1:6" x14ac:dyDescent="0.3">
      <c r="A415" t="s">
        <v>552</v>
      </c>
      <c r="B415" t="s">
        <v>553</v>
      </c>
      <c r="C415" t="s">
        <v>25</v>
      </c>
      <c r="D415">
        <v>1669203</v>
      </c>
      <c r="E415">
        <v>6.89</v>
      </c>
      <c r="F415">
        <v>6</v>
      </c>
    </row>
    <row r="416" spans="1:6" x14ac:dyDescent="0.3">
      <c r="A416" t="s">
        <v>554</v>
      </c>
      <c r="B416" t="s">
        <v>325</v>
      </c>
      <c r="C416" t="s">
        <v>12</v>
      </c>
      <c r="D416">
        <v>1670841</v>
      </c>
      <c r="E416">
        <v>10</v>
      </c>
      <c r="F416">
        <v>5.38</v>
      </c>
    </row>
    <row r="417" spans="1:6" x14ac:dyDescent="0.3">
      <c r="A417" t="s">
        <v>555</v>
      </c>
      <c r="B417" t="s">
        <v>218</v>
      </c>
      <c r="C417" t="s">
        <v>505</v>
      </c>
      <c r="D417">
        <v>1698428</v>
      </c>
      <c r="E417">
        <v>7.73</v>
      </c>
      <c r="F417">
        <v>6.02</v>
      </c>
    </row>
    <row r="418" spans="1:6" x14ac:dyDescent="0.3">
      <c r="A418" t="s">
        <v>556</v>
      </c>
      <c r="B418" t="s">
        <v>523</v>
      </c>
      <c r="C418" t="s">
        <v>505</v>
      </c>
      <c r="D418">
        <v>1703546</v>
      </c>
      <c r="E418">
        <v>6.2</v>
      </c>
      <c r="F418">
        <v>5.48</v>
      </c>
    </row>
    <row r="419" spans="1:6" x14ac:dyDescent="0.3">
      <c r="A419" t="s">
        <v>557</v>
      </c>
      <c r="B419" t="s">
        <v>558</v>
      </c>
      <c r="C419" t="s">
        <v>559</v>
      </c>
      <c r="D419">
        <v>1710761</v>
      </c>
      <c r="E419">
        <v>10.33</v>
      </c>
      <c r="F419">
        <v>6.39</v>
      </c>
    </row>
    <row r="420" spans="1:6" x14ac:dyDescent="0.3">
      <c r="A420" t="s">
        <v>560</v>
      </c>
      <c r="B420" t="s">
        <v>561</v>
      </c>
      <c r="C420" t="s">
        <v>505</v>
      </c>
      <c r="D420">
        <v>1717018</v>
      </c>
      <c r="E420">
        <v>7.26</v>
      </c>
      <c r="F420">
        <v>4.8600000000000003</v>
      </c>
    </row>
    <row r="421" spans="1:6" x14ac:dyDescent="0.3">
      <c r="A421" t="s">
        <v>562</v>
      </c>
      <c r="B421" t="s">
        <v>520</v>
      </c>
      <c r="C421" t="s">
        <v>505</v>
      </c>
      <c r="D421">
        <v>1726016</v>
      </c>
      <c r="E421">
        <v>9.6</v>
      </c>
      <c r="F421">
        <v>5.4</v>
      </c>
    </row>
    <row r="422" spans="1:6" x14ac:dyDescent="0.3">
      <c r="A422" t="s">
        <v>563</v>
      </c>
      <c r="B422" t="s">
        <v>367</v>
      </c>
      <c r="C422" t="s">
        <v>12</v>
      </c>
      <c r="D422">
        <v>1732110</v>
      </c>
      <c r="E422">
        <v>3.97</v>
      </c>
      <c r="F422">
        <v>5.0599999999999996</v>
      </c>
    </row>
    <row r="423" spans="1:6" x14ac:dyDescent="0.3">
      <c r="A423" t="s">
        <v>564</v>
      </c>
      <c r="B423" t="s">
        <v>523</v>
      </c>
      <c r="C423" t="s">
        <v>89</v>
      </c>
      <c r="D423">
        <v>1765392</v>
      </c>
      <c r="E423">
        <v>5</v>
      </c>
      <c r="F423">
        <v>6.33</v>
      </c>
    </row>
    <row r="424" spans="1:6" x14ac:dyDescent="0.3">
      <c r="A424" t="s">
        <v>565</v>
      </c>
      <c r="B424" t="s">
        <v>445</v>
      </c>
      <c r="C424" t="s">
        <v>36</v>
      </c>
      <c r="D424">
        <v>1770706</v>
      </c>
      <c r="E424">
        <v>6.67</v>
      </c>
      <c r="F424">
        <v>6.24</v>
      </c>
    </row>
    <row r="425" spans="1:6" x14ac:dyDescent="0.3">
      <c r="A425" t="s">
        <v>566</v>
      </c>
      <c r="B425" t="s">
        <v>567</v>
      </c>
      <c r="C425" t="s">
        <v>12</v>
      </c>
      <c r="D425">
        <v>1774532</v>
      </c>
      <c r="E425">
        <v>6.22</v>
      </c>
      <c r="F425">
        <v>6.71</v>
      </c>
    </row>
    <row r="426" spans="1:6" x14ac:dyDescent="0.3">
      <c r="A426" t="s">
        <v>568</v>
      </c>
      <c r="B426" t="s">
        <v>569</v>
      </c>
      <c r="C426" t="s">
        <v>505</v>
      </c>
      <c r="D426">
        <v>1777003</v>
      </c>
      <c r="E426">
        <v>11.71</v>
      </c>
      <c r="F426">
        <v>6.43</v>
      </c>
    </row>
    <row r="427" spans="1:6" x14ac:dyDescent="0.3">
      <c r="A427" t="s">
        <v>570</v>
      </c>
      <c r="B427" t="s">
        <v>190</v>
      </c>
      <c r="C427" t="s">
        <v>6</v>
      </c>
      <c r="D427">
        <v>1777565</v>
      </c>
      <c r="E427">
        <v>2.92</v>
      </c>
      <c r="F427">
        <v>5.82</v>
      </c>
    </row>
    <row r="428" spans="1:6" x14ac:dyDescent="0.3">
      <c r="A428" t="s">
        <v>571</v>
      </c>
      <c r="B428" t="s">
        <v>14</v>
      </c>
      <c r="C428" t="s">
        <v>505</v>
      </c>
      <c r="D428">
        <v>1780986</v>
      </c>
      <c r="E428">
        <v>9.92</v>
      </c>
      <c r="F428">
        <v>5.36</v>
      </c>
    </row>
    <row r="429" spans="1:6" x14ac:dyDescent="0.3">
      <c r="A429" t="s">
        <v>572</v>
      </c>
      <c r="B429" t="s">
        <v>573</v>
      </c>
      <c r="C429" t="s">
        <v>505</v>
      </c>
      <c r="D429">
        <v>1786878</v>
      </c>
      <c r="E429">
        <v>12.47</v>
      </c>
      <c r="F429">
        <v>6.94</v>
      </c>
    </row>
    <row r="430" spans="1:6" x14ac:dyDescent="0.3">
      <c r="A430" t="s">
        <v>574</v>
      </c>
      <c r="B430" t="s">
        <v>463</v>
      </c>
      <c r="C430" t="s">
        <v>25</v>
      </c>
      <c r="D430">
        <v>1797035</v>
      </c>
      <c r="E430">
        <v>3.72</v>
      </c>
      <c r="F430">
        <v>4.29</v>
      </c>
    </row>
    <row r="431" spans="1:6" x14ac:dyDescent="0.3">
      <c r="A431" t="s">
        <v>575</v>
      </c>
      <c r="B431" t="s">
        <v>192</v>
      </c>
      <c r="C431" t="s">
        <v>6</v>
      </c>
      <c r="D431">
        <v>1803516</v>
      </c>
      <c r="E431">
        <v>3.04</v>
      </c>
      <c r="F431">
        <v>5.7</v>
      </c>
    </row>
    <row r="432" spans="1:6" x14ac:dyDescent="0.3">
      <c r="A432" t="s">
        <v>576</v>
      </c>
      <c r="B432" t="s">
        <v>414</v>
      </c>
      <c r="C432" t="s">
        <v>505</v>
      </c>
      <c r="D432">
        <v>1803709</v>
      </c>
      <c r="E432">
        <v>3.75</v>
      </c>
      <c r="F432">
        <v>6.63</v>
      </c>
    </row>
    <row r="433" spans="1:6" x14ac:dyDescent="0.3">
      <c r="A433" t="s">
        <v>577</v>
      </c>
      <c r="B433" t="s">
        <v>333</v>
      </c>
      <c r="C433" t="s">
        <v>12</v>
      </c>
      <c r="D433">
        <v>1803901</v>
      </c>
      <c r="E433">
        <v>12.01</v>
      </c>
      <c r="F433">
        <v>5.38</v>
      </c>
    </row>
    <row r="434" spans="1:6" x14ac:dyDescent="0.3">
      <c r="A434" t="s">
        <v>578</v>
      </c>
      <c r="B434" t="s">
        <v>579</v>
      </c>
      <c r="C434" t="s">
        <v>65</v>
      </c>
      <c r="D434">
        <v>1811942</v>
      </c>
      <c r="E434">
        <v>7.56</v>
      </c>
      <c r="F434">
        <v>6</v>
      </c>
    </row>
    <row r="435" spans="1:6" x14ac:dyDescent="0.3">
      <c r="A435" t="s">
        <v>580</v>
      </c>
      <c r="B435" t="s">
        <v>14</v>
      </c>
      <c r="C435" t="s">
        <v>6</v>
      </c>
      <c r="D435">
        <v>1812239</v>
      </c>
      <c r="E435">
        <v>3.04</v>
      </c>
      <c r="F435">
        <v>6.23</v>
      </c>
    </row>
    <row r="436" spans="1:6" x14ac:dyDescent="0.3">
      <c r="A436" t="s">
        <v>581</v>
      </c>
      <c r="B436" t="s">
        <v>582</v>
      </c>
      <c r="C436" t="s">
        <v>28</v>
      </c>
      <c r="D436">
        <v>1817230</v>
      </c>
      <c r="E436">
        <v>4.97</v>
      </c>
      <c r="F436">
        <v>6.56</v>
      </c>
    </row>
    <row r="437" spans="1:6" x14ac:dyDescent="0.3">
      <c r="A437" t="s">
        <v>583</v>
      </c>
      <c r="B437" t="s">
        <v>414</v>
      </c>
      <c r="C437" t="s">
        <v>25</v>
      </c>
      <c r="D437">
        <v>1830507</v>
      </c>
      <c r="E437">
        <v>3.54</v>
      </c>
      <c r="F437">
        <v>6.2</v>
      </c>
    </row>
    <row r="438" spans="1:6" x14ac:dyDescent="0.3">
      <c r="A438" t="s">
        <v>584</v>
      </c>
      <c r="B438" t="s">
        <v>585</v>
      </c>
      <c r="C438" t="s">
        <v>505</v>
      </c>
      <c r="D438">
        <v>1839380</v>
      </c>
      <c r="E438">
        <v>9.9700000000000006</v>
      </c>
      <c r="F438">
        <v>4.83</v>
      </c>
    </row>
    <row r="439" spans="1:6" x14ac:dyDescent="0.3">
      <c r="A439" t="s">
        <v>586</v>
      </c>
      <c r="B439" t="s">
        <v>587</v>
      </c>
      <c r="C439" t="s">
        <v>379</v>
      </c>
      <c r="D439">
        <v>1841302</v>
      </c>
      <c r="E439">
        <v>4.71</v>
      </c>
      <c r="F439">
        <v>6</v>
      </c>
    </row>
    <row r="440" spans="1:6" x14ac:dyDescent="0.3">
      <c r="A440" t="s">
        <v>588</v>
      </c>
      <c r="B440" t="s">
        <v>523</v>
      </c>
      <c r="C440" t="s">
        <v>12</v>
      </c>
      <c r="D440">
        <v>1845233</v>
      </c>
      <c r="E440">
        <v>5</v>
      </c>
      <c r="F440">
        <v>6.4</v>
      </c>
    </row>
    <row r="441" spans="1:6" x14ac:dyDescent="0.3">
      <c r="A441" t="s">
        <v>589</v>
      </c>
      <c r="B441" t="s">
        <v>412</v>
      </c>
      <c r="C441" t="s">
        <v>6</v>
      </c>
      <c r="D441">
        <v>1846954</v>
      </c>
      <c r="E441">
        <v>5.0599999999999996</v>
      </c>
      <c r="F441">
        <v>6.05</v>
      </c>
    </row>
    <row r="442" spans="1:6" x14ac:dyDescent="0.3">
      <c r="A442" t="s">
        <v>590</v>
      </c>
      <c r="B442" t="s">
        <v>591</v>
      </c>
      <c r="C442" t="s">
        <v>36</v>
      </c>
      <c r="D442">
        <v>1864168</v>
      </c>
      <c r="E442">
        <v>11.43</v>
      </c>
      <c r="F442">
        <v>4.8899999999999997</v>
      </c>
    </row>
    <row r="443" spans="1:6" x14ac:dyDescent="0.3">
      <c r="A443" t="s">
        <v>592</v>
      </c>
      <c r="B443" t="s">
        <v>44</v>
      </c>
      <c r="C443" t="s">
        <v>593</v>
      </c>
      <c r="D443">
        <v>1871069</v>
      </c>
      <c r="E443">
        <v>6.94</v>
      </c>
      <c r="F443">
        <v>4.9800000000000004</v>
      </c>
    </row>
    <row r="444" spans="1:6" x14ac:dyDescent="0.3">
      <c r="A444" t="s">
        <v>594</v>
      </c>
      <c r="B444" t="s">
        <v>595</v>
      </c>
      <c r="C444" t="s">
        <v>12</v>
      </c>
      <c r="D444">
        <v>1871650</v>
      </c>
      <c r="E444">
        <v>6</v>
      </c>
      <c r="F444">
        <v>7.25</v>
      </c>
    </row>
    <row r="445" spans="1:6" x14ac:dyDescent="0.3">
      <c r="A445" t="s">
        <v>596</v>
      </c>
      <c r="B445" t="s">
        <v>513</v>
      </c>
      <c r="C445" t="s">
        <v>6</v>
      </c>
      <c r="D445">
        <v>1873809</v>
      </c>
      <c r="E445">
        <v>2.56</v>
      </c>
      <c r="F445">
        <v>5.97</v>
      </c>
    </row>
    <row r="446" spans="1:6" x14ac:dyDescent="0.3">
      <c r="A446" t="s">
        <v>597</v>
      </c>
      <c r="B446" t="s">
        <v>598</v>
      </c>
      <c r="C446" t="s">
        <v>20</v>
      </c>
      <c r="D446">
        <v>1879951</v>
      </c>
      <c r="E446">
        <v>7.49</v>
      </c>
      <c r="F446">
        <v>6.93</v>
      </c>
    </row>
    <row r="447" spans="1:6" x14ac:dyDescent="0.3">
      <c r="A447" t="s">
        <v>599</v>
      </c>
      <c r="B447" t="s">
        <v>600</v>
      </c>
      <c r="C447" t="s">
        <v>6</v>
      </c>
      <c r="D447">
        <v>1880278</v>
      </c>
      <c r="E447">
        <v>1.88</v>
      </c>
      <c r="F447">
        <v>5.81</v>
      </c>
    </row>
    <row r="448" spans="1:6" x14ac:dyDescent="0.3">
      <c r="A448" t="s">
        <v>601</v>
      </c>
      <c r="B448" t="s">
        <v>399</v>
      </c>
      <c r="C448" t="s">
        <v>379</v>
      </c>
      <c r="D448">
        <v>1884887</v>
      </c>
      <c r="E448">
        <v>7.32</v>
      </c>
      <c r="F448">
        <v>5.79</v>
      </c>
    </row>
    <row r="449" spans="1:6" x14ac:dyDescent="0.3">
      <c r="A449" t="s">
        <v>602</v>
      </c>
      <c r="B449" t="s">
        <v>603</v>
      </c>
      <c r="C449" t="s">
        <v>6</v>
      </c>
      <c r="D449">
        <v>1887760</v>
      </c>
      <c r="E449">
        <v>7.96</v>
      </c>
      <c r="F449">
        <v>4.68</v>
      </c>
    </row>
    <row r="450" spans="1:6" x14ac:dyDescent="0.3">
      <c r="A450" t="s">
        <v>604</v>
      </c>
      <c r="B450" t="s">
        <v>190</v>
      </c>
      <c r="C450" t="s">
        <v>379</v>
      </c>
      <c r="D450">
        <v>1891945</v>
      </c>
      <c r="E450">
        <v>4</v>
      </c>
      <c r="F450">
        <v>6.53</v>
      </c>
    </row>
    <row r="451" spans="1:6" x14ac:dyDescent="0.3">
      <c r="A451" t="s">
        <v>605</v>
      </c>
      <c r="B451" t="s">
        <v>567</v>
      </c>
      <c r="C451" t="s">
        <v>65</v>
      </c>
      <c r="D451">
        <v>1898361</v>
      </c>
      <c r="E451">
        <v>6.72</v>
      </c>
      <c r="F451">
        <v>5.86</v>
      </c>
    </row>
    <row r="452" spans="1:6" x14ac:dyDescent="0.3">
      <c r="A452" t="s">
        <v>606</v>
      </c>
      <c r="B452" t="s">
        <v>16</v>
      </c>
      <c r="C452" t="s">
        <v>379</v>
      </c>
      <c r="D452">
        <v>1908735</v>
      </c>
      <c r="E452">
        <v>4.25</v>
      </c>
      <c r="F452">
        <v>6.56</v>
      </c>
    </row>
    <row r="453" spans="1:6" x14ac:dyDescent="0.3">
      <c r="A453" t="s">
        <v>607</v>
      </c>
      <c r="B453" t="s">
        <v>14</v>
      </c>
      <c r="C453" t="s">
        <v>63</v>
      </c>
      <c r="D453">
        <v>1918060</v>
      </c>
      <c r="E453">
        <v>13.66</v>
      </c>
      <c r="F453">
        <v>3.53</v>
      </c>
    </row>
    <row r="454" spans="1:6" x14ac:dyDescent="0.3">
      <c r="A454" t="s">
        <v>608</v>
      </c>
      <c r="B454" t="s">
        <v>609</v>
      </c>
      <c r="C454" t="s">
        <v>28</v>
      </c>
      <c r="D454">
        <v>1918995</v>
      </c>
      <c r="E454">
        <v>5.65</v>
      </c>
      <c r="F454">
        <v>6.08</v>
      </c>
    </row>
    <row r="455" spans="1:6" x14ac:dyDescent="0.3">
      <c r="A455" t="s">
        <v>610</v>
      </c>
      <c r="B455" t="s">
        <v>611</v>
      </c>
      <c r="C455" t="s">
        <v>65</v>
      </c>
      <c r="D455">
        <v>1928362</v>
      </c>
      <c r="E455">
        <v>3.11</v>
      </c>
      <c r="F455">
        <v>5.63</v>
      </c>
    </row>
    <row r="456" spans="1:6" x14ac:dyDescent="0.3">
      <c r="A456" t="s">
        <v>612</v>
      </c>
      <c r="B456" t="s">
        <v>463</v>
      </c>
      <c r="C456" t="s">
        <v>6</v>
      </c>
      <c r="D456">
        <v>1938283</v>
      </c>
      <c r="E456">
        <v>6.7</v>
      </c>
      <c r="F456">
        <v>4</v>
      </c>
    </row>
    <row r="457" spans="1:6" x14ac:dyDescent="0.3">
      <c r="A457" t="s">
        <v>613</v>
      </c>
      <c r="B457" t="s">
        <v>14</v>
      </c>
      <c r="C457" t="s">
        <v>121</v>
      </c>
      <c r="D457">
        <v>1946486</v>
      </c>
      <c r="E457">
        <v>16.63</v>
      </c>
      <c r="F457">
        <v>3.37</v>
      </c>
    </row>
    <row r="458" spans="1:6" x14ac:dyDescent="0.3">
      <c r="A458" t="s">
        <v>614</v>
      </c>
      <c r="B458" t="s">
        <v>14</v>
      </c>
      <c r="C458" t="s">
        <v>25</v>
      </c>
      <c r="D458">
        <v>1947702</v>
      </c>
      <c r="E458">
        <v>9.65</v>
      </c>
      <c r="F458">
        <v>4.8099999999999996</v>
      </c>
    </row>
    <row r="459" spans="1:6" x14ac:dyDescent="0.3">
      <c r="A459" t="s">
        <v>615</v>
      </c>
      <c r="B459" t="s">
        <v>333</v>
      </c>
      <c r="C459" t="s">
        <v>12</v>
      </c>
      <c r="D459">
        <v>1957420</v>
      </c>
      <c r="E459">
        <v>7.5</v>
      </c>
      <c r="F459">
        <v>5.4</v>
      </c>
    </row>
    <row r="460" spans="1:6" x14ac:dyDescent="0.3">
      <c r="A460" t="s">
        <v>616</v>
      </c>
      <c r="B460" t="s">
        <v>414</v>
      </c>
      <c r="C460" t="s">
        <v>6</v>
      </c>
      <c r="D460">
        <v>1958628</v>
      </c>
      <c r="E460">
        <v>5</v>
      </c>
      <c r="F460">
        <v>5.29</v>
      </c>
    </row>
    <row r="461" spans="1:6" x14ac:dyDescent="0.3">
      <c r="A461" t="s">
        <v>617</v>
      </c>
      <c r="B461" t="s">
        <v>567</v>
      </c>
      <c r="C461" t="s">
        <v>63</v>
      </c>
      <c r="D461">
        <v>1963422</v>
      </c>
      <c r="E461">
        <v>4.75</v>
      </c>
      <c r="F461">
        <v>6.89</v>
      </c>
    </row>
    <row r="462" spans="1:6" x14ac:dyDescent="0.3">
      <c r="A462" t="s">
        <v>618</v>
      </c>
      <c r="B462" t="s">
        <v>609</v>
      </c>
      <c r="C462" t="s">
        <v>65</v>
      </c>
      <c r="D462">
        <v>1971304</v>
      </c>
      <c r="E462">
        <v>8.27</v>
      </c>
      <c r="F462">
        <v>4.1100000000000003</v>
      </c>
    </row>
    <row r="463" spans="1:6" x14ac:dyDescent="0.3">
      <c r="A463" t="s">
        <v>619</v>
      </c>
      <c r="B463" t="s">
        <v>336</v>
      </c>
      <c r="C463" t="s">
        <v>121</v>
      </c>
      <c r="D463">
        <v>1974388</v>
      </c>
      <c r="E463">
        <v>7.27</v>
      </c>
      <c r="F463">
        <v>5.3</v>
      </c>
    </row>
    <row r="464" spans="1:6" x14ac:dyDescent="0.3">
      <c r="A464" t="s">
        <v>620</v>
      </c>
      <c r="B464" t="s">
        <v>91</v>
      </c>
      <c r="C464" t="s">
        <v>121</v>
      </c>
      <c r="D464">
        <v>1981025</v>
      </c>
      <c r="E464">
        <v>1.89</v>
      </c>
      <c r="F464">
        <v>6.31</v>
      </c>
    </row>
    <row r="465" spans="1:6" x14ac:dyDescent="0.3">
      <c r="A465" t="s">
        <v>621</v>
      </c>
      <c r="B465" t="s">
        <v>622</v>
      </c>
      <c r="C465" t="s">
        <v>36</v>
      </c>
      <c r="D465">
        <v>2000451</v>
      </c>
      <c r="E465">
        <v>16.11</v>
      </c>
      <c r="F465">
        <v>4.5599999999999996</v>
      </c>
    </row>
    <row r="466" spans="1:6" x14ac:dyDescent="0.3">
      <c r="A466" t="s">
        <v>623</v>
      </c>
      <c r="B466" t="s">
        <v>463</v>
      </c>
      <c r="C466" t="s">
        <v>65</v>
      </c>
      <c r="D466">
        <v>2002615</v>
      </c>
      <c r="E466">
        <v>6.99</v>
      </c>
      <c r="F466">
        <v>6.25</v>
      </c>
    </row>
    <row r="467" spans="1:6" x14ac:dyDescent="0.3">
      <c r="A467" t="s">
        <v>624</v>
      </c>
      <c r="B467" t="s">
        <v>192</v>
      </c>
      <c r="C467" t="s">
        <v>121</v>
      </c>
      <c r="D467">
        <v>2008749</v>
      </c>
      <c r="E467">
        <v>4.87</v>
      </c>
      <c r="F467">
        <v>6.56</v>
      </c>
    </row>
    <row r="468" spans="1:6" x14ac:dyDescent="0.3">
      <c r="A468" t="s">
        <v>625</v>
      </c>
      <c r="B468" t="s">
        <v>325</v>
      </c>
      <c r="C468" t="s">
        <v>505</v>
      </c>
      <c r="D468">
        <v>2010671</v>
      </c>
      <c r="E468">
        <v>10.33</v>
      </c>
      <c r="F468">
        <v>5</v>
      </c>
    </row>
    <row r="469" spans="1:6" x14ac:dyDescent="0.3">
      <c r="A469" t="s">
        <v>626</v>
      </c>
      <c r="B469" t="s">
        <v>14</v>
      </c>
      <c r="C469" t="s">
        <v>6</v>
      </c>
      <c r="D469">
        <v>2017052</v>
      </c>
      <c r="E469">
        <v>13.57</v>
      </c>
      <c r="F469">
        <v>4.43</v>
      </c>
    </row>
    <row r="470" spans="1:6" x14ac:dyDescent="0.3">
      <c r="A470" t="s">
        <v>627</v>
      </c>
      <c r="B470" t="s">
        <v>318</v>
      </c>
      <c r="C470" t="s">
        <v>505</v>
      </c>
      <c r="D470">
        <v>2019027</v>
      </c>
      <c r="E470">
        <v>6.89</v>
      </c>
      <c r="F470">
        <v>5.5</v>
      </c>
    </row>
    <row r="471" spans="1:6" x14ac:dyDescent="0.3">
      <c r="A471" t="s">
        <v>628</v>
      </c>
      <c r="B471" t="s">
        <v>412</v>
      </c>
      <c r="C471" t="s">
        <v>36</v>
      </c>
      <c r="D471">
        <v>2023862</v>
      </c>
      <c r="E471">
        <v>7.56</v>
      </c>
      <c r="F471">
        <v>6.86</v>
      </c>
    </row>
    <row r="472" spans="1:6" x14ac:dyDescent="0.3">
      <c r="A472" t="s">
        <v>629</v>
      </c>
      <c r="B472" t="s">
        <v>131</v>
      </c>
      <c r="C472" t="s">
        <v>379</v>
      </c>
      <c r="D472">
        <v>2029133</v>
      </c>
      <c r="E472">
        <v>1.17</v>
      </c>
      <c r="F472">
        <v>5.91</v>
      </c>
    </row>
    <row r="473" spans="1:6" x14ac:dyDescent="0.3">
      <c r="A473" t="s">
        <v>630</v>
      </c>
      <c r="B473" t="s">
        <v>573</v>
      </c>
      <c r="C473" t="s">
        <v>65</v>
      </c>
      <c r="D473">
        <v>2036336</v>
      </c>
      <c r="E473">
        <v>10.15</v>
      </c>
      <c r="F473">
        <v>7</v>
      </c>
    </row>
    <row r="474" spans="1:6" x14ac:dyDescent="0.3">
      <c r="A474" t="s">
        <v>631</v>
      </c>
      <c r="B474" t="s">
        <v>419</v>
      </c>
      <c r="C474" t="s">
        <v>6</v>
      </c>
      <c r="D474">
        <v>2038234</v>
      </c>
      <c r="E474">
        <v>6.69</v>
      </c>
      <c r="F474">
        <v>6.36</v>
      </c>
    </row>
    <row r="475" spans="1:6" x14ac:dyDescent="0.3">
      <c r="A475" t="s">
        <v>632</v>
      </c>
      <c r="B475" t="s">
        <v>463</v>
      </c>
      <c r="C475" t="s">
        <v>379</v>
      </c>
      <c r="D475">
        <v>2040390</v>
      </c>
      <c r="E475">
        <v>4.1500000000000004</v>
      </c>
      <c r="F475">
        <v>5.29</v>
      </c>
    </row>
    <row r="476" spans="1:6" x14ac:dyDescent="0.3">
      <c r="A476" t="s">
        <v>578</v>
      </c>
      <c r="B476" t="s">
        <v>633</v>
      </c>
      <c r="C476" t="s">
        <v>65</v>
      </c>
      <c r="D476">
        <v>2047722</v>
      </c>
      <c r="E476">
        <v>11.75</v>
      </c>
      <c r="F476">
        <v>2.5</v>
      </c>
    </row>
    <row r="477" spans="1:6" x14ac:dyDescent="0.3">
      <c r="A477" t="s">
        <v>634</v>
      </c>
      <c r="B477" t="s">
        <v>412</v>
      </c>
      <c r="C477" t="s">
        <v>227</v>
      </c>
      <c r="D477">
        <v>2061769</v>
      </c>
      <c r="E477">
        <v>7.74</v>
      </c>
      <c r="F477">
        <v>3.5</v>
      </c>
    </row>
    <row r="478" spans="1:6" x14ac:dyDescent="0.3">
      <c r="A478" t="s">
        <v>635</v>
      </c>
      <c r="B478" t="s">
        <v>636</v>
      </c>
      <c r="C478" t="s">
        <v>227</v>
      </c>
      <c r="D478">
        <v>2076454</v>
      </c>
      <c r="E478">
        <v>11.33</v>
      </c>
      <c r="F478">
        <v>6.92</v>
      </c>
    </row>
    <row r="479" spans="1:6" x14ac:dyDescent="0.3">
      <c r="A479" t="s">
        <v>637</v>
      </c>
      <c r="B479" t="s">
        <v>14</v>
      </c>
      <c r="C479" t="s">
        <v>505</v>
      </c>
      <c r="D479">
        <v>2080758</v>
      </c>
      <c r="E479">
        <v>5</v>
      </c>
      <c r="F479">
        <v>7.4</v>
      </c>
    </row>
    <row r="480" spans="1:6" x14ac:dyDescent="0.3">
      <c r="A480" t="s">
        <v>638</v>
      </c>
      <c r="B480" t="s">
        <v>587</v>
      </c>
      <c r="C480" t="s">
        <v>6</v>
      </c>
      <c r="D480">
        <v>2085937</v>
      </c>
      <c r="E480">
        <v>1.04</v>
      </c>
      <c r="F480">
        <v>5.98</v>
      </c>
    </row>
    <row r="481" spans="1:6" x14ac:dyDescent="0.3">
      <c r="A481" t="s">
        <v>639</v>
      </c>
      <c r="B481" t="s">
        <v>463</v>
      </c>
      <c r="C481" t="s">
        <v>6</v>
      </c>
      <c r="D481">
        <v>2101980</v>
      </c>
      <c r="E481">
        <v>5.25</v>
      </c>
      <c r="F481">
        <v>5.2</v>
      </c>
    </row>
    <row r="482" spans="1:6" x14ac:dyDescent="0.3">
      <c r="A482" t="s">
        <v>640</v>
      </c>
      <c r="B482" t="s">
        <v>567</v>
      </c>
      <c r="C482" t="s">
        <v>121</v>
      </c>
      <c r="D482">
        <v>2103895</v>
      </c>
      <c r="E482">
        <v>6</v>
      </c>
      <c r="F482">
        <v>6.56</v>
      </c>
    </row>
    <row r="483" spans="1:6" x14ac:dyDescent="0.3">
      <c r="A483" t="s">
        <v>641</v>
      </c>
      <c r="B483" t="s">
        <v>27</v>
      </c>
      <c r="C483" t="s">
        <v>505</v>
      </c>
      <c r="D483">
        <v>2105382</v>
      </c>
      <c r="E483">
        <v>6.07</v>
      </c>
      <c r="F483">
        <v>6.33</v>
      </c>
    </row>
    <row r="484" spans="1:6" x14ac:dyDescent="0.3">
      <c r="A484" t="s">
        <v>642</v>
      </c>
      <c r="B484" t="s">
        <v>44</v>
      </c>
      <c r="C484" t="s">
        <v>379</v>
      </c>
      <c r="D484">
        <v>2108811</v>
      </c>
      <c r="E484">
        <v>8.1300000000000008</v>
      </c>
      <c r="F484">
        <v>4.2699999999999996</v>
      </c>
    </row>
    <row r="485" spans="1:6" x14ac:dyDescent="0.3">
      <c r="A485" t="s">
        <v>643</v>
      </c>
      <c r="B485" t="s">
        <v>414</v>
      </c>
      <c r="C485" t="s">
        <v>121</v>
      </c>
      <c r="D485">
        <v>2123704</v>
      </c>
      <c r="E485">
        <v>6.32</v>
      </c>
      <c r="F485">
        <v>8.4600000000000009</v>
      </c>
    </row>
    <row r="486" spans="1:6" x14ac:dyDescent="0.3">
      <c r="A486" t="s">
        <v>644</v>
      </c>
      <c r="B486" t="s">
        <v>523</v>
      </c>
      <c r="C486" t="s">
        <v>379</v>
      </c>
      <c r="D486">
        <v>2128377</v>
      </c>
      <c r="E486">
        <v>3.44</v>
      </c>
      <c r="F486">
        <v>4.9400000000000004</v>
      </c>
    </row>
    <row r="487" spans="1:6" x14ac:dyDescent="0.3">
      <c r="A487" t="s">
        <v>645</v>
      </c>
      <c r="B487" t="s">
        <v>609</v>
      </c>
      <c r="C487" t="s">
        <v>6</v>
      </c>
      <c r="D487">
        <v>2132770</v>
      </c>
      <c r="E487">
        <v>6.63</v>
      </c>
      <c r="F487">
        <v>4.63</v>
      </c>
    </row>
    <row r="488" spans="1:6" x14ac:dyDescent="0.3">
      <c r="A488" t="s">
        <v>646</v>
      </c>
      <c r="B488" t="s">
        <v>647</v>
      </c>
      <c r="C488" t="s">
        <v>121</v>
      </c>
      <c r="D488">
        <v>2158028</v>
      </c>
      <c r="E488">
        <v>3.3</v>
      </c>
      <c r="F488">
        <v>6.04</v>
      </c>
    </row>
    <row r="489" spans="1:6" x14ac:dyDescent="0.3">
      <c r="A489" t="s">
        <v>648</v>
      </c>
      <c r="B489" t="s">
        <v>218</v>
      </c>
      <c r="C489" t="s">
        <v>36</v>
      </c>
      <c r="D489">
        <v>2167914</v>
      </c>
      <c r="E489">
        <v>12</v>
      </c>
      <c r="F489">
        <v>6.93</v>
      </c>
    </row>
    <row r="490" spans="1:6" x14ac:dyDescent="0.3">
      <c r="A490" t="s">
        <v>649</v>
      </c>
      <c r="B490" t="s">
        <v>336</v>
      </c>
      <c r="C490" t="s">
        <v>36</v>
      </c>
      <c r="D490">
        <v>2169502</v>
      </c>
      <c r="E490">
        <v>10.65</v>
      </c>
      <c r="F490">
        <v>6.75</v>
      </c>
    </row>
    <row r="491" spans="1:6" x14ac:dyDescent="0.3">
      <c r="A491" t="s">
        <v>650</v>
      </c>
      <c r="B491" t="s">
        <v>177</v>
      </c>
      <c r="C491" t="s">
        <v>28</v>
      </c>
      <c r="D491">
        <v>2174411</v>
      </c>
      <c r="E491">
        <v>1.65</v>
      </c>
      <c r="F491">
        <v>5.73</v>
      </c>
    </row>
    <row r="492" spans="1:6" x14ac:dyDescent="0.3">
      <c r="A492" t="s">
        <v>651</v>
      </c>
      <c r="B492" t="s">
        <v>463</v>
      </c>
      <c r="C492" t="s">
        <v>227</v>
      </c>
      <c r="D492">
        <v>2181011</v>
      </c>
      <c r="E492">
        <v>3.75</v>
      </c>
      <c r="F492">
        <v>5</v>
      </c>
    </row>
    <row r="493" spans="1:6" x14ac:dyDescent="0.3">
      <c r="A493" t="s">
        <v>652</v>
      </c>
      <c r="B493" t="s">
        <v>653</v>
      </c>
      <c r="C493" t="s">
        <v>25</v>
      </c>
      <c r="D493">
        <v>2234135</v>
      </c>
      <c r="E493">
        <v>2.86</v>
      </c>
      <c r="F493">
        <v>5.35</v>
      </c>
    </row>
    <row r="494" spans="1:6" x14ac:dyDescent="0.3">
      <c r="A494" t="s">
        <v>654</v>
      </c>
      <c r="B494" t="s">
        <v>218</v>
      </c>
      <c r="C494" t="s">
        <v>12</v>
      </c>
      <c r="D494">
        <v>2241592</v>
      </c>
      <c r="E494">
        <v>18.03</v>
      </c>
      <c r="F494">
        <v>4.7</v>
      </c>
    </row>
    <row r="495" spans="1:6" x14ac:dyDescent="0.3">
      <c r="A495" t="s">
        <v>655</v>
      </c>
      <c r="B495" t="s">
        <v>656</v>
      </c>
      <c r="C495" t="s">
        <v>6</v>
      </c>
      <c r="D495">
        <v>2244339</v>
      </c>
      <c r="E495">
        <v>7.14</v>
      </c>
      <c r="F495">
        <v>5</v>
      </c>
    </row>
    <row r="496" spans="1:6" x14ac:dyDescent="0.3">
      <c r="A496" t="s">
        <v>657</v>
      </c>
      <c r="B496" t="s">
        <v>567</v>
      </c>
      <c r="C496" t="s">
        <v>505</v>
      </c>
      <c r="D496">
        <v>2251314</v>
      </c>
      <c r="E496">
        <v>9.2799999999999994</v>
      </c>
      <c r="F496">
        <v>5.4</v>
      </c>
    </row>
    <row r="497" spans="1:6" x14ac:dyDescent="0.3">
      <c r="A497" t="s">
        <v>658</v>
      </c>
      <c r="B497" t="s">
        <v>463</v>
      </c>
      <c r="C497" t="s">
        <v>121</v>
      </c>
      <c r="D497">
        <v>2267013</v>
      </c>
      <c r="E497">
        <v>6.75</v>
      </c>
      <c r="F497">
        <v>6</v>
      </c>
    </row>
    <row r="498" spans="1:6" x14ac:dyDescent="0.3">
      <c r="A498" t="s">
        <v>659</v>
      </c>
      <c r="B498" t="s">
        <v>419</v>
      </c>
      <c r="C498" t="s">
        <v>227</v>
      </c>
      <c r="D498">
        <v>2270253</v>
      </c>
      <c r="E498">
        <v>6.4</v>
      </c>
      <c r="F498">
        <v>5.25</v>
      </c>
    </row>
    <row r="499" spans="1:6" x14ac:dyDescent="0.3">
      <c r="A499" t="s">
        <v>660</v>
      </c>
      <c r="B499" t="s">
        <v>14</v>
      </c>
      <c r="C499" t="s">
        <v>121</v>
      </c>
      <c r="D499">
        <v>2273034</v>
      </c>
      <c r="E499">
        <v>9.58</v>
      </c>
      <c r="F499">
        <v>4.92</v>
      </c>
    </row>
    <row r="500" spans="1:6" x14ac:dyDescent="0.3">
      <c r="A500" t="s">
        <v>661</v>
      </c>
      <c r="B500" t="s">
        <v>662</v>
      </c>
      <c r="C500" t="s">
        <v>25</v>
      </c>
      <c r="D500">
        <v>2278753</v>
      </c>
      <c r="E500">
        <v>5.07</v>
      </c>
      <c r="F500">
        <v>5.79</v>
      </c>
    </row>
    <row r="501" spans="1:6" x14ac:dyDescent="0.3">
      <c r="A501" t="s">
        <v>663</v>
      </c>
      <c r="B501" t="s">
        <v>609</v>
      </c>
      <c r="C501" t="s">
        <v>36</v>
      </c>
      <c r="D501">
        <v>2292458</v>
      </c>
      <c r="E501">
        <v>7.48</v>
      </c>
      <c r="F501">
        <v>5.57</v>
      </c>
    </row>
    <row r="502" spans="1:6" x14ac:dyDescent="0.3">
      <c r="A502" t="s">
        <v>664</v>
      </c>
      <c r="B502" t="s">
        <v>665</v>
      </c>
      <c r="C502" t="s">
        <v>379</v>
      </c>
      <c r="D502">
        <v>2313423</v>
      </c>
      <c r="E502">
        <v>1.19</v>
      </c>
      <c r="F502">
        <v>5.61</v>
      </c>
    </row>
    <row r="503" spans="1:6" x14ac:dyDescent="0.3">
      <c r="A503" t="s">
        <v>666</v>
      </c>
      <c r="B503" t="s">
        <v>667</v>
      </c>
      <c r="C503" t="s">
        <v>6</v>
      </c>
      <c r="D503">
        <v>2361597</v>
      </c>
      <c r="E503">
        <v>7.65</v>
      </c>
      <c r="F503">
        <v>7.13</v>
      </c>
    </row>
    <row r="504" spans="1:6" x14ac:dyDescent="0.3">
      <c r="A504" t="s">
        <v>668</v>
      </c>
      <c r="B504" t="s">
        <v>463</v>
      </c>
      <c r="C504" t="s">
        <v>65</v>
      </c>
      <c r="D504">
        <v>2371388</v>
      </c>
      <c r="E504">
        <v>8.42</v>
      </c>
      <c r="F504">
        <v>5.78</v>
      </c>
    </row>
    <row r="505" spans="1:6" x14ac:dyDescent="0.3">
      <c r="A505" t="s">
        <v>669</v>
      </c>
      <c r="B505" t="s">
        <v>585</v>
      </c>
      <c r="C505" t="s">
        <v>6</v>
      </c>
      <c r="D505">
        <v>2374518</v>
      </c>
      <c r="E505">
        <v>20.399999999999999</v>
      </c>
      <c r="F505">
        <v>4.32</v>
      </c>
    </row>
    <row r="506" spans="1:6" x14ac:dyDescent="0.3">
      <c r="A506" t="s">
        <v>670</v>
      </c>
      <c r="B506" t="s">
        <v>671</v>
      </c>
      <c r="C506" t="s">
        <v>121</v>
      </c>
      <c r="D506">
        <v>2424173</v>
      </c>
      <c r="E506">
        <v>7.75</v>
      </c>
      <c r="F506">
        <v>5</v>
      </c>
    </row>
    <row r="507" spans="1:6" x14ac:dyDescent="0.3">
      <c r="A507" t="s">
        <v>672</v>
      </c>
      <c r="B507" t="s">
        <v>673</v>
      </c>
      <c r="C507" t="s">
        <v>20</v>
      </c>
      <c r="D507">
        <v>2456909</v>
      </c>
      <c r="E507">
        <v>10.78</v>
      </c>
      <c r="F507">
        <v>6.46</v>
      </c>
    </row>
    <row r="508" spans="1:6" x14ac:dyDescent="0.3">
      <c r="A508" t="s">
        <v>674</v>
      </c>
      <c r="B508" t="s">
        <v>419</v>
      </c>
      <c r="C508" t="s">
        <v>28</v>
      </c>
      <c r="D508">
        <v>2460276</v>
      </c>
      <c r="E508">
        <v>6.18</v>
      </c>
      <c r="F508">
        <v>5.89</v>
      </c>
    </row>
    <row r="509" spans="1:6" x14ac:dyDescent="0.3">
      <c r="A509" t="s">
        <v>675</v>
      </c>
      <c r="B509" t="s">
        <v>85</v>
      </c>
      <c r="C509" t="s">
        <v>28</v>
      </c>
      <c r="D509">
        <v>2473054</v>
      </c>
      <c r="E509">
        <v>12.86</v>
      </c>
      <c r="F509">
        <v>7.12</v>
      </c>
    </row>
    <row r="510" spans="1:6" x14ac:dyDescent="0.3">
      <c r="A510" t="s">
        <v>676</v>
      </c>
      <c r="B510" t="s">
        <v>677</v>
      </c>
      <c r="C510" t="s">
        <v>505</v>
      </c>
      <c r="D510">
        <v>2487191</v>
      </c>
      <c r="E510">
        <v>19.03</v>
      </c>
      <c r="F510">
        <v>5.73</v>
      </c>
    </row>
    <row r="511" spans="1:6" x14ac:dyDescent="0.3">
      <c r="A511" t="s">
        <v>678</v>
      </c>
      <c r="B511" t="s">
        <v>523</v>
      </c>
      <c r="C511" t="s">
        <v>6</v>
      </c>
      <c r="D511">
        <v>2488223</v>
      </c>
      <c r="E511">
        <v>4.1100000000000003</v>
      </c>
      <c r="F511">
        <v>5.84</v>
      </c>
    </row>
    <row r="512" spans="1:6" x14ac:dyDescent="0.3">
      <c r="A512" t="s">
        <v>679</v>
      </c>
      <c r="B512" t="s">
        <v>567</v>
      </c>
      <c r="C512" t="s">
        <v>6</v>
      </c>
      <c r="D512">
        <v>2539958</v>
      </c>
      <c r="E512">
        <v>7</v>
      </c>
      <c r="F512">
        <v>5</v>
      </c>
    </row>
    <row r="513" spans="1:6" x14ac:dyDescent="0.3">
      <c r="A513" t="s">
        <v>680</v>
      </c>
      <c r="B513" t="s">
        <v>14</v>
      </c>
      <c r="C513" t="s">
        <v>6</v>
      </c>
      <c r="D513">
        <v>2620443</v>
      </c>
      <c r="E513">
        <v>5.9</v>
      </c>
      <c r="F513">
        <v>6.38</v>
      </c>
    </row>
    <row r="514" spans="1:6" x14ac:dyDescent="0.3">
      <c r="A514" t="s">
        <v>681</v>
      </c>
      <c r="B514" t="s">
        <v>340</v>
      </c>
      <c r="C514" t="s">
        <v>505</v>
      </c>
      <c r="D514">
        <v>2660262</v>
      </c>
      <c r="E514">
        <v>9.25</v>
      </c>
      <c r="F514">
        <v>4.6399999999999997</v>
      </c>
    </row>
    <row r="515" spans="1:6" x14ac:dyDescent="0.3">
      <c r="A515" t="s">
        <v>682</v>
      </c>
      <c r="B515" t="s">
        <v>683</v>
      </c>
      <c r="C515" t="s">
        <v>65</v>
      </c>
      <c r="D515">
        <v>2665315</v>
      </c>
      <c r="E515">
        <v>10.95</v>
      </c>
      <c r="F515">
        <v>5</v>
      </c>
    </row>
    <row r="516" spans="1:6" x14ac:dyDescent="0.3">
      <c r="A516" t="s">
        <v>684</v>
      </c>
      <c r="B516" t="s">
        <v>685</v>
      </c>
      <c r="C516" t="s">
        <v>505</v>
      </c>
      <c r="D516">
        <v>2689855</v>
      </c>
      <c r="E516">
        <v>8.69</v>
      </c>
      <c r="F516">
        <v>5.17</v>
      </c>
    </row>
    <row r="517" spans="1:6" x14ac:dyDescent="0.3">
      <c r="A517" t="s">
        <v>686</v>
      </c>
      <c r="B517" t="s">
        <v>687</v>
      </c>
      <c r="C517" t="s">
        <v>379</v>
      </c>
      <c r="D517">
        <v>2715001</v>
      </c>
      <c r="E517">
        <v>3.97</v>
      </c>
      <c r="F517">
        <v>5</v>
      </c>
    </row>
    <row r="518" spans="1:6" x14ac:dyDescent="0.3">
      <c r="A518" t="s">
        <v>688</v>
      </c>
      <c r="B518" t="s">
        <v>689</v>
      </c>
      <c r="C518" t="s">
        <v>121</v>
      </c>
      <c r="D518">
        <v>2734090</v>
      </c>
      <c r="E518">
        <v>4.08</v>
      </c>
      <c r="F518">
        <v>4.74</v>
      </c>
    </row>
    <row r="519" spans="1:6" x14ac:dyDescent="0.3">
      <c r="A519" t="s">
        <v>690</v>
      </c>
      <c r="B519" t="s">
        <v>520</v>
      </c>
      <c r="C519" t="s">
        <v>6</v>
      </c>
      <c r="D519">
        <v>2748264</v>
      </c>
      <c r="E519">
        <v>6</v>
      </c>
      <c r="F519">
        <v>5.67</v>
      </c>
    </row>
    <row r="520" spans="1:6" x14ac:dyDescent="0.3">
      <c r="A520" t="s">
        <v>691</v>
      </c>
      <c r="B520" t="s">
        <v>609</v>
      </c>
      <c r="C520" t="s">
        <v>28</v>
      </c>
      <c r="D520">
        <v>2837105</v>
      </c>
      <c r="E520">
        <v>5.86</v>
      </c>
      <c r="F520">
        <v>6</v>
      </c>
    </row>
    <row r="521" spans="1:6" x14ac:dyDescent="0.3">
      <c r="A521" t="s">
        <v>692</v>
      </c>
      <c r="B521" t="s">
        <v>591</v>
      </c>
      <c r="C521" t="s">
        <v>63</v>
      </c>
      <c r="D521">
        <v>2842129</v>
      </c>
      <c r="E521">
        <v>9.9700000000000006</v>
      </c>
      <c r="F521">
        <v>5.26</v>
      </c>
    </row>
    <row r="522" spans="1:6" x14ac:dyDescent="0.3">
      <c r="A522" t="s">
        <v>693</v>
      </c>
      <c r="B522" t="s">
        <v>414</v>
      </c>
      <c r="C522" t="s">
        <v>6</v>
      </c>
      <c r="D522">
        <v>2842275</v>
      </c>
      <c r="E522">
        <v>12.85</v>
      </c>
      <c r="F522">
        <v>4.7300000000000004</v>
      </c>
    </row>
    <row r="523" spans="1:6" x14ac:dyDescent="0.3">
      <c r="A523" t="s">
        <v>694</v>
      </c>
      <c r="B523" t="s">
        <v>44</v>
      </c>
      <c r="C523" t="s">
        <v>695</v>
      </c>
      <c r="D523">
        <v>2859687</v>
      </c>
      <c r="E523">
        <v>3.84</v>
      </c>
      <c r="F523">
        <v>5.57</v>
      </c>
    </row>
    <row r="524" spans="1:6" x14ac:dyDescent="0.3">
      <c r="A524" t="s">
        <v>696</v>
      </c>
      <c r="B524" t="s">
        <v>697</v>
      </c>
      <c r="C524" t="s">
        <v>6</v>
      </c>
      <c r="D524">
        <v>2881970</v>
      </c>
      <c r="E524">
        <v>13.42</v>
      </c>
      <c r="F524">
        <v>5.89</v>
      </c>
    </row>
    <row r="525" spans="1:6" x14ac:dyDescent="0.3">
      <c r="A525" t="s">
        <v>698</v>
      </c>
      <c r="B525" t="s">
        <v>591</v>
      </c>
      <c r="C525" t="s">
        <v>6</v>
      </c>
      <c r="D525">
        <v>2891681</v>
      </c>
      <c r="E525">
        <v>12</v>
      </c>
      <c r="F525">
        <v>5.46</v>
      </c>
    </row>
    <row r="526" spans="1:6" x14ac:dyDescent="0.3">
      <c r="A526" t="s">
        <v>699</v>
      </c>
      <c r="B526" t="s">
        <v>700</v>
      </c>
      <c r="C526" t="s">
        <v>8</v>
      </c>
      <c r="D526">
        <v>2912276</v>
      </c>
      <c r="E526">
        <v>4.24</v>
      </c>
      <c r="F526">
        <v>5.43</v>
      </c>
    </row>
    <row r="527" spans="1:6" x14ac:dyDescent="0.3">
      <c r="A527" t="s">
        <v>701</v>
      </c>
      <c r="B527" t="s">
        <v>702</v>
      </c>
      <c r="C527" t="s">
        <v>12</v>
      </c>
      <c r="D527">
        <v>2996459</v>
      </c>
      <c r="E527">
        <v>13.08</v>
      </c>
      <c r="F527">
        <v>5.58</v>
      </c>
    </row>
    <row r="528" spans="1:6" x14ac:dyDescent="0.3">
      <c r="A528" t="s">
        <v>703</v>
      </c>
      <c r="B528" t="s">
        <v>419</v>
      </c>
      <c r="C528" t="s">
        <v>704</v>
      </c>
      <c r="D528">
        <v>2997354</v>
      </c>
      <c r="E528">
        <v>4.16</v>
      </c>
      <c r="F528">
        <v>7.07</v>
      </c>
    </row>
    <row r="529" spans="1:6" x14ac:dyDescent="0.3">
      <c r="A529" t="s">
        <v>705</v>
      </c>
      <c r="B529" t="s">
        <v>706</v>
      </c>
      <c r="C529" t="s">
        <v>707</v>
      </c>
      <c r="D529">
        <v>3000828</v>
      </c>
      <c r="E529">
        <v>1.86</v>
      </c>
      <c r="F529">
        <v>6.64</v>
      </c>
    </row>
    <row r="530" spans="1:6" x14ac:dyDescent="0.3">
      <c r="A530" t="s">
        <v>708</v>
      </c>
      <c r="B530" t="s">
        <v>709</v>
      </c>
      <c r="C530" t="s">
        <v>6</v>
      </c>
      <c r="D530">
        <v>3006593</v>
      </c>
      <c r="E530">
        <v>9.6999999999999993</v>
      </c>
      <c r="F530">
        <v>5.31</v>
      </c>
    </row>
    <row r="531" spans="1:6" x14ac:dyDescent="0.3">
      <c r="A531" t="s">
        <v>710</v>
      </c>
      <c r="B531" t="s">
        <v>218</v>
      </c>
      <c r="C531" t="s">
        <v>8</v>
      </c>
      <c r="D531">
        <v>3013070</v>
      </c>
      <c r="E531">
        <v>11.66</v>
      </c>
      <c r="F531">
        <v>6.01</v>
      </c>
    </row>
    <row r="532" spans="1:6" x14ac:dyDescent="0.3">
      <c r="A532" t="s">
        <v>711</v>
      </c>
      <c r="B532" t="s">
        <v>712</v>
      </c>
      <c r="C532" t="s">
        <v>713</v>
      </c>
      <c r="D532">
        <v>3039143</v>
      </c>
      <c r="E532">
        <v>7.94</v>
      </c>
      <c r="F532">
        <v>5.67</v>
      </c>
    </row>
    <row r="533" spans="1:6" x14ac:dyDescent="0.3">
      <c r="A533" t="s">
        <v>714</v>
      </c>
      <c r="B533" t="s">
        <v>463</v>
      </c>
      <c r="C533" t="s">
        <v>715</v>
      </c>
      <c r="D533">
        <v>3065806</v>
      </c>
      <c r="E533">
        <v>7</v>
      </c>
      <c r="F533">
        <v>6.06</v>
      </c>
    </row>
    <row r="534" spans="1:6" x14ac:dyDescent="0.3">
      <c r="A534" t="s">
        <v>716</v>
      </c>
      <c r="B534" t="s">
        <v>445</v>
      </c>
      <c r="C534" t="s">
        <v>379</v>
      </c>
      <c r="D534">
        <v>3070571</v>
      </c>
      <c r="E534">
        <v>7.96</v>
      </c>
      <c r="F534">
        <v>4.2699999999999996</v>
      </c>
    </row>
    <row r="535" spans="1:6" x14ac:dyDescent="0.3">
      <c r="A535" t="s">
        <v>717</v>
      </c>
      <c r="B535" t="s">
        <v>27</v>
      </c>
      <c r="C535" t="s">
        <v>718</v>
      </c>
      <c r="D535">
        <v>3081555</v>
      </c>
      <c r="E535">
        <v>3.85</v>
      </c>
      <c r="F535">
        <v>5.82</v>
      </c>
    </row>
    <row r="536" spans="1:6" x14ac:dyDescent="0.3">
      <c r="A536" t="s">
        <v>719</v>
      </c>
      <c r="B536" t="s">
        <v>277</v>
      </c>
      <c r="C536" t="s">
        <v>720</v>
      </c>
      <c r="D536">
        <v>3089115</v>
      </c>
      <c r="E536">
        <v>6.88</v>
      </c>
      <c r="F536">
        <v>5.2</v>
      </c>
    </row>
    <row r="537" spans="1:6" x14ac:dyDescent="0.3">
      <c r="A537" t="s">
        <v>721</v>
      </c>
      <c r="B537" t="s">
        <v>722</v>
      </c>
      <c r="C537" t="s">
        <v>723</v>
      </c>
      <c r="D537">
        <v>3122641</v>
      </c>
      <c r="E537">
        <v>2.0499999999999998</v>
      </c>
      <c r="F537">
        <v>5.78</v>
      </c>
    </row>
    <row r="538" spans="1:6" x14ac:dyDescent="0.3">
      <c r="A538" t="s">
        <v>724</v>
      </c>
      <c r="B538" t="s">
        <v>520</v>
      </c>
      <c r="C538" t="s">
        <v>121</v>
      </c>
      <c r="D538">
        <v>3139266</v>
      </c>
      <c r="E538">
        <v>6.44</v>
      </c>
      <c r="F538">
        <v>5.17</v>
      </c>
    </row>
    <row r="539" spans="1:6" x14ac:dyDescent="0.3">
      <c r="A539" t="s">
        <v>725</v>
      </c>
      <c r="B539" t="s">
        <v>726</v>
      </c>
      <c r="C539" t="s">
        <v>727</v>
      </c>
      <c r="D539">
        <v>3234464</v>
      </c>
      <c r="E539">
        <v>11.65</v>
      </c>
      <c r="F539">
        <v>4.38</v>
      </c>
    </row>
    <row r="540" spans="1:6" x14ac:dyDescent="0.3">
      <c r="A540" t="s">
        <v>728</v>
      </c>
      <c r="B540" t="s">
        <v>414</v>
      </c>
      <c r="C540" t="s">
        <v>729</v>
      </c>
      <c r="D540">
        <v>3264805</v>
      </c>
      <c r="E540">
        <v>7.21</v>
      </c>
      <c r="F540">
        <v>5.88</v>
      </c>
    </row>
    <row r="541" spans="1:6" x14ac:dyDescent="0.3">
      <c r="A541" t="s">
        <v>730</v>
      </c>
      <c r="B541" t="s">
        <v>683</v>
      </c>
      <c r="C541" t="s">
        <v>731</v>
      </c>
      <c r="D541">
        <v>3273541</v>
      </c>
      <c r="E541">
        <v>8.06</v>
      </c>
      <c r="F541">
        <v>6.15</v>
      </c>
    </row>
    <row r="542" spans="1:6" x14ac:dyDescent="0.3">
      <c r="A542" t="s">
        <v>732</v>
      </c>
      <c r="B542" t="s">
        <v>733</v>
      </c>
      <c r="C542" t="s">
        <v>734</v>
      </c>
      <c r="D542">
        <v>3275409</v>
      </c>
      <c r="E542">
        <v>6.56</v>
      </c>
      <c r="F542">
        <v>6.17</v>
      </c>
    </row>
    <row r="543" spans="1:6" x14ac:dyDescent="0.3">
      <c r="A543" t="s">
        <v>735</v>
      </c>
      <c r="B543" t="s">
        <v>609</v>
      </c>
      <c r="C543" t="s">
        <v>736</v>
      </c>
      <c r="D543">
        <v>3285351</v>
      </c>
      <c r="E543">
        <v>5.73</v>
      </c>
      <c r="F543">
        <v>5.68</v>
      </c>
    </row>
    <row r="544" spans="1:6" x14ac:dyDescent="0.3">
      <c r="A544" t="s">
        <v>737</v>
      </c>
      <c r="B544" t="s">
        <v>22</v>
      </c>
      <c r="C544" t="s">
        <v>704</v>
      </c>
      <c r="D544">
        <v>3316842</v>
      </c>
      <c r="E544">
        <v>5.16</v>
      </c>
      <c r="F544">
        <v>6.17</v>
      </c>
    </row>
    <row r="545" spans="1:6" x14ac:dyDescent="0.3">
      <c r="A545" t="s">
        <v>738</v>
      </c>
      <c r="B545" t="s">
        <v>509</v>
      </c>
      <c r="C545" t="s">
        <v>739</v>
      </c>
      <c r="D545">
        <v>3332936</v>
      </c>
      <c r="E545">
        <v>2.0499999999999998</v>
      </c>
      <c r="F545">
        <v>6.65</v>
      </c>
    </row>
    <row r="546" spans="1:6" x14ac:dyDescent="0.3">
      <c r="A546" t="s">
        <v>740</v>
      </c>
      <c r="B546" t="s">
        <v>419</v>
      </c>
      <c r="C546" t="s">
        <v>741</v>
      </c>
      <c r="D546">
        <v>3349728</v>
      </c>
      <c r="E546">
        <v>11.98</v>
      </c>
      <c r="F546">
        <v>4.79</v>
      </c>
    </row>
    <row r="547" spans="1:6" x14ac:dyDescent="0.3">
      <c r="A547" t="s">
        <v>742</v>
      </c>
      <c r="B547" t="s">
        <v>743</v>
      </c>
      <c r="C547" t="s">
        <v>744</v>
      </c>
      <c r="D547">
        <v>3430273</v>
      </c>
      <c r="E547">
        <v>4.54</v>
      </c>
      <c r="F547">
        <v>5.91</v>
      </c>
    </row>
    <row r="548" spans="1:6" x14ac:dyDescent="0.3">
      <c r="A548" t="s">
        <v>745</v>
      </c>
      <c r="B548" t="s">
        <v>712</v>
      </c>
      <c r="C548" t="s">
        <v>8</v>
      </c>
      <c r="D548">
        <v>3447363</v>
      </c>
      <c r="E548">
        <v>4.4800000000000004</v>
      </c>
      <c r="F548">
        <v>5.58</v>
      </c>
    </row>
    <row r="549" spans="1:6" x14ac:dyDescent="0.3">
      <c r="A549" t="s">
        <v>746</v>
      </c>
      <c r="B549" t="s">
        <v>14</v>
      </c>
      <c r="C549" t="s">
        <v>747</v>
      </c>
      <c r="D549">
        <v>3460047</v>
      </c>
      <c r="E549">
        <v>10.47</v>
      </c>
      <c r="F549">
        <v>6.72</v>
      </c>
    </row>
    <row r="550" spans="1:6" x14ac:dyDescent="0.3">
      <c r="A550" t="s">
        <v>748</v>
      </c>
      <c r="B550" t="s">
        <v>513</v>
      </c>
      <c r="C550" t="s">
        <v>749</v>
      </c>
      <c r="D550">
        <v>3471703</v>
      </c>
      <c r="E550">
        <v>7.89</v>
      </c>
      <c r="F550">
        <v>6.24</v>
      </c>
    </row>
    <row r="551" spans="1:6" x14ac:dyDescent="0.3">
      <c r="A551" t="s">
        <v>750</v>
      </c>
      <c r="B551" t="s">
        <v>192</v>
      </c>
      <c r="C551" t="s">
        <v>731</v>
      </c>
      <c r="D551">
        <v>3489868</v>
      </c>
      <c r="E551">
        <v>2.0499999999999998</v>
      </c>
      <c r="F551">
        <v>6.51</v>
      </c>
    </row>
    <row r="552" spans="1:6" x14ac:dyDescent="0.3">
      <c r="A552" t="s">
        <v>751</v>
      </c>
      <c r="B552" t="s">
        <v>752</v>
      </c>
      <c r="C552" t="s">
        <v>753</v>
      </c>
      <c r="D552">
        <v>3501697</v>
      </c>
      <c r="E552">
        <v>7.15</v>
      </c>
      <c r="F552">
        <v>4.9000000000000004</v>
      </c>
    </row>
    <row r="553" spans="1:6" x14ac:dyDescent="0.3">
      <c r="A553" t="s">
        <v>754</v>
      </c>
      <c r="B553" t="s">
        <v>463</v>
      </c>
      <c r="C553" t="s">
        <v>755</v>
      </c>
      <c r="D553">
        <v>3541441</v>
      </c>
      <c r="E553">
        <v>7.51</v>
      </c>
      <c r="F553">
        <v>6.45</v>
      </c>
    </row>
    <row r="554" spans="1:6" x14ac:dyDescent="0.3">
      <c r="A554" t="s">
        <v>756</v>
      </c>
      <c r="B554" t="s">
        <v>192</v>
      </c>
      <c r="C554" t="s">
        <v>718</v>
      </c>
      <c r="D554">
        <v>3543219</v>
      </c>
      <c r="E554">
        <v>1.81</v>
      </c>
      <c r="F554">
        <v>6.98</v>
      </c>
    </row>
    <row r="555" spans="1:6" x14ac:dyDescent="0.3">
      <c r="A555" t="s">
        <v>757</v>
      </c>
      <c r="B555" t="s">
        <v>412</v>
      </c>
      <c r="C555" t="s">
        <v>758</v>
      </c>
      <c r="D555">
        <v>3626475</v>
      </c>
      <c r="E555">
        <v>4.26</v>
      </c>
      <c r="F555">
        <v>6.19</v>
      </c>
    </row>
    <row r="556" spans="1:6" x14ac:dyDescent="0.3">
      <c r="A556" t="s">
        <v>759</v>
      </c>
      <c r="B556" t="s">
        <v>419</v>
      </c>
      <c r="C556" t="s">
        <v>8</v>
      </c>
      <c r="D556">
        <v>3644547</v>
      </c>
      <c r="E556">
        <v>8.42</v>
      </c>
      <c r="F556">
        <v>6.41</v>
      </c>
    </row>
    <row r="557" spans="1:6" x14ac:dyDescent="0.3">
      <c r="A557" t="s">
        <v>760</v>
      </c>
      <c r="B557" t="s">
        <v>761</v>
      </c>
      <c r="C557" t="s">
        <v>762</v>
      </c>
      <c r="D557">
        <v>3656240</v>
      </c>
      <c r="E557">
        <v>7.12</v>
      </c>
      <c r="F557">
        <v>6.55</v>
      </c>
    </row>
    <row r="558" spans="1:6" x14ac:dyDescent="0.3">
      <c r="A558" t="s">
        <v>763</v>
      </c>
      <c r="B558" t="s">
        <v>764</v>
      </c>
      <c r="C558" t="s">
        <v>718</v>
      </c>
      <c r="D558">
        <v>3679314</v>
      </c>
      <c r="E558">
        <v>1.97</v>
      </c>
      <c r="F558">
        <v>5.73</v>
      </c>
    </row>
    <row r="559" spans="1:6" x14ac:dyDescent="0.3">
      <c r="A559" t="s">
        <v>765</v>
      </c>
      <c r="B559" t="s">
        <v>622</v>
      </c>
      <c r="C559" t="s">
        <v>731</v>
      </c>
      <c r="D559">
        <v>3714218</v>
      </c>
      <c r="E559">
        <v>4.38</v>
      </c>
      <c r="F559">
        <v>5.94</v>
      </c>
    </row>
    <row r="560" spans="1:6" x14ac:dyDescent="0.3">
      <c r="A560" t="s">
        <v>766</v>
      </c>
      <c r="B560" t="s">
        <v>340</v>
      </c>
      <c r="C560" t="s">
        <v>767</v>
      </c>
      <c r="D560">
        <v>3794684</v>
      </c>
      <c r="E560">
        <v>12.33</v>
      </c>
      <c r="F560">
        <v>5.14</v>
      </c>
    </row>
    <row r="561" spans="1:6" x14ac:dyDescent="0.3">
      <c r="A561" t="s">
        <v>768</v>
      </c>
      <c r="B561" t="s">
        <v>622</v>
      </c>
      <c r="C561" t="s">
        <v>769</v>
      </c>
      <c r="D561">
        <v>3804116</v>
      </c>
      <c r="E561">
        <v>3.08</v>
      </c>
      <c r="F561">
        <v>5.1100000000000003</v>
      </c>
    </row>
    <row r="562" spans="1:6" x14ac:dyDescent="0.3">
      <c r="A562" t="s">
        <v>770</v>
      </c>
      <c r="B562" t="s">
        <v>445</v>
      </c>
      <c r="C562" t="s">
        <v>771</v>
      </c>
      <c r="D562">
        <v>3871978</v>
      </c>
      <c r="E562">
        <v>3.6</v>
      </c>
      <c r="F562">
        <v>5.77</v>
      </c>
    </row>
    <row r="563" spans="1:6" x14ac:dyDescent="0.3">
      <c r="A563" t="s">
        <v>738</v>
      </c>
      <c r="B563" t="s">
        <v>569</v>
      </c>
      <c r="C563" t="s">
        <v>739</v>
      </c>
      <c r="D563">
        <v>3895847</v>
      </c>
      <c r="E563">
        <v>2.19</v>
      </c>
      <c r="F563">
        <v>6.48</v>
      </c>
    </row>
    <row r="564" spans="1:6" x14ac:dyDescent="0.3">
      <c r="A564" t="s">
        <v>772</v>
      </c>
      <c r="B564" t="s">
        <v>773</v>
      </c>
      <c r="C564" t="s">
        <v>774</v>
      </c>
      <c r="D564">
        <v>3916331</v>
      </c>
      <c r="E564">
        <v>6.7</v>
      </c>
      <c r="F564">
        <v>6.63</v>
      </c>
    </row>
    <row r="565" spans="1:6" x14ac:dyDescent="0.3">
      <c r="A565" t="s">
        <v>775</v>
      </c>
      <c r="B565" t="s">
        <v>776</v>
      </c>
      <c r="C565" t="s">
        <v>8</v>
      </c>
      <c r="D565">
        <v>3932260</v>
      </c>
      <c r="E565">
        <v>11.84</v>
      </c>
      <c r="F565">
        <v>5.92</v>
      </c>
    </row>
    <row r="566" spans="1:6" x14ac:dyDescent="0.3">
      <c r="A566" t="s">
        <v>777</v>
      </c>
      <c r="B566" t="s">
        <v>622</v>
      </c>
      <c r="C566" t="s">
        <v>778</v>
      </c>
      <c r="D566">
        <v>3942187</v>
      </c>
      <c r="E566">
        <v>1.99</v>
      </c>
      <c r="F566">
        <v>6.36</v>
      </c>
    </row>
    <row r="567" spans="1:6" x14ac:dyDescent="0.3">
      <c r="A567" t="s">
        <v>779</v>
      </c>
      <c r="B567" t="s">
        <v>414</v>
      </c>
      <c r="C567" t="s">
        <v>780</v>
      </c>
      <c r="D567">
        <v>3976156</v>
      </c>
      <c r="E567">
        <v>8.0399999999999991</v>
      </c>
      <c r="F567">
        <v>5.71</v>
      </c>
    </row>
    <row r="568" spans="1:6" x14ac:dyDescent="0.3">
      <c r="A568" t="s">
        <v>781</v>
      </c>
      <c r="B568" t="s">
        <v>683</v>
      </c>
      <c r="C568" t="s">
        <v>782</v>
      </c>
      <c r="D568">
        <v>3979721</v>
      </c>
      <c r="E568">
        <v>20.91</v>
      </c>
      <c r="F568">
        <v>5.22</v>
      </c>
    </row>
    <row r="569" spans="1:6" x14ac:dyDescent="0.3">
      <c r="A569" t="s">
        <v>783</v>
      </c>
      <c r="B569" t="s">
        <v>784</v>
      </c>
      <c r="C569" t="s">
        <v>785</v>
      </c>
      <c r="D569">
        <v>4020457</v>
      </c>
      <c r="E569">
        <v>1.79</v>
      </c>
      <c r="F569">
        <v>6.41</v>
      </c>
    </row>
    <row r="570" spans="1:6" x14ac:dyDescent="0.3">
      <c r="A570" t="s">
        <v>786</v>
      </c>
      <c r="B570" t="s">
        <v>787</v>
      </c>
      <c r="C570" t="s">
        <v>788</v>
      </c>
      <c r="D570">
        <v>4045128</v>
      </c>
      <c r="E570">
        <v>5.42</v>
      </c>
      <c r="F570">
        <v>6.2</v>
      </c>
    </row>
    <row r="571" spans="1:6" x14ac:dyDescent="0.3">
      <c r="A571" t="s">
        <v>789</v>
      </c>
      <c r="B571" t="s">
        <v>790</v>
      </c>
      <c r="C571" t="s">
        <v>718</v>
      </c>
      <c r="D571">
        <v>4094401</v>
      </c>
      <c r="E571">
        <v>4.47</v>
      </c>
      <c r="F571">
        <v>6.88</v>
      </c>
    </row>
    <row r="572" spans="1:6" x14ac:dyDescent="0.3">
      <c r="A572" t="s">
        <v>791</v>
      </c>
      <c r="B572" t="s">
        <v>609</v>
      </c>
      <c r="C572" t="s">
        <v>792</v>
      </c>
      <c r="D572">
        <v>4115525</v>
      </c>
      <c r="E572">
        <v>13.12</v>
      </c>
      <c r="F572">
        <v>5.89</v>
      </c>
    </row>
    <row r="573" spans="1:6" x14ac:dyDescent="0.3">
      <c r="A573" t="s">
        <v>793</v>
      </c>
      <c r="B573" t="s">
        <v>794</v>
      </c>
      <c r="C573" t="s">
        <v>6</v>
      </c>
      <c r="D573">
        <v>4125776</v>
      </c>
      <c r="E573">
        <v>35</v>
      </c>
      <c r="F573">
        <v>5.5</v>
      </c>
    </row>
    <row r="574" spans="1:6" x14ac:dyDescent="0.3">
      <c r="A574" t="s">
        <v>795</v>
      </c>
      <c r="B574" t="s">
        <v>796</v>
      </c>
      <c r="C574" t="s">
        <v>797</v>
      </c>
      <c r="D574">
        <v>4158642</v>
      </c>
      <c r="E574">
        <v>12.92</v>
      </c>
      <c r="F574">
        <v>7.16</v>
      </c>
    </row>
    <row r="575" spans="1:6" x14ac:dyDescent="0.3">
      <c r="A575" t="s">
        <v>798</v>
      </c>
      <c r="B575" t="s">
        <v>414</v>
      </c>
      <c r="C575" t="s">
        <v>799</v>
      </c>
      <c r="D575">
        <v>4186786</v>
      </c>
      <c r="E575">
        <v>7.23</v>
      </c>
      <c r="F575">
        <v>6</v>
      </c>
    </row>
    <row r="576" spans="1:6" x14ac:dyDescent="0.3">
      <c r="A576" t="s">
        <v>800</v>
      </c>
      <c r="B576" t="s">
        <v>801</v>
      </c>
      <c r="C576" t="s">
        <v>8</v>
      </c>
      <c r="D576">
        <v>4190996</v>
      </c>
      <c r="E576">
        <v>3.16</v>
      </c>
      <c r="F576">
        <v>6.3</v>
      </c>
    </row>
    <row r="577" spans="1:6" x14ac:dyDescent="0.3">
      <c r="A577" t="s">
        <v>802</v>
      </c>
      <c r="B577" t="s">
        <v>803</v>
      </c>
      <c r="C577" t="s">
        <v>771</v>
      </c>
      <c r="D577">
        <v>4191927</v>
      </c>
      <c r="E577">
        <v>5.65</v>
      </c>
      <c r="F577">
        <v>5.5</v>
      </c>
    </row>
    <row r="578" spans="1:6" x14ac:dyDescent="0.3">
      <c r="A578" t="s">
        <v>804</v>
      </c>
      <c r="B578" t="s">
        <v>277</v>
      </c>
      <c r="C578" t="s">
        <v>805</v>
      </c>
      <c r="D578">
        <v>4192768</v>
      </c>
      <c r="E578">
        <v>11.2</v>
      </c>
      <c r="F578">
        <v>7.14</v>
      </c>
    </row>
    <row r="579" spans="1:6" x14ac:dyDescent="0.3">
      <c r="A579" t="s">
        <v>806</v>
      </c>
      <c r="B579" t="s">
        <v>609</v>
      </c>
      <c r="C579" t="s">
        <v>739</v>
      </c>
      <c r="D579">
        <v>4217032</v>
      </c>
      <c r="E579">
        <v>11.94</v>
      </c>
      <c r="F579">
        <v>7.11</v>
      </c>
    </row>
    <row r="580" spans="1:6" x14ac:dyDescent="0.3">
      <c r="A580" t="s">
        <v>807</v>
      </c>
      <c r="B580" t="s">
        <v>808</v>
      </c>
      <c r="C580" t="s">
        <v>731</v>
      </c>
      <c r="D580">
        <v>4218933</v>
      </c>
      <c r="E580">
        <v>12.17</v>
      </c>
      <c r="F580">
        <v>5.87</v>
      </c>
    </row>
    <row r="581" spans="1:6" x14ac:dyDescent="0.3">
      <c r="A581" t="s">
        <v>809</v>
      </c>
      <c r="B581" t="s">
        <v>611</v>
      </c>
      <c r="C581" t="s">
        <v>810</v>
      </c>
      <c r="D581">
        <v>4219194</v>
      </c>
      <c r="E581">
        <v>8.39</v>
      </c>
      <c r="F581">
        <v>5.2</v>
      </c>
    </row>
    <row r="582" spans="1:6" x14ac:dyDescent="0.3">
      <c r="A582" t="s">
        <v>811</v>
      </c>
      <c r="B582" t="s">
        <v>812</v>
      </c>
      <c r="C582" t="s">
        <v>813</v>
      </c>
      <c r="D582">
        <v>4225700</v>
      </c>
      <c r="E582">
        <v>11.91</v>
      </c>
      <c r="F582">
        <v>5.2</v>
      </c>
    </row>
    <row r="583" spans="1:6" x14ac:dyDescent="0.3">
      <c r="A583" t="s">
        <v>814</v>
      </c>
      <c r="B583" t="s">
        <v>815</v>
      </c>
      <c r="C583" t="s">
        <v>758</v>
      </c>
      <c r="D583">
        <v>4232282</v>
      </c>
      <c r="E583">
        <v>5.25</v>
      </c>
      <c r="F583">
        <v>5.86</v>
      </c>
    </row>
    <row r="584" spans="1:6" x14ac:dyDescent="0.3">
      <c r="A584" t="s">
        <v>816</v>
      </c>
      <c r="B584" t="s">
        <v>817</v>
      </c>
      <c r="C584" t="s">
        <v>818</v>
      </c>
      <c r="D584">
        <v>4234939</v>
      </c>
      <c r="E584">
        <v>10.82</v>
      </c>
      <c r="F584">
        <v>6.56</v>
      </c>
    </row>
    <row r="585" spans="1:6" x14ac:dyDescent="0.3">
      <c r="A585" t="s">
        <v>819</v>
      </c>
      <c r="B585" t="s">
        <v>463</v>
      </c>
      <c r="C585" t="s">
        <v>820</v>
      </c>
      <c r="D585">
        <v>4236336</v>
      </c>
      <c r="E585">
        <v>8.19</v>
      </c>
      <c r="F585">
        <v>6.74</v>
      </c>
    </row>
    <row r="586" spans="1:6" x14ac:dyDescent="0.3">
      <c r="A586" t="s">
        <v>821</v>
      </c>
      <c r="B586" t="s">
        <v>822</v>
      </c>
      <c r="C586" t="s">
        <v>823</v>
      </c>
      <c r="D586">
        <v>4245095</v>
      </c>
      <c r="E586">
        <v>4.71</v>
      </c>
      <c r="F586">
        <v>6.22</v>
      </c>
    </row>
    <row r="587" spans="1:6" x14ac:dyDescent="0.3">
      <c r="A587" t="s">
        <v>824</v>
      </c>
      <c r="B587" t="s">
        <v>622</v>
      </c>
      <c r="C587" t="s">
        <v>818</v>
      </c>
      <c r="D587">
        <v>4257817</v>
      </c>
      <c r="E587">
        <v>5.73</v>
      </c>
      <c r="F587">
        <v>6.1</v>
      </c>
    </row>
    <row r="588" spans="1:6" x14ac:dyDescent="0.3">
      <c r="A588" t="s">
        <v>825</v>
      </c>
      <c r="B588" t="s">
        <v>826</v>
      </c>
      <c r="C588" t="s">
        <v>827</v>
      </c>
      <c r="D588">
        <v>4284013</v>
      </c>
      <c r="E588">
        <v>11.27</v>
      </c>
      <c r="F588">
        <v>6.5</v>
      </c>
    </row>
    <row r="589" spans="1:6" x14ac:dyDescent="0.3">
      <c r="A589" t="s">
        <v>828</v>
      </c>
      <c r="B589" t="s">
        <v>333</v>
      </c>
      <c r="C589" t="s">
        <v>718</v>
      </c>
      <c r="D589">
        <v>4302478</v>
      </c>
      <c r="E589">
        <v>6.87</v>
      </c>
      <c r="F589">
        <v>5.09</v>
      </c>
    </row>
    <row r="590" spans="1:6" x14ac:dyDescent="0.3">
      <c r="A590" t="s">
        <v>829</v>
      </c>
      <c r="B590" t="s">
        <v>773</v>
      </c>
      <c r="C590" t="s">
        <v>753</v>
      </c>
      <c r="D590">
        <v>4318253</v>
      </c>
      <c r="E590">
        <v>6.82</v>
      </c>
      <c r="F590">
        <v>6.34</v>
      </c>
    </row>
    <row r="591" spans="1:6" x14ac:dyDescent="0.3">
      <c r="A591" t="s">
        <v>830</v>
      </c>
      <c r="B591" t="s">
        <v>761</v>
      </c>
      <c r="C591" t="s">
        <v>767</v>
      </c>
      <c r="D591">
        <v>4364121</v>
      </c>
      <c r="E591">
        <v>12.99</v>
      </c>
      <c r="F591">
        <v>6.86</v>
      </c>
    </row>
    <row r="592" spans="1:6" x14ac:dyDescent="0.3">
      <c r="A592" t="s">
        <v>831</v>
      </c>
      <c r="B592" t="s">
        <v>520</v>
      </c>
      <c r="C592" t="s">
        <v>832</v>
      </c>
      <c r="D592">
        <v>4386236</v>
      </c>
      <c r="E592">
        <v>12</v>
      </c>
      <c r="F592">
        <v>4</v>
      </c>
    </row>
    <row r="593" spans="1:6" x14ac:dyDescent="0.3">
      <c r="A593" t="s">
        <v>833</v>
      </c>
      <c r="B593" t="s">
        <v>834</v>
      </c>
      <c r="C593" t="s">
        <v>832</v>
      </c>
      <c r="D593">
        <v>4390408</v>
      </c>
      <c r="E593">
        <v>5.68</v>
      </c>
      <c r="F593">
        <v>6.38</v>
      </c>
    </row>
    <row r="594" spans="1:6" x14ac:dyDescent="0.3">
      <c r="A594" t="s">
        <v>835</v>
      </c>
      <c r="B594" t="s">
        <v>815</v>
      </c>
      <c r="C594" t="s">
        <v>836</v>
      </c>
      <c r="D594">
        <v>4449165</v>
      </c>
      <c r="E594">
        <v>5.95</v>
      </c>
      <c r="F594">
        <v>5.71</v>
      </c>
    </row>
    <row r="595" spans="1:6" x14ac:dyDescent="0.3">
      <c r="A595" t="s">
        <v>837</v>
      </c>
      <c r="B595" t="s">
        <v>475</v>
      </c>
      <c r="C595" t="s">
        <v>827</v>
      </c>
      <c r="D595">
        <v>4449600</v>
      </c>
      <c r="E595">
        <v>10.89</v>
      </c>
      <c r="F595">
        <v>6.74</v>
      </c>
    </row>
    <row r="596" spans="1:6" x14ac:dyDescent="0.3">
      <c r="A596" t="s">
        <v>838</v>
      </c>
      <c r="B596" t="s">
        <v>150</v>
      </c>
      <c r="C596" t="s">
        <v>739</v>
      </c>
      <c r="D596">
        <v>4480217</v>
      </c>
      <c r="E596">
        <v>7.26</v>
      </c>
      <c r="F596">
        <v>5.55</v>
      </c>
    </row>
    <row r="597" spans="1:6" x14ac:dyDescent="0.3">
      <c r="A597" t="s">
        <v>839</v>
      </c>
      <c r="B597" t="s">
        <v>840</v>
      </c>
      <c r="C597" t="s">
        <v>820</v>
      </c>
      <c r="D597">
        <v>4486678</v>
      </c>
      <c r="E597">
        <v>9.5299999999999994</v>
      </c>
      <c r="F597">
        <v>6.07</v>
      </c>
    </row>
    <row r="598" spans="1:6" x14ac:dyDescent="0.3">
      <c r="A598" t="s">
        <v>841</v>
      </c>
      <c r="B598" t="s">
        <v>842</v>
      </c>
      <c r="C598" t="s">
        <v>843</v>
      </c>
      <c r="D598">
        <v>4500994</v>
      </c>
      <c r="E598">
        <v>11.52</v>
      </c>
      <c r="F598">
        <v>6.71</v>
      </c>
    </row>
    <row r="599" spans="1:6" x14ac:dyDescent="0.3">
      <c r="A599" t="s">
        <v>844</v>
      </c>
      <c r="B599" t="s">
        <v>523</v>
      </c>
      <c r="C599" t="s">
        <v>845</v>
      </c>
      <c r="D599">
        <v>4524796</v>
      </c>
      <c r="E599">
        <v>12.12</v>
      </c>
      <c r="F599">
        <v>6.04</v>
      </c>
    </row>
    <row r="600" spans="1:6" x14ac:dyDescent="0.3">
      <c r="A600" t="s">
        <v>846</v>
      </c>
      <c r="B600" t="s">
        <v>567</v>
      </c>
      <c r="C600" t="s">
        <v>847</v>
      </c>
      <c r="D600">
        <v>4545425</v>
      </c>
      <c r="E600">
        <v>15.36</v>
      </c>
      <c r="F600">
        <v>5.98</v>
      </c>
    </row>
    <row r="601" spans="1:6" x14ac:dyDescent="0.3">
      <c r="A601" t="s">
        <v>848</v>
      </c>
      <c r="B601" t="s">
        <v>849</v>
      </c>
      <c r="C601" t="s">
        <v>731</v>
      </c>
      <c r="D601">
        <v>4552000</v>
      </c>
      <c r="E601">
        <v>4.8</v>
      </c>
      <c r="F601">
        <v>6.51</v>
      </c>
    </row>
    <row r="602" spans="1:6" x14ac:dyDescent="0.3">
      <c r="A602" t="s">
        <v>850</v>
      </c>
      <c r="B602" t="s">
        <v>851</v>
      </c>
      <c r="C602" t="s">
        <v>818</v>
      </c>
      <c r="D602">
        <v>4586988</v>
      </c>
      <c r="E602">
        <v>4.9000000000000004</v>
      </c>
      <c r="F602">
        <v>4.88</v>
      </c>
    </row>
    <row r="603" spans="1:6" x14ac:dyDescent="0.3">
      <c r="A603" t="s">
        <v>852</v>
      </c>
      <c r="B603" t="s">
        <v>88</v>
      </c>
      <c r="C603" t="s">
        <v>6</v>
      </c>
      <c r="D603">
        <v>4665618</v>
      </c>
      <c r="E603">
        <v>8.52</v>
      </c>
      <c r="F603">
        <v>6.35</v>
      </c>
    </row>
    <row r="604" spans="1:6" x14ac:dyDescent="0.3">
      <c r="A604" t="s">
        <v>853</v>
      </c>
      <c r="B604" t="s">
        <v>854</v>
      </c>
      <c r="C604" t="s">
        <v>762</v>
      </c>
      <c r="D604">
        <v>4666989</v>
      </c>
      <c r="E604">
        <v>2.15</v>
      </c>
      <c r="F604">
        <v>6.05</v>
      </c>
    </row>
    <row r="605" spans="1:6" x14ac:dyDescent="0.3">
      <c r="A605" t="s">
        <v>855</v>
      </c>
      <c r="B605" t="s">
        <v>622</v>
      </c>
      <c r="C605" t="s">
        <v>856</v>
      </c>
      <c r="D605">
        <v>4668582</v>
      </c>
      <c r="E605">
        <v>4.3099999999999996</v>
      </c>
      <c r="F605">
        <v>6.54</v>
      </c>
    </row>
    <row r="606" spans="1:6" x14ac:dyDescent="0.3">
      <c r="A606" t="s">
        <v>857</v>
      </c>
      <c r="B606" t="s">
        <v>49</v>
      </c>
      <c r="C606" t="s">
        <v>857</v>
      </c>
      <c r="D606">
        <v>4683194</v>
      </c>
      <c r="E606">
        <v>11.66</v>
      </c>
      <c r="F606">
        <v>7.81</v>
      </c>
    </row>
    <row r="607" spans="1:6" x14ac:dyDescent="0.3">
      <c r="A607" t="s">
        <v>858</v>
      </c>
      <c r="B607" t="s">
        <v>192</v>
      </c>
      <c r="C607" t="s">
        <v>859</v>
      </c>
      <c r="D607">
        <v>4706930</v>
      </c>
      <c r="E607">
        <v>16.88</v>
      </c>
      <c r="F607">
        <v>5.48</v>
      </c>
    </row>
    <row r="608" spans="1:6" x14ac:dyDescent="0.3">
      <c r="A608" t="s">
        <v>860</v>
      </c>
      <c r="B608" t="s">
        <v>591</v>
      </c>
      <c r="C608" t="s">
        <v>45</v>
      </c>
      <c r="D608">
        <v>4727649</v>
      </c>
      <c r="E608">
        <v>9.1</v>
      </c>
      <c r="F608">
        <v>6.27</v>
      </c>
    </row>
    <row r="609" spans="1:6" x14ac:dyDescent="0.3">
      <c r="A609" t="s">
        <v>861</v>
      </c>
      <c r="B609" t="s">
        <v>862</v>
      </c>
      <c r="C609" t="s">
        <v>792</v>
      </c>
      <c r="D609">
        <v>4731566</v>
      </c>
      <c r="E609">
        <v>10.73</v>
      </c>
      <c r="F609">
        <v>7.11</v>
      </c>
    </row>
    <row r="610" spans="1:6" x14ac:dyDescent="0.3">
      <c r="A610" t="s">
        <v>863</v>
      </c>
      <c r="B610" t="s">
        <v>683</v>
      </c>
      <c r="C610" t="s">
        <v>707</v>
      </c>
      <c r="D610">
        <v>4744205</v>
      </c>
      <c r="E610">
        <v>13.25</v>
      </c>
      <c r="F610">
        <v>4.82</v>
      </c>
    </row>
    <row r="611" spans="1:6" x14ac:dyDescent="0.3">
      <c r="A611" t="s">
        <v>864</v>
      </c>
      <c r="B611" t="s">
        <v>840</v>
      </c>
      <c r="C611" t="s">
        <v>718</v>
      </c>
      <c r="D611">
        <v>4751069</v>
      </c>
      <c r="E611">
        <v>2.79</v>
      </c>
      <c r="F611">
        <v>5.6</v>
      </c>
    </row>
    <row r="612" spans="1:6" x14ac:dyDescent="0.3">
      <c r="A612" t="s">
        <v>865</v>
      </c>
      <c r="B612" t="s">
        <v>866</v>
      </c>
      <c r="C612" t="s">
        <v>818</v>
      </c>
      <c r="D612">
        <v>4780130</v>
      </c>
      <c r="E612">
        <v>8.9</v>
      </c>
      <c r="F612">
        <v>6.9</v>
      </c>
    </row>
    <row r="613" spans="1:6" x14ac:dyDescent="0.3">
      <c r="A613" t="s">
        <v>867</v>
      </c>
      <c r="B613" t="s">
        <v>761</v>
      </c>
      <c r="C613" t="s">
        <v>23</v>
      </c>
      <c r="D613">
        <v>4785039</v>
      </c>
      <c r="E613">
        <v>7.24</v>
      </c>
      <c r="F613">
        <v>7.35</v>
      </c>
    </row>
    <row r="614" spans="1:6" x14ac:dyDescent="0.3">
      <c r="A614" t="s">
        <v>868</v>
      </c>
      <c r="B614" t="s">
        <v>840</v>
      </c>
      <c r="C614" t="s">
        <v>869</v>
      </c>
      <c r="D614">
        <v>4801106</v>
      </c>
      <c r="E614">
        <v>9.8800000000000008</v>
      </c>
      <c r="F614">
        <v>5.62</v>
      </c>
    </row>
    <row r="615" spans="1:6" x14ac:dyDescent="0.3">
      <c r="A615" t="s">
        <v>870</v>
      </c>
      <c r="B615" t="s">
        <v>622</v>
      </c>
      <c r="C615" t="s">
        <v>813</v>
      </c>
      <c r="D615">
        <v>4822612</v>
      </c>
      <c r="E615">
        <v>6.88</v>
      </c>
      <c r="F615">
        <v>6</v>
      </c>
    </row>
    <row r="616" spans="1:6" x14ac:dyDescent="0.3">
      <c r="A616" t="s">
        <v>871</v>
      </c>
      <c r="B616" t="s">
        <v>761</v>
      </c>
      <c r="C616" t="s">
        <v>731</v>
      </c>
      <c r="D616">
        <v>4831539</v>
      </c>
      <c r="E616">
        <v>6.7</v>
      </c>
      <c r="F616">
        <v>6.31</v>
      </c>
    </row>
    <row r="617" spans="1:6" x14ac:dyDescent="0.3">
      <c r="A617" t="s">
        <v>872</v>
      </c>
      <c r="B617" t="s">
        <v>873</v>
      </c>
      <c r="C617" t="s">
        <v>874</v>
      </c>
      <c r="D617">
        <v>4855709</v>
      </c>
      <c r="E617">
        <v>6.77</v>
      </c>
      <c r="F617">
        <v>5.55</v>
      </c>
    </row>
    <row r="618" spans="1:6" x14ac:dyDescent="0.3">
      <c r="A618" t="s">
        <v>875</v>
      </c>
      <c r="B618" t="s">
        <v>876</v>
      </c>
      <c r="C618" t="s">
        <v>792</v>
      </c>
      <c r="D618">
        <v>4869516</v>
      </c>
      <c r="E618">
        <v>14.12</v>
      </c>
      <c r="F618">
        <v>6.4</v>
      </c>
    </row>
    <row r="619" spans="1:6" x14ac:dyDescent="0.3">
      <c r="A619" t="s">
        <v>877</v>
      </c>
      <c r="B619" t="s">
        <v>27</v>
      </c>
      <c r="C619" t="s">
        <v>878</v>
      </c>
      <c r="D619">
        <v>4869657</v>
      </c>
      <c r="E619">
        <v>4.97</v>
      </c>
      <c r="F619">
        <v>6.07</v>
      </c>
    </row>
    <row r="620" spans="1:6" x14ac:dyDescent="0.3">
      <c r="A620" t="s">
        <v>879</v>
      </c>
      <c r="B620" t="s">
        <v>520</v>
      </c>
      <c r="C620" t="s">
        <v>45</v>
      </c>
      <c r="D620">
        <v>4876299</v>
      </c>
      <c r="E620">
        <v>9.01</v>
      </c>
      <c r="F620">
        <v>5.66</v>
      </c>
    </row>
    <row r="621" spans="1:6" x14ac:dyDescent="0.3">
      <c r="A621" t="s">
        <v>754</v>
      </c>
      <c r="B621" t="s">
        <v>96</v>
      </c>
      <c r="C621" t="s">
        <v>755</v>
      </c>
      <c r="D621">
        <v>4879498</v>
      </c>
      <c r="E621">
        <v>4.21</v>
      </c>
      <c r="F621">
        <v>7</v>
      </c>
    </row>
    <row r="622" spans="1:6" x14ac:dyDescent="0.3">
      <c r="A622" t="s">
        <v>880</v>
      </c>
      <c r="B622" t="s">
        <v>22</v>
      </c>
      <c r="C622" t="s">
        <v>349</v>
      </c>
      <c r="D622">
        <v>4897287</v>
      </c>
      <c r="E622">
        <v>11</v>
      </c>
      <c r="F622">
        <v>8.09</v>
      </c>
    </row>
    <row r="623" spans="1:6" x14ac:dyDescent="0.3">
      <c r="A623" t="s">
        <v>881</v>
      </c>
      <c r="B623" t="s">
        <v>840</v>
      </c>
      <c r="C623" t="s">
        <v>882</v>
      </c>
      <c r="D623">
        <v>4924197</v>
      </c>
      <c r="E623">
        <v>2.75</v>
      </c>
      <c r="F623">
        <v>6</v>
      </c>
    </row>
    <row r="624" spans="1:6" x14ac:dyDescent="0.3">
      <c r="A624" t="s">
        <v>883</v>
      </c>
      <c r="B624" t="s">
        <v>822</v>
      </c>
      <c r="C624" t="s">
        <v>883</v>
      </c>
      <c r="D624">
        <v>4952765</v>
      </c>
      <c r="E624">
        <v>8.6</v>
      </c>
      <c r="F624">
        <v>7.13</v>
      </c>
    </row>
    <row r="625" spans="1:6" x14ac:dyDescent="0.3">
      <c r="A625" t="s">
        <v>884</v>
      </c>
      <c r="B625" t="s">
        <v>656</v>
      </c>
      <c r="C625" t="s">
        <v>885</v>
      </c>
      <c r="D625">
        <v>4953315</v>
      </c>
      <c r="E625">
        <v>7.57</v>
      </c>
      <c r="F625">
        <v>6.82</v>
      </c>
    </row>
    <row r="626" spans="1:6" x14ac:dyDescent="0.3">
      <c r="A626" t="s">
        <v>886</v>
      </c>
      <c r="B626" t="s">
        <v>887</v>
      </c>
      <c r="C626" t="s">
        <v>25</v>
      </c>
      <c r="D626">
        <v>4955272</v>
      </c>
      <c r="E626">
        <v>8.34</v>
      </c>
      <c r="F626">
        <v>6.71</v>
      </c>
    </row>
    <row r="627" spans="1:6" x14ac:dyDescent="0.3">
      <c r="A627" t="s">
        <v>888</v>
      </c>
      <c r="B627" t="s">
        <v>889</v>
      </c>
      <c r="C627" t="s">
        <v>782</v>
      </c>
      <c r="D627">
        <v>4956616</v>
      </c>
      <c r="E627">
        <v>7.56</v>
      </c>
      <c r="F627">
        <v>4.88</v>
      </c>
    </row>
    <row r="628" spans="1:6" x14ac:dyDescent="0.3">
      <c r="A628" t="s">
        <v>890</v>
      </c>
      <c r="B628" t="s">
        <v>761</v>
      </c>
      <c r="C628" t="s">
        <v>744</v>
      </c>
      <c r="D628">
        <v>4957691</v>
      </c>
      <c r="E628">
        <v>15.66</v>
      </c>
      <c r="F628">
        <v>7.37</v>
      </c>
    </row>
    <row r="629" spans="1:6" x14ac:dyDescent="0.3">
      <c r="A629" t="s">
        <v>891</v>
      </c>
      <c r="B629" t="s">
        <v>412</v>
      </c>
      <c r="C629" t="s">
        <v>882</v>
      </c>
      <c r="D629">
        <v>4967525</v>
      </c>
      <c r="E629">
        <v>7.67</v>
      </c>
      <c r="F629">
        <v>6.67</v>
      </c>
    </row>
    <row r="630" spans="1:6" x14ac:dyDescent="0.3">
      <c r="A630" t="s">
        <v>892</v>
      </c>
      <c r="B630" t="s">
        <v>622</v>
      </c>
      <c r="C630" t="s">
        <v>893</v>
      </c>
      <c r="D630">
        <v>4976170</v>
      </c>
      <c r="E630">
        <v>8.44</v>
      </c>
      <c r="F630">
        <v>5.76</v>
      </c>
    </row>
    <row r="631" spans="1:6" x14ac:dyDescent="0.3">
      <c r="A631" t="s">
        <v>894</v>
      </c>
      <c r="B631" t="s">
        <v>895</v>
      </c>
      <c r="C631" t="s">
        <v>896</v>
      </c>
      <c r="D631">
        <v>5006589</v>
      </c>
      <c r="E631">
        <v>7.77</v>
      </c>
      <c r="F631">
        <v>5.09</v>
      </c>
    </row>
    <row r="632" spans="1:6" x14ac:dyDescent="0.3">
      <c r="A632" t="s">
        <v>897</v>
      </c>
      <c r="B632" t="s">
        <v>414</v>
      </c>
      <c r="C632" t="s">
        <v>898</v>
      </c>
      <c r="D632">
        <v>5026733</v>
      </c>
      <c r="E632">
        <v>12.34</v>
      </c>
      <c r="F632">
        <v>7.11</v>
      </c>
    </row>
    <row r="633" spans="1:6" x14ac:dyDescent="0.3">
      <c r="A633" t="s">
        <v>899</v>
      </c>
      <c r="B633" t="s">
        <v>900</v>
      </c>
      <c r="C633" t="s">
        <v>901</v>
      </c>
      <c r="D633">
        <v>5038650</v>
      </c>
      <c r="E633">
        <v>14.23</v>
      </c>
      <c r="F633">
        <v>6.62</v>
      </c>
    </row>
    <row r="634" spans="1:6" x14ac:dyDescent="0.3">
      <c r="A634" t="s">
        <v>902</v>
      </c>
      <c r="B634" t="s">
        <v>414</v>
      </c>
      <c r="C634" t="s">
        <v>903</v>
      </c>
      <c r="D634">
        <v>5051553</v>
      </c>
      <c r="E634">
        <v>7.06</v>
      </c>
      <c r="F634">
        <v>6.38</v>
      </c>
    </row>
    <row r="635" spans="1:6" x14ac:dyDescent="0.3">
      <c r="A635" t="s">
        <v>904</v>
      </c>
      <c r="B635" t="s">
        <v>192</v>
      </c>
      <c r="C635" t="s">
        <v>792</v>
      </c>
      <c r="D635">
        <v>5097836</v>
      </c>
      <c r="E635">
        <v>11.16</v>
      </c>
      <c r="F635">
        <v>6.64</v>
      </c>
    </row>
    <row r="636" spans="1:6" x14ac:dyDescent="0.3">
      <c r="A636" t="s">
        <v>905</v>
      </c>
      <c r="B636" t="s">
        <v>906</v>
      </c>
      <c r="C636" t="s">
        <v>782</v>
      </c>
      <c r="D636">
        <v>5098465</v>
      </c>
      <c r="E636">
        <v>2.06</v>
      </c>
      <c r="F636">
        <v>5.8</v>
      </c>
    </row>
    <row r="637" spans="1:6" x14ac:dyDescent="0.3">
      <c r="A637" t="s">
        <v>907</v>
      </c>
      <c r="B637" t="s">
        <v>412</v>
      </c>
      <c r="C637" t="s">
        <v>741</v>
      </c>
      <c r="D637">
        <v>5117594</v>
      </c>
      <c r="E637">
        <v>7.5</v>
      </c>
      <c r="F637">
        <v>5.63</v>
      </c>
    </row>
    <row r="638" spans="1:6" x14ac:dyDescent="0.3">
      <c r="A638" t="s">
        <v>908</v>
      </c>
      <c r="B638" t="s">
        <v>909</v>
      </c>
      <c r="C638" t="s">
        <v>882</v>
      </c>
      <c r="D638">
        <v>5118127</v>
      </c>
      <c r="E638">
        <v>8.35</v>
      </c>
      <c r="F638">
        <v>6.26</v>
      </c>
    </row>
    <row r="639" spans="1:6" x14ac:dyDescent="0.3">
      <c r="A639" t="s">
        <v>910</v>
      </c>
      <c r="B639" t="s">
        <v>414</v>
      </c>
      <c r="C639" t="s">
        <v>911</v>
      </c>
      <c r="D639">
        <v>5147922</v>
      </c>
      <c r="E639">
        <v>10.199999999999999</v>
      </c>
      <c r="F639">
        <v>5.22</v>
      </c>
    </row>
    <row r="640" spans="1:6" x14ac:dyDescent="0.3">
      <c r="A640" t="s">
        <v>748</v>
      </c>
      <c r="B640" t="s">
        <v>912</v>
      </c>
      <c r="C640" t="s">
        <v>749</v>
      </c>
      <c r="D640">
        <v>5154031</v>
      </c>
      <c r="E640">
        <v>12</v>
      </c>
      <c r="F640">
        <v>2.67</v>
      </c>
    </row>
    <row r="641" spans="1:6" x14ac:dyDescent="0.3">
      <c r="A641" t="s">
        <v>913</v>
      </c>
      <c r="B641" t="s">
        <v>826</v>
      </c>
      <c r="C641" t="s">
        <v>769</v>
      </c>
      <c r="D641">
        <v>5155022</v>
      </c>
      <c r="E641">
        <v>17.21</v>
      </c>
      <c r="F641">
        <v>6.23</v>
      </c>
    </row>
    <row r="642" spans="1:6" x14ac:dyDescent="0.3">
      <c r="A642" t="s">
        <v>914</v>
      </c>
      <c r="B642" t="s">
        <v>548</v>
      </c>
      <c r="C642" t="s">
        <v>731</v>
      </c>
      <c r="D642">
        <v>5176088</v>
      </c>
      <c r="E642">
        <v>13.4</v>
      </c>
      <c r="F642">
        <v>4.5999999999999996</v>
      </c>
    </row>
    <row r="643" spans="1:6" x14ac:dyDescent="0.3">
      <c r="A643" t="s">
        <v>915</v>
      </c>
      <c r="B643" t="s">
        <v>463</v>
      </c>
      <c r="C643" t="s">
        <v>916</v>
      </c>
      <c r="D643">
        <v>5206452</v>
      </c>
      <c r="E643">
        <v>11.91</v>
      </c>
      <c r="F643">
        <v>6.89</v>
      </c>
    </row>
    <row r="644" spans="1:6" x14ac:dyDescent="0.3">
      <c r="A644" t="s">
        <v>917</v>
      </c>
      <c r="B644" t="s">
        <v>803</v>
      </c>
      <c r="C644" t="s">
        <v>918</v>
      </c>
      <c r="D644">
        <v>5208291</v>
      </c>
      <c r="E644">
        <v>13.63</v>
      </c>
      <c r="F644">
        <v>5.89</v>
      </c>
    </row>
    <row r="645" spans="1:6" x14ac:dyDescent="0.3">
      <c r="A645" t="s">
        <v>919</v>
      </c>
      <c r="B645" t="s">
        <v>683</v>
      </c>
      <c r="C645" t="s">
        <v>920</v>
      </c>
      <c r="D645">
        <v>5211986</v>
      </c>
      <c r="E645">
        <v>3.82</v>
      </c>
      <c r="F645">
        <v>6.23</v>
      </c>
    </row>
    <row r="646" spans="1:6" x14ac:dyDescent="0.3">
      <c r="A646" t="s">
        <v>921</v>
      </c>
      <c r="B646" t="s">
        <v>922</v>
      </c>
      <c r="C646" t="s">
        <v>923</v>
      </c>
      <c r="D646">
        <v>5232805</v>
      </c>
      <c r="E646">
        <v>16.170000000000002</v>
      </c>
      <c r="F646">
        <v>3.97</v>
      </c>
    </row>
    <row r="647" spans="1:6" x14ac:dyDescent="0.3">
      <c r="A647" t="s">
        <v>924</v>
      </c>
      <c r="B647" t="s">
        <v>773</v>
      </c>
      <c r="C647" t="s">
        <v>925</v>
      </c>
      <c r="D647">
        <v>5239468</v>
      </c>
      <c r="E647">
        <v>4.26</v>
      </c>
      <c r="F647">
        <v>6.26</v>
      </c>
    </row>
    <row r="648" spans="1:6" x14ac:dyDescent="0.3">
      <c r="A648" t="s">
        <v>926</v>
      </c>
      <c r="B648" t="s">
        <v>927</v>
      </c>
      <c r="C648" t="s">
        <v>893</v>
      </c>
      <c r="D648">
        <v>5247526</v>
      </c>
      <c r="E648">
        <v>9.84</v>
      </c>
      <c r="F648">
        <v>4.5599999999999996</v>
      </c>
    </row>
    <row r="649" spans="1:6" x14ac:dyDescent="0.3">
      <c r="A649" t="s">
        <v>928</v>
      </c>
      <c r="B649" t="s">
        <v>85</v>
      </c>
      <c r="C649" t="s">
        <v>929</v>
      </c>
      <c r="D649">
        <v>5298076</v>
      </c>
      <c r="E649">
        <v>15.9</v>
      </c>
      <c r="F649">
        <v>7.71</v>
      </c>
    </row>
    <row r="650" spans="1:6" x14ac:dyDescent="0.3">
      <c r="A650" t="s">
        <v>930</v>
      </c>
      <c r="B650" t="s">
        <v>931</v>
      </c>
      <c r="C650" t="s">
        <v>932</v>
      </c>
      <c r="D650">
        <v>5310094</v>
      </c>
      <c r="E650">
        <v>13.63</v>
      </c>
      <c r="F650">
        <v>5.81</v>
      </c>
    </row>
    <row r="651" spans="1:6" x14ac:dyDescent="0.3">
      <c r="A651" t="s">
        <v>933</v>
      </c>
      <c r="B651" t="s">
        <v>796</v>
      </c>
      <c r="C651" t="s">
        <v>6</v>
      </c>
      <c r="D651">
        <v>5312529</v>
      </c>
      <c r="E651">
        <v>16.14</v>
      </c>
      <c r="F651">
        <v>5.82</v>
      </c>
    </row>
    <row r="652" spans="1:6" x14ac:dyDescent="0.3">
      <c r="A652" t="s">
        <v>934</v>
      </c>
      <c r="B652" t="s">
        <v>935</v>
      </c>
      <c r="C652" t="s">
        <v>936</v>
      </c>
      <c r="D652">
        <v>5368720</v>
      </c>
      <c r="E652">
        <v>10.9</v>
      </c>
      <c r="F652">
        <v>7.24</v>
      </c>
    </row>
    <row r="653" spans="1:6" x14ac:dyDescent="0.3">
      <c r="A653" t="s">
        <v>937</v>
      </c>
      <c r="B653" t="s">
        <v>803</v>
      </c>
      <c r="C653" t="s">
        <v>827</v>
      </c>
      <c r="D653">
        <v>5376097</v>
      </c>
      <c r="E653">
        <v>5.84</v>
      </c>
      <c r="F653">
        <v>5.61</v>
      </c>
    </row>
    <row r="654" spans="1:6" x14ac:dyDescent="0.3">
      <c r="A654" t="s">
        <v>938</v>
      </c>
      <c r="B654" t="s">
        <v>939</v>
      </c>
      <c r="C654" t="s">
        <v>723</v>
      </c>
      <c r="D654">
        <v>5433594</v>
      </c>
      <c r="E654">
        <v>6.7</v>
      </c>
      <c r="F654">
        <v>6.96</v>
      </c>
    </row>
    <row r="655" spans="1:6" x14ac:dyDescent="0.3">
      <c r="A655" t="s">
        <v>940</v>
      </c>
      <c r="B655" t="s">
        <v>941</v>
      </c>
      <c r="C655" t="s">
        <v>942</v>
      </c>
      <c r="D655">
        <v>5439175</v>
      </c>
      <c r="E655">
        <v>3.59</v>
      </c>
      <c r="F655">
        <v>5.25</v>
      </c>
    </row>
    <row r="656" spans="1:6" x14ac:dyDescent="0.3">
      <c r="A656" t="s">
        <v>943</v>
      </c>
      <c r="B656" t="s">
        <v>192</v>
      </c>
      <c r="C656" t="s">
        <v>8</v>
      </c>
      <c r="D656">
        <v>5490008</v>
      </c>
      <c r="E656">
        <v>9.6300000000000008</v>
      </c>
      <c r="F656">
        <v>5.8</v>
      </c>
    </row>
    <row r="657" spans="1:6" x14ac:dyDescent="0.3">
      <c r="A657" t="s">
        <v>944</v>
      </c>
      <c r="B657" t="s">
        <v>412</v>
      </c>
      <c r="C657" t="s">
        <v>6</v>
      </c>
      <c r="D657">
        <v>5499525</v>
      </c>
      <c r="E657">
        <v>6.38</v>
      </c>
      <c r="F657">
        <v>4.71</v>
      </c>
    </row>
    <row r="658" spans="1:6" x14ac:dyDescent="0.3">
      <c r="A658" t="s">
        <v>945</v>
      </c>
      <c r="B658" t="s">
        <v>88</v>
      </c>
      <c r="C658" t="s">
        <v>12</v>
      </c>
      <c r="D658">
        <v>5512519</v>
      </c>
      <c r="E658">
        <v>12.68</v>
      </c>
      <c r="F658">
        <v>6.14</v>
      </c>
    </row>
    <row r="659" spans="1:6" x14ac:dyDescent="0.3">
      <c r="A659" t="s">
        <v>946</v>
      </c>
      <c r="B659" t="s">
        <v>333</v>
      </c>
      <c r="C659" t="s">
        <v>782</v>
      </c>
      <c r="D659">
        <v>5547126</v>
      </c>
      <c r="E659">
        <v>4.08</v>
      </c>
      <c r="F659">
        <v>5</v>
      </c>
    </row>
    <row r="660" spans="1:6" x14ac:dyDescent="0.3">
      <c r="A660" t="s">
        <v>947</v>
      </c>
      <c r="B660" t="s">
        <v>948</v>
      </c>
      <c r="C660" t="s">
        <v>949</v>
      </c>
      <c r="D660">
        <v>5550376</v>
      </c>
      <c r="E660">
        <v>16.440000000000001</v>
      </c>
      <c r="F660">
        <v>6</v>
      </c>
    </row>
    <row r="661" spans="1:6" x14ac:dyDescent="0.3">
      <c r="A661" t="s">
        <v>950</v>
      </c>
      <c r="B661" t="s">
        <v>951</v>
      </c>
      <c r="C661" t="s">
        <v>950</v>
      </c>
      <c r="D661">
        <v>5635835</v>
      </c>
      <c r="E661">
        <v>5.85</v>
      </c>
      <c r="F661">
        <v>6.48</v>
      </c>
    </row>
    <row r="662" spans="1:6" x14ac:dyDescent="0.3">
      <c r="A662" t="s">
        <v>952</v>
      </c>
      <c r="B662" t="s">
        <v>414</v>
      </c>
      <c r="C662" t="s">
        <v>916</v>
      </c>
      <c r="D662">
        <v>5662685</v>
      </c>
      <c r="E662">
        <v>6.75</v>
      </c>
      <c r="F662">
        <v>6</v>
      </c>
    </row>
    <row r="663" spans="1:6" x14ac:dyDescent="0.3">
      <c r="A663" t="s">
        <v>805</v>
      </c>
      <c r="B663" t="s">
        <v>808</v>
      </c>
      <c r="C663" t="s">
        <v>805</v>
      </c>
      <c r="D663">
        <v>5672754</v>
      </c>
      <c r="E663">
        <v>13.69</v>
      </c>
      <c r="F663">
        <v>5.81</v>
      </c>
    </row>
    <row r="664" spans="1:6" x14ac:dyDescent="0.3">
      <c r="A664" t="s">
        <v>953</v>
      </c>
      <c r="B664" t="s">
        <v>419</v>
      </c>
      <c r="C664" t="s">
        <v>782</v>
      </c>
      <c r="D664">
        <v>5673017</v>
      </c>
      <c r="E664">
        <v>14.53</v>
      </c>
      <c r="F664">
        <v>4.29</v>
      </c>
    </row>
    <row r="665" spans="1:6" x14ac:dyDescent="0.3">
      <c r="A665" t="s">
        <v>954</v>
      </c>
      <c r="B665" t="s">
        <v>955</v>
      </c>
      <c r="C665" t="s">
        <v>956</v>
      </c>
      <c r="D665">
        <v>5678682</v>
      </c>
      <c r="E665">
        <v>4.53</v>
      </c>
      <c r="F665">
        <v>6.88</v>
      </c>
    </row>
    <row r="666" spans="1:6" x14ac:dyDescent="0.3">
      <c r="A666" t="s">
        <v>957</v>
      </c>
      <c r="B666" t="s">
        <v>112</v>
      </c>
      <c r="C666" t="s">
        <v>8</v>
      </c>
      <c r="D666">
        <v>5730044</v>
      </c>
      <c r="E666">
        <v>11.71</v>
      </c>
      <c r="F666">
        <v>5.57</v>
      </c>
    </row>
    <row r="667" spans="1:6" x14ac:dyDescent="0.3">
      <c r="A667" t="s">
        <v>958</v>
      </c>
      <c r="B667" t="s">
        <v>475</v>
      </c>
      <c r="C667" t="s">
        <v>959</v>
      </c>
      <c r="D667">
        <v>5748587</v>
      </c>
      <c r="E667">
        <v>10.029999999999999</v>
      </c>
      <c r="F667">
        <v>7.26</v>
      </c>
    </row>
    <row r="668" spans="1:6" x14ac:dyDescent="0.3">
      <c r="A668" t="s">
        <v>960</v>
      </c>
      <c r="B668" t="s">
        <v>325</v>
      </c>
      <c r="C668" t="s">
        <v>961</v>
      </c>
      <c r="D668">
        <v>5817047</v>
      </c>
      <c r="E668">
        <v>10.18</v>
      </c>
      <c r="F668">
        <v>4.88</v>
      </c>
    </row>
    <row r="669" spans="1:6" x14ac:dyDescent="0.3">
      <c r="A669" t="s">
        <v>962</v>
      </c>
      <c r="B669" t="s">
        <v>192</v>
      </c>
      <c r="C669" t="s">
        <v>963</v>
      </c>
      <c r="D669">
        <v>5841411</v>
      </c>
      <c r="E669">
        <v>11.88</v>
      </c>
      <c r="F669">
        <v>6.71</v>
      </c>
    </row>
    <row r="670" spans="1:6" x14ac:dyDescent="0.3">
      <c r="A670" t="s">
        <v>964</v>
      </c>
      <c r="B670" t="s">
        <v>965</v>
      </c>
      <c r="C670" t="s">
        <v>966</v>
      </c>
      <c r="D670">
        <v>5871862</v>
      </c>
      <c r="E670">
        <v>12.09</v>
      </c>
      <c r="F670">
        <v>6.6</v>
      </c>
    </row>
    <row r="671" spans="1:6" x14ac:dyDescent="0.3">
      <c r="A671" t="s">
        <v>967</v>
      </c>
      <c r="B671" t="s">
        <v>968</v>
      </c>
      <c r="C671" t="s">
        <v>969</v>
      </c>
      <c r="D671">
        <v>5875660</v>
      </c>
      <c r="E671">
        <v>7.07</v>
      </c>
      <c r="F671">
        <v>6.43</v>
      </c>
    </row>
    <row r="672" spans="1:6" x14ac:dyDescent="0.3">
      <c r="A672" t="s">
        <v>970</v>
      </c>
      <c r="B672" t="s">
        <v>412</v>
      </c>
      <c r="C672" t="s">
        <v>121</v>
      </c>
      <c r="D672">
        <v>5887457</v>
      </c>
      <c r="E672">
        <v>12.17</v>
      </c>
      <c r="F672">
        <v>4.83</v>
      </c>
    </row>
    <row r="673" spans="1:6" x14ac:dyDescent="0.3">
      <c r="A673" t="s">
        <v>971</v>
      </c>
      <c r="B673" t="s">
        <v>887</v>
      </c>
      <c r="C673" t="s">
        <v>379</v>
      </c>
      <c r="D673">
        <v>5904080</v>
      </c>
      <c r="E673">
        <v>7.17</v>
      </c>
      <c r="F673">
        <v>6.75</v>
      </c>
    </row>
    <row r="674" spans="1:6" x14ac:dyDescent="0.3">
      <c r="A674" t="s">
        <v>972</v>
      </c>
      <c r="B674" t="s">
        <v>973</v>
      </c>
      <c r="C674" t="s">
        <v>704</v>
      </c>
      <c r="D674">
        <v>5904109</v>
      </c>
      <c r="E674">
        <v>1.04</v>
      </c>
      <c r="F674">
        <v>5.78</v>
      </c>
    </row>
    <row r="675" spans="1:6" x14ac:dyDescent="0.3">
      <c r="A675" t="s">
        <v>974</v>
      </c>
      <c r="B675" t="s">
        <v>975</v>
      </c>
      <c r="C675" t="s">
        <v>63</v>
      </c>
      <c r="D675">
        <v>5974129</v>
      </c>
      <c r="E675">
        <v>6.48</v>
      </c>
      <c r="F675">
        <v>5.5</v>
      </c>
    </row>
    <row r="676" spans="1:6" x14ac:dyDescent="0.3">
      <c r="A676" t="s">
        <v>976</v>
      </c>
      <c r="B676" t="s">
        <v>325</v>
      </c>
      <c r="C676" t="s">
        <v>977</v>
      </c>
      <c r="D676">
        <v>5992194</v>
      </c>
      <c r="E676">
        <v>11</v>
      </c>
      <c r="F676">
        <v>6.5</v>
      </c>
    </row>
    <row r="677" spans="1:6" x14ac:dyDescent="0.3">
      <c r="A677" t="s">
        <v>978</v>
      </c>
      <c r="B677" t="s">
        <v>979</v>
      </c>
      <c r="C677" t="s">
        <v>857</v>
      </c>
      <c r="D677">
        <v>6034351</v>
      </c>
      <c r="E677">
        <v>13.29</v>
      </c>
      <c r="F677">
        <v>6.86</v>
      </c>
    </row>
    <row r="678" spans="1:6" x14ac:dyDescent="0.3">
      <c r="A678" t="s">
        <v>980</v>
      </c>
      <c r="B678" t="s">
        <v>540</v>
      </c>
      <c r="C678" t="s">
        <v>707</v>
      </c>
      <c r="D678">
        <v>6078988</v>
      </c>
      <c r="E678">
        <v>6.65</v>
      </c>
      <c r="F678">
        <v>5.9</v>
      </c>
    </row>
    <row r="679" spans="1:6" x14ac:dyDescent="0.3">
      <c r="A679" t="s">
        <v>981</v>
      </c>
      <c r="B679" t="s">
        <v>671</v>
      </c>
      <c r="C679" t="s">
        <v>982</v>
      </c>
      <c r="D679">
        <v>6091800</v>
      </c>
      <c r="E679">
        <v>13.12</v>
      </c>
      <c r="F679">
        <v>6.46</v>
      </c>
    </row>
    <row r="680" spans="1:6" x14ac:dyDescent="0.3">
      <c r="A680" t="s">
        <v>983</v>
      </c>
      <c r="B680" t="s">
        <v>984</v>
      </c>
      <c r="C680" t="s">
        <v>121</v>
      </c>
      <c r="D680">
        <v>6143790</v>
      </c>
      <c r="E680">
        <v>12.6</v>
      </c>
      <c r="F680">
        <v>7.6</v>
      </c>
    </row>
    <row r="681" spans="1:6" x14ac:dyDescent="0.3">
      <c r="A681" t="s">
        <v>981</v>
      </c>
      <c r="B681" t="s">
        <v>985</v>
      </c>
      <c r="C681" t="s">
        <v>982</v>
      </c>
      <c r="D681">
        <v>6149653</v>
      </c>
      <c r="E681">
        <v>11.46</v>
      </c>
      <c r="F681">
        <v>6.25</v>
      </c>
    </row>
    <row r="682" spans="1:6" x14ac:dyDescent="0.3">
      <c r="A682" t="s">
        <v>986</v>
      </c>
      <c r="B682" t="s">
        <v>463</v>
      </c>
      <c r="C682" t="s">
        <v>987</v>
      </c>
      <c r="D682">
        <v>6179338</v>
      </c>
      <c r="E682">
        <v>6.73</v>
      </c>
      <c r="F682">
        <v>6.26</v>
      </c>
    </row>
    <row r="683" spans="1:6" x14ac:dyDescent="0.3">
      <c r="A683" t="s">
        <v>988</v>
      </c>
      <c r="B683" t="s">
        <v>815</v>
      </c>
      <c r="C683" t="s">
        <v>989</v>
      </c>
      <c r="D683">
        <v>6199083</v>
      </c>
      <c r="E683">
        <v>1.9</v>
      </c>
      <c r="F683">
        <v>5.66</v>
      </c>
    </row>
    <row r="684" spans="1:6" x14ac:dyDescent="0.3">
      <c r="A684" t="s">
        <v>990</v>
      </c>
      <c r="B684" t="s">
        <v>873</v>
      </c>
      <c r="C684" t="s">
        <v>991</v>
      </c>
      <c r="D684">
        <v>6265506</v>
      </c>
      <c r="E684">
        <v>17.850000000000001</v>
      </c>
      <c r="F684">
        <v>6.41</v>
      </c>
    </row>
    <row r="685" spans="1:6" x14ac:dyDescent="0.3">
      <c r="A685" t="s">
        <v>992</v>
      </c>
      <c r="B685" t="s">
        <v>826</v>
      </c>
      <c r="C685" t="s">
        <v>992</v>
      </c>
      <c r="D685">
        <v>6300721</v>
      </c>
      <c r="E685">
        <v>12.21</v>
      </c>
      <c r="F685">
        <v>5.14</v>
      </c>
    </row>
    <row r="686" spans="1:6" x14ac:dyDescent="0.3">
      <c r="A686" t="s">
        <v>993</v>
      </c>
      <c r="B686" t="s">
        <v>567</v>
      </c>
      <c r="C686" t="s">
        <v>739</v>
      </c>
      <c r="D686">
        <v>6320718</v>
      </c>
      <c r="E686">
        <v>11</v>
      </c>
      <c r="F686">
        <v>5.23</v>
      </c>
    </row>
    <row r="687" spans="1:6" x14ac:dyDescent="0.3">
      <c r="A687" t="s">
        <v>994</v>
      </c>
      <c r="B687" t="s">
        <v>733</v>
      </c>
      <c r="C687" t="s">
        <v>995</v>
      </c>
      <c r="D687">
        <v>6341294</v>
      </c>
      <c r="E687">
        <v>8.0299999999999994</v>
      </c>
      <c r="F687">
        <v>7.46</v>
      </c>
    </row>
    <row r="688" spans="1:6" x14ac:dyDescent="0.3">
      <c r="A688" t="s">
        <v>996</v>
      </c>
      <c r="B688" t="s">
        <v>997</v>
      </c>
      <c r="C688" t="s">
        <v>998</v>
      </c>
      <c r="D688">
        <v>6395545</v>
      </c>
      <c r="E688">
        <v>12.01</v>
      </c>
      <c r="F688">
        <v>5.63</v>
      </c>
    </row>
    <row r="689" spans="1:6" x14ac:dyDescent="0.3">
      <c r="A689" t="s">
        <v>999</v>
      </c>
      <c r="B689" t="s">
        <v>1000</v>
      </c>
      <c r="C689" t="s">
        <v>1001</v>
      </c>
      <c r="D689">
        <v>6404795</v>
      </c>
      <c r="E689">
        <v>17.190000000000001</v>
      </c>
      <c r="F689">
        <v>6.7</v>
      </c>
    </row>
    <row r="690" spans="1:6" x14ac:dyDescent="0.3">
      <c r="A690" t="s">
        <v>1002</v>
      </c>
      <c r="B690" t="s">
        <v>1003</v>
      </c>
      <c r="C690" t="s">
        <v>1004</v>
      </c>
      <c r="D690">
        <v>6427738</v>
      </c>
      <c r="E690">
        <v>10.53</v>
      </c>
      <c r="F690">
        <v>7</v>
      </c>
    </row>
    <row r="691" spans="1:6" x14ac:dyDescent="0.3">
      <c r="A691" t="s">
        <v>1005</v>
      </c>
      <c r="B691" t="s">
        <v>834</v>
      </c>
      <c r="C691" t="s">
        <v>792</v>
      </c>
      <c r="D691">
        <v>6443105</v>
      </c>
      <c r="E691">
        <v>14.99</v>
      </c>
      <c r="F691">
        <v>4.58</v>
      </c>
    </row>
    <row r="692" spans="1:6" x14ac:dyDescent="0.3">
      <c r="A692" t="s">
        <v>1006</v>
      </c>
      <c r="B692" t="s">
        <v>1007</v>
      </c>
      <c r="C692" t="s">
        <v>1008</v>
      </c>
      <c r="D692">
        <v>6452130</v>
      </c>
      <c r="E692">
        <v>6.23</v>
      </c>
      <c r="F692">
        <v>6.42</v>
      </c>
    </row>
    <row r="693" spans="1:6" x14ac:dyDescent="0.3">
      <c r="A693" t="s">
        <v>1009</v>
      </c>
      <c r="B693" t="s">
        <v>1010</v>
      </c>
      <c r="C693" t="s">
        <v>8</v>
      </c>
      <c r="D693">
        <v>6452955</v>
      </c>
      <c r="E693">
        <v>8.11</v>
      </c>
      <c r="F693">
        <v>3.9</v>
      </c>
    </row>
    <row r="694" spans="1:6" x14ac:dyDescent="0.3">
      <c r="A694" t="s">
        <v>112</v>
      </c>
      <c r="B694" t="s">
        <v>192</v>
      </c>
      <c r="C694" t="s">
        <v>859</v>
      </c>
      <c r="D694">
        <v>6487910</v>
      </c>
      <c r="E694">
        <v>13.22</v>
      </c>
      <c r="F694">
        <v>5.62</v>
      </c>
    </row>
    <row r="695" spans="1:6" x14ac:dyDescent="0.3">
      <c r="A695" t="s">
        <v>1011</v>
      </c>
      <c r="B695" t="s">
        <v>412</v>
      </c>
      <c r="C695" t="s">
        <v>1012</v>
      </c>
      <c r="D695">
        <v>6515632</v>
      </c>
      <c r="E695">
        <v>14.08</v>
      </c>
      <c r="F695">
        <v>3.85</v>
      </c>
    </row>
    <row r="696" spans="1:6" x14ac:dyDescent="0.3">
      <c r="A696" t="s">
        <v>1013</v>
      </c>
      <c r="B696" t="s">
        <v>1014</v>
      </c>
      <c r="C696" t="s">
        <v>739</v>
      </c>
      <c r="D696">
        <v>6519424</v>
      </c>
      <c r="E696">
        <v>8.24</v>
      </c>
      <c r="F696">
        <v>6</v>
      </c>
    </row>
    <row r="697" spans="1:6" x14ac:dyDescent="0.3">
      <c r="A697" t="s">
        <v>1015</v>
      </c>
      <c r="B697" t="s">
        <v>985</v>
      </c>
      <c r="C697" t="s">
        <v>1015</v>
      </c>
      <c r="D697">
        <v>6548190</v>
      </c>
      <c r="E697">
        <v>12.34</v>
      </c>
      <c r="F697">
        <v>6.9</v>
      </c>
    </row>
    <row r="698" spans="1:6" x14ac:dyDescent="0.3">
      <c r="A698" t="s">
        <v>1016</v>
      </c>
      <c r="B698" t="s">
        <v>1017</v>
      </c>
      <c r="C698" t="s">
        <v>1018</v>
      </c>
      <c r="D698">
        <v>6664095</v>
      </c>
      <c r="E698">
        <v>8.01</v>
      </c>
      <c r="F698">
        <v>5.69</v>
      </c>
    </row>
    <row r="699" spans="1:6" x14ac:dyDescent="0.3">
      <c r="A699" t="s">
        <v>1019</v>
      </c>
      <c r="B699" t="s">
        <v>1020</v>
      </c>
      <c r="C699" t="s">
        <v>1021</v>
      </c>
      <c r="D699">
        <v>6770675</v>
      </c>
      <c r="E699">
        <v>5.13</v>
      </c>
      <c r="F699">
        <v>7.14</v>
      </c>
    </row>
    <row r="700" spans="1:6" x14ac:dyDescent="0.3">
      <c r="A700" t="s">
        <v>1022</v>
      </c>
      <c r="B700" t="s">
        <v>1023</v>
      </c>
      <c r="C700" t="s">
        <v>827</v>
      </c>
      <c r="D700">
        <v>6789729</v>
      </c>
      <c r="E700">
        <v>7.2</v>
      </c>
      <c r="F700">
        <v>4.4000000000000004</v>
      </c>
    </row>
    <row r="701" spans="1:6" x14ac:dyDescent="0.3">
      <c r="A701" t="s">
        <v>1024</v>
      </c>
      <c r="B701" t="s">
        <v>523</v>
      </c>
      <c r="C701" t="s">
        <v>878</v>
      </c>
      <c r="D701">
        <v>6790485</v>
      </c>
      <c r="E701">
        <v>4.8099999999999996</v>
      </c>
      <c r="F701">
        <v>5.59</v>
      </c>
    </row>
    <row r="702" spans="1:6" x14ac:dyDescent="0.3">
      <c r="A702" t="s">
        <v>1025</v>
      </c>
      <c r="B702" t="s">
        <v>412</v>
      </c>
      <c r="C702" t="s">
        <v>1026</v>
      </c>
      <c r="D702">
        <v>6874828</v>
      </c>
      <c r="E702">
        <v>12.91</v>
      </c>
      <c r="F702">
        <v>4.22</v>
      </c>
    </row>
    <row r="703" spans="1:6" x14ac:dyDescent="0.3">
      <c r="A703" t="s">
        <v>1027</v>
      </c>
      <c r="B703" t="s">
        <v>509</v>
      </c>
      <c r="C703" t="s">
        <v>1028</v>
      </c>
      <c r="D703">
        <v>6892453</v>
      </c>
      <c r="E703">
        <v>7.59</v>
      </c>
      <c r="F703">
        <v>4.9000000000000004</v>
      </c>
    </row>
    <row r="704" spans="1:6" x14ac:dyDescent="0.3">
      <c r="A704" t="s">
        <v>1029</v>
      </c>
      <c r="B704" t="s">
        <v>520</v>
      </c>
      <c r="C704" t="s">
        <v>1030</v>
      </c>
      <c r="D704">
        <v>6894292</v>
      </c>
      <c r="E704">
        <v>9.7799999999999994</v>
      </c>
      <c r="F704">
        <v>6.86</v>
      </c>
    </row>
    <row r="705" spans="1:6" x14ac:dyDescent="0.3">
      <c r="A705" t="s">
        <v>1031</v>
      </c>
      <c r="B705" t="s">
        <v>683</v>
      </c>
      <c r="C705" t="s">
        <v>969</v>
      </c>
      <c r="D705">
        <v>6918236</v>
      </c>
      <c r="E705">
        <v>10.210000000000001</v>
      </c>
      <c r="F705">
        <v>6.27</v>
      </c>
    </row>
    <row r="706" spans="1:6" x14ac:dyDescent="0.3">
      <c r="A706" t="s">
        <v>1032</v>
      </c>
      <c r="B706" t="s">
        <v>573</v>
      </c>
      <c r="C706" t="s">
        <v>505</v>
      </c>
      <c r="D706">
        <v>6919968</v>
      </c>
      <c r="E706">
        <v>15.5</v>
      </c>
      <c r="F706">
        <v>6.68</v>
      </c>
    </row>
    <row r="707" spans="1:6" x14ac:dyDescent="0.3">
      <c r="A707" t="s">
        <v>1033</v>
      </c>
      <c r="B707" t="s">
        <v>192</v>
      </c>
      <c r="C707" t="s">
        <v>1034</v>
      </c>
      <c r="D707">
        <v>6939821</v>
      </c>
      <c r="E707">
        <v>11.22</v>
      </c>
      <c r="F707">
        <v>6.41</v>
      </c>
    </row>
    <row r="708" spans="1:6" x14ac:dyDescent="0.3">
      <c r="A708" t="s">
        <v>1035</v>
      </c>
      <c r="B708" t="s">
        <v>523</v>
      </c>
      <c r="C708" t="s">
        <v>1008</v>
      </c>
      <c r="D708">
        <v>6988264</v>
      </c>
      <c r="E708">
        <v>13.04</v>
      </c>
      <c r="F708">
        <v>6.06</v>
      </c>
    </row>
    <row r="709" spans="1:6" x14ac:dyDescent="0.3">
      <c r="A709" t="s">
        <v>1036</v>
      </c>
      <c r="B709" t="s">
        <v>1037</v>
      </c>
      <c r="C709" t="s">
        <v>1018</v>
      </c>
      <c r="D709">
        <v>6993777</v>
      </c>
      <c r="E709">
        <v>14.73</v>
      </c>
      <c r="F709">
        <v>5.52</v>
      </c>
    </row>
    <row r="710" spans="1:6" x14ac:dyDescent="0.3">
      <c r="A710" t="s">
        <v>1038</v>
      </c>
      <c r="B710" t="s">
        <v>822</v>
      </c>
      <c r="C710" t="s">
        <v>1039</v>
      </c>
      <c r="D710">
        <v>6996731</v>
      </c>
      <c r="E710">
        <v>12.61</v>
      </c>
      <c r="F710">
        <v>5.96</v>
      </c>
    </row>
    <row r="711" spans="1:6" x14ac:dyDescent="0.3">
      <c r="A711" t="s">
        <v>1040</v>
      </c>
      <c r="B711" t="s">
        <v>1041</v>
      </c>
      <c r="C711" t="s">
        <v>1042</v>
      </c>
      <c r="D711">
        <v>7002072</v>
      </c>
      <c r="E711">
        <v>15.58</v>
      </c>
      <c r="F711">
        <v>5.25</v>
      </c>
    </row>
    <row r="712" spans="1:6" x14ac:dyDescent="0.3">
      <c r="A712" t="s">
        <v>1043</v>
      </c>
      <c r="B712" t="s">
        <v>325</v>
      </c>
      <c r="C712" t="s">
        <v>1044</v>
      </c>
      <c r="D712">
        <v>7005127</v>
      </c>
      <c r="E712">
        <v>15.35</v>
      </c>
      <c r="F712">
        <v>5.54</v>
      </c>
    </row>
    <row r="713" spans="1:6" x14ac:dyDescent="0.3">
      <c r="A713" t="s">
        <v>1045</v>
      </c>
      <c r="B713" t="s">
        <v>906</v>
      </c>
      <c r="C713" t="s">
        <v>782</v>
      </c>
      <c r="D713">
        <v>7016598</v>
      </c>
      <c r="E713">
        <v>5.99</v>
      </c>
      <c r="F713">
        <v>6.14</v>
      </c>
    </row>
    <row r="714" spans="1:6" x14ac:dyDescent="0.3">
      <c r="A714" t="s">
        <v>1046</v>
      </c>
      <c r="B714" t="s">
        <v>712</v>
      </c>
      <c r="C714" t="s">
        <v>1028</v>
      </c>
      <c r="D714">
        <v>7018102</v>
      </c>
      <c r="E714">
        <v>13.14</v>
      </c>
      <c r="F714">
        <v>5.07</v>
      </c>
    </row>
    <row r="715" spans="1:6" x14ac:dyDescent="0.3">
      <c r="A715" t="s">
        <v>1047</v>
      </c>
      <c r="B715" t="s">
        <v>1048</v>
      </c>
      <c r="C715" t="s">
        <v>792</v>
      </c>
      <c r="D715">
        <v>7032942</v>
      </c>
      <c r="E715">
        <v>7.38</v>
      </c>
      <c r="F715">
        <v>6.7</v>
      </c>
    </row>
    <row r="716" spans="1:6" x14ac:dyDescent="0.3">
      <c r="A716" t="s">
        <v>1049</v>
      </c>
      <c r="B716" t="s">
        <v>1050</v>
      </c>
      <c r="C716" t="s">
        <v>1051</v>
      </c>
      <c r="D716">
        <v>7054561</v>
      </c>
      <c r="E716">
        <v>15.86</v>
      </c>
      <c r="F716">
        <v>5.3</v>
      </c>
    </row>
    <row r="717" spans="1:6" x14ac:dyDescent="0.3">
      <c r="A717" t="s">
        <v>1033</v>
      </c>
      <c r="B717" t="s">
        <v>463</v>
      </c>
      <c r="C717" t="s">
        <v>1034</v>
      </c>
      <c r="D717">
        <v>7075386</v>
      </c>
      <c r="E717">
        <v>12.39</v>
      </c>
      <c r="F717">
        <v>5.64</v>
      </c>
    </row>
    <row r="718" spans="1:6" x14ac:dyDescent="0.3">
      <c r="A718" t="s">
        <v>1052</v>
      </c>
      <c r="B718" t="s">
        <v>1053</v>
      </c>
      <c r="C718" t="s">
        <v>932</v>
      </c>
      <c r="D718">
        <v>7079009</v>
      </c>
      <c r="E718">
        <v>12.92</v>
      </c>
      <c r="F718">
        <v>4.95</v>
      </c>
    </row>
    <row r="719" spans="1:6" x14ac:dyDescent="0.3">
      <c r="A719" t="s">
        <v>1054</v>
      </c>
      <c r="B719" t="s">
        <v>941</v>
      </c>
      <c r="C719" t="s">
        <v>1055</v>
      </c>
      <c r="D719">
        <v>7116121</v>
      </c>
      <c r="E719">
        <v>3.14</v>
      </c>
      <c r="F719">
        <v>6.3</v>
      </c>
    </row>
    <row r="720" spans="1:6" x14ac:dyDescent="0.3">
      <c r="A720" t="s">
        <v>1056</v>
      </c>
      <c r="B720" t="s">
        <v>277</v>
      </c>
      <c r="C720" t="s">
        <v>1057</v>
      </c>
      <c r="D720">
        <v>7172363</v>
      </c>
      <c r="E720">
        <v>13.4</v>
      </c>
      <c r="F720">
        <v>7.13</v>
      </c>
    </row>
    <row r="721" spans="1:6" x14ac:dyDescent="0.3">
      <c r="A721" t="s">
        <v>1058</v>
      </c>
      <c r="B721" t="s">
        <v>1050</v>
      </c>
      <c r="C721" t="s">
        <v>1059</v>
      </c>
      <c r="D721">
        <v>7174110</v>
      </c>
      <c r="E721">
        <v>21.36</v>
      </c>
      <c r="F721">
        <v>4.84</v>
      </c>
    </row>
    <row r="722" spans="1:6" x14ac:dyDescent="0.3">
      <c r="A722" t="s">
        <v>1060</v>
      </c>
      <c r="B722" t="s">
        <v>190</v>
      </c>
      <c r="C722" t="s">
        <v>797</v>
      </c>
      <c r="D722">
        <v>7179833</v>
      </c>
      <c r="E722">
        <v>8.07</v>
      </c>
      <c r="F722">
        <v>7.12</v>
      </c>
    </row>
    <row r="723" spans="1:6" x14ac:dyDescent="0.3">
      <c r="A723" t="s">
        <v>1061</v>
      </c>
      <c r="B723" t="s">
        <v>414</v>
      </c>
      <c r="C723" t="s">
        <v>1062</v>
      </c>
      <c r="D723">
        <v>7185094</v>
      </c>
      <c r="E723">
        <v>10.68</v>
      </c>
      <c r="F723">
        <v>6.27</v>
      </c>
    </row>
    <row r="724" spans="1:6" x14ac:dyDescent="0.3">
      <c r="A724" t="s">
        <v>1063</v>
      </c>
      <c r="B724" t="s">
        <v>1064</v>
      </c>
      <c r="C724" t="s">
        <v>1042</v>
      </c>
      <c r="D724">
        <v>7203561</v>
      </c>
      <c r="E724">
        <v>11.6</v>
      </c>
      <c r="F724">
        <v>5.21</v>
      </c>
    </row>
    <row r="725" spans="1:6" x14ac:dyDescent="0.3">
      <c r="A725" t="s">
        <v>1065</v>
      </c>
      <c r="B725" t="s">
        <v>939</v>
      </c>
      <c r="C725" t="s">
        <v>1066</v>
      </c>
      <c r="D725">
        <v>7237145</v>
      </c>
      <c r="E725">
        <v>11.19</v>
      </c>
      <c r="F725">
        <v>5</v>
      </c>
    </row>
    <row r="726" spans="1:6" x14ac:dyDescent="0.3">
      <c r="A726" t="s">
        <v>1067</v>
      </c>
      <c r="B726" t="s">
        <v>1068</v>
      </c>
      <c r="C726" t="s">
        <v>782</v>
      </c>
      <c r="D726">
        <v>7251782</v>
      </c>
      <c r="E726">
        <v>12.39</v>
      </c>
      <c r="F726">
        <v>5.71</v>
      </c>
    </row>
    <row r="727" spans="1:6" x14ac:dyDescent="0.3">
      <c r="A727" t="s">
        <v>1069</v>
      </c>
      <c r="B727" t="s">
        <v>520</v>
      </c>
      <c r="C727" t="s">
        <v>1070</v>
      </c>
      <c r="D727">
        <v>7272077</v>
      </c>
      <c r="E727">
        <v>12.71</v>
      </c>
      <c r="F727">
        <v>6.57</v>
      </c>
    </row>
    <row r="728" spans="1:6" x14ac:dyDescent="0.3">
      <c r="A728" t="s">
        <v>1071</v>
      </c>
      <c r="B728" t="s">
        <v>826</v>
      </c>
      <c r="C728" t="s">
        <v>961</v>
      </c>
      <c r="D728">
        <v>7285206</v>
      </c>
      <c r="E728">
        <v>16.45</v>
      </c>
      <c r="F728">
        <v>5.64</v>
      </c>
    </row>
    <row r="729" spans="1:6" x14ac:dyDescent="0.3">
      <c r="A729" t="s">
        <v>1063</v>
      </c>
      <c r="B729" t="s">
        <v>1072</v>
      </c>
      <c r="C729" t="s">
        <v>1042</v>
      </c>
      <c r="D729">
        <v>7294616</v>
      </c>
      <c r="E729">
        <v>14.94</v>
      </c>
      <c r="F729">
        <v>3.46</v>
      </c>
    </row>
    <row r="730" spans="1:6" x14ac:dyDescent="0.3">
      <c r="A730" t="s">
        <v>1073</v>
      </c>
      <c r="B730" t="s">
        <v>985</v>
      </c>
      <c r="C730" t="s">
        <v>966</v>
      </c>
      <c r="D730">
        <v>7349924</v>
      </c>
      <c r="E730">
        <v>12.67</v>
      </c>
      <c r="F730">
        <v>6.5</v>
      </c>
    </row>
    <row r="731" spans="1:6" x14ac:dyDescent="0.3">
      <c r="A731" t="s">
        <v>1074</v>
      </c>
      <c r="B731" t="s">
        <v>333</v>
      </c>
      <c r="C731" t="s">
        <v>950</v>
      </c>
      <c r="D731">
        <v>7377848</v>
      </c>
      <c r="E731">
        <v>6.99</v>
      </c>
      <c r="F731">
        <v>6.7</v>
      </c>
    </row>
    <row r="732" spans="1:6" x14ac:dyDescent="0.3">
      <c r="A732" t="s">
        <v>1075</v>
      </c>
      <c r="B732" t="s">
        <v>931</v>
      </c>
      <c r="C732" t="s">
        <v>1076</v>
      </c>
      <c r="D732">
        <v>7378963</v>
      </c>
      <c r="E732">
        <v>17.399999999999999</v>
      </c>
      <c r="F732">
        <v>4.5999999999999996</v>
      </c>
    </row>
    <row r="733" spans="1:6" x14ac:dyDescent="0.3">
      <c r="A733" t="s">
        <v>1077</v>
      </c>
      <c r="B733" t="s">
        <v>1078</v>
      </c>
      <c r="C733" t="s">
        <v>797</v>
      </c>
      <c r="D733">
        <v>7411592</v>
      </c>
      <c r="E733">
        <v>12.5</v>
      </c>
      <c r="F733">
        <v>7.5</v>
      </c>
    </row>
    <row r="734" spans="1:6" x14ac:dyDescent="0.3">
      <c r="A734" t="s">
        <v>1079</v>
      </c>
      <c r="B734" t="s">
        <v>761</v>
      </c>
      <c r="C734" t="s">
        <v>1080</v>
      </c>
      <c r="D734">
        <v>7456327</v>
      </c>
      <c r="E734">
        <v>16.77</v>
      </c>
      <c r="F734">
        <v>7.26</v>
      </c>
    </row>
    <row r="735" spans="1:6" x14ac:dyDescent="0.3">
      <c r="A735" t="s">
        <v>1081</v>
      </c>
      <c r="B735" t="s">
        <v>412</v>
      </c>
      <c r="C735" t="s">
        <v>898</v>
      </c>
      <c r="D735">
        <v>7475586</v>
      </c>
      <c r="E735">
        <v>12.43</v>
      </c>
      <c r="F735">
        <v>4.83</v>
      </c>
    </row>
    <row r="736" spans="1:6" x14ac:dyDescent="0.3">
      <c r="A736" t="s">
        <v>1082</v>
      </c>
      <c r="B736" t="s">
        <v>1083</v>
      </c>
      <c r="C736" t="s">
        <v>1084</v>
      </c>
      <c r="D736">
        <v>7481428</v>
      </c>
      <c r="E736">
        <v>6.91</v>
      </c>
      <c r="F736">
        <v>6.5</v>
      </c>
    </row>
    <row r="737" spans="1:6" x14ac:dyDescent="0.3">
      <c r="A737" t="s">
        <v>1085</v>
      </c>
      <c r="B737" t="s">
        <v>192</v>
      </c>
      <c r="C737" t="s">
        <v>797</v>
      </c>
      <c r="D737">
        <v>7564845</v>
      </c>
      <c r="E737">
        <v>16</v>
      </c>
      <c r="F737">
        <v>7.17</v>
      </c>
    </row>
    <row r="738" spans="1:6" x14ac:dyDescent="0.3">
      <c r="A738" t="s">
        <v>1086</v>
      </c>
      <c r="B738" t="s">
        <v>463</v>
      </c>
      <c r="C738" t="s">
        <v>1087</v>
      </c>
      <c r="D738">
        <v>7570320</v>
      </c>
      <c r="E738">
        <v>11.8</v>
      </c>
      <c r="F738">
        <v>6.94</v>
      </c>
    </row>
    <row r="739" spans="1:6" x14ac:dyDescent="0.3">
      <c r="A739" t="s">
        <v>1088</v>
      </c>
      <c r="B739" t="s">
        <v>1089</v>
      </c>
      <c r="C739" t="s">
        <v>782</v>
      </c>
      <c r="D739">
        <v>7573669</v>
      </c>
      <c r="E739">
        <v>12.44</v>
      </c>
      <c r="F739">
        <v>4.8099999999999996</v>
      </c>
    </row>
    <row r="740" spans="1:6" x14ac:dyDescent="0.3">
      <c r="A740" t="s">
        <v>1090</v>
      </c>
      <c r="B740" t="s">
        <v>1053</v>
      </c>
      <c r="C740" t="s">
        <v>731</v>
      </c>
      <c r="D740">
        <v>7601394</v>
      </c>
      <c r="E740">
        <v>11</v>
      </c>
      <c r="F740">
        <v>5</v>
      </c>
    </row>
    <row r="741" spans="1:6" x14ac:dyDescent="0.3">
      <c r="A741" t="s">
        <v>1091</v>
      </c>
      <c r="B741" t="s">
        <v>1092</v>
      </c>
      <c r="C741" t="s">
        <v>1093</v>
      </c>
      <c r="D741">
        <v>7614092</v>
      </c>
      <c r="E741">
        <v>7.18</v>
      </c>
      <c r="F741">
        <v>5.35</v>
      </c>
    </row>
    <row r="742" spans="1:6" x14ac:dyDescent="0.3">
      <c r="A742" t="s">
        <v>1094</v>
      </c>
      <c r="B742" t="s">
        <v>1095</v>
      </c>
      <c r="C742" t="s">
        <v>1015</v>
      </c>
      <c r="D742">
        <v>7647271</v>
      </c>
      <c r="E742">
        <v>13.98</v>
      </c>
      <c r="F742">
        <v>6.18</v>
      </c>
    </row>
    <row r="743" spans="1:6" x14ac:dyDescent="0.3">
      <c r="A743" t="s">
        <v>1096</v>
      </c>
      <c r="B743" t="s">
        <v>1097</v>
      </c>
      <c r="C743" t="s">
        <v>1098</v>
      </c>
      <c r="D743">
        <v>7705437</v>
      </c>
      <c r="E743">
        <v>6.88</v>
      </c>
      <c r="F743">
        <v>6.08</v>
      </c>
    </row>
    <row r="744" spans="1:6" x14ac:dyDescent="0.3">
      <c r="A744" t="s">
        <v>1099</v>
      </c>
      <c r="B744" t="s">
        <v>840</v>
      </c>
      <c r="C744" t="s">
        <v>969</v>
      </c>
      <c r="D744">
        <v>7710736</v>
      </c>
      <c r="E744">
        <v>7.1</v>
      </c>
      <c r="F744">
        <v>6.44</v>
      </c>
    </row>
    <row r="745" spans="1:6" x14ac:dyDescent="0.3">
      <c r="A745" t="s">
        <v>1100</v>
      </c>
      <c r="B745" t="s">
        <v>826</v>
      </c>
      <c r="C745" t="s">
        <v>1101</v>
      </c>
      <c r="D745">
        <v>7723236</v>
      </c>
      <c r="E745">
        <v>16.940000000000001</v>
      </c>
      <c r="F745">
        <v>5.83</v>
      </c>
    </row>
    <row r="746" spans="1:6" x14ac:dyDescent="0.3">
      <c r="A746" t="s">
        <v>1102</v>
      </c>
      <c r="B746" t="s">
        <v>414</v>
      </c>
      <c r="C746" t="s">
        <v>1103</v>
      </c>
      <c r="D746">
        <v>7736998</v>
      </c>
      <c r="E746">
        <v>8.93</v>
      </c>
      <c r="F746">
        <v>6.71</v>
      </c>
    </row>
    <row r="747" spans="1:6" x14ac:dyDescent="0.3">
      <c r="A747" t="s">
        <v>1104</v>
      </c>
      <c r="B747" t="s">
        <v>412</v>
      </c>
      <c r="C747" t="s">
        <v>1101</v>
      </c>
      <c r="D747">
        <v>7746758</v>
      </c>
      <c r="E747">
        <v>6.64</v>
      </c>
      <c r="F747">
        <v>5.67</v>
      </c>
    </row>
    <row r="748" spans="1:6" x14ac:dyDescent="0.3">
      <c r="A748" t="s">
        <v>1105</v>
      </c>
      <c r="B748" t="s">
        <v>1106</v>
      </c>
      <c r="C748" t="s">
        <v>755</v>
      </c>
      <c r="D748">
        <v>7750113</v>
      </c>
      <c r="E748">
        <v>12.86</v>
      </c>
      <c r="F748">
        <v>7</v>
      </c>
    </row>
    <row r="749" spans="1:6" x14ac:dyDescent="0.3">
      <c r="A749" t="s">
        <v>1107</v>
      </c>
      <c r="B749" t="s">
        <v>1108</v>
      </c>
      <c r="C749" t="s">
        <v>1004</v>
      </c>
      <c r="D749">
        <v>7757896</v>
      </c>
      <c r="E749">
        <v>6.38</v>
      </c>
      <c r="F749">
        <v>7.13</v>
      </c>
    </row>
    <row r="750" spans="1:6" x14ac:dyDescent="0.3">
      <c r="A750" t="s">
        <v>1109</v>
      </c>
      <c r="B750" t="s">
        <v>1110</v>
      </c>
      <c r="C750" t="s">
        <v>1111</v>
      </c>
      <c r="D750">
        <v>7791745</v>
      </c>
      <c r="E750">
        <v>7.78</v>
      </c>
      <c r="F750">
        <v>6.13</v>
      </c>
    </row>
    <row r="751" spans="1:6" x14ac:dyDescent="0.3">
      <c r="A751" t="s">
        <v>1112</v>
      </c>
      <c r="B751" t="s">
        <v>1003</v>
      </c>
      <c r="C751" t="s">
        <v>1113</v>
      </c>
      <c r="D751">
        <v>7833763</v>
      </c>
      <c r="E751">
        <v>6.83</v>
      </c>
      <c r="F751">
        <v>7.75</v>
      </c>
    </row>
    <row r="752" spans="1:6" x14ac:dyDescent="0.3">
      <c r="A752" t="s">
        <v>1114</v>
      </c>
      <c r="B752" t="s">
        <v>1115</v>
      </c>
      <c r="C752" t="s">
        <v>1116</v>
      </c>
      <c r="D752">
        <v>7859839</v>
      </c>
      <c r="E752">
        <v>4.67</v>
      </c>
      <c r="F752">
        <v>6.78</v>
      </c>
    </row>
    <row r="753" spans="1:6" x14ac:dyDescent="0.3">
      <c r="A753" t="s">
        <v>1117</v>
      </c>
      <c r="B753" t="s">
        <v>822</v>
      </c>
      <c r="C753" t="s">
        <v>1015</v>
      </c>
      <c r="D753">
        <v>7880934</v>
      </c>
      <c r="E753">
        <v>15.14</v>
      </c>
      <c r="F753">
        <v>6.71</v>
      </c>
    </row>
    <row r="754" spans="1:6" x14ac:dyDescent="0.3">
      <c r="A754" t="s">
        <v>1118</v>
      </c>
      <c r="B754" t="s">
        <v>866</v>
      </c>
      <c r="C754" t="s">
        <v>45</v>
      </c>
      <c r="D754">
        <v>7887341</v>
      </c>
      <c r="E754">
        <v>10.42</v>
      </c>
      <c r="F754">
        <v>5.98</v>
      </c>
    </row>
    <row r="755" spans="1:6" x14ac:dyDescent="0.3">
      <c r="A755" t="s">
        <v>1119</v>
      </c>
      <c r="B755" t="s">
        <v>1120</v>
      </c>
      <c r="C755" t="s">
        <v>987</v>
      </c>
      <c r="D755">
        <v>7892386</v>
      </c>
      <c r="E755">
        <v>13.2</v>
      </c>
      <c r="F755">
        <v>7.2</v>
      </c>
    </row>
    <row r="756" spans="1:6" x14ac:dyDescent="0.3">
      <c r="A756" t="s">
        <v>1121</v>
      </c>
      <c r="B756" t="s">
        <v>1122</v>
      </c>
      <c r="C756" t="s">
        <v>1123</v>
      </c>
      <c r="D756">
        <v>7896684</v>
      </c>
      <c r="E756">
        <v>6.76</v>
      </c>
      <c r="F756">
        <v>5.52</v>
      </c>
    </row>
    <row r="757" spans="1:6" x14ac:dyDescent="0.3">
      <c r="A757" t="s">
        <v>1124</v>
      </c>
      <c r="B757" t="s">
        <v>761</v>
      </c>
      <c r="C757" t="s">
        <v>1125</v>
      </c>
      <c r="D757">
        <v>7899562</v>
      </c>
      <c r="E757">
        <v>16.89</v>
      </c>
      <c r="F757">
        <v>7.88</v>
      </c>
    </row>
    <row r="758" spans="1:6" x14ac:dyDescent="0.3">
      <c r="A758" t="s">
        <v>1126</v>
      </c>
      <c r="B758" t="s">
        <v>1127</v>
      </c>
      <c r="C758" t="s">
        <v>1059</v>
      </c>
      <c r="D758">
        <v>7930156</v>
      </c>
      <c r="E758">
        <v>8.66</v>
      </c>
      <c r="F758">
        <v>5.8</v>
      </c>
    </row>
    <row r="759" spans="1:6" x14ac:dyDescent="0.3">
      <c r="A759" t="s">
        <v>732</v>
      </c>
      <c r="B759" t="s">
        <v>463</v>
      </c>
      <c r="C759" t="s">
        <v>734</v>
      </c>
      <c r="D759">
        <v>7933030</v>
      </c>
      <c r="E759">
        <v>12.92</v>
      </c>
      <c r="F759">
        <v>7.91</v>
      </c>
    </row>
    <row r="760" spans="1:6" x14ac:dyDescent="0.3">
      <c r="A760" t="s">
        <v>1128</v>
      </c>
      <c r="B760" t="s">
        <v>573</v>
      </c>
      <c r="C760" t="s">
        <v>379</v>
      </c>
      <c r="D760">
        <v>7980929</v>
      </c>
      <c r="E760">
        <v>12.75</v>
      </c>
      <c r="F760">
        <v>5.14</v>
      </c>
    </row>
    <row r="761" spans="1:6" x14ac:dyDescent="0.3">
      <c r="A761" t="s">
        <v>1129</v>
      </c>
      <c r="B761" t="s">
        <v>656</v>
      </c>
      <c r="C761" t="s">
        <v>1129</v>
      </c>
      <c r="D761">
        <v>7990996</v>
      </c>
      <c r="E761">
        <v>12.78</v>
      </c>
      <c r="F761">
        <v>5.22</v>
      </c>
    </row>
    <row r="762" spans="1:6" x14ac:dyDescent="0.3">
      <c r="A762" t="s">
        <v>1130</v>
      </c>
      <c r="B762" t="s">
        <v>1131</v>
      </c>
      <c r="C762" t="s">
        <v>959</v>
      </c>
      <c r="D762">
        <v>8013205</v>
      </c>
      <c r="E762">
        <v>9</v>
      </c>
      <c r="F762">
        <v>5.5</v>
      </c>
    </row>
    <row r="763" spans="1:6" x14ac:dyDescent="0.3">
      <c r="A763" t="s">
        <v>1132</v>
      </c>
      <c r="B763" t="s">
        <v>340</v>
      </c>
      <c r="C763" t="s">
        <v>1133</v>
      </c>
      <c r="D763">
        <v>8067501</v>
      </c>
      <c r="E763">
        <v>6.62</v>
      </c>
      <c r="F763">
        <v>5.55</v>
      </c>
    </row>
    <row r="764" spans="1:6" x14ac:dyDescent="0.3">
      <c r="A764" t="s">
        <v>1134</v>
      </c>
      <c r="B764" t="s">
        <v>1135</v>
      </c>
      <c r="C764" t="s">
        <v>8</v>
      </c>
      <c r="D764">
        <v>8091369</v>
      </c>
      <c r="E764">
        <v>16.07</v>
      </c>
      <c r="F764">
        <v>6.62</v>
      </c>
    </row>
    <row r="765" spans="1:6" x14ac:dyDescent="0.3">
      <c r="A765" t="s">
        <v>1136</v>
      </c>
      <c r="B765" t="s">
        <v>1064</v>
      </c>
      <c r="C765" t="s">
        <v>1008</v>
      </c>
      <c r="D765">
        <v>8102077</v>
      </c>
      <c r="E765">
        <v>12.33</v>
      </c>
      <c r="F765">
        <v>2.67</v>
      </c>
    </row>
    <row r="766" spans="1:6" x14ac:dyDescent="0.3">
      <c r="A766" t="s">
        <v>1137</v>
      </c>
      <c r="B766" t="s">
        <v>1138</v>
      </c>
      <c r="C766" t="s">
        <v>1139</v>
      </c>
      <c r="D766">
        <v>8147005</v>
      </c>
      <c r="E766">
        <v>23.86</v>
      </c>
      <c r="F766">
        <v>5.18</v>
      </c>
    </row>
    <row r="767" spans="1:6" x14ac:dyDescent="0.3">
      <c r="A767" t="s">
        <v>1140</v>
      </c>
      <c r="B767" t="s">
        <v>1141</v>
      </c>
      <c r="C767" t="s">
        <v>1142</v>
      </c>
      <c r="D767">
        <v>8148420</v>
      </c>
      <c r="E767">
        <v>15.71</v>
      </c>
      <c r="F767">
        <v>5.77</v>
      </c>
    </row>
    <row r="768" spans="1:6" x14ac:dyDescent="0.3">
      <c r="A768" t="s">
        <v>1143</v>
      </c>
      <c r="B768" t="s">
        <v>1144</v>
      </c>
      <c r="C768" t="s">
        <v>1145</v>
      </c>
      <c r="D768">
        <v>8164555</v>
      </c>
      <c r="E768">
        <v>16.03</v>
      </c>
      <c r="F768">
        <v>5.57</v>
      </c>
    </row>
    <row r="769" spans="1:6" x14ac:dyDescent="0.3">
      <c r="A769" t="s">
        <v>1146</v>
      </c>
      <c r="B769" t="s">
        <v>1147</v>
      </c>
      <c r="C769" t="s">
        <v>175</v>
      </c>
      <c r="D769">
        <v>8180481</v>
      </c>
      <c r="E769">
        <v>7.36</v>
      </c>
      <c r="F769">
        <v>4.58</v>
      </c>
    </row>
    <row r="770" spans="1:6" x14ac:dyDescent="0.3">
      <c r="A770" t="s">
        <v>1148</v>
      </c>
      <c r="B770" t="s">
        <v>1106</v>
      </c>
      <c r="C770" t="s">
        <v>1066</v>
      </c>
      <c r="D770">
        <v>8192994</v>
      </c>
      <c r="E770">
        <v>10.86</v>
      </c>
      <c r="F770">
        <v>6.82</v>
      </c>
    </row>
    <row r="771" spans="1:6" x14ac:dyDescent="0.3">
      <c r="A771" t="s">
        <v>1149</v>
      </c>
      <c r="B771" t="s">
        <v>1150</v>
      </c>
      <c r="C771" t="s">
        <v>932</v>
      </c>
      <c r="D771">
        <v>8220839</v>
      </c>
      <c r="E771">
        <v>11.89</v>
      </c>
      <c r="F771">
        <v>5</v>
      </c>
    </row>
    <row r="772" spans="1:6" x14ac:dyDescent="0.3">
      <c r="A772" t="s">
        <v>1151</v>
      </c>
      <c r="B772" t="s">
        <v>1141</v>
      </c>
      <c r="C772" t="s">
        <v>1152</v>
      </c>
      <c r="D772">
        <v>8237474</v>
      </c>
      <c r="E772">
        <v>15.78</v>
      </c>
      <c r="F772">
        <v>5.97</v>
      </c>
    </row>
    <row r="773" spans="1:6" x14ac:dyDescent="0.3">
      <c r="A773" t="s">
        <v>1153</v>
      </c>
      <c r="B773" t="s">
        <v>1154</v>
      </c>
      <c r="C773" t="s">
        <v>959</v>
      </c>
      <c r="D773">
        <v>8254106</v>
      </c>
      <c r="E773">
        <v>3.97</v>
      </c>
      <c r="F773">
        <v>7</v>
      </c>
    </row>
    <row r="774" spans="1:6" x14ac:dyDescent="0.3">
      <c r="A774" t="s">
        <v>1155</v>
      </c>
      <c r="B774" t="s">
        <v>1156</v>
      </c>
      <c r="C774" t="s">
        <v>1157</v>
      </c>
      <c r="D774">
        <v>8263366</v>
      </c>
      <c r="E774">
        <v>12.75</v>
      </c>
      <c r="F774">
        <v>6.57</v>
      </c>
    </row>
    <row r="775" spans="1:6" x14ac:dyDescent="0.3">
      <c r="A775" t="s">
        <v>1158</v>
      </c>
      <c r="B775" t="s">
        <v>1159</v>
      </c>
      <c r="C775" t="s">
        <v>771</v>
      </c>
      <c r="D775">
        <v>8293161</v>
      </c>
      <c r="E775">
        <v>7.77</v>
      </c>
      <c r="F775">
        <v>5.56</v>
      </c>
    </row>
    <row r="776" spans="1:6" x14ac:dyDescent="0.3">
      <c r="A776" t="s">
        <v>1160</v>
      </c>
      <c r="B776" t="s">
        <v>761</v>
      </c>
      <c r="C776" t="s">
        <v>1161</v>
      </c>
      <c r="D776">
        <v>8304817</v>
      </c>
      <c r="E776">
        <v>15.64</v>
      </c>
      <c r="F776">
        <v>7.18</v>
      </c>
    </row>
    <row r="777" spans="1:6" x14ac:dyDescent="0.3">
      <c r="A777" t="s">
        <v>1162</v>
      </c>
      <c r="B777" t="s">
        <v>1108</v>
      </c>
      <c r="C777" t="s">
        <v>969</v>
      </c>
      <c r="D777">
        <v>8341059</v>
      </c>
      <c r="E777">
        <v>7.63</v>
      </c>
      <c r="F777">
        <v>5.93</v>
      </c>
    </row>
    <row r="778" spans="1:6" x14ac:dyDescent="0.3">
      <c r="A778" t="s">
        <v>1163</v>
      </c>
      <c r="B778" t="s">
        <v>1164</v>
      </c>
      <c r="C778" t="s">
        <v>1165</v>
      </c>
      <c r="D778">
        <v>8418966</v>
      </c>
      <c r="E778">
        <v>6.72</v>
      </c>
      <c r="F778">
        <v>5.55</v>
      </c>
    </row>
    <row r="779" spans="1:6" x14ac:dyDescent="0.3">
      <c r="A779" t="s">
        <v>1166</v>
      </c>
      <c r="B779" t="s">
        <v>1167</v>
      </c>
      <c r="C779" t="s">
        <v>832</v>
      </c>
      <c r="D779">
        <v>8460565</v>
      </c>
      <c r="E779">
        <v>11.1</v>
      </c>
      <c r="F779">
        <v>6.33</v>
      </c>
    </row>
    <row r="780" spans="1:6" x14ac:dyDescent="0.3">
      <c r="A780" t="s">
        <v>1168</v>
      </c>
      <c r="B780" t="s">
        <v>1048</v>
      </c>
      <c r="C780" t="s">
        <v>771</v>
      </c>
      <c r="D780">
        <v>8469744</v>
      </c>
      <c r="E780">
        <v>3.67</v>
      </c>
      <c r="F780">
        <v>6.75</v>
      </c>
    </row>
    <row r="781" spans="1:6" x14ac:dyDescent="0.3">
      <c r="A781" t="s">
        <v>1169</v>
      </c>
      <c r="B781" t="s">
        <v>192</v>
      </c>
      <c r="C781" t="s">
        <v>893</v>
      </c>
      <c r="D781">
        <v>8491232</v>
      </c>
      <c r="E781">
        <v>18.04</v>
      </c>
      <c r="F781">
        <v>6.29</v>
      </c>
    </row>
    <row r="782" spans="1:6" x14ac:dyDescent="0.3">
      <c r="A782" t="s">
        <v>1170</v>
      </c>
      <c r="B782" t="s">
        <v>177</v>
      </c>
      <c r="C782" t="s">
        <v>1008</v>
      </c>
      <c r="D782">
        <v>8492247</v>
      </c>
      <c r="E782">
        <v>5.67</v>
      </c>
      <c r="F782">
        <v>7.14</v>
      </c>
    </row>
    <row r="783" spans="1:6" x14ac:dyDescent="0.3">
      <c r="A783" t="s">
        <v>1171</v>
      </c>
      <c r="B783" t="s">
        <v>979</v>
      </c>
      <c r="C783" t="s">
        <v>859</v>
      </c>
      <c r="D783">
        <v>8582239</v>
      </c>
      <c r="E783">
        <v>17.329999999999998</v>
      </c>
      <c r="F783">
        <v>4.5</v>
      </c>
    </row>
    <row r="784" spans="1:6" x14ac:dyDescent="0.3">
      <c r="A784" t="s">
        <v>1172</v>
      </c>
      <c r="B784" t="s">
        <v>1173</v>
      </c>
      <c r="C784" t="s">
        <v>1174</v>
      </c>
      <c r="D784">
        <v>8590714</v>
      </c>
      <c r="E784">
        <v>14</v>
      </c>
      <c r="F784">
        <v>6.86</v>
      </c>
    </row>
    <row r="785" spans="1:6" x14ac:dyDescent="0.3">
      <c r="A785" t="s">
        <v>1175</v>
      </c>
      <c r="B785" t="s">
        <v>822</v>
      </c>
      <c r="C785" t="s">
        <v>1129</v>
      </c>
      <c r="D785">
        <v>8638730</v>
      </c>
      <c r="E785">
        <v>8.01</v>
      </c>
      <c r="F785">
        <v>6.96</v>
      </c>
    </row>
    <row r="786" spans="1:6" x14ac:dyDescent="0.3">
      <c r="A786" t="s">
        <v>1176</v>
      </c>
      <c r="B786" t="s">
        <v>975</v>
      </c>
      <c r="C786" t="s">
        <v>175</v>
      </c>
      <c r="D786">
        <v>8651420</v>
      </c>
      <c r="E786">
        <v>7.33</v>
      </c>
      <c r="F786">
        <v>7</v>
      </c>
    </row>
    <row r="787" spans="1:6" x14ac:dyDescent="0.3">
      <c r="A787" t="s">
        <v>1177</v>
      </c>
      <c r="B787" t="s">
        <v>1178</v>
      </c>
      <c r="C787" t="s">
        <v>1177</v>
      </c>
      <c r="D787">
        <v>8660411</v>
      </c>
      <c r="E787">
        <v>3.79</v>
      </c>
      <c r="F787">
        <v>7.79</v>
      </c>
    </row>
    <row r="788" spans="1:6" x14ac:dyDescent="0.3">
      <c r="A788" t="s">
        <v>1179</v>
      </c>
      <c r="B788" t="s">
        <v>192</v>
      </c>
      <c r="C788" t="s">
        <v>727</v>
      </c>
      <c r="D788">
        <v>8692100</v>
      </c>
      <c r="E788">
        <v>14.57</v>
      </c>
      <c r="F788">
        <v>6.08</v>
      </c>
    </row>
    <row r="789" spans="1:6" x14ac:dyDescent="0.3">
      <c r="A789" t="s">
        <v>748</v>
      </c>
      <c r="B789" t="s">
        <v>1180</v>
      </c>
      <c r="C789" t="s">
        <v>749</v>
      </c>
      <c r="D789">
        <v>8693225</v>
      </c>
      <c r="E789">
        <v>9.26</v>
      </c>
      <c r="F789">
        <v>5.61</v>
      </c>
    </row>
    <row r="790" spans="1:6" x14ac:dyDescent="0.3">
      <c r="A790" t="s">
        <v>1181</v>
      </c>
      <c r="B790" t="s">
        <v>609</v>
      </c>
      <c r="C790" t="s">
        <v>1182</v>
      </c>
      <c r="D790">
        <v>8723596</v>
      </c>
      <c r="E790">
        <v>15.82</v>
      </c>
      <c r="F790">
        <v>5.71</v>
      </c>
    </row>
    <row r="791" spans="1:6" x14ac:dyDescent="0.3">
      <c r="A791" t="s">
        <v>1183</v>
      </c>
      <c r="B791" t="s">
        <v>709</v>
      </c>
      <c r="C791" t="s">
        <v>1183</v>
      </c>
      <c r="D791">
        <v>8809366</v>
      </c>
      <c r="E791">
        <v>7.7</v>
      </c>
      <c r="F791">
        <v>6.83</v>
      </c>
    </row>
    <row r="792" spans="1:6" x14ac:dyDescent="0.3">
      <c r="A792" t="s">
        <v>1184</v>
      </c>
      <c r="B792" t="s">
        <v>1053</v>
      </c>
      <c r="C792" t="s">
        <v>1185</v>
      </c>
      <c r="D792">
        <v>8817742</v>
      </c>
      <c r="E792">
        <v>6.85</v>
      </c>
      <c r="F792">
        <v>6.42</v>
      </c>
    </row>
    <row r="793" spans="1:6" x14ac:dyDescent="0.3">
      <c r="A793" t="s">
        <v>1186</v>
      </c>
      <c r="B793" t="s">
        <v>1187</v>
      </c>
      <c r="C793" t="s">
        <v>1188</v>
      </c>
      <c r="D793">
        <v>8839598</v>
      </c>
      <c r="E793">
        <v>6.6</v>
      </c>
      <c r="F793">
        <v>6.7</v>
      </c>
    </row>
    <row r="794" spans="1:6" x14ac:dyDescent="0.3">
      <c r="A794" t="s">
        <v>1189</v>
      </c>
      <c r="B794" t="s">
        <v>900</v>
      </c>
      <c r="C794" t="s">
        <v>788</v>
      </c>
      <c r="D794">
        <v>8852851</v>
      </c>
      <c r="E794">
        <v>8.33</v>
      </c>
      <c r="F794">
        <v>4.75</v>
      </c>
    </row>
    <row r="795" spans="1:6" x14ac:dyDescent="0.3">
      <c r="A795" t="s">
        <v>1190</v>
      </c>
      <c r="B795" t="s">
        <v>1191</v>
      </c>
      <c r="C795" t="s">
        <v>1192</v>
      </c>
      <c r="D795">
        <v>8856092</v>
      </c>
      <c r="E795">
        <v>8.3699999999999992</v>
      </c>
      <c r="F795">
        <v>5.76</v>
      </c>
    </row>
    <row r="796" spans="1:6" x14ac:dyDescent="0.3">
      <c r="A796" t="s">
        <v>1193</v>
      </c>
      <c r="B796" t="s">
        <v>325</v>
      </c>
      <c r="C796" t="s">
        <v>1194</v>
      </c>
      <c r="D796">
        <v>8887523</v>
      </c>
      <c r="E796">
        <v>11.4</v>
      </c>
      <c r="F796">
        <v>5.37</v>
      </c>
    </row>
    <row r="797" spans="1:6" x14ac:dyDescent="0.3">
      <c r="A797" t="s">
        <v>1195</v>
      </c>
      <c r="B797" t="s">
        <v>1196</v>
      </c>
      <c r="C797" t="s">
        <v>896</v>
      </c>
      <c r="D797">
        <v>8892132</v>
      </c>
      <c r="E797">
        <v>12.18</v>
      </c>
      <c r="F797">
        <v>8.1999999999999993</v>
      </c>
    </row>
    <row r="798" spans="1:6" x14ac:dyDescent="0.3">
      <c r="A798" t="s">
        <v>1197</v>
      </c>
      <c r="B798" t="s">
        <v>955</v>
      </c>
      <c r="C798" t="s">
        <v>1004</v>
      </c>
      <c r="D798">
        <v>8932480</v>
      </c>
      <c r="E798">
        <v>5.44</v>
      </c>
      <c r="F798">
        <v>7.25</v>
      </c>
    </row>
    <row r="799" spans="1:6" x14ac:dyDescent="0.3">
      <c r="A799" t="s">
        <v>1198</v>
      </c>
      <c r="B799" t="s">
        <v>1199</v>
      </c>
      <c r="C799" t="s">
        <v>956</v>
      </c>
      <c r="D799">
        <v>8947679</v>
      </c>
      <c r="E799">
        <v>8.6300000000000008</v>
      </c>
      <c r="F799">
        <v>6.42</v>
      </c>
    </row>
    <row r="800" spans="1:6" x14ac:dyDescent="0.3">
      <c r="A800" t="s">
        <v>1200</v>
      </c>
      <c r="B800" t="s">
        <v>192</v>
      </c>
      <c r="C800" t="s">
        <v>1200</v>
      </c>
      <c r="D800">
        <v>8999272</v>
      </c>
      <c r="E800">
        <v>8.16</v>
      </c>
      <c r="F800">
        <v>7.5</v>
      </c>
    </row>
    <row r="801" spans="1:6" x14ac:dyDescent="0.3">
      <c r="A801" t="s">
        <v>173</v>
      </c>
      <c r="B801" t="s">
        <v>1064</v>
      </c>
      <c r="C801" t="s">
        <v>820</v>
      </c>
      <c r="D801">
        <v>9004118</v>
      </c>
      <c r="E801">
        <v>13.18</v>
      </c>
      <c r="F801">
        <v>6.08</v>
      </c>
    </row>
    <row r="802" spans="1:6" x14ac:dyDescent="0.3">
      <c r="A802" t="s">
        <v>1201</v>
      </c>
      <c r="B802" t="s">
        <v>1202</v>
      </c>
      <c r="C802" t="s">
        <v>1203</v>
      </c>
      <c r="D802">
        <v>9029807</v>
      </c>
      <c r="E802">
        <v>11.83</v>
      </c>
      <c r="F802">
        <v>6.36</v>
      </c>
    </row>
    <row r="803" spans="1:6" x14ac:dyDescent="0.3">
      <c r="A803" t="s">
        <v>1204</v>
      </c>
      <c r="B803" t="s">
        <v>520</v>
      </c>
      <c r="C803" t="s">
        <v>1205</v>
      </c>
      <c r="D803">
        <v>9042808</v>
      </c>
      <c r="E803">
        <v>10.25</v>
      </c>
      <c r="F803">
        <v>9</v>
      </c>
    </row>
    <row r="804" spans="1:6" x14ac:dyDescent="0.3">
      <c r="A804" t="s">
        <v>1206</v>
      </c>
      <c r="B804" t="s">
        <v>88</v>
      </c>
      <c r="C804" t="s">
        <v>818</v>
      </c>
      <c r="D804">
        <v>9072281</v>
      </c>
      <c r="E804">
        <v>13.6</v>
      </c>
      <c r="F804">
        <v>3.8</v>
      </c>
    </row>
    <row r="805" spans="1:6" x14ac:dyDescent="0.3">
      <c r="A805" t="s">
        <v>1207</v>
      </c>
      <c r="B805" t="s">
        <v>1208</v>
      </c>
      <c r="C805" t="s">
        <v>1004</v>
      </c>
      <c r="D805">
        <v>9095806</v>
      </c>
      <c r="E805">
        <v>8.57</v>
      </c>
      <c r="F805">
        <v>6.2</v>
      </c>
    </row>
    <row r="806" spans="1:6" x14ac:dyDescent="0.3">
      <c r="A806" t="s">
        <v>1209</v>
      </c>
      <c r="B806" t="s">
        <v>1210</v>
      </c>
      <c r="C806" t="s">
        <v>1111</v>
      </c>
      <c r="D806">
        <v>9121065</v>
      </c>
      <c r="E806">
        <v>4.6100000000000003</v>
      </c>
      <c r="F806">
        <v>5.0999999999999996</v>
      </c>
    </row>
    <row r="807" spans="1:6" x14ac:dyDescent="0.3">
      <c r="A807" t="s">
        <v>1211</v>
      </c>
      <c r="B807" t="s">
        <v>951</v>
      </c>
      <c r="C807" t="s">
        <v>1200</v>
      </c>
      <c r="D807">
        <v>9138990</v>
      </c>
      <c r="E807">
        <v>9.9</v>
      </c>
      <c r="F807">
        <v>6</v>
      </c>
    </row>
    <row r="808" spans="1:6" x14ac:dyDescent="0.3">
      <c r="A808" t="s">
        <v>1212</v>
      </c>
      <c r="B808" t="s">
        <v>826</v>
      </c>
      <c r="C808" t="s">
        <v>1213</v>
      </c>
      <c r="D808">
        <v>9145341</v>
      </c>
      <c r="E808">
        <v>16.86</v>
      </c>
      <c r="F808">
        <v>5.0599999999999996</v>
      </c>
    </row>
    <row r="809" spans="1:6" x14ac:dyDescent="0.3">
      <c r="A809" t="s">
        <v>1214</v>
      </c>
      <c r="B809" t="s">
        <v>1215</v>
      </c>
      <c r="C809" t="s">
        <v>741</v>
      </c>
      <c r="D809">
        <v>9150564</v>
      </c>
      <c r="E809">
        <v>5.29</v>
      </c>
      <c r="F809">
        <v>5.38</v>
      </c>
    </row>
    <row r="810" spans="1:6" x14ac:dyDescent="0.3">
      <c r="A810" t="s">
        <v>1216</v>
      </c>
      <c r="B810" t="s">
        <v>1217</v>
      </c>
      <c r="C810" t="s">
        <v>780</v>
      </c>
      <c r="D810">
        <v>9160753</v>
      </c>
      <c r="E810">
        <v>9</v>
      </c>
      <c r="F810">
        <v>5.5</v>
      </c>
    </row>
    <row r="811" spans="1:6" x14ac:dyDescent="0.3">
      <c r="A811" t="s">
        <v>1218</v>
      </c>
      <c r="B811" t="s">
        <v>1219</v>
      </c>
      <c r="C811" t="s">
        <v>749</v>
      </c>
      <c r="D811">
        <v>9202942</v>
      </c>
      <c r="E811">
        <v>13.6</v>
      </c>
      <c r="F811">
        <v>5.2</v>
      </c>
    </row>
    <row r="812" spans="1:6" x14ac:dyDescent="0.3">
      <c r="A812" t="s">
        <v>1220</v>
      </c>
      <c r="B812" t="s">
        <v>815</v>
      </c>
      <c r="C812" t="s">
        <v>893</v>
      </c>
      <c r="D812">
        <v>9227963</v>
      </c>
      <c r="E812">
        <v>7.6</v>
      </c>
      <c r="F812">
        <v>4.5</v>
      </c>
    </row>
    <row r="813" spans="1:6" x14ac:dyDescent="0.3">
      <c r="A813" t="s">
        <v>1221</v>
      </c>
      <c r="B813" t="s">
        <v>44</v>
      </c>
      <c r="C813" t="s">
        <v>771</v>
      </c>
      <c r="D813">
        <v>9229228</v>
      </c>
      <c r="E813">
        <v>16.88</v>
      </c>
      <c r="F813">
        <v>6.88</v>
      </c>
    </row>
    <row r="814" spans="1:6" x14ac:dyDescent="0.3">
      <c r="A814" t="s">
        <v>1222</v>
      </c>
      <c r="B814" t="s">
        <v>1223</v>
      </c>
      <c r="C814" t="s">
        <v>847</v>
      </c>
      <c r="D814">
        <v>9240170</v>
      </c>
      <c r="E814">
        <v>11.66</v>
      </c>
      <c r="F814">
        <v>7.67</v>
      </c>
    </row>
    <row r="815" spans="1:6" x14ac:dyDescent="0.3">
      <c r="A815" t="s">
        <v>1224</v>
      </c>
      <c r="B815" t="s">
        <v>796</v>
      </c>
      <c r="C815" t="s">
        <v>741</v>
      </c>
      <c r="D815">
        <v>9287687</v>
      </c>
      <c r="E815">
        <v>9.81</v>
      </c>
      <c r="F815">
        <v>6.72</v>
      </c>
    </row>
    <row r="816" spans="1:6" x14ac:dyDescent="0.3">
      <c r="A816" t="s">
        <v>1225</v>
      </c>
      <c r="B816" t="s">
        <v>712</v>
      </c>
      <c r="C816" t="s">
        <v>882</v>
      </c>
      <c r="D816">
        <v>9288334</v>
      </c>
      <c r="E816">
        <v>4.0199999999999996</v>
      </c>
      <c r="F816">
        <v>5.32</v>
      </c>
    </row>
    <row r="817" spans="1:6" x14ac:dyDescent="0.3">
      <c r="A817" t="s">
        <v>1226</v>
      </c>
      <c r="B817" t="s">
        <v>1227</v>
      </c>
      <c r="C817" t="s">
        <v>8</v>
      </c>
      <c r="D817">
        <v>9295715</v>
      </c>
      <c r="E817">
        <v>11.9</v>
      </c>
      <c r="F817">
        <v>7.11</v>
      </c>
    </row>
    <row r="818" spans="1:6" x14ac:dyDescent="0.3">
      <c r="A818" t="s">
        <v>1228</v>
      </c>
      <c r="B818" t="s">
        <v>573</v>
      </c>
      <c r="C818" t="s">
        <v>950</v>
      </c>
      <c r="D818">
        <v>9300613</v>
      </c>
      <c r="E818">
        <v>8.2200000000000006</v>
      </c>
      <c r="F818">
        <v>6.14</v>
      </c>
    </row>
    <row r="819" spans="1:6" x14ac:dyDescent="0.3">
      <c r="A819" t="s">
        <v>1229</v>
      </c>
      <c r="B819" t="s">
        <v>1230</v>
      </c>
      <c r="C819" t="s">
        <v>1231</v>
      </c>
      <c r="D819">
        <v>9386703</v>
      </c>
      <c r="E819">
        <v>11.78</v>
      </c>
      <c r="F819">
        <v>6.38</v>
      </c>
    </row>
    <row r="820" spans="1:6" x14ac:dyDescent="0.3">
      <c r="A820" t="s">
        <v>1232</v>
      </c>
      <c r="B820" t="s">
        <v>1233</v>
      </c>
      <c r="C820" t="s">
        <v>1177</v>
      </c>
      <c r="D820">
        <v>9389783</v>
      </c>
      <c r="E820">
        <v>4.82</v>
      </c>
      <c r="F820">
        <v>6</v>
      </c>
    </row>
    <row r="821" spans="1:6" x14ac:dyDescent="0.3">
      <c r="A821" t="s">
        <v>1234</v>
      </c>
      <c r="B821" t="s">
        <v>1235</v>
      </c>
      <c r="C821" t="s">
        <v>827</v>
      </c>
      <c r="D821">
        <v>9429331</v>
      </c>
      <c r="E821">
        <v>17</v>
      </c>
      <c r="F821">
        <v>4.33</v>
      </c>
    </row>
    <row r="822" spans="1:6" x14ac:dyDescent="0.3">
      <c r="A822" t="s">
        <v>1236</v>
      </c>
      <c r="B822" t="s">
        <v>609</v>
      </c>
      <c r="C822" t="s">
        <v>820</v>
      </c>
      <c r="D822">
        <v>9431737</v>
      </c>
      <c r="E822">
        <v>14.91</v>
      </c>
      <c r="F822">
        <v>6.42</v>
      </c>
    </row>
    <row r="823" spans="1:6" x14ac:dyDescent="0.3">
      <c r="A823" t="s">
        <v>1237</v>
      </c>
      <c r="B823" t="s">
        <v>1238</v>
      </c>
      <c r="C823" t="s">
        <v>969</v>
      </c>
      <c r="D823">
        <v>9437062</v>
      </c>
      <c r="E823">
        <v>7.6</v>
      </c>
      <c r="F823">
        <v>6</v>
      </c>
    </row>
    <row r="824" spans="1:6" x14ac:dyDescent="0.3">
      <c r="A824" t="s">
        <v>1239</v>
      </c>
      <c r="B824" t="s">
        <v>975</v>
      </c>
      <c r="C824" t="s">
        <v>1240</v>
      </c>
      <c r="D824">
        <v>9505007</v>
      </c>
      <c r="E824">
        <v>8.15</v>
      </c>
      <c r="F824">
        <v>6.92</v>
      </c>
    </row>
    <row r="825" spans="1:6" x14ac:dyDescent="0.3">
      <c r="A825" t="s">
        <v>1241</v>
      </c>
      <c r="B825" t="s">
        <v>1017</v>
      </c>
      <c r="C825" t="s">
        <v>1242</v>
      </c>
      <c r="D825">
        <v>9545213</v>
      </c>
      <c r="E825">
        <v>10.19</v>
      </c>
      <c r="F825">
        <v>7.73</v>
      </c>
    </row>
    <row r="826" spans="1:6" x14ac:dyDescent="0.3">
      <c r="A826" t="s">
        <v>1243</v>
      </c>
      <c r="B826" t="s">
        <v>1244</v>
      </c>
      <c r="C826" t="s">
        <v>859</v>
      </c>
      <c r="D826">
        <v>9571582</v>
      </c>
      <c r="E826">
        <v>16.13</v>
      </c>
      <c r="F826">
        <v>5.71</v>
      </c>
    </row>
    <row r="827" spans="1:6" x14ac:dyDescent="0.3">
      <c r="A827" t="s">
        <v>1245</v>
      </c>
      <c r="B827" t="s">
        <v>412</v>
      </c>
      <c r="C827" t="s">
        <v>1246</v>
      </c>
      <c r="D827">
        <v>9575803</v>
      </c>
      <c r="E827">
        <v>10.16</v>
      </c>
      <c r="F827">
        <v>6.08</v>
      </c>
    </row>
    <row r="828" spans="1:6" x14ac:dyDescent="0.3">
      <c r="A828" t="s">
        <v>1247</v>
      </c>
      <c r="B828" t="s">
        <v>277</v>
      </c>
      <c r="C828" t="s">
        <v>1248</v>
      </c>
      <c r="D828">
        <v>9594159</v>
      </c>
      <c r="E828">
        <v>4.0599999999999996</v>
      </c>
      <c r="F828">
        <v>6.4</v>
      </c>
    </row>
    <row r="829" spans="1:6" x14ac:dyDescent="0.3">
      <c r="A829" t="s">
        <v>1249</v>
      </c>
      <c r="B829" t="s">
        <v>1250</v>
      </c>
      <c r="C829" t="s">
        <v>1251</v>
      </c>
      <c r="D829">
        <v>9603387</v>
      </c>
      <c r="E829">
        <v>14.66</v>
      </c>
      <c r="F829">
        <v>4.4400000000000004</v>
      </c>
    </row>
    <row r="830" spans="1:6" x14ac:dyDescent="0.3">
      <c r="A830" t="s">
        <v>1252</v>
      </c>
      <c r="B830" t="s">
        <v>1253</v>
      </c>
      <c r="C830" t="s">
        <v>956</v>
      </c>
      <c r="D830">
        <v>9608518</v>
      </c>
      <c r="E830">
        <v>3.85</v>
      </c>
      <c r="F830">
        <v>6.72</v>
      </c>
    </row>
    <row r="831" spans="1:6" x14ac:dyDescent="0.3">
      <c r="A831" t="s">
        <v>1254</v>
      </c>
      <c r="B831" t="s">
        <v>463</v>
      </c>
      <c r="C831" t="s">
        <v>1255</v>
      </c>
      <c r="D831">
        <v>9623078</v>
      </c>
      <c r="E831">
        <v>8.1</v>
      </c>
      <c r="F831">
        <v>6.44</v>
      </c>
    </row>
    <row r="832" spans="1:6" x14ac:dyDescent="0.3">
      <c r="A832" t="s">
        <v>1256</v>
      </c>
      <c r="B832" t="s">
        <v>1115</v>
      </c>
      <c r="C832" t="s">
        <v>1257</v>
      </c>
      <c r="D832">
        <v>9630903</v>
      </c>
      <c r="E832">
        <v>4.09</v>
      </c>
      <c r="F832">
        <v>6.36</v>
      </c>
    </row>
    <row r="833" spans="1:6" x14ac:dyDescent="0.3">
      <c r="A833" t="s">
        <v>1258</v>
      </c>
      <c r="B833" t="s">
        <v>1259</v>
      </c>
      <c r="C833" t="s">
        <v>1260</v>
      </c>
      <c r="D833">
        <v>9636620</v>
      </c>
      <c r="E833">
        <v>14.34</v>
      </c>
      <c r="F833">
        <v>6.5</v>
      </c>
    </row>
    <row r="834" spans="1:6" x14ac:dyDescent="0.3">
      <c r="A834" t="s">
        <v>1261</v>
      </c>
      <c r="B834" t="s">
        <v>1262</v>
      </c>
      <c r="C834" t="s">
        <v>1263</v>
      </c>
      <c r="D834">
        <v>9653767</v>
      </c>
      <c r="E834">
        <v>15.88</v>
      </c>
      <c r="F834">
        <v>6.67</v>
      </c>
    </row>
    <row r="835" spans="1:6" x14ac:dyDescent="0.3">
      <c r="A835" t="s">
        <v>1264</v>
      </c>
      <c r="B835" t="s">
        <v>1265</v>
      </c>
      <c r="C835" t="s">
        <v>1008</v>
      </c>
      <c r="D835">
        <v>9656292</v>
      </c>
      <c r="E835">
        <v>15.84</v>
      </c>
      <c r="F835">
        <v>7.17</v>
      </c>
    </row>
    <row r="836" spans="1:6" x14ac:dyDescent="0.3">
      <c r="A836" t="s">
        <v>1266</v>
      </c>
      <c r="B836" t="s">
        <v>609</v>
      </c>
      <c r="C836" t="s">
        <v>747</v>
      </c>
      <c r="D836">
        <v>9657564</v>
      </c>
      <c r="E836">
        <v>4.21</v>
      </c>
      <c r="F836">
        <v>5.27</v>
      </c>
    </row>
    <row r="837" spans="1:6" x14ac:dyDescent="0.3">
      <c r="A837" t="s">
        <v>1267</v>
      </c>
      <c r="B837" t="s">
        <v>567</v>
      </c>
      <c r="C837" t="s">
        <v>782</v>
      </c>
      <c r="D837">
        <v>9657822</v>
      </c>
      <c r="E837">
        <v>14.41</v>
      </c>
      <c r="F837">
        <v>4.8600000000000003</v>
      </c>
    </row>
    <row r="838" spans="1:6" x14ac:dyDescent="0.3">
      <c r="A838" t="s">
        <v>1268</v>
      </c>
      <c r="B838" t="s">
        <v>1003</v>
      </c>
      <c r="C838" t="s">
        <v>1269</v>
      </c>
      <c r="D838">
        <v>9682304</v>
      </c>
      <c r="E838">
        <v>10.65</v>
      </c>
      <c r="F838">
        <v>6.58</v>
      </c>
    </row>
    <row r="839" spans="1:6" x14ac:dyDescent="0.3">
      <c r="A839" t="s">
        <v>1270</v>
      </c>
      <c r="B839" t="s">
        <v>1271</v>
      </c>
      <c r="C839" t="s">
        <v>782</v>
      </c>
      <c r="D839">
        <v>9687828</v>
      </c>
      <c r="E839">
        <v>12.33</v>
      </c>
      <c r="F839">
        <v>4</v>
      </c>
    </row>
    <row r="840" spans="1:6" x14ac:dyDescent="0.3">
      <c r="A840" t="s">
        <v>1272</v>
      </c>
      <c r="B840" t="s">
        <v>1273</v>
      </c>
      <c r="C840" t="s">
        <v>1274</v>
      </c>
      <c r="D840">
        <v>9700312</v>
      </c>
      <c r="E840">
        <v>18.98</v>
      </c>
      <c r="F840">
        <v>5.34</v>
      </c>
    </row>
    <row r="841" spans="1:6" x14ac:dyDescent="0.3">
      <c r="A841" t="s">
        <v>1275</v>
      </c>
      <c r="B841" t="s">
        <v>1276</v>
      </c>
      <c r="C841" t="s">
        <v>1277</v>
      </c>
      <c r="D841">
        <v>9711732</v>
      </c>
      <c r="E841">
        <v>11.55</v>
      </c>
      <c r="F841">
        <v>7.3</v>
      </c>
    </row>
    <row r="842" spans="1:6" x14ac:dyDescent="0.3">
      <c r="A842" t="s">
        <v>1278</v>
      </c>
      <c r="B842" t="s">
        <v>1279</v>
      </c>
      <c r="C842" t="s">
        <v>349</v>
      </c>
      <c r="D842">
        <v>9718024</v>
      </c>
      <c r="E842">
        <v>10.94</v>
      </c>
      <c r="F842">
        <v>6.08</v>
      </c>
    </row>
    <row r="843" spans="1:6" x14ac:dyDescent="0.3">
      <c r="A843" t="s">
        <v>1280</v>
      </c>
      <c r="B843" t="s">
        <v>1281</v>
      </c>
      <c r="C843" t="s">
        <v>1129</v>
      </c>
      <c r="D843">
        <v>9722097</v>
      </c>
      <c r="E843">
        <v>15.86</v>
      </c>
      <c r="F843">
        <v>5.61</v>
      </c>
    </row>
    <row r="844" spans="1:6" x14ac:dyDescent="0.3">
      <c r="A844" t="s">
        <v>1282</v>
      </c>
      <c r="B844" t="s">
        <v>761</v>
      </c>
      <c r="C844" t="s">
        <v>121</v>
      </c>
      <c r="D844">
        <v>9725767</v>
      </c>
      <c r="E844">
        <v>12.8</v>
      </c>
      <c r="F844">
        <v>6.1</v>
      </c>
    </row>
    <row r="845" spans="1:6" x14ac:dyDescent="0.3">
      <c r="A845" t="s">
        <v>1283</v>
      </c>
      <c r="B845" t="s">
        <v>854</v>
      </c>
      <c r="C845" t="s">
        <v>1080</v>
      </c>
      <c r="D845">
        <v>9730906</v>
      </c>
      <c r="E845">
        <v>5.94</v>
      </c>
      <c r="F845">
        <v>6.91</v>
      </c>
    </row>
    <row r="846" spans="1:6" x14ac:dyDescent="0.3">
      <c r="A846" t="s">
        <v>1284</v>
      </c>
      <c r="B846" t="s">
        <v>1285</v>
      </c>
      <c r="C846" t="s">
        <v>1286</v>
      </c>
      <c r="D846">
        <v>9741720</v>
      </c>
      <c r="E846">
        <v>16.239999999999998</v>
      </c>
      <c r="F846">
        <v>7.23</v>
      </c>
    </row>
    <row r="847" spans="1:6" x14ac:dyDescent="0.3">
      <c r="A847" t="s">
        <v>1287</v>
      </c>
      <c r="B847" t="s">
        <v>1288</v>
      </c>
      <c r="C847" t="s">
        <v>959</v>
      </c>
      <c r="D847">
        <v>9752830</v>
      </c>
      <c r="E847">
        <v>11</v>
      </c>
      <c r="F847">
        <v>7.88</v>
      </c>
    </row>
    <row r="848" spans="1:6" x14ac:dyDescent="0.3">
      <c r="A848" t="s">
        <v>1289</v>
      </c>
      <c r="B848" t="s">
        <v>1290</v>
      </c>
      <c r="C848" t="s">
        <v>1289</v>
      </c>
      <c r="D848">
        <v>9781747</v>
      </c>
      <c r="E848">
        <v>13</v>
      </c>
      <c r="F848">
        <v>8</v>
      </c>
    </row>
    <row r="849" spans="1:6" x14ac:dyDescent="0.3">
      <c r="A849" t="s">
        <v>1291</v>
      </c>
      <c r="B849" t="s">
        <v>1292</v>
      </c>
      <c r="C849" t="s">
        <v>1293</v>
      </c>
      <c r="D849">
        <v>9811138</v>
      </c>
      <c r="E849">
        <v>11.71</v>
      </c>
      <c r="F849">
        <v>5.36</v>
      </c>
    </row>
    <row r="850" spans="1:6" x14ac:dyDescent="0.3">
      <c r="A850" t="s">
        <v>1294</v>
      </c>
      <c r="B850" t="s">
        <v>1295</v>
      </c>
      <c r="C850" t="s">
        <v>6</v>
      </c>
      <c r="D850">
        <v>9812015</v>
      </c>
      <c r="E850">
        <v>6.85</v>
      </c>
      <c r="F850">
        <v>5.9</v>
      </c>
    </row>
    <row r="851" spans="1:6" x14ac:dyDescent="0.3">
      <c r="A851" t="s">
        <v>1296</v>
      </c>
      <c r="B851" t="s">
        <v>523</v>
      </c>
      <c r="C851" t="s">
        <v>755</v>
      </c>
      <c r="D851">
        <v>9817480</v>
      </c>
      <c r="E851">
        <v>12</v>
      </c>
      <c r="F851">
        <v>7.14</v>
      </c>
    </row>
    <row r="852" spans="1:6" x14ac:dyDescent="0.3">
      <c r="A852" t="s">
        <v>1297</v>
      </c>
      <c r="B852" t="s">
        <v>808</v>
      </c>
      <c r="C852" t="s">
        <v>731</v>
      </c>
      <c r="D852">
        <v>9819675</v>
      </c>
      <c r="E852">
        <v>16.399999999999999</v>
      </c>
      <c r="F852">
        <v>5</v>
      </c>
    </row>
    <row r="853" spans="1:6" x14ac:dyDescent="0.3">
      <c r="A853" t="s">
        <v>1298</v>
      </c>
      <c r="B853" t="s">
        <v>1299</v>
      </c>
      <c r="C853" t="s">
        <v>1300</v>
      </c>
      <c r="D853">
        <v>9834617</v>
      </c>
      <c r="E853">
        <v>19.41</v>
      </c>
      <c r="F853">
        <v>4</v>
      </c>
    </row>
    <row r="854" spans="1:6" x14ac:dyDescent="0.3">
      <c r="A854" t="s">
        <v>1301</v>
      </c>
      <c r="B854" t="s">
        <v>1199</v>
      </c>
      <c r="C854" t="s">
        <v>1152</v>
      </c>
      <c r="D854">
        <v>9863360</v>
      </c>
      <c r="E854">
        <v>18.2</v>
      </c>
      <c r="F854">
        <v>4.67</v>
      </c>
    </row>
    <row r="855" spans="1:6" x14ac:dyDescent="0.3">
      <c r="A855" t="s">
        <v>1302</v>
      </c>
      <c r="B855" t="s">
        <v>849</v>
      </c>
      <c r="C855" t="s">
        <v>1303</v>
      </c>
      <c r="D855">
        <v>9864147</v>
      </c>
      <c r="E855">
        <v>2.87</v>
      </c>
      <c r="F855">
        <v>5.6</v>
      </c>
    </row>
    <row r="856" spans="1:6" x14ac:dyDescent="0.3">
      <c r="A856" t="s">
        <v>1304</v>
      </c>
      <c r="B856" t="s">
        <v>1305</v>
      </c>
      <c r="C856" t="s">
        <v>1306</v>
      </c>
      <c r="D856">
        <v>9877807</v>
      </c>
      <c r="E856">
        <v>7.6</v>
      </c>
      <c r="F856">
        <v>5.89</v>
      </c>
    </row>
    <row r="857" spans="1:6" x14ac:dyDescent="0.3">
      <c r="A857" t="s">
        <v>1307</v>
      </c>
      <c r="B857" t="s">
        <v>1131</v>
      </c>
      <c r="C857" t="s">
        <v>727</v>
      </c>
      <c r="D857">
        <v>9881383</v>
      </c>
      <c r="E857">
        <v>7.07</v>
      </c>
      <c r="F857">
        <v>6.4</v>
      </c>
    </row>
    <row r="858" spans="1:6" x14ac:dyDescent="0.3">
      <c r="A858" t="s">
        <v>1308</v>
      </c>
      <c r="B858" t="s">
        <v>773</v>
      </c>
      <c r="C858" t="s">
        <v>36</v>
      </c>
      <c r="D858">
        <v>9889342</v>
      </c>
      <c r="E858">
        <v>16.09</v>
      </c>
      <c r="F858">
        <v>6.56</v>
      </c>
    </row>
    <row r="859" spans="1:6" x14ac:dyDescent="0.3">
      <c r="A859" t="s">
        <v>1309</v>
      </c>
      <c r="B859" t="s">
        <v>712</v>
      </c>
      <c r="C859" t="s">
        <v>1070</v>
      </c>
      <c r="D859">
        <v>9940252</v>
      </c>
      <c r="E859">
        <v>7.34</v>
      </c>
      <c r="F859">
        <v>6.17</v>
      </c>
    </row>
    <row r="860" spans="1:6" x14ac:dyDescent="0.3">
      <c r="A860" t="s">
        <v>1310</v>
      </c>
      <c r="B860" t="s">
        <v>1037</v>
      </c>
      <c r="C860" t="s">
        <v>847</v>
      </c>
      <c r="D860">
        <v>9947368</v>
      </c>
      <c r="E860">
        <v>15.4</v>
      </c>
      <c r="F860">
        <v>4.33</v>
      </c>
    </row>
    <row r="861" spans="1:6" x14ac:dyDescent="0.3">
      <c r="A861">
        <v>10</v>
      </c>
      <c r="B861" t="s">
        <v>1106</v>
      </c>
      <c r="C861" t="s">
        <v>1311</v>
      </c>
      <c r="D861">
        <v>9962546</v>
      </c>
      <c r="E861">
        <v>14.61</v>
      </c>
      <c r="F861">
        <v>6.18</v>
      </c>
    </row>
    <row r="862" spans="1:6" x14ac:dyDescent="0.3">
      <c r="A862" t="s">
        <v>1312</v>
      </c>
      <c r="B862" t="s">
        <v>973</v>
      </c>
      <c r="C862" t="s">
        <v>744</v>
      </c>
      <c r="D862">
        <v>9965435</v>
      </c>
      <c r="E862">
        <v>15.81</v>
      </c>
      <c r="F862">
        <v>5.52</v>
      </c>
    </row>
    <row r="863" spans="1:6" x14ac:dyDescent="0.3">
      <c r="A863" t="s">
        <v>1313</v>
      </c>
      <c r="B863" t="s">
        <v>709</v>
      </c>
      <c r="C863" t="s">
        <v>780</v>
      </c>
      <c r="D863">
        <v>9992497</v>
      </c>
      <c r="E863">
        <v>10.199999999999999</v>
      </c>
      <c r="F863">
        <v>7.5</v>
      </c>
    </row>
    <row r="864" spans="1:6" x14ac:dyDescent="0.3">
      <c r="A864" t="s">
        <v>738</v>
      </c>
      <c r="B864" t="s">
        <v>1314</v>
      </c>
      <c r="C864" t="s">
        <v>739</v>
      </c>
      <c r="D864">
        <v>10026842</v>
      </c>
      <c r="E864">
        <v>12.67</v>
      </c>
      <c r="F864">
        <v>4.33</v>
      </c>
    </row>
    <row r="865" spans="1:6" x14ac:dyDescent="0.3">
      <c r="A865" t="s">
        <v>1315</v>
      </c>
      <c r="B865" t="s">
        <v>1316</v>
      </c>
      <c r="C865" t="s">
        <v>1317</v>
      </c>
      <c r="D865">
        <v>10045444</v>
      </c>
      <c r="E865">
        <v>13.73</v>
      </c>
      <c r="F865">
        <v>6.85</v>
      </c>
    </row>
    <row r="866" spans="1:6" x14ac:dyDescent="0.3">
      <c r="A866" t="s">
        <v>1318</v>
      </c>
      <c r="B866" t="s">
        <v>1319</v>
      </c>
      <c r="C866" t="s">
        <v>1320</v>
      </c>
      <c r="D866">
        <v>10047384</v>
      </c>
      <c r="E866">
        <v>15.94</v>
      </c>
      <c r="F866">
        <v>5.22</v>
      </c>
    </row>
    <row r="867" spans="1:6" x14ac:dyDescent="0.3">
      <c r="A867" t="s">
        <v>1321</v>
      </c>
      <c r="B867" t="s">
        <v>1322</v>
      </c>
      <c r="C867" t="s">
        <v>1323</v>
      </c>
      <c r="D867">
        <v>10065112</v>
      </c>
      <c r="E867">
        <v>3.95</v>
      </c>
      <c r="F867">
        <v>5.89</v>
      </c>
    </row>
    <row r="868" spans="1:6" x14ac:dyDescent="0.3">
      <c r="A868" t="s">
        <v>1324</v>
      </c>
      <c r="B868" t="s">
        <v>1325</v>
      </c>
      <c r="C868" t="s">
        <v>1203</v>
      </c>
      <c r="D868">
        <v>10092715</v>
      </c>
      <c r="E868">
        <v>11.84</v>
      </c>
      <c r="F868">
        <v>6.88</v>
      </c>
    </row>
    <row r="869" spans="1:6" x14ac:dyDescent="0.3">
      <c r="A869" t="s">
        <v>1326</v>
      </c>
      <c r="B869" t="s">
        <v>1017</v>
      </c>
      <c r="C869" t="e">
        <f>-Orr- Soaring in The Stars</f>
        <v>#NAME?</v>
      </c>
      <c r="D869">
        <v>10127117</v>
      </c>
      <c r="E869">
        <v>3.75</v>
      </c>
      <c r="F869">
        <v>6.05</v>
      </c>
    </row>
    <row r="870" spans="1:6" x14ac:dyDescent="0.3">
      <c r="A870" t="s">
        <v>1327</v>
      </c>
      <c r="B870" t="s">
        <v>1328</v>
      </c>
      <c r="C870" t="s">
        <v>1329</v>
      </c>
      <c r="D870">
        <v>10130051</v>
      </c>
      <c r="E870">
        <v>11</v>
      </c>
      <c r="F870">
        <v>7</v>
      </c>
    </row>
    <row r="871" spans="1:6" x14ac:dyDescent="0.3">
      <c r="A871" t="s">
        <v>1330</v>
      </c>
      <c r="B871" t="s">
        <v>1331</v>
      </c>
      <c r="C871" t="s">
        <v>898</v>
      </c>
      <c r="D871">
        <v>10137630</v>
      </c>
      <c r="E871">
        <v>18.350000000000001</v>
      </c>
      <c r="F871">
        <v>5.9</v>
      </c>
    </row>
    <row r="872" spans="1:6" x14ac:dyDescent="0.3">
      <c r="A872" t="s">
        <v>1332</v>
      </c>
      <c r="B872" t="s">
        <v>112</v>
      </c>
      <c r="C872" t="s">
        <v>898</v>
      </c>
      <c r="D872">
        <v>10150016</v>
      </c>
      <c r="E872">
        <v>4.3</v>
      </c>
      <c r="F872">
        <v>7.04</v>
      </c>
    </row>
    <row r="873" spans="1:6" x14ac:dyDescent="0.3">
      <c r="A873" t="s">
        <v>1333</v>
      </c>
      <c r="B873" t="s">
        <v>1334</v>
      </c>
      <c r="C873" t="s">
        <v>739</v>
      </c>
      <c r="D873">
        <v>10162215</v>
      </c>
      <c r="E873">
        <v>11.99</v>
      </c>
      <c r="F873">
        <v>7</v>
      </c>
    </row>
    <row r="874" spans="1:6" x14ac:dyDescent="0.3">
      <c r="A874" t="s">
        <v>1335</v>
      </c>
      <c r="B874" t="s">
        <v>1276</v>
      </c>
      <c r="C874" t="s">
        <v>1336</v>
      </c>
      <c r="D874">
        <v>10177712</v>
      </c>
      <c r="E874">
        <v>10.63</v>
      </c>
      <c r="F874">
        <v>6.93</v>
      </c>
    </row>
    <row r="875" spans="1:6" x14ac:dyDescent="0.3">
      <c r="A875" t="s">
        <v>1337</v>
      </c>
      <c r="B875" t="s">
        <v>1338</v>
      </c>
      <c r="C875" t="s">
        <v>1015</v>
      </c>
      <c r="D875">
        <v>10196027</v>
      </c>
      <c r="E875">
        <v>7.22</v>
      </c>
      <c r="F875">
        <v>6.5</v>
      </c>
    </row>
    <row r="876" spans="1:6" x14ac:dyDescent="0.3">
      <c r="A876" t="s">
        <v>1339</v>
      </c>
      <c r="B876" t="s">
        <v>1340</v>
      </c>
      <c r="C876" t="s">
        <v>1341</v>
      </c>
      <c r="D876">
        <v>10197026</v>
      </c>
      <c r="E876">
        <v>5.94</v>
      </c>
      <c r="F876">
        <v>5.57</v>
      </c>
    </row>
    <row r="877" spans="1:6" x14ac:dyDescent="0.3">
      <c r="A877" t="s">
        <v>1342</v>
      </c>
      <c r="B877" t="s">
        <v>1343</v>
      </c>
      <c r="C877" t="s">
        <v>778</v>
      </c>
      <c r="D877">
        <v>10198717</v>
      </c>
      <c r="E877">
        <v>4.12</v>
      </c>
      <c r="F877">
        <v>5.39</v>
      </c>
    </row>
    <row r="878" spans="1:6" x14ac:dyDescent="0.3">
      <c r="A878" t="s">
        <v>1344</v>
      </c>
      <c r="B878" t="s">
        <v>1345</v>
      </c>
      <c r="C878" t="s">
        <v>1213</v>
      </c>
      <c r="D878">
        <v>10213857</v>
      </c>
      <c r="E878">
        <v>6.07</v>
      </c>
      <c r="F878">
        <v>6.05</v>
      </c>
    </row>
    <row r="879" spans="1:6" x14ac:dyDescent="0.3">
      <c r="A879" t="s">
        <v>1346</v>
      </c>
      <c r="B879" t="s">
        <v>826</v>
      </c>
      <c r="C879" t="s">
        <v>264</v>
      </c>
      <c r="D879">
        <v>10229235</v>
      </c>
      <c r="E879">
        <v>15.69</v>
      </c>
      <c r="F879">
        <v>4.9400000000000004</v>
      </c>
    </row>
    <row r="880" spans="1:6" x14ac:dyDescent="0.3">
      <c r="A880" t="s">
        <v>1347</v>
      </c>
      <c r="B880" t="s">
        <v>1348</v>
      </c>
      <c r="C880" t="s">
        <v>893</v>
      </c>
      <c r="D880">
        <v>10235582</v>
      </c>
      <c r="E880">
        <v>14.93</v>
      </c>
      <c r="F880">
        <v>4.95</v>
      </c>
    </row>
    <row r="881" spans="1:6" x14ac:dyDescent="0.3">
      <c r="A881" t="s">
        <v>1349</v>
      </c>
      <c r="B881" t="s">
        <v>412</v>
      </c>
      <c r="C881" t="s">
        <v>1350</v>
      </c>
      <c r="D881">
        <v>10261137</v>
      </c>
      <c r="E881">
        <v>8.85</v>
      </c>
      <c r="F881">
        <v>5.22</v>
      </c>
    </row>
    <row r="882" spans="1:6" x14ac:dyDescent="0.3">
      <c r="A882" t="s">
        <v>1351</v>
      </c>
      <c r="B882" t="s">
        <v>1259</v>
      </c>
      <c r="C882" t="s">
        <v>1352</v>
      </c>
      <c r="D882">
        <v>10284725</v>
      </c>
      <c r="E882">
        <v>18.02</v>
      </c>
      <c r="F882">
        <v>6.94</v>
      </c>
    </row>
    <row r="883" spans="1:6" x14ac:dyDescent="0.3">
      <c r="A883" t="s">
        <v>1353</v>
      </c>
      <c r="B883" t="s">
        <v>463</v>
      </c>
      <c r="C883" t="s">
        <v>966</v>
      </c>
      <c r="D883">
        <v>10288836</v>
      </c>
      <c r="E883">
        <v>17.940000000000001</v>
      </c>
      <c r="F883">
        <v>6.33</v>
      </c>
    </row>
    <row r="884" spans="1:6" x14ac:dyDescent="0.3">
      <c r="A884" t="s">
        <v>1354</v>
      </c>
      <c r="B884" t="s">
        <v>27</v>
      </c>
      <c r="C884" t="s">
        <v>1355</v>
      </c>
      <c r="D884">
        <v>10306484</v>
      </c>
      <c r="E884">
        <v>3.35</v>
      </c>
      <c r="F884">
        <v>6.17</v>
      </c>
    </row>
    <row r="885" spans="1:6" x14ac:dyDescent="0.3">
      <c r="A885" t="s">
        <v>1356</v>
      </c>
      <c r="B885" t="s">
        <v>1141</v>
      </c>
      <c r="C885" t="s">
        <v>1251</v>
      </c>
      <c r="D885">
        <v>10312917</v>
      </c>
      <c r="E885">
        <v>15.32</v>
      </c>
      <c r="F885">
        <v>6.11</v>
      </c>
    </row>
    <row r="886" spans="1:6" x14ac:dyDescent="0.3">
      <c r="A886" t="s">
        <v>1357</v>
      </c>
      <c r="B886" t="s">
        <v>1358</v>
      </c>
      <c r="C886" t="s">
        <v>744</v>
      </c>
      <c r="D886">
        <v>10368005</v>
      </c>
      <c r="E886">
        <v>6.54</v>
      </c>
      <c r="F886">
        <v>6.58</v>
      </c>
    </row>
    <row r="887" spans="1:6" x14ac:dyDescent="0.3">
      <c r="A887" t="s">
        <v>1359</v>
      </c>
      <c r="B887" t="s">
        <v>1053</v>
      </c>
      <c r="C887" t="s">
        <v>893</v>
      </c>
      <c r="D887">
        <v>10409569</v>
      </c>
      <c r="E887">
        <v>12.14</v>
      </c>
      <c r="F887">
        <v>6.14</v>
      </c>
    </row>
    <row r="888" spans="1:6" x14ac:dyDescent="0.3">
      <c r="A888" t="s">
        <v>1360</v>
      </c>
      <c r="B888" t="s">
        <v>1361</v>
      </c>
      <c r="C888" t="s">
        <v>379</v>
      </c>
      <c r="D888">
        <v>10411548</v>
      </c>
      <c r="E888">
        <v>8.56</v>
      </c>
      <c r="F888">
        <v>7.12</v>
      </c>
    </row>
    <row r="889" spans="1:6" x14ac:dyDescent="0.3">
      <c r="A889" t="s">
        <v>1362</v>
      </c>
      <c r="B889" t="s">
        <v>1363</v>
      </c>
      <c r="C889" t="s">
        <v>1034</v>
      </c>
      <c r="D889">
        <v>10414510</v>
      </c>
      <c r="E889">
        <v>8.67</v>
      </c>
      <c r="F889">
        <v>6.75</v>
      </c>
    </row>
    <row r="890" spans="1:6" x14ac:dyDescent="0.3">
      <c r="A890" t="s">
        <v>1364</v>
      </c>
      <c r="B890" t="s">
        <v>567</v>
      </c>
      <c r="C890" t="s">
        <v>1365</v>
      </c>
      <c r="D890">
        <v>10453051</v>
      </c>
      <c r="E890">
        <v>16.8</v>
      </c>
      <c r="F890">
        <v>6.38</v>
      </c>
    </row>
    <row r="891" spans="1:6" x14ac:dyDescent="0.3">
      <c r="A891" t="s">
        <v>1366</v>
      </c>
      <c r="B891" t="s">
        <v>1367</v>
      </c>
      <c r="C891" t="s">
        <v>1368</v>
      </c>
      <c r="D891">
        <v>10473249</v>
      </c>
      <c r="E891">
        <v>3.23</v>
      </c>
      <c r="F891">
        <v>5.7</v>
      </c>
    </row>
    <row r="892" spans="1:6" x14ac:dyDescent="0.3">
      <c r="A892" t="s">
        <v>1369</v>
      </c>
      <c r="B892" t="s">
        <v>96</v>
      </c>
      <c r="C892" t="s">
        <v>956</v>
      </c>
      <c r="D892">
        <v>10479334</v>
      </c>
      <c r="E892">
        <v>12.91</v>
      </c>
      <c r="F892">
        <v>7.9</v>
      </c>
    </row>
    <row r="893" spans="1:6" x14ac:dyDescent="0.3">
      <c r="A893" t="s">
        <v>1370</v>
      </c>
      <c r="B893" t="s">
        <v>1017</v>
      </c>
      <c r="C893" t="s">
        <v>771</v>
      </c>
      <c r="D893">
        <v>10481669</v>
      </c>
      <c r="E893">
        <v>11.5</v>
      </c>
      <c r="F893">
        <v>6</v>
      </c>
    </row>
    <row r="894" spans="1:6" x14ac:dyDescent="0.3">
      <c r="A894" t="s">
        <v>1371</v>
      </c>
      <c r="B894" t="s">
        <v>1372</v>
      </c>
      <c r="C894" t="s">
        <v>956</v>
      </c>
      <c r="D894">
        <v>10489929</v>
      </c>
      <c r="E894">
        <v>12.17</v>
      </c>
      <c r="F894">
        <v>4.71</v>
      </c>
    </row>
    <row r="895" spans="1:6" x14ac:dyDescent="0.3">
      <c r="A895" t="s">
        <v>1373</v>
      </c>
      <c r="B895" t="s">
        <v>1374</v>
      </c>
      <c r="C895" t="s">
        <v>1375</v>
      </c>
      <c r="D895">
        <v>10505306</v>
      </c>
      <c r="E895">
        <v>15.99</v>
      </c>
      <c r="F895">
        <v>6.25</v>
      </c>
    </row>
    <row r="896" spans="1:6" x14ac:dyDescent="0.3">
      <c r="A896" t="s">
        <v>1376</v>
      </c>
      <c r="B896" t="s">
        <v>509</v>
      </c>
      <c r="C896" t="s">
        <v>797</v>
      </c>
      <c r="D896">
        <v>10533089</v>
      </c>
      <c r="E896">
        <v>15.87</v>
      </c>
      <c r="F896">
        <v>5.91</v>
      </c>
    </row>
    <row r="897" spans="1:6" x14ac:dyDescent="0.3">
      <c r="A897" t="s">
        <v>1377</v>
      </c>
      <c r="B897" t="s">
        <v>1378</v>
      </c>
      <c r="C897" t="s">
        <v>6</v>
      </c>
      <c r="D897">
        <v>10541412</v>
      </c>
      <c r="E897">
        <v>13</v>
      </c>
      <c r="F897">
        <v>6.67</v>
      </c>
    </row>
    <row r="898" spans="1:6" x14ac:dyDescent="0.3">
      <c r="A898" t="s">
        <v>1379</v>
      </c>
      <c r="B898" t="s">
        <v>1380</v>
      </c>
      <c r="C898" t="s">
        <v>1381</v>
      </c>
      <c r="D898">
        <v>10552370</v>
      </c>
      <c r="E898">
        <v>11.08</v>
      </c>
      <c r="F898">
        <v>7.7</v>
      </c>
    </row>
    <row r="899" spans="1:6" x14ac:dyDescent="0.3">
      <c r="A899" t="s">
        <v>1382</v>
      </c>
      <c r="B899" t="s">
        <v>965</v>
      </c>
      <c r="C899" t="s">
        <v>893</v>
      </c>
      <c r="D899">
        <v>10553228</v>
      </c>
      <c r="E899">
        <v>15.9</v>
      </c>
      <c r="F899">
        <v>5.57</v>
      </c>
    </row>
    <row r="900" spans="1:6" x14ac:dyDescent="0.3">
      <c r="A900" t="s">
        <v>1383</v>
      </c>
      <c r="B900" t="s">
        <v>342</v>
      </c>
      <c r="C900" t="s">
        <v>782</v>
      </c>
      <c r="D900">
        <v>10565740</v>
      </c>
      <c r="E900">
        <v>24.06</v>
      </c>
      <c r="F900">
        <v>5.85</v>
      </c>
    </row>
    <row r="901" spans="1:6" x14ac:dyDescent="0.3">
      <c r="A901" t="s">
        <v>1384</v>
      </c>
      <c r="B901" t="s">
        <v>1385</v>
      </c>
      <c r="C901" t="s">
        <v>1386</v>
      </c>
      <c r="D901">
        <v>10601901</v>
      </c>
      <c r="E901">
        <v>5.95</v>
      </c>
      <c r="F901">
        <v>5.2</v>
      </c>
    </row>
    <row r="902" spans="1:6" x14ac:dyDescent="0.3">
      <c r="A902" t="s">
        <v>1387</v>
      </c>
      <c r="B902" t="s">
        <v>573</v>
      </c>
      <c r="C902" t="s">
        <v>1242</v>
      </c>
      <c r="D902">
        <v>10618346</v>
      </c>
      <c r="E902">
        <v>19.649999999999999</v>
      </c>
      <c r="F902">
        <v>5</v>
      </c>
    </row>
    <row r="903" spans="1:6" x14ac:dyDescent="0.3">
      <c r="A903" t="s">
        <v>1388</v>
      </c>
      <c r="B903" t="s">
        <v>1041</v>
      </c>
      <c r="C903" t="s">
        <v>1389</v>
      </c>
      <c r="D903">
        <v>10642167</v>
      </c>
      <c r="E903">
        <v>15.52</v>
      </c>
      <c r="F903">
        <v>5.92</v>
      </c>
    </row>
    <row r="904" spans="1:6" x14ac:dyDescent="0.3">
      <c r="A904" t="s">
        <v>1390</v>
      </c>
      <c r="B904" t="s">
        <v>177</v>
      </c>
      <c r="C904" t="s">
        <v>969</v>
      </c>
      <c r="D904">
        <v>10693721</v>
      </c>
      <c r="E904">
        <v>9.5</v>
      </c>
      <c r="F904">
        <v>6.57</v>
      </c>
    </row>
    <row r="905" spans="1:6" x14ac:dyDescent="0.3">
      <c r="A905" t="s">
        <v>1391</v>
      </c>
      <c r="B905" t="s">
        <v>1154</v>
      </c>
      <c r="C905" t="s">
        <v>1392</v>
      </c>
      <c r="D905">
        <v>10707888</v>
      </c>
      <c r="E905">
        <v>3.39</v>
      </c>
      <c r="F905">
        <v>6.97</v>
      </c>
    </row>
    <row r="906" spans="1:6" x14ac:dyDescent="0.3">
      <c r="A906" t="s">
        <v>1393</v>
      </c>
      <c r="B906" t="s">
        <v>1394</v>
      </c>
      <c r="C906" t="s">
        <v>859</v>
      </c>
      <c r="D906">
        <v>10721193</v>
      </c>
      <c r="E906">
        <v>6</v>
      </c>
      <c r="F906">
        <v>6.7</v>
      </c>
    </row>
    <row r="907" spans="1:6" x14ac:dyDescent="0.3">
      <c r="A907" t="s">
        <v>1395</v>
      </c>
      <c r="B907" t="s">
        <v>817</v>
      </c>
      <c r="C907" t="s">
        <v>1055</v>
      </c>
      <c r="D907">
        <v>10789222</v>
      </c>
      <c r="E907">
        <v>17.899999999999999</v>
      </c>
      <c r="F907">
        <v>4.9800000000000004</v>
      </c>
    </row>
    <row r="908" spans="1:6" x14ac:dyDescent="0.3">
      <c r="A908" t="s">
        <v>1396</v>
      </c>
      <c r="B908" t="s">
        <v>712</v>
      </c>
      <c r="C908" t="s">
        <v>1397</v>
      </c>
      <c r="D908">
        <v>10799976</v>
      </c>
      <c r="E908">
        <v>11.46</v>
      </c>
      <c r="F908">
        <v>6.79</v>
      </c>
    </row>
    <row r="909" spans="1:6" x14ac:dyDescent="0.3">
      <c r="A909" t="s">
        <v>1398</v>
      </c>
      <c r="B909" t="s">
        <v>1399</v>
      </c>
      <c r="C909" t="s">
        <v>1274</v>
      </c>
      <c r="D909">
        <v>10807587</v>
      </c>
      <c r="E909">
        <v>14.09</v>
      </c>
      <c r="F909">
        <v>4.4800000000000004</v>
      </c>
    </row>
    <row r="910" spans="1:6" x14ac:dyDescent="0.3">
      <c r="A910" t="s">
        <v>1400</v>
      </c>
      <c r="B910" t="s">
        <v>773</v>
      </c>
      <c r="C910" t="s">
        <v>1401</v>
      </c>
      <c r="D910">
        <v>10811625</v>
      </c>
      <c r="E910">
        <v>12.15</v>
      </c>
      <c r="F910">
        <v>5.8</v>
      </c>
    </row>
    <row r="911" spans="1:6" x14ac:dyDescent="0.3">
      <c r="A911" t="s">
        <v>1402</v>
      </c>
      <c r="B911" t="s">
        <v>1403</v>
      </c>
      <c r="C911" t="s">
        <v>1139</v>
      </c>
      <c r="D911">
        <v>10840347</v>
      </c>
      <c r="E911">
        <v>7.39</v>
      </c>
      <c r="F911">
        <v>5.87</v>
      </c>
    </row>
    <row r="912" spans="1:6" x14ac:dyDescent="0.3">
      <c r="A912" t="s">
        <v>1404</v>
      </c>
      <c r="B912" t="s">
        <v>325</v>
      </c>
      <c r="C912" t="s">
        <v>744</v>
      </c>
      <c r="D912">
        <v>10890011</v>
      </c>
      <c r="E912">
        <v>13.1</v>
      </c>
      <c r="F912">
        <v>6.48</v>
      </c>
    </row>
    <row r="913" spans="1:6" x14ac:dyDescent="0.3">
      <c r="A913" t="s">
        <v>1405</v>
      </c>
      <c r="B913" t="s">
        <v>1210</v>
      </c>
      <c r="C913" t="s">
        <v>175</v>
      </c>
      <c r="D913">
        <v>10922601</v>
      </c>
      <c r="E913">
        <v>7.33</v>
      </c>
      <c r="F913">
        <v>4.67</v>
      </c>
    </row>
    <row r="914" spans="1:6" x14ac:dyDescent="0.3">
      <c r="A914" t="s">
        <v>1406</v>
      </c>
      <c r="B914" t="s">
        <v>1407</v>
      </c>
      <c r="C914" t="s">
        <v>797</v>
      </c>
      <c r="D914">
        <v>10934310</v>
      </c>
      <c r="E914">
        <v>8.07</v>
      </c>
      <c r="F914">
        <v>5.57</v>
      </c>
    </row>
    <row r="915" spans="1:6" x14ac:dyDescent="0.3">
      <c r="A915" t="s">
        <v>1408</v>
      </c>
      <c r="B915" t="s">
        <v>412</v>
      </c>
      <c r="C915" t="s">
        <v>1350</v>
      </c>
      <c r="D915">
        <v>10961306</v>
      </c>
      <c r="E915">
        <v>11.62</v>
      </c>
      <c r="F915">
        <v>7.25</v>
      </c>
    </row>
    <row r="916" spans="1:6" x14ac:dyDescent="0.3">
      <c r="A916" t="s">
        <v>1409</v>
      </c>
      <c r="B916" t="s">
        <v>1410</v>
      </c>
      <c r="C916" t="s">
        <v>1411</v>
      </c>
      <c r="D916">
        <v>10972106</v>
      </c>
      <c r="E916">
        <v>5.85</v>
      </c>
      <c r="F916">
        <v>7.33</v>
      </c>
    </row>
    <row r="917" spans="1:6" x14ac:dyDescent="0.3">
      <c r="A917" t="s">
        <v>1412</v>
      </c>
      <c r="B917" t="s">
        <v>177</v>
      </c>
      <c r="C917" t="s">
        <v>1242</v>
      </c>
      <c r="D917">
        <v>11127666</v>
      </c>
      <c r="E917">
        <v>1.62</v>
      </c>
      <c r="F917">
        <v>6.09</v>
      </c>
    </row>
    <row r="918" spans="1:6" x14ac:dyDescent="0.3">
      <c r="A918" t="s">
        <v>1413</v>
      </c>
      <c r="B918" t="s">
        <v>1050</v>
      </c>
      <c r="C918" t="s">
        <v>1174</v>
      </c>
      <c r="D918">
        <v>11202046</v>
      </c>
      <c r="E918">
        <v>3.72</v>
      </c>
      <c r="F918">
        <v>4.45</v>
      </c>
    </row>
    <row r="919" spans="1:6" x14ac:dyDescent="0.3">
      <c r="A919" t="s">
        <v>1414</v>
      </c>
      <c r="B919" t="s">
        <v>1415</v>
      </c>
      <c r="C919" t="s">
        <v>782</v>
      </c>
      <c r="D919">
        <v>11203686</v>
      </c>
      <c r="E919">
        <v>3.79</v>
      </c>
      <c r="F919">
        <v>6.41</v>
      </c>
    </row>
    <row r="920" spans="1:6" x14ac:dyDescent="0.3">
      <c r="A920" t="s">
        <v>1416</v>
      </c>
      <c r="B920" t="s">
        <v>1417</v>
      </c>
      <c r="C920" t="s">
        <v>1418</v>
      </c>
      <c r="D920">
        <v>11229408</v>
      </c>
      <c r="E920">
        <v>4.3099999999999996</v>
      </c>
      <c r="F920">
        <v>6.38</v>
      </c>
    </row>
    <row r="921" spans="1:6" x14ac:dyDescent="0.3">
      <c r="A921" t="s">
        <v>1419</v>
      </c>
      <c r="B921" t="s">
        <v>523</v>
      </c>
      <c r="C921" t="s">
        <v>1420</v>
      </c>
      <c r="D921">
        <v>11251508</v>
      </c>
      <c r="E921">
        <v>10.14</v>
      </c>
      <c r="F921">
        <v>6.82</v>
      </c>
    </row>
    <row r="922" spans="1:6" x14ac:dyDescent="0.3">
      <c r="A922" t="s">
        <v>1421</v>
      </c>
      <c r="B922" t="s">
        <v>1422</v>
      </c>
      <c r="C922" t="s">
        <v>365</v>
      </c>
      <c r="D922">
        <v>11288736</v>
      </c>
      <c r="E922">
        <v>6</v>
      </c>
      <c r="F922">
        <v>4</v>
      </c>
    </row>
    <row r="923" spans="1:6" x14ac:dyDescent="0.3">
      <c r="A923" t="s">
        <v>1423</v>
      </c>
      <c r="B923" t="s">
        <v>1322</v>
      </c>
      <c r="C923" t="s">
        <v>741</v>
      </c>
      <c r="D923">
        <v>11311830</v>
      </c>
      <c r="E923">
        <v>5.76</v>
      </c>
      <c r="F923">
        <v>6.71</v>
      </c>
    </row>
    <row r="924" spans="1:6" x14ac:dyDescent="0.3">
      <c r="A924" t="s">
        <v>1424</v>
      </c>
      <c r="B924" t="s">
        <v>1415</v>
      </c>
      <c r="C924" t="s">
        <v>959</v>
      </c>
      <c r="D924">
        <v>11317271</v>
      </c>
      <c r="E924">
        <v>1.85</v>
      </c>
      <c r="F924">
        <v>5.83</v>
      </c>
    </row>
    <row r="925" spans="1:6" x14ac:dyDescent="0.3">
      <c r="A925" t="s">
        <v>1425</v>
      </c>
      <c r="B925" t="s">
        <v>609</v>
      </c>
      <c r="C925" t="s">
        <v>769</v>
      </c>
      <c r="D925">
        <v>11337340</v>
      </c>
      <c r="E925">
        <v>11.14</v>
      </c>
      <c r="F925">
        <v>4</v>
      </c>
    </row>
    <row r="926" spans="1:6" x14ac:dyDescent="0.3">
      <c r="A926" t="s">
        <v>1426</v>
      </c>
      <c r="B926" t="s">
        <v>1427</v>
      </c>
      <c r="C926" t="s">
        <v>1008</v>
      </c>
      <c r="D926">
        <v>11339685</v>
      </c>
      <c r="E926">
        <v>11.69</v>
      </c>
      <c r="F926">
        <v>4.46</v>
      </c>
    </row>
    <row r="927" spans="1:6" x14ac:dyDescent="0.3">
      <c r="A927" t="s">
        <v>1428</v>
      </c>
      <c r="B927" t="s">
        <v>1429</v>
      </c>
      <c r="C927" t="s">
        <v>1430</v>
      </c>
      <c r="D927">
        <v>11346695</v>
      </c>
      <c r="E927">
        <v>17.86</v>
      </c>
      <c r="F927">
        <v>4.38</v>
      </c>
    </row>
    <row r="928" spans="1:6" x14ac:dyDescent="0.3">
      <c r="A928" t="s">
        <v>1431</v>
      </c>
      <c r="B928" t="s">
        <v>1432</v>
      </c>
      <c r="C928" t="s">
        <v>1433</v>
      </c>
      <c r="D928">
        <v>11371271</v>
      </c>
      <c r="E928">
        <v>11.54</v>
      </c>
      <c r="F928">
        <v>4.91</v>
      </c>
    </row>
    <row r="929" spans="1:6" x14ac:dyDescent="0.3">
      <c r="A929" t="s">
        <v>1434</v>
      </c>
      <c r="B929" t="s">
        <v>1265</v>
      </c>
      <c r="C929" t="s">
        <v>1435</v>
      </c>
      <c r="D929">
        <v>11382238</v>
      </c>
      <c r="E929">
        <v>13.25</v>
      </c>
      <c r="F929">
        <v>6</v>
      </c>
    </row>
    <row r="930" spans="1:6" x14ac:dyDescent="0.3">
      <c r="A930" t="s">
        <v>1436</v>
      </c>
      <c r="B930" t="s">
        <v>609</v>
      </c>
      <c r="C930" t="s">
        <v>1188</v>
      </c>
      <c r="D930">
        <v>11384178</v>
      </c>
      <c r="E930">
        <v>9.32</v>
      </c>
      <c r="F930">
        <v>7</v>
      </c>
    </row>
    <row r="931" spans="1:6" x14ac:dyDescent="0.3">
      <c r="A931" t="s">
        <v>1437</v>
      </c>
      <c r="B931" t="s">
        <v>1438</v>
      </c>
      <c r="C931" t="s">
        <v>723</v>
      </c>
      <c r="D931">
        <v>11391407</v>
      </c>
      <c r="E931">
        <v>4.03</v>
      </c>
      <c r="F931">
        <v>4.8099999999999996</v>
      </c>
    </row>
    <row r="932" spans="1:6" x14ac:dyDescent="0.3">
      <c r="A932" t="s">
        <v>1439</v>
      </c>
      <c r="B932" t="s">
        <v>1440</v>
      </c>
      <c r="C932" t="s">
        <v>1317</v>
      </c>
      <c r="D932">
        <v>11399086</v>
      </c>
      <c r="E932">
        <v>17.760000000000002</v>
      </c>
      <c r="F932">
        <v>8</v>
      </c>
    </row>
    <row r="933" spans="1:6" x14ac:dyDescent="0.3">
      <c r="A933" t="s">
        <v>1441</v>
      </c>
      <c r="B933" t="s">
        <v>591</v>
      </c>
      <c r="C933" t="s">
        <v>977</v>
      </c>
      <c r="D933">
        <v>11402965</v>
      </c>
      <c r="E933">
        <v>14.06</v>
      </c>
      <c r="F933">
        <v>5.96</v>
      </c>
    </row>
    <row r="934" spans="1:6" x14ac:dyDescent="0.3">
      <c r="A934" t="s">
        <v>1442</v>
      </c>
      <c r="B934" t="s">
        <v>1443</v>
      </c>
      <c r="C934" t="s">
        <v>827</v>
      </c>
      <c r="D934">
        <v>11427827</v>
      </c>
      <c r="E934">
        <v>6.08</v>
      </c>
      <c r="F934">
        <v>5.3</v>
      </c>
    </row>
    <row r="935" spans="1:6" x14ac:dyDescent="0.3">
      <c r="A935" t="s">
        <v>1444</v>
      </c>
      <c r="B935" t="s">
        <v>325</v>
      </c>
      <c r="C935" t="s">
        <v>782</v>
      </c>
      <c r="D935">
        <v>11433410</v>
      </c>
      <c r="E935">
        <v>18.2</v>
      </c>
      <c r="F935">
        <v>5.2</v>
      </c>
    </row>
    <row r="936" spans="1:6" x14ac:dyDescent="0.3">
      <c r="A936" t="s">
        <v>1445</v>
      </c>
      <c r="B936" t="s">
        <v>1446</v>
      </c>
      <c r="C936" t="s">
        <v>792</v>
      </c>
      <c r="D936">
        <v>11447109</v>
      </c>
      <c r="E936">
        <v>10.57</v>
      </c>
      <c r="F936">
        <v>4.29</v>
      </c>
    </row>
    <row r="937" spans="1:6" x14ac:dyDescent="0.3">
      <c r="A937" t="s">
        <v>1447</v>
      </c>
      <c r="B937" t="s">
        <v>1448</v>
      </c>
      <c r="C937" t="s">
        <v>782</v>
      </c>
      <c r="D937">
        <v>11467164</v>
      </c>
      <c r="E937">
        <v>6.42</v>
      </c>
      <c r="F937">
        <v>5.47</v>
      </c>
    </row>
    <row r="938" spans="1:6" x14ac:dyDescent="0.3">
      <c r="A938" t="s">
        <v>1449</v>
      </c>
      <c r="B938" t="s">
        <v>1450</v>
      </c>
      <c r="C938" t="s">
        <v>1341</v>
      </c>
      <c r="D938">
        <v>11588490</v>
      </c>
      <c r="E938">
        <v>1.95</v>
      </c>
      <c r="F938">
        <v>6.34</v>
      </c>
    </row>
    <row r="939" spans="1:6" x14ac:dyDescent="0.3">
      <c r="A939" t="s">
        <v>1451</v>
      </c>
      <c r="B939" t="s">
        <v>796</v>
      </c>
      <c r="C939" t="s">
        <v>1452</v>
      </c>
      <c r="D939">
        <v>11607707</v>
      </c>
      <c r="E939">
        <v>12.86</v>
      </c>
      <c r="F939">
        <v>6.89</v>
      </c>
    </row>
    <row r="940" spans="1:6" x14ac:dyDescent="0.3">
      <c r="A940" t="s">
        <v>1453</v>
      </c>
      <c r="B940" t="s">
        <v>1454</v>
      </c>
      <c r="C940" t="s">
        <v>950</v>
      </c>
      <c r="D940">
        <v>11625638</v>
      </c>
      <c r="E940">
        <v>17.38</v>
      </c>
      <c r="F940">
        <v>6</v>
      </c>
    </row>
    <row r="941" spans="1:6" x14ac:dyDescent="0.3">
      <c r="A941" t="s">
        <v>1455</v>
      </c>
      <c r="B941" t="s">
        <v>1322</v>
      </c>
      <c r="C941" t="s">
        <v>1001</v>
      </c>
      <c r="D941">
        <v>11643821</v>
      </c>
      <c r="E941">
        <v>3.98</v>
      </c>
      <c r="F941">
        <v>5.32</v>
      </c>
    </row>
    <row r="942" spans="1:6" x14ac:dyDescent="0.3">
      <c r="A942" t="s">
        <v>1456</v>
      </c>
      <c r="B942" t="s">
        <v>1227</v>
      </c>
      <c r="C942" t="s">
        <v>1457</v>
      </c>
      <c r="D942">
        <v>11656535</v>
      </c>
      <c r="E942">
        <v>13.27</v>
      </c>
      <c r="F942">
        <v>6.73</v>
      </c>
    </row>
    <row r="943" spans="1:6" x14ac:dyDescent="0.3">
      <c r="A943" t="s">
        <v>1458</v>
      </c>
      <c r="B943" t="s">
        <v>1319</v>
      </c>
      <c r="C943" t="s">
        <v>1459</v>
      </c>
      <c r="D943">
        <v>11678345</v>
      </c>
      <c r="E943">
        <v>7.25</v>
      </c>
      <c r="F943">
        <v>3.33</v>
      </c>
    </row>
    <row r="944" spans="1:6" x14ac:dyDescent="0.3">
      <c r="A944" t="s">
        <v>1460</v>
      </c>
      <c r="B944" t="s">
        <v>325</v>
      </c>
      <c r="C944" t="s">
        <v>6</v>
      </c>
      <c r="D944">
        <v>11692294</v>
      </c>
      <c r="E944">
        <v>14</v>
      </c>
      <c r="F944">
        <v>6.57</v>
      </c>
    </row>
    <row r="945" spans="1:6" x14ac:dyDescent="0.3">
      <c r="A945" t="s">
        <v>1461</v>
      </c>
      <c r="B945" t="s">
        <v>523</v>
      </c>
      <c r="C945" t="s">
        <v>1101</v>
      </c>
      <c r="D945">
        <v>11696890</v>
      </c>
      <c r="E945">
        <v>9.7799999999999994</v>
      </c>
      <c r="F945">
        <v>4.67</v>
      </c>
    </row>
    <row r="946" spans="1:6" x14ac:dyDescent="0.3">
      <c r="A946" t="s">
        <v>1462</v>
      </c>
      <c r="B946" t="s">
        <v>951</v>
      </c>
      <c r="C946" t="s">
        <v>1157</v>
      </c>
      <c r="D946">
        <v>11724995</v>
      </c>
      <c r="E946">
        <v>5.04</v>
      </c>
      <c r="F946">
        <v>5.14</v>
      </c>
    </row>
    <row r="947" spans="1:6" x14ac:dyDescent="0.3">
      <c r="A947" t="s">
        <v>1463</v>
      </c>
      <c r="B947" t="s">
        <v>1464</v>
      </c>
      <c r="C947" t="s">
        <v>1465</v>
      </c>
      <c r="D947">
        <v>11727430</v>
      </c>
      <c r="E947">
        <v>7.95</v>
      </c>
      <c r="F947">
        <v>4.25</v>
      </c>
    </row>
    <row r="948" spans="1:6" x14ac:dyDescent="0.3">
      <c r="A948" t="s">
        <v>1466</v>
      </c>
      <c r="B948" t="s">
        <v>801</v>
      </c>
      <c r="C948" t="s">
        <v>1467</v>
      </c>
      <c r="D948">
        <v>11737300</v>
      </c>
      <c r="E948">
        <v>5.37</v>
      </c>
      <c r="F948">
        <v>6.5</v>
      </c>
    </row>
    <row r="949" spans="1:6" x14ac:dyDescent="0.3">
      <c r="A949" t="s">
        <v>1468</v>
      </c>
      <c r="B949" t="s">
        <v>1281</v>
      </c>
      <c r="C949" t="s">
        <v>1111</v>
      </c>
      <c r="D949">
        <v>11738024</v>
      </c>
      <c r="E949">
        <v>8.1300000000000008</v>
      </c>
      <c r="F949">
        <v>6</v>
      </c>
    </row>
    <row r="950" spans="1:6" x14ac:dyDescent="0.3">
      <c r="A950" t="s">
        <v>1469</v>
      </c>
      <c r="B950" t="s">
        <v>1470</v>
      </c>
      <c r="C950" t="s">
        <v>1471</v>
      </c>
      <c r="D950">
        <v>11742241</v>
      </c>
      <c r="E950">
        <v>6.4</v>
      </c>
      <c r="F950">
        <v>5.67</v>
      </c>
    </row>
    <row r="951" spans="1:6" x14ac:dyDescent="0.3">
      <c r="A951" t="s">
        <v>1472</v>
      </c>
      <c r="B951" t="s">
        <v>1473</v>
      </c>
      <c r="C951" t="s">
        <v>741</v>
      </c>
      <c r="D951">
        <v>11745570</v>
      </c>
      <c r="E951">
        <v>11.67</v>
      </c>
      <c r="F951">
        <v>6</v>
      </c>
    </row>
    <row r="952" spans="1:6" x14ac:dyDescent="0.3">
      <c r="A952" t="s">
        <v>1474</v>
      </c>
      <c r="B952" t="s">
        <v>1244</v>
      </c>
      <c r="C952" t="s">
        <v>727</v>
      </c>
      <c r="D952">
        <v>11774780</v>
      </c>
      <c r="E952">
        <v>14.2</v>
      </c>
      <c r="F952">
        <v>7.2</v>
      </c>
    </row>
    <row r="953" spans="1:6" x14ac:dyDescent="0.3">
      <c r="A953" t="s">
        <v>1475</v>
      </c>
      <c r="B953" t="s">
        <v>1215</v>
      </c>
      <c r="C953" t="s">
        <v>1475</v>
      </c>
      <c r="D953">
        <v>11781261</v>
      </c>
      <c r="E953">
        <v>6.2</v>
      </c>
      <c r="F953">
        <v>4.67</v>
      </c>
    </row>
    <row r="954" spans="1:6" x14ac:dyDescent="0.3">
      <c r="A954" t="s">
        <v>1476</v>
      </c>
      <c r="B954" t="s">
        <v>1477</v>
      </c>
      <c r="C954" t="s">
        <v>977</v>
      </c>
      <c r="D954">
        <v>11818607</v>
      </c>
      <c r="E954">
        <v>7.14</v>
      </c>
      <c r="F954">
        <v>5.4</v>
      </c>
    </row>
    <row r="955" spans="1:6" x14ac:dyDescent="0.3">
      <c r="A955" t="s">
        <v>1478</v>
      </c>
      <c r="B955" t="s">
        <v>1479</v>
      </c>
      <c r="C955" t="s">
        <v>749</v>
      </c>
      <c r="D955">
        <v>11834878</v>
      </c>
      <c r="E955">
        <v>7.5</v>
      </c>
      <c r="F955">
        <v>5.5</v>
      </c>
    </row>
    <row r="956" spans="1:6" x14ac:dyDescent="0.3">
      <c r="A956" t="s">
        <v>1480</v>
      </c>
      <c r="B956" t="s">
        <v>609</v>
      </c>
      <c r="C956" t="s">
        <v>1481</v>
      </c>
      <c r="D956">
        <v>11835467</v>
      </c>
      <c r="E956">
        <v>15.27</v>
      </c>
      <c r="F956">
        <v>6.21</v>
      </c>
    </row>
    <row r="957" spans="1:6" x14ac:dyDescent="0.3">
      <c r="A957" t="s">
        <v>1482</v>
      </c>
      <c r="B957" t="s">
        <v>1276</v>
      </c>
      <c r="C957" t="s">
        <v>1483</v>
      </c>
      <c r="D957">
        <v>11904920</v>
      </c>
      <c r="E957">
        <v>16.93</v>
      </c>
      <c r="F957">
        <v>6.05</v>
      </c>
    </row>
    <row r="958" spans="1:6" x14ac:dyDescent="0.3">
      <c r="A958" t="s">
        <v>1484</v>
      </c>
      <c r="B958" t="s">
        <v>1485</v>
      </c>
      <c r="C958" t="s">
        <v>1200</v>
      </c>
      <c r="D958">
        <v>11914253</v>
      </c>
      <c r="E958">
        <v>3.91</v>
      </c>
      <c r="F958">
        <v>5.0999999999999996</v>
      </c>
    </row>
    <row r="959" spans="1:6" x14ac:dyDescent="0.3">
      <c r="A959" t="s">
        <v>1486</v>
      </c>
      <c r="B959" t="s">
        <v>1487</v>
      </c>
      <c r="C959" t="s">
        <v>1129</v>
      </c>
      <c r="D959">
        <v>11919147</v>
      </c>
      <c r="E959">
        <v>12.43</v>
      </c>
      <c r="F959">
        <v>5.57</v>
      </c>
    </row>
    <row r="960" spans="1:6" x14ac:dyDescent="0.3">
      <c r="A960" t="s">
        <v>1488</v>
      </c>
      <c r="B960" t="s">
        <v>177</v>
      </c>
      <c r="C960" t="s">
        <v>1087</v>
      </c>
      <c r="D960">
        <v>11930493</v>
      </c>
      <c r="E960">
        <v>7</v>
      </c>
      <c r="F960">
        <v>4.25</v>
      </c>
    </row>
    <row r="961" spans="1:6" x14ac:dyDescent="0.3">
      <c r="A961" t="s">
        <v>1489</v>
      </c>
      <c r="B961" t="s">
        <v>88</v>
      </c>
      <c r="C961" t="s">
        <v>916</v>
      </c>
      <c r="D961">
        <v>11935082</v>
      </c>
      <c r="E961">
        <v>9.4</v>
      </c>
      <c r="F961">
        <v>7.36</v>
      </c>
    </row>
    <row r="962" spans="1:6" x14ac:dyDescent="0.3">
      <c r="A962" t="s">
        <v>1490</v>
      </c>
      <c r="B962" t="s">
        <v>1238</v>
      </c>
      <c r="C962" t="s">
        <v>1491</v>
      </c>
      <c r="D962">
        <v>11940628</v>
      </c>
      <c r="E962">
        <v>16.329999999999998</v>
      </c>
      <c r="F962">
        <v>2.83</v>
      </c>
    </row>
    <row r="963" spans="1:6" x14ac:dyDescent="0.3">
      <c r="A963" t="s">
        <v>1492</v>
      </c>
      <c r="B963" t="s">
        <v>1493</v>
      </c>
      <c r="C963" t="s">
        <v>1200</v>
      </c>
      <c r="D963">
        <v>11958917</v>
      </c>
      <c r="E963">
        <v>3.95</v>
      </c>
      <c r="F963">
        <v>5.61</v>
      </c>
    </row>
    <row r="964" spans="1:6" x14ac:dyDescent="0.3">
      <c r="A964" t="s">
        <v>1494</v>
      </c>
      <c r="B964" t="s">
        <v>761</v>
      </c>
      <c r="C964" t="s">
        <v>1495</v>
      </c>
      <c r="D964">
        <v>11992926</v>
      </c>
      <c r="E964">
        <v>16.989999999999998</v>
      </c>
      <c r="F964">
        <v>7.08</v>
      </c>
    </row>
    <row r="965" spans="1:6" x14ac:dyDescent="0.3">
      <c r="A965" t="s">
        <v>1496</v>
      </c>
      <c r="B965" t="s">
        <v>1497</v>
      </c>
      <c r="C965" t="s">
        <v>874</v>
      </c>
      <c r="D965">
        <v>11994992</v>
      </c>
      <c r="E965">
        <v>6.88</v>
      </c>
      <c r="F965">
        <v>6.5</v>
      </c>
    </row>
    <row r="966" spans="1:6" x14ac:dyDescent="0.3">
      <c r="A966" t="s">
        <v>1498</v>
      </c>
      <c r="B966" t="s">
        <v>277</v>
      </c>
      <c r="C966" t="s">
        <v>1499</v>
      </c>
      <c r="D966">
        <v>11998415</v>
      </c>
      <c r="E966">
        <v>11.92</v>
      </c>
      <c r="F966">
        <v>5.8</v>
      </c>
    </row>
    <row r="967" spans="1:6" x14ac:dyDescent="0.3">
      <c r="A967" t="s">
        <v>1500</v>
      </c>
      <c r="B967" t="s">
        <v>1279</v>
      </c>
      <c r="C967" t="s">
        <v>741</v>
      </c>
      <c r="D967">
        <v>12017252</v>
      </c>
      <c r="E967">
        <v>14.85</v>
      </c>
      <c r="F967">
        <v>7.6</v>
      </c>
    </row>
    <row r="968" spans="1:6" x14ac:dyDescent="0.3">
      <c r="A968" t="s">
        <v>1501</v>
      </c>
      <c r="B968" t="s">
        <v>1502</v>
      </c>
      <c r="C968" t="s">
        <v>1008</v>
      </c>
      <c r="D968">
        <v>12021474</v>
      </c>
      <c r="E968">
        <v>12.82</v>
      </c>
      <c r="F968">
        <v>5.0999999999999996</v>
      </c>
    </row>
    <row r="969" spans="1:6" x14ac:dyDescent="0.3">
      <c r="A969" t="s">
        <v>1503</v>
      </c>
      <c r="B969" t="s">
        <v>1215</v>
      </c>
      <c r="C969" t="s">
        <v>741</v>
      </c>
      <c r="D969">
        <v>12029745</v>
      </c>
      <c r="E969">
        <v>5.63</v>
      </c>
      <c r="F969">
        <v>4.2699999999999996</v>
      </c>
    </row>
    <row r="970" spans="1:6" x14ac:dyDescent="0.3">
      <c r="A970" t="s">
        <v>1504</v>
      </c>
      <c r="B970" t="s">
        <v>1141</v>
      </c>
      <c r="C970" t="s">
        <v>1263</v>
      </c>
      <c r="D970">
        <v>12034598</v>
      </c>
      <c r="E970">
        <v>13.79</v>
      </c>
      <c r="F970">
        <v>5.79</v>
      </c>
    </row>
    <row r="971" spans="1:6" x14ac:dyDescent="0.3">
      <c r="A971" t="s">
        <v>1505</v>
      </c>
      <c r="B971" t="s">
        <v>840</v>
      </c>
      <c r="C971" t="s">
        <v>36</v>
      </c>
      <c r="D971">
        <v>12040597</v>
      </c>
      <c r="E971">
        <v>9.81</v>
      </c>
      <c r="F971">
        <v>5.8</v>
      </c>
    </row>
    <row r="972" spans="1:6" x14ac:dyDescent="0.3">
      <c r="A972" t="s">
        <v>1506</v>
      </c>
      <c r="B972" t="s">
        <v>826</v>
      </c>
      <c r="C972" t="s">
        <v>1129</v>
      </c>
      <c r="D972">
        <v>12063209</v>
      </c>
      <c r="E972">
        <v>17.2</v>
      </c>
      <c r="F972">
        <v>5.56</v>
      </c>
    </row>
    <row r="973" spans="1:6" x14ac:dyDescent="0.3">
      <c r="A973" t="s">
        <v>1507</v>
      </c>
      <c r="B973" t="s">
        <v>1508</v>
      </c>
      <c r="C973" t="s">
        <v>1034</v>
      </c>
      <c r="D973">
        <v>12070173</v>
      </c>
      <c r="E973">
        <v>16.62</v>
      </c>
      <c r="F973">
        <v>4.8099999999999996</v>
      </c>
    </row>
    <row r="974" spans="1:6" x14ac:dyDescent="0.3">
      <c r="A974" t="s">
        <v>1509</v>
      </c>
      <c r="B974" t="s">
        <v>1450</v>
      </c>
      <c r="C974" t="s">
        <v>932</v>
      </c>
      <c r="D974">
        <v>12073525</v>
      </c>
      <c r="E974">
        <v>7.07</v>
      </c>
      <c r="F974">
        <v>5.39</v>
      </c>
    </row>
    <row r="975" spans="1:6" x14ac:dyDescent="0.3">
      <c r="A975" t="s">
        <v>1510</v>
      </c>
      <c r="B975" t="s">
        <v>1217</v>
      </c>
      <c r="C975" t="s">
        <v>1511</v>
      </c>
      <c r="D975">
        <v>12096144</v>
      </c>
      <c r="E975">
        <v>12.38</v>
      </c>
      <c r="F975">
        <v>5.33</v>
      </c>
    </row>
    <row r="976" spans="1:6" x14ac:dyDescent="0.3">
      <c r="A976" t="s">
        <v>1512</v>
      </c>
      <c r="B976" t="s">
        <v>1513</v>
      </c>
      <c r="C976" t="s">
        <v>780</v>
      </c>
      <c r="D976">
        <v>12101510</v>
      </c>
      <c r="E976">
        <v>2.87</v>
      </c>
      <c r="F976">
        <v>5.48</v>
      </c>
    </row>
    <row r="977" spans="1:6" x14ac:dyDescent="0.3">
      <c r="A977" t="s">
        <v>1514</v>
      </c>
      <c r="B977" t="s">
        <v>840</v>
      </c>
      <c r="C977" t="s">
        <v>9</v>
      </c>
      <c r="D977">
        <v>12174771</v>
      </c>
      <c r="E977">
        <v>9.18</v>
      </c>
      <c r="F977">
        <v>4.8</v>
      </c>
    </row>
    <row r="978" spans="1:6" x14ac:dyDescent="0.3">
      <c r="A978" t="s">
        <v>1515</v>
      </c>
      <c r="B978" t="s">
        <v>1516</v>
      </c>
      <c r="C978" t="s">
        <v>762</v>
      </c>
      <c r="D978">
        <v>12179886</v>
      </c>
      <c r="E978">
        <v>11.33</v>
      </c>
      <c r="F978">
        <v>7.33</v>
      </c>
    </row>
    <row r="979" spans="1:6" x14ac:dyDescent="0.3">
      <c r="A979" t="s">
        <v>1517</v>
      </c>
      <c r="B979" t="s">
        <v>1518</v>
      </c>
      <c r="C979" t="s">
        <v>1368</v>
      </c>
      <c r="D979">
        <v>12191990</v>
      </c>
      <c r="E979">
        <v>11.91</v>
      </c>
      <c r="F979">
        <v>5.17</v>
      </c>
    </row>
    <row r="980" spans="1:6" x14ac:dyDescent="0.3">
      <c r="A980" t="s">
        <v>1519</v>
      </c>
      <c r="B980" t="s">
        <v>1520</v>
      </c>
      <c r="C980" t="s">
        <v>1521</v>
      </c>
      <c r="D980">
        <v>12245756</v>
      </c>
      <c r="E980">
        <v>11.67</v>
      </c>
      <c r="F980">
        <v>7</v>
      </c>
    </row>
    <row r="981" spans="1:6" x14ac:dyDescent="0.3">
      <c r="A981" t="s">
        <v>1522</v>
      </c>
      <c r="B981" t="s">
        <v>412</v>
      </c>
      <c r="C981" t="s">
        <v>1341</v>
      </c>
      <c r="D981">
        <v>12253959</v>
      </c>
      <c r="E981">
        <v>14.49</v>
      </c>
      <c r="F981">
        <v>5.79</v>
      </c>
    </row>
    <row r="982" spans="1:6" x14ac:dyDescent="0.3">
      <c r="A982" t="s">
        <v>1523</v>
      </c>
      <c r="B982" t="s">
        <v>1524</v>
      </c>
      <c r="C982" t="s">
        <v>1242</v>
      </c>
      <c r="D982">
        <v>12265786</v>
      </c>
      <c r="E982">
        <v>6.66</v>
      </c>
      <c r="F982">
        <v>5.67</v>
      </c>
    </row>
    <row r="983" spans="1:6" x14ac:dyDescent="0.3">
      <c r="A983" t="s">
        <v>1525</v>
      </c>
      <c r="B983" t="s">
        <v>1526</v>
      </c>
      <c r="C983" t="s">
        <v>1001</v>
      </c>
      <c r="D983">
        <v>12272459</v>
      </c>
      <c r="E983">
        <v>8.0299999999999994</v>
      </c>
      <c r="F983">
        <v>6.2</v>
      </c>
    </row>
    <row r="984" spans="1:6" x14ac:dyDescent="0.3">
      <c r="A984" t="s">
        <v>1527</v>
      </c>
      <c r="B984" t="s">
        <v>1141</v>
      </c>
      <c r="C984" t="s">
        <v>1157</v>
      </c>
      <c r="D984">
        <v>12272493</v>
      </c>
      <c r="E984">
        <v>14.67</v>
      </c>
      <c r="F984">
        <v>6.2</v>
      </c>
    </row>
    <row r="985" spans="1:6" x14ac:dyDescent="0.3">
      <c r="A985" t="s">
        <v>1528</v>
      </c>
      <c r="B985" t="s">
        <v>761</v>
      </c>
      <c r="C985" t="s">
        <v>893</v>
      </c>
      <c r="D985">
        <v>12285628</v>
      </c>
      <c r="E985">
        <v>16.04</v>
      </c>
      <c r="F985">
        <v>6.41</v>
      </c>
    </row>
    <row r="986" spans="1:6" x14ac:dyDescent="0.3">
      <c r="A986" t="s">
        <v>1529</v>
      </c>
      <c r="B986" t="s">
        <v>1530</v>
      </c>
      <c r="C986" t="s">
        <v>1531</v>
      </c>
      <c r="D986">
        <v>12300809</v>
      </c>
      <c r="E986">
        <v>17.43</v>
      </c>
      <c r="F986">
        <v>6.83</v>
      </c>
    </row>
    <row r="987" spans="1:6" x14ac:dyDescent="0.3">
      <c r="A987" t="s">
        <v>1532</v>
      </c>
      <c r="B987" t="s">
        <v>1533</v>
      </c>
      <c r="C987" t="s">
        <v>769</v>
      </c>
      <c r="D987">
        <v>12303623</v>
      </c>
      <c r="E987">
        <v>9</v>
      </c>
      <c r="F987">
        <v>5.75</v>
      </c>
    </row>
    <row r="988" spans="1:6" x14ac:dyDescent="0.3">
      <c r="A988" t="s">
        <v>1534</v>
      </c>
      <c r="B988" t="s">
        <v>1535</v>
      </c>
      <c r="C988" t="s">
        <v>969</v>
      </c>
      <c r="D988">
        <v>12308746</v>
      </c>
      <c r="E988">
        <v>15.57</v>
      </c>
      <c r="F988">
        <v>5.75</v>
      </c>
    </row>
    <row r="989" spans="1:6" x14ac:dyDescent="0.3">
      <c r="A989" t="s">
        <v>1536</v>
      </c>
      <c r="B989" t="s">
        <v>1497</v>
      </c>
      <c r="C989" t="s">
        <v>1537</v>
      </c>
      <c r="D989">
        <v>12313154</v>
      </c>
      <c r="E989">
        <v>9.17</v>
      </c>
      <c r="F989">
        <v>6.25</v>
      </c>
    </row>
    <row r="990" spans="1:6" x14ac:dyDescent="0.3">
      <c r="A990" t="s">
        <v>1538</v>
      </c>
      <c r="B990" t="s">
        <v>1144</v>
      </c>
      <c r="C990" t="s">
        <v>992</v>
      </c>
      <c r="D990">
        <v>12314573</v>
      </c>
      <c r="E990">
        <v>16.920000000000002</v>
      </c>
      <c r="F990">
        <v>5.38</v>
      </c>
    </row>
    <row r="991" spans="1:6" x14ac:dyDescent="0.3">
      <c r="A991" t="s">
        <v>1539</v>
      </c>
      <c r="B991" t="s">
        <v>1540</v>
      </c>
      <c r="C991" t="s">
        <v>727</v>
      </c>
      <c r="D991">
        <v>12315125</v>
      </c>
      <c r="E991">
        <v>15.82</v>
      </c>
      <c r="F991">
        <v>4.2699999999999996</v>
      </c>
    </row>
    <row r="992" spans="1:6" x14ac:dyDescent="0.3">
      <c r="A992" t="s">
        <v>1541</v>
      </c>
      <c r="B992" t="s">
        <v>463</v>
      </c>
      <c r="C992" t="s">
        <v>1062</v>
      </c>
      <c r="D992">
        <v>12315975</v>
      </c>
      <c r="E992">
        <v>12.59</v>
      </c>
      <c r="F992">
        <v>5.65</v>
      </c>
    </row>
    <row r="993" spans="1:6" x14ac:dyDescent="0.3">
      <c r="A993" t="s">
        <v>1542</v>
      </c>
      <c r="B993" t="s">
        <v>1543</v>
      </c>
      <c r="C993" t="s">
        <v>1300</v>
      </c>
      <c r="D993">
        <v>12340285</v>
      </c>
      <c r="E993">
        <v>10.38</v>
      </c>
      <c r="F993">
        <v>7.89</v>
      </c>
    </row>
    <row r="994" spans="1:6" x14ac:dyDescent="0.3">
      <c r="A994" t="s">
        <v>1544</v>
      </c>
      <c r="B994" t="s">
        <v>1288</v>
      </c>
      <c r="C994" t="s">
        <v>1545</v>
      </c>
      <c r="D994">
        <v>12353314</v>
      </c>
      <c r="E994">
        <v>14.11</v>
      </c>
      <c r="F994">
        <v>6.25</v>
      </c>
    </row>
    <row r="995" spans="1:6" x14ac:dyDescent="0.3">
      <c r="A995" t="s">
        <v>1546</v>
      </c>
      <c r="B995" t="s">
        <v>1547</v>
      </c>
      <c r="C995" t="s">
        <v>859</v>
      </c>
      <c r="D995">
        <v>12379596</v>
      </c>
      <c r="E995">
        <v>6.43</v>
      </c>
      <c r="F995">
        <v>5.72</v>
      </c>
    </row>
    <row r="996" spans="1:6" x14ac:dyDescent="0.3">
      <c r="A996" t="s">
        <v>1548</v>
      </c>
      <c r="B996" t="s">
        <v>609</v>
      </c>
      <c r="C996" t="s">
        <v>1549</v>
      </c>
      <c r="D996">
        <v>12379915</v>
      </c>
      <c r="E996">
        <v>10.33</v>
      </c>
      <c r="F996">
        <v>5.94</v>
      </c>
    </row>
    <row r="997" spans="1:6" x14ac:dyDescent="0.3">
      <c r="A997" t="s">
        <v>1550</v>
      </c>
      <c r="B997" t="s">
        <v>1520</v>
      </c>
      <c r="C997" t="s">
        <v>1129</v>
      </c>
      <c r="D997">
        <v>12401756</v>
      </c>
      <c r="E997">
        <v>8.4</v>
      </c>
      <c r="F997">
        <v>4.8600000000000003</v>
      </c>
    </row>
    <row r="998" spans="1:6" x14ac:dyDescent="0.3">
      <c r="A998" t="s">
        <v>1551</v>
      </c>
      <c r="B998" t="s">
        <v>849</v>
      </c>
      <c r="C998" t="s">
        <v>731</v>
      </c>
      <c r="D998">
        <v>12415425</v>
      </c>
      <c r="E998">
        <v>6.07</v>
      </c>
      <c r="F998">
        <v>5.46</v>
      </c>
    </row>
    <row r="999" spans="1:6" x14ac:dyDescent="0.3">
      <c r="A999" t="s">
        <v>1552</v>
      </c>
      <c r="B999" t="s">
        <v>548</v>
      </c>
      <c r="C999" t="s">
        <v>593</v>
      </c>
      <c r="D999">
        <v>12422493</v>
      </c>
      <c r="E999">
        <v>10.07</v>
      </c>
      <c r="F999">
        <v>6.13</v>
      </c>
    </row>
    <row r="1000" spans="1:6" x14ac:dyDescent="0.3">
      <c r="A1000" t="s">
        <v>1553</v>
      </c>
      <c r="B1000" t="s">
        <v>1554</v>
      </c>
      <c r="C1000" t="s">
        <v>1555</v>
      </c>
      <c r="D1000">
        <v>12423506</v>
      </c>
      <c r="E1000">
        <v>15.83</v>
      </c>
      <c r="F1000">
        <v>6.19</v>
      </c>
    </row>
    <row r="1001" spans="1:6" x14ac:dyDescent="0.3">
      <c r="A1001" t="s">
        <v>1556</v>
      </c>
      <c r="B1001" t="s">
        <v>1557</v>
      </c>
      <c r="C1001" t="s">
        <v>1129</v>
      </c>
      <c r="D1001">
        <v>12437428</v>
      </c>
      <c r="E1001">
        <v>28.5</v>
      </c>
      <c r="F1001">
        <v>4.33</v>
      </c>
    </row>
    <row r="1002" spans="1:6" x14ac:dyDescent="0.3">
      <c r="A1002" t="s">
        <v>1558</v>
      </c>
      <c r="B1002" t="s">
        <v>1559</v>
      </c>
      <c r="C1002" t="s">
        <v>1560</v>
      </c>
      <c r="D1002">
        <v>12439041</v>
      </c>
      <c r="E1002">
        <v>5.25</v>
      </c>
      <c r="F1002">
        <v>4.8600000000000003</v>
      </c>
    </row>
    <row r="1003" spans="1:6" x14ac:dyDescent="0.3">
      <c r="A1003" t="s">
        <v>1561</v>
      </c>
      <c r="B1003" t="s">
        <v>1223</v>
      </c>
      <c r="C1003" t="s">
        <v>1028</v>
      </c>
      <c r="D1003">
        <v>12471410</v>
      </c>
      <c r="E1003">
        <v>12.62</v>
      </c>
      <c r="F1003">
        <v>5.4</v>
      </c>
    </row>
    <row r="1004" spans="1:6" x14ac:dyDescent="0.3">
      <c r="A1004" t="s">
        <v>1562</v>
      </c>
      <c r="B1004" t="s">
        <v>1432</v>
      </c>
      <c r="C1004" t="s">
        <v>1129</v>
      </c>
      <c r="D1004">
        <v>12491164</v>
      </c>
      <c r="E1004">
        <v>5.9</v>
      </c>
      <c r="F1004">
        <v>6.25</v>
      </c>
    </row>
    <row r="1005" spans="1:6" x14ac:dyDescent="0.3">
      <c r="A1005" t="s">
        <v>1563</v>
      </c>
      <c r="B1005" t="s">
        <v>177</v>
      </c>
      <c r="C1005" t="s">
        <v>1129</v>
      </c>
      <c r="D1005">
        <v>12511659</v>
      </c>
      <c r="E1005">
        <v>6.48</v>
      </c>
      <c r="F1005">
        <v>6.14</v>
      </c>
    </row>
    <row r="1006" spans="1:6" x14ac:dyDescent="0.3">
      <c r="A1006" t="s">
        <v>1564</v>
      </c>
      <c r="B1006" t="s">
        <v>752</v>
      </c>
      <c r="C1006" t="s">
        <v>771</v>
      </c>
      <c r="D1006">
        <v>12513976</v>
      </c>
      <c r="E1006">
        <v>16.36</v>
      </c>
      <c r="F1006">
        <v>4.1100000000000003</v>
      </c>
    </row>
    <row r="1007" spans="1:6" x14ac:dyDescent="0.3">
      <c r="A1007" t="s">
        <v>1565</v>
      </c>
      <c r="B1007" t="s">
        <v>1305</v>
      </c>
      <c r="C1007" t="s">
        <v>1566</v>
      </c>
      <c r="D1007">
        <v>12520190</v>
      </c>
      <c r="E1007">
        <v>11.29</v>
      </c>
      <c r="F1007">
        <v>6.57</v>
      </c>
    </row>
    <row r="1008" spans="1:6" x14ac:dyDescent="0.3">
      <c r="A1008" t="s">
        <v>1567</v>
      </c>
      <c r="B1008" t="s">
        <v>1568</v>
      </c>
      <c r="C1008" t="s">
        <v>1381</v>
      </c>
      <c r="D1008">
        <v>12523291</v>
      </c>
      <c r="E1008">
        <v>11</v>
      </c>
      <c r="F1008">
        <v>6.25</v>
      </c>
    </row>
    <row r="1009" spans="1:6" x14ac:dyDescent="0.3">
      <c r="A1009" t="s">
        <v>1049</v>
      </c>
      <c r="B1009" t="s">
        <v>1415</v>
      </c>
      <c r="C1009" t="s">
        <v>1051</v>
      </c>
      <c r="D1009">
        <v>12528191</v>
      </c>
      <c r="E1009">
        <v>2.81</v>
      </c>
      <c r="F1009">
        <v>5.36</v>
      </c>
    </row>
    <row r="1010" spans="1:6" x14ac:dyDescent="0.3">
      <c r="A1010" t="s">
        <v>1569</v>
      </c>
      <c r="B1010" t="s">
        <v>1570</v>
      </c>
      <c r="C1010" t="s">
        <v>1030</v>
      </c>
      <c r="D1010">
        <v>12528628</v>
      </c>
      <c r="E1010">
        <v>8.0500000000000007</v>
      </c>
      <c r="F1010">
        <v>4</v>
      </c>
    </row>
    <row r="1011" spans="1:6" x14ac:dyDescent="0.3">
      <c r="A1011" t="s">
        <v>1571</v>
      </c>
      <c r="B1011" t="s">
        <v>1572</v>
      </c>
      <c r="C1011" t="s">
        <v>1573</v>
      </c>
      <c r="D1011">
        <v>12554138</v>
      </c>
      <c r="E1011">
        <v>10.8</v>
      </c>
      <c r="F1011">
        <v>5.92</v>
      </c>
    </row>
    <row r="1012" spans="1:6" x14ac:dyDescent="0.3">
      <c r="A1012" t="s">
        <v>1574</v>
      </c>
      <c r="B1012" t="s">
        <v>1450</v>
      </c>
      <c r="C1012" t="s">
        <v>827</v>
      </c>
      <c r="D1012">
        <v>12568393</v>
      </c>
      <c r="E1012">
        <v>14.44</v>
      </c>
      <c r="F1012">
        <v>3.88</v>
      </c>
    </row>
    <row r="1013" spans="1:6" x14ac:dyDescent="0.3">
      <c r="A1013" t="s">
        <v>1575</v>
      </c>
      <c r="B1013" t="s">
        <v>1576</v>
      </c>
      <c r="C1013" t="s">
        <v>1577</v>
      </c>
      <c r="D1013">
        <v>12594722</v>
      </c>
      <c r="E1013">
        <v>10.35</v>
      </c>
      <c r="F1013">
        <v>5.1100000000000003</v>
      </c>
    </row>
    <row r="1014" spans="1:6" x14ac:dyDescent="0.3">
      <c r="A1014" t="s">
        <v>1578</v>
      </c>
      <c r="B1014" t="s">
        <v>822</v>
      </c>
      <c r="C1014" t="s">
        <v>1579</v>
      </c>
      <c r="D1014">
        <v>12616848</v>
      </c>
      <c r="E1014">
        <v>15.22</v>
      </c>
      <c r="F1014">
        <v>7.87</v>
      </c>
    </row>
    <row r="1015" spans="1:6" x14ac:dyDescent="0.3">
      <c r="A1015" t="s">
        <v>1580</v>
      </c>
      <c r="B1015" t="s">
        <v>523</v>
      </c>
      <c r="C1015" t="s">
        <v>896</v>
      </c>
      <c r="D1015">
        <v>12638079</v>
      </c>
      <c r="E1015">
        <v>7.33</v>
      </c>
      <c r="F1015">
        <v>4</v>
      </c>
    </row>
    <row r="1016" spans="1:6" x14ac:dyDescent="0.3">
      <c r="A1016" t="s">
        <v>1581</v>
      </c>
      <c r="B1016" t="s">
        <v>1417</v>
      </c>
      <c r="C1016" t="s">
        <v>1582</v>
      </c>
      <c r="D1016">
        <v>12655843</v>
      </c>
      <c r="E1016">
        <v>9.26</v>
      </c>
      <c r="F1016">
        <v>7.36</v>
      </c>
    </row>
    <row r="1017" spans="1:6" x14ac:dyDescent="0.3">
      <c r="A1017" t="s">
        <v>1583</v>
      </c>
      <c r="B1017" t="s">
        <v>1584</v>
      </c>
      <c r="C1017" t="s">
        <v>1585</v>
      </c>
      <c r="D1017">
        <v>12660579</v>
      </c>
      <c r="E1017">
        <v>17.57</v>
      </c>
      <c r="F1017">
        <v>8.17</v>
      </c>
    </row>
    <row r="1018" spans="1:6" x14ac:dyDescent="0.3">
      <c r="A1018" t="s">
        <v>1586</v>
      </c>
      <c r="B1018" t="s">
        <v>1587</v>
      </c>
      <c r="C1018" t="s">
        <v>1062</v>
      </c>
      <c r="D1018">
        <v>12673427</v>
      </c>
      <c r="E1018">
        <v>4.2699999999999996</v>
      </c>
      <c r="F1018">
        <v>4.22</v>
      </c>
    </row>
    <row r="1019" spans="1:6" x14ac:dyDescent="0.3">
      <c r="A1019" t="s">
        <v>1588</v>
      </c>
      <c r="B1019" t="s">
        <v>1589</v>
      </c>
      <c r="C1019" t="s">
        <v>1317</v>
      </c>
      <c r="D1019">
        <v>12758631</v>
      </c>
      <c r="E1019">
        <v>10.199999999999999</v>
      </c>
      <c r="F1019">
        <v>5.57</v>
      </c>
    </row>
    <row r="1020" spans="1:6" x14ac:dyDescent="0.3">
      <c r="A1020" t="s">
        <v>1548</v>
      </c>
      <c r="B1020" t="s">
        <v>1227</v>
      </c>
      <c r="C1020" t="s">
        <v>1549</v>
      </c>
      <c r="D1020">
        <v>12793999</v>
      </c>
      <c r="E1020">
        <v>7.91</v>
      </c>
      <c r="F1020">
        <v>6.47</v>
      </c>
    </row>
    <row r="1021" spans="1:6" x14ac:dyDescent="0.3">
      <c r="A1021" t="s">
        <v>1590</v>
      </c>
      <c r="B1021" t="s">
        <v>1591</v>
      </c>
      <c r="C1021" t="s">
        <v>1129</v>
      </c>
      <c r="D1021">
        <v>12804868</v>
      </c>
      <c r="E1021">
        <v>18.82</v>
      </c>
      <c r="F1021">
        <v>7</v>
      </c>
    </row>
    <row r="1022" spans="1:6" x14ac:dyDescent="0.3">
      <c r="A1022" t="s">
        <v>1592</v>
      </c>
      <c r="B1022" t="s">
        <v>1493</v>
      </c>
      <c r="C1022" t="s">
        <v>1015</v>
      </c>
      <c r="D1022">
        <v>12812416</v>
      </c>
      <c r="E1022">
        <v>12.83</v>
      </c>
      <c r="F1022">
        <v>7</v>
      </c>
    </row>
    <row r="1023" spans="1:6" x14ac:dyDescent="0.3">
      <c r="A1023" t="s">
        <v>1593</v>
      </c>
      <c r="B1023" t="s">
        <v>1127</v>
      </c>
      <c r="C1023" t="s">
        <v>977</v>
      </c>
      <c r="D1023">
        <v>12813851</v>
      </c>
      <c r="E1023">
        <v>11.67</v>
      </c>
      <c r="F1023">
        <v>5.67</v>
      </c>
    </row>
    <row r="1024" spans="1:6" x14ac:dyDescent="0.3">
      <c r="A1024" t="s">
        <v>1594</v>
      </c>
      <c r="B1024" t="s">
        <v>1147</v>
      </c>
      <c r="C1024" t="s">
        <v>1595</v>
      </c>
      <c r="D1024">
        <v>12814734</v>
      </c>
      <c r="E1024">
        <v>7.84</v>
      </c>
      <c r="F1024">
        <v>5.92</v>
      </c>
    </row>
    <row r="1025" spans="1:6" x14ac:dyDescent="0.3">
      <c r="A1025" t="s">
        <v>1596</v>
      </c>
      <c r="B1025" t="s">
        <v>1597</v>
      </c>
      <c r="C1025" t="s">
        <v>1598</v>
      </c>
      <c r="D1025">
        <v>12819755</v>
      </c>
      <c r="E1025">
        <v>11.16</v>
      </c>
      <c r="F1025">
        <v>7.08</v>
      </c>
    </row>
    <row r="1026" spans="1:6" x14ac:dyDescent="0.3">
      <c r="A1026" t="s">
        <v>1599</v>
      </c>
      <c r="B1026" t="s">
        <v>1600</v>
      </c>
      <c r="C1026" t="s">
        <v>1246</v>
      </c>
      <c r="D1026">
        <v>12859234</v>
      </c>
      <c r="E1026">
        <v>6.22</v>
      </c>
      <c r="F1026">
        <v>7.5</v>
      </c>
    </row>
    <row r="1027" spans="1:6" x14ac:dyDescent="0.3">
      <c r="A1027" t="s">
        <v>1601</v>
      </c>
      <c r="B1027" t="s">
        <v>1440</v>
      </c>
      <c r="C1027" t="s">
        <v>1182</v>
      </c>
      <c r="D1027">
        <v>12875452</v>
      </c>
      <c r="E1027">
        <v>12.09</v>
      </c>
      <c r="F1027">
        <v>6.2</v>
      </c>
    </row>
    <row r="1028" spans="1:6" x14ac:dyDescent="0.3">
      <c r="A1028" t="s">
        <v>1602</v>
      </c>
      <c r="B1028" t="s">
        <v>1477</v>
      </c>
      <c r="C1028" t="s">
        <v>874</v>
      </c>
      <c r="D1028">
        <v>12887405</v>
      </c>
      <c r="E1028">
        <v>11.69</v>
      </c>
      <c r="F1028">
        <v>3.57</v>
      </c>
    </row>
    <row r="1029" spans="1:6" x14ac:dyDescent="0.3">
      <c r="A1029" t="s">
        <v>1603</v>
      </c>
      <c r="B1029" t="s">
        <v>951</v>
      </c>
      <c r="C1029" t="s">
        <v>1317</v>
      </c>
      <c r="D1029">
        <v>12894113</v>
      </c>
      <c r="E1029">
        <v>7.23</v>
      </c>
      <c r="F1029">
        <v>5.9</v>
      </c>
    </row>
    <row r="1030" spans="1:6" x14ac:dyDescent="0.3">
      <c r="A1030" t="s">
        <v>1604</v>
      </c>
      <c r="B1030" t="s">
        <v>1605</v>
      </c>
      <c r="C1030" t="s">
        <v>959</v>
      </c>
      <c r="D1030">
        <v>12911379</v>
      </c>
      <c r="E1030">
        <v>13.89</v>
      </c>
      <c r="F1030">
        <v>6.11</v>
      </c>
    </row>
    <row r="1031" spans="1:6" x14ac:dyDescent="0.3">
      <c r="A1031" t="s">
        <v>1606</v>
      </c>
      <c r="B1031" t="s">
        <v>955</v>
      </c>
      <c r="C1031" t="s">
        <v>1606</v>
      </c>
      <c r="D1031">
        <v>12930965</v>
      </c>
      <c r="E1031">
        <v>6.21</v>
      </c>
      <c r="F1031">
        <v>7.25</v>
      </c>
    </row>
    <row r="1032" spans="1:6" x14ac:dyDescent="0.3">
      <c r="A1032" t="s">
        <v>1607</v>
      </c>
      <c r="B1032" t="s">
        <v>1608</v>
      </c>
      <c r="C1032" t="s">
        <v>782</v>
      </c>
      <c r="D1032">
        <v>12935461</v>
      </c>
      <c r="E1032">
        <v>10.67</v>
      </c>
      <c r="F1032">
        <v>5.43</v>
      </c>
    </row>
    <row r="1033" spans="1:6" x14ac:dyDescent="0.3">
      <c r="A1033" t="s">
        <v>1609</v>
      </c>
      <c r="B1033" t="s">
        <v>1244</v>
      </c>
      <c r="C1033" t="s">
        <v>1610</v>
      </c>
      <c r="D1033">
        <v>12941126</v>
      </c>
      <c r="E1033">
        <v>13.33</v>
      </c>
      <c r="F1033">
        <v>7.8</v>
      </c>
    </row>
    <row r="1034" spans="1:6" x14ac:dyDescent="0.3">
      <c r="A1034" t="s">
        <v>1611</v>
      </c>
      <c r="B1034" t="s">
        <v>1276</v>
      </c>
      <c r="C1034" t="s">
        <v>1612</v>
      </c>
      <c r="D1034">
        <v>12947463</v>
      </c>
      <c r="E1034">
        <v>13.5</v>
      </c>
      <c r="F1034">
        <v>6.5</v>
      </c>
    </row>
    <row r="1035" spans="1:6" x14ac:dyDescent="0.3">
      <c r="A1035" t="s">
        <v>1613</v>
      </c>
      <c r="B1035" t="s">
        <v>1614</v>
      </c>
      <c r="C1035" t="s">
        <v>707</v>
      </c>
      <c r="D1035">
        <v>12953711</v>
      </c>
      <c r="E1035">
        <v>4.4000000000000004</v>
      </c>
      <c r="F1035">
        <v>3.79</v>
      </c>
    </row>
    <row r="1036" spans="1:6" x14ac:dyDescent="0.3">
      <c r="A1036" t="s">
        <v>1615</v>
      </c>
      <c r="B1036" t="s">
        <v>1520</v>
      </c>
      <c r="C1036" t="s">
        <v>1598</v>
      </c>
      <c r="D1036">
        <v>12971541</v>
      </c>
      <c r="E1036">
        <v>3.22</v>
      </c>
      <c r="F1036">
        <v>5.65</v>
      </c>
    </row>
    <row r="1037" spans="1:6" x14ac:dyDescent="0.3">
      <c r="A1037" t="s">
        <v>1616</v>
      </c>
      <c r="B1037" t="s">
        <v>1259</v>
      </c>
      <c r="C1037" t="s">
        <v>1616</v>
      </c>
      <c r="D1037">
        <v>12984132</v>
      </c>
      <c r="E1037">
        <v>14.72</v>
      </c>
      <c r="F1037">
        <v>5.74</v>
      </c>
    </row>
    <row r="1038" spans="1:6" x14ac:dyDescent="0.3">
      <c r="A1038" t="s">
        <v>1617</v>
      </c>
      <c r="B1038" t="s">
        <v>1199</v>
      </c>
      <c r="C1038" t="s">
        <v>1185</v>
      </c>
      <c r="D1038">
        <v>12990864</v>
      </c>
      <c r="E1038">
        <v>6.22</v>
      </c>
      <c r="F1038">
        <v>6.54</v>
      </c>
    </row>
    <row r="1039" spans="1:6" x14ac:dyDescent="0.3">
      <c r="A1039" t="s">
        <v>1618</v>
      </c>
      <c r="B1039" t="s">
        <v>177</v>
      </c>
      <c r="C1039" t="s">
        <v>1242</v>
      </c>
      <c r="D1039">
        <v>13000379</v>
      </c>
      <c r="E1039">
        <v>4.05</v>
      </c>
      <c r="F1039">
        <v>5.69</v>
      </c>
    </row>
    <row r="1040" spans="1:6" x14ac:dyDescent="0.3">
      <c r="A1040" t="s">
        <v>1619</v>
      </c>
      <c r="B1040" t="s">
        <v>1620</v>
      </c>
      <c r="C1040" t="s">
        <v>1329</v>
      </c>
      <c r="D1040">
        <v>13029539</v>
      </c>
      <c r="E1040">
        <v>16.329999999999998</v>
      </c>
      <c r="F1040">
        <v>1.5</v>
      </c>
    </row>
    <row r="1041" spans="1:6" x14ac:dyDescent="0.3">
      <c r="A1041" t="s">
        <v>1621</v>
      </c>
      <c r="B1041" t="s">
        <v>1622</v>
      </c>
      <c r="C1041" t="s">
        <v>1566</v>
      </c>
      <c r="D1041">
        <v>13037894</v>
      </c>
      <c r="E1041">
        <v>1.95</v>
      </c>
      <c r="F1041">
        <v>4.17</v>
      </c>
    </row>
    <row r="1042" spans="1:6" x14ac:dyDescent="0.3">
      <c r="A1042" t="s">
        <v>1623</v>
      </c>
      <c r="B1042" t="s">
        <v>1624</v>
      </c>
      <c r="C1042" t="s">
        <v>832</v>
      </c>
      <c r="D1042">
        <v>13040891</v>
      </c>
      <c r="E1042">
        <v>10.88</v>
      </c>
      <c r="F1042">
        <v>6.71</v>
      </c>
    </row>
    <row r="1043" spans="1:6" x14ac:dyDescent="0.3">
      <c r="A1043" t="s">
        <v>1625</v>
      </c>
      <c r="B1043" t="s">
        <v>1265</v>
      </c>
      <c r="C1043" t="s">
        <v>1012</v>
      </c>
      <c r="D1043">
        <v>13043610</v>
      </c>
      <c r="E1043">
        <v>15.69</v>
      </c>
      <c r="F1043">
        <v>7.05</v>
      </c>
    </row>
    <row r="1044" spans="1:6" x14ac:dyDescent="0.3">
      <c r="A1044" t="s">
        <v>1626</v>
      </c>
      <c r="B1044" t="s">
        <v>1627</v>
      </c>
      <c r="C1044" t="s">
        <v>741</v>
      </c>
      <c r="D1044">
        <v>13065736</v>
      </c>
      <c r="E1044">
        <v>16.670000000000002</v>
      </c>
      <c r="F1044">
        <v>6</v>
      </c>
    </row>
    <row r="1045" spans="1:6" x14ac:dyDescent="0.3">
      <c r="A1045" t="s">
        <v>1628</v>
      </c>
      <c r="B1045" t="s">
        <v>1629</v>
      </c>
      <c r="C1045" t="s">
        <v>893</v>
      </c>
      <c r="D1045">
        <v>13068939</v>
      </c>
      <c r="E1045">
        <v>13</v>
      </c>
      <c r="F1045">
        <v>6.6</v>
      </c>
    </row>
    <row r="1046" spans="1:6" x14ac:dyDescent="0.3">
      <c r="A1046" t="s">
        <v>1630</v>
      </c>
      <c r="B1046" t="s">
        <v>1233</v>
      </c>
      <c r="C1046" t="s">
        <v>1631</v>
      </c>
      <c r="D1046">
        <v>13079031</v>
      </c>
      <c r="E1046">
        <v>4.3</v>
      </c>
      <c r="F1046">
        <v>6.43</v>
      </c>
    </row>
    <row r="1047" spans="1:6" x14ac:dyDescent="0.3">
      <c r="A1047" t="s">
        <v>1632</v>
      </c>
      <c r="B1047" t="s">
        <v>419</v>
      </c>
      <c r="C1047" t="s">
        <v>704</v>
      </c>
      <c r="D1047">
        <v>13081515</v>
      </c>
      <c r="E1047">
        <v>13.89</v>
      </c>
      <c r="F1047">
        <v>4.3099999999999996</v>
      </c>
    </row>
    <row r="1048" spans="1:6" x14ac:dyDescent="0.3">
      <c r="A1048" t="s">
        <v>1633</v>
      </c>
      <c r="B1048" t="s">
        <v>1634</v>
      </c>
      <c r="C1048" t="s">
        <v>1633</v>
      </c>
      <c r="D1048">
        <v>13082017</v>
      </c>
      <c r="E1048">
        <v>7</v>
      </c>
      <c r="F1048">
        <v>7.33</v>
      </c>
    </row>
    <row r="1049" spans="1:6" x14ac:dyDescent="0.3">
      <c r="A1049" t="s">
        <v>1635</v>
      </c>
      <c r="B1049" t="s">
        <v>1417</v>
      </c>
      <c r="C1049" t="s">
        <v>1636</v>
      </c>
      <c r="D1049">
        <v>13096102</v>
      </c>
      <c r="E1049">
        <v>5.67</v>
      </c>
      <c r="F1049">
        <v>6.06</v>
      </c>
    </row>
    <row r="1050" spans="1:6" x14ac:dyDescent="0.3">
      <c r="A1050" t="s">
        <v>1637</v>
      </c>
      <c r="B1050" t="s">
        <v>520</v>
      </c>
      <c r="C1050" t="s">
        <v>1638</v>
      </c>
      <c r="D1050">
        <v>13096501</v>
      </c>
      <c r="E1050">
        <v>15.54</v>
      </c>
      <c r="F1050">
        <v>7.64</v>
      </c>
    </row>
    <row r="1051" spans="1:6" x14ac:dyDescent="0.3">
      <c r="A1051" t="s">
        <v>1639</v>
      </c>
      <c r="B1051" t="s">
        <v>1530</v>
      </c>
      <c r="C1051" t="s">
        <v>1640</v>
      </c>
      <c r="D1051">
        <v>13102433</v>
      </c>
      <c r="E1051">
        <v>13.59</v>
      </c>
      <c r="F1051">
        <v>6.63</v>
      </c>
    </row>
    <row r="1052" spans="1:6" x14ac:dyDescent="0.3">
      <c r="A1052" t="s">
        <v>1641</v>
      </c>
      <c r="B1052" t="s">
        <v>1642</v>
      </c>
      <c r="C1052" t="s">
        <v>893</v>
      </c>
      <c r="D1052">
        <v>13103404</v>
      </c>
      <c r="E1052">
        <v>8.5299999999999994</v>
      </c>
      <c r="F1052">
        <v>6.89</v>
      </c>
    </row>
    <row r="1053" spans="1:6" x14ac:dyDescent="0.3">
      <c r="A1053" t="s">
        <v>1643</v>
      </c>
      <c r="B1053" t="s">
        <v>1644</v>
      </c>
      <c r="C1053" t="s">
        <v>1566</v>
      </c>
      <c r="D1053">
        <v>13114485</v>
      </c>
      <c r="E1053">
        <v>19.43</v>
      </c>
      <c r="F1053">
        <v>3.18</v>
      </c>
    </row>
    <row r="1054" spans="1:6" x14ac:dyDescent="0.3">
      <c r="A1054" t="s">
        <v>1645</v>
      </c>
      <c r="B1054" t="s">
        <v>1646</v>
      </c>
      <c r="C1054" t="s">
        <v>1647</v>
      </c>
      <c r="D1054">
        <v>13119845</v>
      </c>
      <c r="E1054">
        <v>11.5</v>
      </c>
      <c r="F1054">
        <v>7.67</v>
      </c>
    </row>
    <row r="1055" spans="1:6" x14ac:dyDescent="0.3">
      <c r="A1055" t="s">
        <v>1648</v>
      </c>
      <c r="B1055" t="s">
        <v>1649</v>
      </c>
      <c r="C1055" t="s">
        <v>1650</v>
      </c>
      <c r="D1055">
        <v>13124928</v>
      </c>
      <c r="E1055">
        <v>11.11</v>
      </c>
      <c r="F1055">
        <v>7.24</v>
      </c>
    </row>
    <row r="1056" spans="1:6" x14ac:dyDescent="0.3">
      <c r="A1056" t="s">
        <v>1651</v>
      </c>
      <c r="B1056" t="s">
        <v>1652</v>
      </c>
      <c r="C1056" t="s">
        <v>1651</v>
      </c>
      <c r="D1056">
        <v>13132367</v>
      </c>
      <c r="E1056">
        <v>7.78</v>
      </c>
      <c r="F1056">
        <v>5.5</v>
      </c>
    </row>
    <row r="1057" spans="1:6" x14ac:dyDescent="0.3">
      <c r="A1057" t="s">
        <v>1653</v>
      </c>
      <c r="B1057" t="s">
        <v>854</v>
      </c>
      <c r="C1057" t="s">
        <v>1467</v>
      </c>
      <c r="D1057">
        <v>13141872</v>
      </c>
      <c r="E1057">
        <v>3</v>
      </c>
      <c r="F1057">
        <v>5.43</v>
      </c>
    </row>
    <row r="1058" spans="1:6" x14ac:dyDescent="0.3">
      <c r="A1058" t="s">
        <v>1654</v>
      </c>
      <c r="B1058" t="s">
        <v>1655</v>
      </c>
      <c r="C1058">
        <v>1077</v>
      </c>
      <c r="D1058">
        <v>13155403</v>
      </c>
      <c r="E1058">
        <v>7.69</v>
      </c>
      <c r="F1058">
        <v>6.64</v>
      </c>
    </row>
    <row r="1059" spans="1:6" x14ac:dyDescent="0.3">
      <c r="A1059" t="s">
        <v>1656</v>
      </c>
      <c r="B1059" t="s">
        <v>1657</v>
      </c>
      <c r="C1059" t="s">
        <v>1658</v>
      </c>
      <c r="D1059">
        <v>13162034</v>
      </c>
      <c r="E1059">
        <v>16.91</v>
      </c>
      <c r="F1059">
        <v>6.55</v>
      </c>
    </row>
    <row r="1060" spans="1:6" x14ac:dyDescent="0.3">
      <c r="A1060" t="s">
        <v>1659</v>
      </c>
      <c r="B1060" t="s">
        <v>1131</v>
      </c>
      <c r="C1060" t="s">
        <v>1638</v>
      </c>
      <c r="D1060">
        <v>13169075</v>
      </c>
      <c r="E1060">
        <v>6.86</v>
      </c>
      <c r="F1060">
        <v>6.8</v>
      </c>
    </row>
    <row r="1061" spans="1:6" x14ac:dyDescent="0.3">
      <c r="A1061" t="s">
        <v>1660</v>
      </c>
      <c r="B1061" t="s">
        <v>1661</v>
      </c>
      <c r="C1061" t="s">
        <v>977</v>
      </c>
      <c r="D1061">
        <v>13178781</v>
      </c>
      <c r="E1061">
        <v>13.14</v>
      </c>
      <c r="F1061">
        <v>4.5999999999999996</v>
      </c>
    </row>
    <row r="1062" spans="1:6" x14ac:dyDescent="0.3">
      <c r="A1062" t="s">
        <v>1662</v>
      </c>
      <c r="B1062" t="s">
        <v>1663</v>
      </c>
      <c r="C1062" t="s">
        <v>1664</v>
      </c>
      <c r="D1062">
        <v>13183849</v>
      </c>
      <c r="E1062">
        <v>11</v>
      </c>
      <c r="F1062">
        <v>5.63</v>
      </c>
    </row>
    <row r="1063" spans="1:6" x14ac:dyDescent="0.3">
      <c r="A1063" t="s">
        <v>1665</v>
      </c>
      <c r="B1063" t="s">
        <v>1666</v>
      </c>
      <c r="C1063" t="s">
        <v>1667</v>
      </c>
      <c r="D1063">
        <v>13197083</v>
      </c>
      <c r="E1063">
        <v>15.02</v>
      </c>
      <c r="F1063">
        <v>7.45</v>
      </c>
    </row>
    <row r="1064" spans="1:6" x14ac:dyDescent="0.3">
      <c r="A1064" t="s">
        <v>1668</v>
      </c>
      <c r="B1064" t="s">
        <v>906</v>
      </c>
      <c r="C1064" t="s">
        <v>1667</v>
      </c>
      <c r="D1064">
        <v>13199224</v>
      </c>
      <c r="E1064">
        <v>9.8699999999999992</v>
      </c>
      <c r="F1064">
        <v>6.53</v>
      </c>
    </row>
    <row r="1065" spans="1:6" x14ac:dyDescent="0.3">
      <c r="A1065" t="s">
        <v>1669</v>
      </c>
      <c r="B1065" t="s">
        <v>1276</v>
      </c>
      <c r="C1065" t="s">
        <v>1670</v>
      </c>
      <c r="D1065">
        <v>13211586</v>
      </c>
      <c r="E1065">
        <v>12.33</v>
      </c>
      <c r="F1065">
        <v>5.2</v>
      </c>
    </row>
    <row r="1066" spans="1:6" x14ac:dyDescent="0.3">
      <c r="A1066" t="s">
        <v>1548</v>
      </c>
      <c r="B1066" t="s">
        <v>1671</v>
      </c>
      <c r="C1066" t="s">
        <v>1549</v>
      </c>
      <c r="D1066">
        <v>13216306</v>
      </c>
      <c r="E1066">
        <v>8.27</v>
      </c>
      <c r="F1066">
        <v>4</v>
      </c>
    </row>
    <row r="1067" spans="1:6" x14ac:dyDescent="0.3">
      <c r="A1067" t="s">
        <v>1672</v>
      </c>
      <c r="B1067" t="s">
        <v>1673</v>
      </c>
      <c r="C1067" t="s">
        <v>1317</v>
      </c>
      <c r="D1067">
        <v>13219953</v>
      </c>
      <c r="E1067">
        <v>6.7</v>
      </c>
      <c r="F1067">
        <v>4.71</v>
      </c>
    </row>
    <row r="1068" spans="1:6" x14ac:dyDescent="0.3">
      <c r="A1068" t="s">
        <v>1674</v>
      </c>
      <c r="B1068" t="s">
        <v>1223</v>
      </c>
      <c r="C1068" t="s">
        <v>1317</v>
      </c>
      <c r="D1068">
        <v>13220947</v>
      </c>
      <c r="E1068">
        <v>12.92</v>
      </c>
      <c r="F1068">
        <v>7</v>
      </c>
    </row>
    <row r="1069" spans="1:6" x14ac:dyDescent="0.3">
      <c r="A1069" t="s">
        <v>1675</v>
      </c>
      <c r="B1069" t="s">
        <v>412</v>
      </c>
      <c r="C1069" t="s">
        <v>1549</v>
      </c>
      <c r="D1069">
        <v>13230816</v>
      </c>
      <c r="E1069">
        <v>7</v>
      </c>
      <c r="F1069">
        <v>4.33</v>
      </c>
    </row>
    <row r="1070" spans="1:6" x14ac:dyDescent="0.3">
      <c r="A1070" t="s">
        <v>1676</v>
      </c>
      <c r="B1070" t="s">
        <v>1677</v>
      </c>
      <c r="C1070" t="s">
        <v>723</v>
      </c>
      <c r="D1070">
        <v>13239769</v>
      </c>
      <c r="E1070">
        <v>11.04</v>
      </c>
      <c r="F1070">
        <v>6</v>
      </c>
    </row>
    <row r="1071" spans="1:6" x14ac:dyDescent="0.3">
      <c r="A1071" t="s">
        <v>1678</v>
      </c>
      <c r="B1071" t="s">
        <v>900</v>
      </c>
      <c r="C1071" t="s">
        <v>1606</v>
      </c>
      <c r="D1071">
        <v>13249241</v>
      </c>
      <c r="E1071">
        <v>15.06</v>
      </c>
      <c r="F1071">
        <v>5.35</v>
      </c>
    </row>
    <row r="1072" spans="1:6" x14ac:dyDescent="0.3">
      <c r="A1072" t="s">
        <v>1679</v>
      </c>
      <c r="B1072" t="s">
        <v>412</v>
      </c>
      <c r="C1072" t="s">
        <v>1680</v>
      </c>
      <c r="D1072">
        <v>13257950</v>
      </c>
      <c r="E1072">
        <v>10.029999999999999</v>
      </c>
      <c r="F1072">
        <v>6.85</v>
      </c>
    </row>
    <row r="1073" spans="1:6" x14ac:dyDescent="0.3">
      <c r="A1073" t="s">
        <v>1681</v>
      </c>
      <c r="B1073" t="s">
        <v>1682</v>
      </c>
      <c r="C1073" t="s">
        <v>1555</v>
      </c>
      <c r="D1073">
        <v>13260550</v>
      </c>
      <c r="E1073">
        <v>13</v>
      </c>
      <c r="F1073">
        <v>5.13</v>
      </c>
    </row>
    <row r="1074" spans="1:6" x14ac:dyDescent="0.3">
      <c r="A1074" t="s">
        <v>1683</v>
      </c>
      <c r="B1074" t="s">
        <v>1684</v>
      </c>
      <c r="C1074" t="s">
        <v>1549</v>
      </c>
      <c r="D1074">
        <v>13263705</v>
      </c>
      <c r="E1074">
        <v>7</v>
      </c>
      <c r="F1074">
        <v>5</v>
      </c>
    </row>
    <row r="1075" spans="1:6" x14ac:dyDescent="0.3">
      <c r="A1075" t="s">
        <v>1685</v>
      </c>
      <c r="B1075" t="s">
        <v>1686</v>
      </c>
      <c r="C1075" t="s">
        <v>1549</v>
      </c>
      <c r="D1075">
        <v>13274917</v>
      </c>
      <c r="E1075">
        <v>10.14</v>
      </c>
      <c r="F1075">
        <v>7</v>
      </c>
    </row>
    <row r="1076" spans="1:6" x14ac:dyDescent="0.3">
      <c r="A1076" t="s">
        <v>1687</v>
      </c>
      <c r="B1076" t="s">
        <v>1688</v>
      </c>
      <c r="C1076" t="s">
        <v>1689</v>
      </c>
      <c r="D1076">
        <v>13281254</v>
      </c>
      <c r="E1076">
        <v>8.07</v>
      </c>
      <c r="F1076">
        <v>3.89</v>
      </c>
    </row>
    <row r="1077" spans="1:6" x14ac:dyDescent="0.3">
      <c r="A1077" t="s">
        <v>1690</v>
      </c>
      <c r="B1077" t="s">
        <v>1547</v>
      </c>
      <c r="C1077" t="s">
        <v>1286</v>
      </c>
      <c r="D1077">
        <v>13285946</v>
      </c>
      <c r="E1077">
        <v>17.11</v>
      </c>
      <c r="F1077">
        <v>6.44</v>
      </c>
    </row>
    <row r="1078" spans="1:6" x14ac:dyDescent="0.3">
      <c r="A1078" t="s">
        <v>1603</v>
      </c>
      <c r="B1078" t="s">
        <v>1691</v>
      </c>
      <c r="C1078" t="s">
        <v>1317</v>
      </c>
      <c r="D1078">
        <v>13295439</v>
      </c>
      <c r="E1078">
        <v>9.49</v>
      </c>
      <c r="F1078">
        <v>2</v>
      </c>
    </row>
    <row r="1079" spans="1:6" x14ac:dyDescent="0.3">
      <c r="A1079" t="s">
        <v>1692</v>
      </c>
      <c r="B1079" t="s">
        <v>1693</v>
      </c>
      <c r="C1079" t="s">
        <v>9</v>
      </c>
      <c r="D1079">
        <v>13297109</v>
      </c>
      <c r="E1079">
        <v>12.22</v>
      </c>
      <c r="F1079">
        <v>5.69</v>
      </c>
    </row>
    <row r="1080" spans="1:6" x14ac:dyDescent="0.3">
      <c r="A1080" t="s">
        <v>1694</v>
      </c>
      <c r="B1080" t="s">
        <v>1122</v>
      </c>
      <c r="C1080" t="s">
        <v>379</v>
      </c>
      <c r="D1080">
        <v>13304770</v>
      </c>
      <c r="E1080">
        <v>6.81</v>
      </c>
      <c r="F1080">
        <v>6</v>
      </c>
    </row>
    <row r="1081" spans="1:6" x14ac:dyDescent="0.3">
      <c r="A1081" t="s">
        <v>1695</v>
      </c>
      <c r="B1081" t="s">
        <v>1696</v>
      </c>
      <c r="C1081" t="s">
        <v>1101</v>
      </c>
      <c r="D1081">
        <v>13306642</v>
      </c>
      <c r="E1081">
        <v>14.1</v>
      </c>
      <c r="F1081">
        <v>7.42</v>
      </c>
    </row>
    <row r="1082" spans="1:6" x14ac:dyDescent="0.3">
      <c r="A1082" t="s">
        <v>1697</v>
      </c>
      <c r="B1082" t="s">
        <v>1141</v>
      </c>
      <c r="C1082" t="s">
        <v>713</v>
      </c>
      <c r="D1082">
        <v>13308332</v>
      </c>
      <c r="E1082">
        <v>14.42</v>
      </c>
      <c r="F1082">
        <v>5.33</v>
      </c>
    </row>
    <row r="1083" spans="1:6" x14ac:dyDescent="0.3">
      <c r="A1083" t="s">
        <v>1698</v>
      </c>
      <c r="B1083" t="s">
        <v>1699</v>
      </c>
      <c r="C1083" t="s">
        <v>1098</v>
      </c>
      <c r="D1083">
        <v>13314218</v>
      </c>
      <c r="E1083">
        <v>20.32</v>
      </c>
      <c r="F1083">
        <v>3.94</v>
      </c>
    </row>
    <row r="1084" spans="1:6" x14ac:dyDescent="0.3">
      <c r="A1084" t="s">
        <v>1700</v>
      </c>
      <c r="B1084" t="s">
        <v>1701</v>
      </c>
      <c r="C1084" t="s">
        <v>782</v>
      </c>
      <c r="D1084">
        <v>13330855</v>
      </c>
      <c r="E1084">
        <v>7.2</v>
      </c>
      <c r="F1084">
        <v>4</v>
      </c>
    </row>
    <row r="1085" spans="1:6" x14ac:dyDescent="0.3">
      <c r="A1085" t="s">
        <v>1702</v>
      </c>
      <c r="B1085" t="s">
        <v>1479</v>
      </c>
      <c r="C1085" t="s">
        <v>969</v>
      </c>
      <c r="D1085">
        <v>13333584</v>
      </c>
      <c r="E1085">
        <v>13.23</v>
      </c>
      <c r="F1085">
        <v>6.11</v>
      </c>
    </row>
    <row r="1086" spans="1:6" x14ac:dyDescent="0.3">
      <c r="A1086" t="s">
        <v>1703</v>
      </c>
      <c r="B1086" t="s">
        <v>984</v>
      </c>
      <c r="C1086" t="s">
        <v>1386</v>
      </c>
      <c r="D1086">
        <v>13337618</v>
      </c>
      <c r="E1086">
        <v>15.54</v>
      </c>
      <c r="F1086">
        <v>5.85</v>
      </c>
    </row>
    <row r="1087" spans="1:6" x14ac:dyDescent="0.3">
      <c r="A1087" t="s">
        <v>1704</v>
      </c>
      <c r="B1087" t="s">
        <v>1705</v>
      </c>
      <c r="C1087" t="s">
        <v>1257</v>
      </c>
      <c r="D1087">
        <v>13339527</v>
      </c>
      <c r="E1087">
        <v>6.2</v>
      </c>
      <c r="F1087">
        <v>4.67</v>
      </c>
    </row>
    <row r="1088" spans="1:6" x14ac:dyDescent="0.3">
      <c r="A1088" t="s">
        <v>1706</v>
      </c>
      <c r="B1088" t="s">
        <v>1707</v>
      </c>
      <c r="C1088" t="s">
        <v>1579</v>
      </c>
      <c r="D1088">
        <v>13344911</v>
      </c>
      <c r="E1088">
        <v>15.92</v>
      </c>
      <c r="F1088">
        <v>6.82</v>
      </c>
    </row>
    <row r="1089" spans="1:6" x14ac:dyDescent="0.3">
      <c r="A1089" t="s">
        <v>1708</v>
      </c>
      <c r="B1089" t="s">
        <v>1709</v>
      </c>
      <c r="C1089" t="s">
        <v>1710</v>
      </c>
      <c r="D1089">
        <v>13354115</v>
      </c>
      <c r="E1089">
        <v>12.11</v>
      </c>
      <c r="F1089">
        <v>6</v>
      </c>
    </row>
    <row r="1090" spans="1:6" x14ac:dyDescent="0.3">
      <c r="A1090" t="s">
        <v>1711</v>
      </c>
      <c r="B1090" t="s">
        <v>712</v>
      </c>
      <c r="C1090" t="s">
        <v>1712</v>
      </c>
      <c r="D1090">
        <v>13358704</v>
      </c>
      <c r="E1090">
        <v>13.14</v>
      </c>
      <c r="F1090">
        <v>5.13</v>
      </c>
    </row>
    <row r="1091" spans="1:6" x14ac:dyDescent="0.3">
      <c r="A1091" t="s">
        <v>1713</v>
      </c>
      <c r="B1091" t="s">
        <v>196</v>
      </c>
      <c r="C1091" t="s">
        <v>788</v>
      </c>
      <c r="D1091">
        <v>13361705</v>
      </c>
      <c r="E1091">
        <v>12.08</v>
      </c>
      <c r="F1091">
        <v>6</v>
      </c>
    </row>
    <row r="1092" spans="1:6" x14ac:dyDescent="0.3">
      <c r="A1092" t="s">
        <v>1714</v>
      </c>
      <c r="B1092" t="s">
        <v>1520</v>
      </c>
      <c r="C1092" t="s">
        <v>1300</v>
      </c>
      <c r="D1092">
        <v>13374796</v>
      </c>
      <c r="E1092">
        <v>7.82</v>
      </c>
      <c r="F1092">
        <v>4.78</v>
      </c>
    </row>
    <row r="1093" spans="1:6" x14ac:dyDescent="0.3">
      <c r="A1093" t="s">
        <v>1715</v>
      </c>
      <c r="B1093" t="s">
        <v>1292</v>
      </c>
      <c r="C1093" t="s">
        <v>1145</v>
      </c>
      <c r="D1093">
        <v>13388432</v>
      </c>
      <c r="E1093">
        <v>11</v>
      </c>
      <c r="F1093">
        <v>5</v>
      </c>
    </row>
    <row r="1094" spans="1:6" x14ac:dyDescent="0.3">
      <c r="A1094" t="s">
        <v>1716</v>
      </c>
      <c r="B1094" t="s">
        <v>1407</v>
      </c>
      <c r="C1094" t="s">
        <v>1598</v>
      </c>
      <c r="D1094">
        <v>13433311</v>
      </c>
      <c r="E1094">
        <v>6.83</v>
      </c>
      <c r="F1094">
        <v>5</v>
      </c>
    </row>
    <row r="1095" spans="1:6" x14ac:dyDescent="0.3">
      <c r="A1095" t="s">
        <v>1717</v>
      </c>
      <c r="B1095" t="s">
        <v>796</v>
      </c>
      <c r="C1095" t="s">
        <v>1165</v>
      </c>
      <c r="D1095">
        <v>13437081</v>
      </c>
      <c r="E1095">
        <v>16.940000000000001</v>
      </c>
      <c r="F1095">
        <v>6.89</v>
      </c>
    </row>
    <row r="1096" spans="1:6" x14ac:dyDescent="0.3">
      <c r="A1096" t="s">
        <v>1718</v>
      </c>
      <c r="B1096" t="s">
        <v>840</v>
      </c>
      <c r="C1096" t="s">
        <v>1719</v>
      </c>
      <c r="D1096">
        <v>13452202</v>
      </c>
      <c r="E1096">
        <v>10.5</v>
      </c>
      <c r="F1096">
        <v>5</v>
      </c>
    </row>
    <row r="1097" spans="1:6" x14ac:dyDescent="0.3">
      <c r="A1097" t="s">
        <v>1720</v>
      </c>
      <c r="B1097" t="s">
        <v>1141</v>
      </c>
      <c r="C1097" t="s">
        <v>820</v>
      </c>
      <c r="D1097">
        <v>13457056</v>
      </c>
      <c r="E1097">
        <v>18.850000000000001</v>
      </c>
      <c r="F1097">
        <v>5.81</v>
      </c>
    </row>
    <row r="1098" spans="1:6" x14ac:dyDescent="0.3">
      <c r="A1098" t="s">
        <v>1721</v>
      </c>
      <c r="B1098" t="s">
        <v>1722</v>
      </c>
      <c r="C1098" t="s">
        <v>1336</v>
      </c>
      <c r="D1098">
        <v>13468415</v>
      </c>
      <c r="E1098">
        <v>7.8</v>
      </c>
      <c r="F1098">
        <v>5.2</v>
      </c>
    </row>
    <row r="1099" spans="1:6" x14ac:dyDescent="0.3">
      <c r="A1099" t="s">
        <v>1548</v>
      </c>
      <c r="B1099" t="s">
        <v>1723</v>
      </c>
      <c r="C1099" t="s">
        <v>1549</v>
      </c>
      <c r="D1099">
        <v>13470799</v>
      </c>
      <c r="E1099">
        <v>9.5500000000000007</v>
      </c>
      <c r="F1099">
        <v>4.5599999999999996</v>
      </c>
    </row>
    <row r="1100" spans="1:6" x14ac:dyDescent="0.3">
      <c r="A1100" t="s">
        <v>1724</v>
      </c>
      <c r="B1100" t="s">
        <v>1725</v>
      </c>
      <c r="C1100" t="s">
        <v>727</v>
      </c>
      <c r="D1100">
        <v>13480393</v>
      </c>
      <c r="E1100">
        <v>13.71</v>
      </c>
      <c r="F1100">
        <v>5.5</v>
      </c>
    </row>
    <row r="1101" spans="1:6" x14ac:dyDescent="0.3">
      <c r="A1101" t="s">
        <v>1726</v>
      </c>
      <c r="B1101" t="s">
        <v>1127</v>
      </c>
      <c r="C1101" t="s">
        <v>1727</v>
      </c>
      <c r="D1101">
        <v>13492264</v>
      </c>
      <c r="E1101">
        <v>7.8</v>
      </c>
      <c r="F1101">
        <v>6.8</v>
      </c>
    </row>
    <row r="1102" spans="1:6" x14ac:dyDescent="0.3">
      <c r="A1102" t="s">
        <v>1728</v>
      </c>
      <c r="B1102" t="s">
        <v>1729</v>
      </c>
      <c r="C1102" t="s">
        <v>749</v>
      </c>
      <c r="D1102">
        <v>13493165</v>
      </c>
      <c r="E1102">
        <v>10</v>
      </c>
      <c r="F1102">
        <v>5.6</v>
      </c>
    </row>
    <row r="1103" spans="1:6" x14ac:dyDescent="0.3">
      <c r="A1103" t="s">
        <v>1730</v>
      </c>
      <c r="B1103" t="s">
        <v>1696</v>
      </c>
      <c r="C1103" t="s">
        <v>1555</v>
      </c>
      <c r="D1103">
        <v>13501597</v>
      </c>
      <c r="E1103">
        <v>15.62</v>
      </c>
      <c r="F1103">
        <v>6.35</v>
      </c>
    </row>
    <row r="1104" spans="1:6" x14ac:dyDescent="0.3">
      <c r="A1104" t="s">
        <v>1731</v>
      </c>
      <c r="B1104" t="s">
        <v>1732</v>
      </c>
      <c r="C1104" t="s">
        <v>1733</v>
      </c>
      <c r="D1104">
        <v>13511070</v>
      </c>
      <c r="E1104">
        <v>11.67</v>
      </c>
      <c r="F1104">
        <v>6.67</v>
      </c>
    </row>
    <row r="1105" spans="1:6" x14ac:dyDescent="0.3">
      <c r="A1105" t="s">
        <v>1734</v>
      </c>
      <c r="B1105" t="s">
        <v>548</v>
      </c>
      <c r="C1105" t="s">
        <v>1689</v>
      </c>
      <c r="D1105">
        <v>13530154</v>
      </c>
      <c r="E1105">
        <v>14.76</v>
      </c>
      <c r="F1105">
        <v>5.57</v>
      </c>
    </row>
    <row r="1106" spans="1:6" x14ac:dyDescent="0.3">
      <c r="A1106" t="s">
        <v>1735</v>
      </c>
      <c r="B1106" t="s">
        <v>1736</v>
      </c>
      <c r="C1106" t="s">
        <v>1737</v>
      </c>
      <c r="D1106">
        <v>13535957</v>
      </c>
      <c r="E1106">
        <v>12</v>
      </c>
      <c r="F1106">
        <v>6.5</v>
      </c>
    </row>
    <row r="1107" spans="1:6" x14ac:dyDescent="0.3">
      <c r="A1107" t="s">
        <v>1738</v>
      </c>
      <c r="B1107" t="s">
        <v>1663</v>
      </c>
      <c r="C1107" t="s">
        <v>771</v>
      </c>
      <c r="D1107">
        <v>13550782</v>
      </c>
      <c r="E1107">
        <v>8</v>
      </c>
      <c r="F1107">
        <v>4</v>
      </c>
    </row>
    <row r="1108" spans="1:6" x14ac:dyDescent="0.3">
      <c r="A1108" t="s">
        <v>1739</v>
      </c>
      <c r="B1108" t="s">
        <v>761</v>
      </c>
      <c r="C1108" t="s">
        <v>1401</v>
      </c>
      <c r="D1108">
        <v>13572922</v>
      </c>
      <c r="E1108">
        <v>18.21</v>
      </c>
      <c r="F1108">
        <v>7.06</v>
      </c>
    </row>
    <row r="1109" spans="1:6" x14ac:dyDescent="0.3">
      <c r="A1109" t="s">
        <v>1740</v>
      </c>
      <c r="B1109" t="s">
        <v>1741</v>
      </c>
      <c r="C1109" t="s">
        <v>1062</v>
      </c>
      <c r="D1109">
        <v>13575228</v>
      </c>
      <c r="E1109">
        <v>6</v>
      </c>
      <c r="F1109">
        <v>5.5</v>
      </c>
    </row>
    <row r="1110" spans="1:6" x14ac:dyDescent="0.3">
      <c r="A1110" t="s">
        <v>1564</v>
      </c>
      <c r="B1110" t="s">
        <v>1742</v>
      </c>
      <c r="C1110" t="s">
        <v>771</v>
      </c>
      <c r="D1110">
        <v>13575944</v>
      </c>
      <c r="E1110">
        <v>15.95</v>
      </c>
      <c r="F1110">
        <v>5.29</v>
      </c>
    </row>
    <row r="1111" spans="1:6" x14ac:dyDescent="0.3">
      <c r="A1111" t="s">
        <v>1743</v>
      </c>
      <c r="B1111" t="s">
        <v>1744</v>
      </c>
      <c r="C1111" t="s">
        <v>1129</v>
      </c>
      <c r="D1111">
        <v>13579851</v>
      </c>
      <c r="E1111">
        <v>17.73</v>
      </c>
      <c r="F1111">
        <v>7.09</v>
      </c>
    </row>
    <row r="1112" spans="1:6" x14ac:dyDescent="0.3">
      <c r="A1112" t="s">
        <v>1745</v>
      </c>
      <c r="B1112" t="s">
        <v>609</v>
      </c>
      <c r="C1112" t="s">
        <v>1129</v>
      </c>
      <c r="D1112">
        <v>13604229</v>
      </c>
      <c r="E1112">
        <v>12.67</v>
      </c>
      <c r="F1112">
        <v>4</v>
      </c>
    </row>
    <row r="1113" spans="1:6" x14ac:dyDescent="0.3">
      <c r="A1113" t="s">
        <v>1746</v>
      </c>
      <c r="B1113" t="s">
        <v>895</v>
      </c>
      <c r="C1113" t="s">
        <v>1747</v>
      </c>
      <c r="D1113">
        <v>13609726</v>
      </c>
      <c r="E1113">
        <v>17.46</v>
      </c>
      <c r="F1113">
        <v>3.67</v>
      </c>
    </row>
    <row r="1114" spans="1:6" x14ac:dyDescent="0.3">
      <c r="A1114" t="s">
        <v>1748</v>
      </c>
      <c r="B1114" t="s">
        <v>866</v>
      </c>
      <c r="C1114" t="s">
        <v>874</v>
      </c>
      <c r="D1114">
        <v>13618790</v>
      </c>
      <c r="E1114">
        <v>13.14</v>
      </c>
      <c r="F1114">
        <v>3.5</v>
      </c>
    </row>
    <row r="1115" spans="1:6" x14ac:dyDescent="0.3">
      <c r="A1115" t="s">
        <v>1749</v>
      </c>
      <c r="B1115" t="s">
        <v>1173</v>
      </c>
      <c r="C1115" t="s">
        <v>1545</v>
      </c>
      <c r="D1115">
        <v>13636900</v>
      </c>
      <c r="E1115">
        <v>16.75</v>
      </c>
      <c r="F1115">
        <v>6.1</v>
      </c>
    </row>
    <row r="1116" spans="1:6" x14ac:dyDescent="0.3">
      <c r="A1116" t="s">
        <v>1750</v>
      </c>
      <c r="B1116" t="s">
        <v>1276</v>
      </c>
      <c r="C1116" t="s">
        <v>1034</v>
      </c>
      <c r="D1116">
        <v>13641664</v>
      </c>
      <c r="E1116">
        <v>17.88</v>
      </c>
      <c r="F1116">
        <v>4.18</v>
      </c>
    </row>
    <row r="1117" spans="1:6" x14ac:dyDescent="0.3">
      <c r="A1117" t="s">
        <v>1751</v>
      </c>
      <c r="B1117" t="s">
        <v>1227</v>
      </c>
      <c r="C1117" t="s">
        <v>1752</v>
      </c>
      <c r="D1117">
        <v>13643591</v>
      </c>
      <c r="E1117">
        <v>12.94</v>
      </c>
      <c r="F1117">
        <v>7.3</v>
      </c>
    </row>
    <row r="1118" spans="1:6" x14ac:dyDescent="0.3">
      <c r="A1118" t="s">
        <v>1753</v>
      </c>
      <c r="B1118" t="s">
        <v>1754</v>
      </c>
      <c r="C1118" t="s">
        <v>1300</v>
      </c>
      <c r="D1118">
        <v>13676607</v>
      </c>
      <c r="E1118">
        <v>12.57</v>
      </c>
      <c r="F1118">
        <v>8.17</v>
      </c>
    </row>
    <row r="1119" spans="1:6" x14ac:dyDescent="0.3">
      <c r="A1119" t="s">
        <v>1755</v>
      </c>
      <c r="B1119" t="s">
        <v>1701</v>
      </c>
      <c r="C1119" t="s">
        <v>1481</v>
      </c>
      <c r="D1119">
        <v>13687892</v>
      </c>
      <c r="E1119">
        <v>10.32</v>
      </c>
      <c r="F1119">
        <v>6.34</v>
      </c>
    </row>
    <row r="1120" spans="1:6" x14ac:dyDescent="0.3">
      <c r="A1120" t="s">
        <v>1756</v>
      </c>
      <c r="B1120" t="s">
        <v>1570</v>
      </c>
      <c r="C1120" t="s">
        <v>1689</v>
      </c>
      <c r="D1120">
        <v>13699836</v>
      </c>
      <c r="E1120">
        <v>9.6199999999999992</v>
      </c>
      <c r="F1120">
        <v>4.71</v>
      </c>
    </row>
    <row r="1121" spans="1:6" x14ac:dyDescent="0.3">
      <c r="A1121" t="s">
        <v>1757</v>
      </c>
      <c r="B1121" t="s">
        <v>1758</v>
      </c>
      <c r="C1121" t="s">
        <v>827</v>
      </c>
      <c r="D1121">
        <v>13703326</v>
      </c>
      <c r="E1121">
        <v>5.67</v>
      </c>
      <c r="F1121">
        <v>5.13</v>
      </c>
    </row>
    <row r="1122" spans="1:6" x14ac:dyDescent="0.3">
      <c r="A1122" t="s">
        <v>1759</v>
      </c>
      <c r="B1122" t="s">
        <v>849</v>
      </c>
      <c r="C1122" t="s">
        <v>1689</v>
      </c>
      <c r="D1122">
        <v>13704546</v>
      </c>
      <c r="E1122">
        <v>3.83</v>
      </c>
      <c r="F1122">
        <v>5.12</v>
      </c>
    </row>
    <row r="1123" spans="1:6" x14ac:dyDescent="0.3">
      <c r="A1123" t="s">
        <v>1760</v>
      </c>
      <c r="B1123" t="s">
        <v>177</v>
      </c>
      <c r="C1123" t="s">
        <v>1761</v>
      </c>
      <c r="D1123">
        <v>13716698</v>
      </c>
      <c r="E1123">
        <v>6.09</v>
      </c>
      <c r="F1123">
        <v>4.88</v>
      </c>
    </row>
    <row r="1124" spans="1:6" x14ac:dyDescent="0.3">
      <c r="A1124" t="s">
        <v>1762</v>
      </c>
      <c r="B1124" t="s">
        <v>177</v>
      </c>
      <c r="C1124" t="s">
        <v>1030</v>
      </c>
      <c r="D1124">
        <v>13723781</v>
      </c>
      <c r="E1124">
        <v>2.31</v>
      </c>
      <c r="F1124">
        <v>5.84</v>
      </c>
    </row>
    <row r="1125" spans="1:6" x14ac:dyDescent="0.3">
      <c r="A1125" t="s">
        <v>1763</v>
      </c>
      <c r="B1125" t="s">
        <v>1477</v>
      </c>
      <c r="C1125" t="s">
        <v>1764</v>
      </c>
      <c r="D1125">
        <v>13783739</v>
      </c>
      <c r="E1125">
        <v>12.43</v>
      </c>
      <c r="F1125">
        <v>4.5</v>
      </c>
    </row>
    <row r="1126" spans="1:6" x14ac:dyDescent="0.3">
      <c r="A1126" t="s">
        <v>1765</v>
      </c>
      <c r="B1126" t="s">
        <v>91</v>
      </c>
      <c r="C1126" t="s">
        <v>365</v>
      </c>
      <c r="D1126">
        <v>13785846</v>
      </c>
      <c r="E1126">
        <v>7.13</v>
      </c>
      <c r="F1126">
        <v>6.08</v>
      </c>
    </row>
    <row r="1127" spans="1:6" x14ac:dyDescent="0.3">
      <c r="A1127" t="s">
        <v>1766</v>
      </c>
      <c r="B1127" t="s">
        <v>840</v>
      </c>
      <c r="C1127" t="s">
        <v>1638</v>
      </c>
      <c r="D1127">
        <v>13796903</v>
      </c>
      <c r="E1127">
        <v>13.79</v>
      </c>
      <c r="F1127">
        <v>5.78</v>
      </c>
    </row>
    <row r="1128" spans="1:6" x14ac:dyDescent="0.3">
      <c r="A1128" t="s">
        <v>1767</v>
      </c>
      <c r="B1128" t="s">
        <v>1768</v>
      </c>
      <c r="C1128" t="s">
        <v>1420</v>
      </c>
      <c r="D1128">
        <v>13810419</v>
      </c>
      <c r="E1128">
        <v>5</v>
      </c>
      <c r="F1128">
        <v>5</v>
      </c>
    </row>
    <row r="1129" spans="1:6" x14ac:dyDescent="0.3">
      <c r="A1129" t="s">
        <v>1769</v>
      </c>
      <c r="B1129" t="s">
        <v>1770</v>
      </c>
      <c r="C1129" t="s">
        <v>741</v>
      </c>
      <c r="D1129">
        <v>13816900</v>
      </c>
      <c r="E1129">
        <v>13.25</v>
      </c>
      <c r="F1129">
        <v>4</v>
      </c>
    </row>
    <row r="1130" spans="1:6" x14ac:dyDescent="0.3">
      <c r="A1130" t="s">
        <v>1771</v>
      </c>
      <c r="B1130" t="s">
        <v>412</v>
      </c>
      <c r="C1130" t="s">
        <v>859</v>
      </c>
      <c r="D1130">
        <v>13826617</v>
      </c>
      <c r="E1130">
        <v>12.89</v>
      </c>
      <c r="F1130">
        <v>5.38</v>
      </c>
    </row>
    <row r="1131" spans="1:6" x14ac:dyDescent="0.3">
      <c r="A1131" t="s">
        <v>1772</v>
      </c>
      <c r="B1131" t="s">
        <v>192</v>
      </c>
      <c r="C1131" t="s">
        <v>1773</v>
      </c>
      <c r="D1131">
        <v>13831713</v>
      </c>
      <c r="E1131">
        <v>9.01</v>
      </c>
      <c r="F1131">
        <v>7.8</v>
      </c>
    </row>
    <row r="1132" spans="1:6" x14ac:dyDescent="0.3">
      <c r="A1132" t="s">
        <v>1774</v>
      </c>
      <c r="B1132" t="s">
        <v>1775</v>
      </c>
      <c r="C1132" t="s">
        <v>1401</v>
      </c>
      <c r="D1132">
        <v>13832121</v>
      </c>
      <c r="E1132">
        <v>5.99</v>
      </c>
      <c r="F1132">
        <v>5.38</v>
      </c>
    </row>
    <row r="1133" spans="1:6" x14ac:dyDescent="0.3">
      <c r="A1133" t="s">
        <v>1776</v>
      </c>
      <c r="B1133" t="s">
        <v>1485</v>
      </c>
      <c r="C1133" t="s">
        <v>771</v>
      </c>
      <c r="D1133">
        <v>13837219</v>
      </c>
      <c r="E1133">
        <v>2.66</v>
      </c>
      <c r="F1133">
        <v>6.27</v>
      </c>
    </row>
    <row r="1134" spans="1:6" x14ac:dyDescent="0.3">
      <c r="A1134" t="s">
        <v>1777</v>
      </c>
      <c r="B1134" t="s">
        <v>1385</v>
      </c>
      <c r="C1134" t="s">
        <v>1778</v>
      </c>
      <c r="D1134">
        <v>13840627</v>
      </c>
      <c r="E1134">
        <v>5.16</v>
      </c>
      <c r="F1134">
        <v>5.67</v>
      </c>
    </row>
    <row r="1135" spans="1:6" x14ac:dyDescent="0.3">
      <c r="A1135" t="s">
        <v>1779</v>
      </c>
      <c r="B1135" t="s">
        <v>1780</v>
      </c>
      <c r="C1135" t="s">
        <v>1752</v>
      </c>
      <c r="D1135">
        <v>13843278</v>
      </c>
      <c r="E1135">
        <v>8.9499999999999993</v>
      </c>
      <c r="F1135">
        <v>4.78</v>
      </c>
    </row>
    <row r="1136" spans="1:6" x14ac:dyDescent="0.3">
      <c r="A1136" t="s">
        <v>1781</v>
      </c>
      <c r="B1136" t="s">
        <v>712</v>
      </c>
      <c r="C1136" t="s">
        <v>1317</v>
      </c>
      <c r="D1136">
        <v>13850073</v>
      </c>
      <c r="E1136">
        <v>16.16</v>
      </c>
      <c r="F1136">
        <v>4.2300000000000004</v>
      </c>
    </row>
    <row r="1137" spans="1:6" x14ac:dyDescent="0.3">
      <c r="A1137" t="s">
        <v>1782</v>
      </c>
      <c r="B1137" t="s">
        <v>1576</v>
      </c>
      <c r="C1137" t="s">
        <v>1783</v>
      </c>
      <c r="D1137">
        <v>13859794</v>
      </c>
      <c r="E1137">
        <v>12.04</v>
      </c>
      <c r="F1137">
        <v>4.7300000000000004</v>
      </c>
    </row>
    <row r="1138" spans="1:6" x14ac:dyDescent="0.3">
      <c r="A1138" t="s">
        <v>1784</v>
      </c>
      <c r="B1138" t="s">
        <v>1513</v>
      </c>
      <c r="C1138" t="s">
        <v>727</v>
      </c>
      <c r="D1138">
        <v>13864001</v>
      </c>
      <c r="E1138">
        <v>7</v>
      </c>
      <c r="F1138">
        <v>4</v>
      </c>
    </row>
    <row r="1139" spans="1:6" x14ac:dyDescent="0.3">
      <c r="A1139" t="s">
        <v>1785</v>
      </c>
      <c r="B1139" t="s">
        <v>1786</v>
      </c>
      <c r="C1139" t="s">
        <v>1787</v>
      </c>
      <c r="D1139">
        <v>13867780</v>
      </c>
      <c r="E1139">
        <v>11.6</v>
      </c>
      <c r="F1139">
        <v>6.91</v>
      </c>
    </row>
    <row r="1140" spans="1:6" x14ac:dyDescent="0.3">
      <c r="A1140" t="s">
        <v>1788</v>
      </c>
      <c r="B1140" t="s">
        <v>1789</v>
      </c>
      <c r="C1140" t="s">
        <v>1116</v>
      </c>
      <c r="D1140">
        <v>13911982</v>
      </c>
      <c r="E1140">
        <v>11.33</v>
      </c>
      <c r="F1140">
        <v>8.4</v>
      </c>
    </row>
    <row r="1141" spans="1:6" x14ac:dyDescent="0.3">
      <c r="A1141" t="s">
        <v>1790</v>
      </c>
      <c r="B1141" t="s">
        <v>414</v>
      </c>
      <c r="C1141" t="s">
        <v>707</v>
      </c>
      <c r="D1141">
        <v>13919554</v>
      </c>
      <c r="E1141">
        <v>6.8</v>
      </c>
      <c r="F1141">
        <v>4.5</v>
      </c>
    </row>
    <row r="1142" spans="1:6" x14ac:dyDescent="0.3">
      <c r="A1142" t="s">
        <v>1791</v>
      </c>
      <c r="B1142" t="s">
        <v>1792</v>
      </c>
      <c r="C1142" t="s">
        <v>929</v>
      </c>
      <c r="D1142">
        <v>13950356</v>
      </c>
      <c r="E1142">
        <v>11.28</v>
      </c>
      <c r="F1142">
        <v>4.67</v>
      </c>
    </row>
    <row r="1143" spans="1:6" x14ac:dyDescent="0.3">
      <c r="A1143" t="s">
        <v>1793</v>
      </c>
      <c r="B1143" t="s">
        <v>1794</v>
      </c>
      <c r="C1143" t="s">
        <v>1341</v>
      </c>
      <c r="D1143">
        <v>13954931</v>
      </c>
      <c r="E1143">
        <v>5.13</v>
      </c>
      <c r="F1143">
        <v>6.71</v>
      </c>
    </row>
    <row r="1144" spans="1:6" x14ac:dyDescent="0.3">
      <c r="A1144" t="s">
        <v>1795</v>
      </c>
      <c r="B1144" t="s">
        <v>1048</v>
      </c>
      <c r="C1144" t="s">
        <v>1651</v>
      </c>
      <c r="D1144">
        <v>13965242</v>
      </c>
      <c r="E1144">
        <v>15.84</v>
      </c>
      <c r="F1144">
        <v>7.88</v>
      </c>
    </row>
    <row r="1145" spans="1:6" x14ac:dyDescent="0.3">
      <c r="A1145" t="s">
        <v>1796</v>
      </c>
      <c r="B1145" t="s">
        <v>1797</v>
      </c>
      <c r="C1145" t="s">
        <v>1300</v>
      </c>
      <c r="D1145">
        <v>13971229</v>
      </c>
      <c r="E1145">
        <v>8.2899999999999991</v>
      </c>
      <c r="F1145">
        <v>4.58</v>
      </c>
    </row>
    <row r="1146" spans="1:6" x14ac:dyDescent="0.3">
      <c r="A1146" t="s">
        <v>1798</v>
      </c>
      <c r="B1146" t="s">
        <v>1799</v>
      </c>
      <c r="C1146" t="s">
        <v>1689</v>
      </c>
      <c r="D1146">
        <v>14000484</v>
      </c>
      <c r="E1146">
        <v>2.89</v>
      </c>
      <c r="F1146">
        <v>6.1</v>
      </c>
    </row>
    <row r="1147" spans="1:6" x14ac:dyDescent="0.3">
      <c r="A1147" t="s">
        <v>1800</v>
      </c>
      <c r="B1147" t="s">
        <v>192</v>
      </c>
      <c r="C1147" t="s">
        <v>1801</v>
      </c>
      <c r="D1147">
        <v>14006899</v>
      </c>
      <c r="E1147">
        <v>15.94</v>
      </c>
      <c r="F1147">
        <v>5.92</v>
      </c>
    </row>
    <row r="1148" spans="1:6" x14ac:dyDescent="0.3">
      <c r="A1148" t="s">
        <v>1802</v>
      </c>
      <c r="B1148" t="s">
        <v>1799</v>
      </c>
      <c r="C1148" t="s">
        <v>1803</v>
      </c>
      <c r="D1148">
        <v>14019412</v>
      </c>
      <c r="E1148">
        <v>5.3</v>
      </c>
      <c r="F1148">
        <v>6.43</v>
      </c>
    </row>
    <row r="1149" spans="1:6" x14ac:dyDescent="0.3">
      <c r="A1149" t="s">
        <v>1804</v>
      </c>
      <c r="B1149" t="s">
        <v>1805</v>
      </c>
      <c r="C1149" t="s">
        <v>1606</v>
      </c>
      <c r="D1149">
        <v>14024143</v>
      </c>
      <c r="E1149">
        <v>11.83</v>
      </c>
      <c r="F1149">
        <v>7.78</v>
      </c>
    </row>
    <row r="1150" spans="1:6" x14ac:dyDescent="0.3">
      <c r="A1150" t="s">
        <v>1806</v>
      </c>
      <c r="B1150" t="s">
        <v>1807</v>
      </c>
      <c r="C1150" t="s">
        <v>1689</v>
      </c>
      <c r="D1150">
        <v>14030404</v>
      </c>
      <c r="E1150">
        <v>8.7799999999999994</v>
      </c>
      <c r="F1150">
        <v>5.88</v>
      </c>
    </row>
    <row r="1151" spans="1:6" x14ac:dyDescent="0.3">
      <c r="A1151" t="s">
        <v>1808</v>
      </c>
      <c r="B1151" t="s">
        <v>1809</v>
      </c>
      <c r="C1151" t="s">
        <v>1381</v>
      </c>
      <c r="D1151">
        <v>14035102</v>
      </c>
      <c r="E1151">
        <v>9</v>
      </c>
      <c r="F1151">
        <v>4.5</v>
      </c>
    </row>
    <row r="1152" spans="1:6" x14ac:dyDescent="0.3">
      <c r="A1152" t="s">
        <v>1810</v>
      </c>
      <c r="B1152" t="s">
        <v>1097</v>
      </c>
      <c r="C1152" t="s">
        <v>1200</v>
      </c>
      <c r="D1152">
        <v>14051742</v>
      </c>
      <c r="E1152">
        <v>14.39</v>
      </c>
      <c r="F1152">
        <v>7.42</v>
      </c>
    </row>
    <row r="1153" spans="1:6" x14ac:dyDescent="0.3">
      <c r="A1153" t="s">
        <v>1811</v>
      </c>
      <c r="B1153" t="s">
        <v>1812</v>
      </c>
      <c r="C1153" t="s">
        <v>782</v>
      </c>
      <c r="D1153">
        <v>14070792</v>
      </c>
      <c r="E1153">
        <v>10.87</v>
      </c>
      <c r="F1153">
        <v>4.5999999999999996</v>
      </c>
    </row>
    <row r="1154" spans="1:6" x14ac:dyDescent="0.3">
      <c r="A1154" t="s">
        <v>1813</v>
      </c>
      <c r="B1154" t="s">
        <v>1814</v>
      </c>
      <c r="C1154" t="s">
        <v>1815</v>
      </c>
      <c r="D1154">
        <v>14080964</v>
      </c>
      <c r="E1154">
        <v>5.8</v>
      </c>
      <c r="F1154">
        <v>6</v>
      </c>
    </row>
    <row r="1155" spans="1:6" x14ac:dyDescent="0.3">
      <c r="A1155" t="s">
        <v>1816</v>
      </c>
      <c r="B1155" t="s">
        <v>1817</v>
      </c>
      <c r="C1155" t="s">
        <v>1719</v>
      </c>
      <c r="D1155">
        <v>14091830</v>
      </c>
      <c r="E1155">
        <v>12.2</v>
      </c>
      <c r="F1155">
        <v>8.25</v>
      </c>
    </row>
    <row r="1156" spans="1:6" x14ac:dyDescent="0.3">
      <c r="A1156" t="s">
        <v>1818</v>
      </c>
      <c r="B1156" t="s">
        <v>1819</v>
      </c>
      <c r="C1156" t="s">
        <v>1317</v>
      </c>
      <c r="D1156">
        <v>14106648</v>
      </c>
      <c r="E1156">
        <v>5.43</v>
      </c>
      <c r="F1156">
        <v>6.56</v>
      </c>
    </row>
    <row r="1157" spans="1:6" x14ac:dyDescent="0.3">
      <c r="A1157" t="s">
        <v>1820</v>
      </c>
      <c r="B1157" t="s">
        <v>1821</v>
      </c>
      <c r="C1157" t="s">
        <v>1822</v>
      </c>
      <c r="D1157">
        <v>14131974</v>
      </c>
      <c r="E1157">
        <v>12.14</v>
      </c>
      <c r="F1157">
        <v>5</v>
      </c>
    </row>
    <row r="1158" spans="1:6" x14ac:dyDescent="0.3">
      <c r="A1158" t="s">
        <v>1823</v>
      </c>
      <c r="B1158" t="s">
        <v>1824</v>
      </c>
      <c r="C1158" t="s">
        <v>9</v>
      </c>
      <c r="D1158">
        <v>14145098</v>
      </c>
      <c r="E1158">
        <v>18.73</v>
      </c>
      <c r="F1158">
        <v>4.8600000000000003</v>
      </c>
    </row>
    <row r="1159" spans="1:6" x14ac:dyDescent="0.3">
      <c r="A1159" t="s">
        <v>1825</v>
      </c>
      <c r="B1159" t="s">
        <v>1826</v>
      </c>
      <c r="C1159" t="s">
        <v>9</v>
      </c>
      <c r="D1159">
        <v>14147662</v>
      </c>
      <c r="E1159">
        <v>19.43</v>
      </c>
      <c r="F1159">
        <v>5.71</v>
      </c>
    </row>
    <row r="1160" spans="1:6" x14ac:dyDescent="0.3">
      <c r="A1160" t="s">
        <v>1827</v>
      </c>
      <c r="B1160" t="s">
        <v>1828</v>
      </c>
      <c r="C1160" t="s">
        <v>175</v>
      </c>
      <c r="D1160">
        <v>14149176</v>
      </c>
      <c r="E1160">
        <v>12.33</v>
      </c>
      <c r="F1160">
        <v>4.33</v>
      </c>
    </row>
    <row r="1161" spans="1:6" x14ac:dyDescent="0.3">
      <c r="A1161" t="s">
        <v>1829</v>
      </c>
      <c r="B1161" t="s">
        <v>712</v>
      </c>
      <c r="C1161" t="s">
        <v>1830</v>
      </c>
      <c r="D1161">
        <v>14179573</v>
      </c>
      <c r="E1161">
        <v>9.33</v>
      </c>
      <c r="F1161">
        <v>5.5</v>
      </c>
    </row>
    <row r="1162" spans="1:6" x14ac:dyDescent="0.3">
      <c r="A1162" t="s">
        <v>1831</v>
      </c>
      <c r="B1162" t="s">
        <v>1265</v>
      </c>
      <c r="C1162" t="s">
        <v>1832</v>
      </c>
      <c r="D1162">
        <v>14187181</v>
      </c>
      <c r="E1162">
        <v>14.47</v>
      </c>
      <c r="F1162">
        <v>7.13</v>
      </c>
    </row>
    <row r="1163" spans="1:6" x14ac:dyDescent="0.3">
      <c r="A1163" t="s">
        <v>1833</v>
      </c>
      <c r="B1163" t="s">
        <v>1834</v>
      </c>
      <c r="C1163" t="s">
        <v>823</v>
      </c>
      <c r="D1163">
        <v>14193650</v>
      </c>
      <c r="E1163">
        <v>11.88</v>
      </c>
      <c r="F1163">
        <v>7.5</v>
      </c>
    </row>
    <row r="1164" spans="1:6" x14ac:dyDescent="0.3">
      <c r="A1164" t="s">
        <v>1835</v>
      </c>
      <c r="B1164" t="s">
        <v>1836</v>
      </c>
      <c r="C1164">
        <v>1077</v>
      </c>
      <c r="D1164">
        <v>14274060</v>
      </c>
      <c r="E1164">
        <v>9.17</v>
      </c>
      <c r="F1164">
        <v>5.9</v>
      </c>
    </row>
    <row r="1165" spans="1:6" x14ac:dyDescent="0.3">
      <c r="A1165" t="s">
        <v>1837</v>
      </c>
      <c r="B1165" t="s">
        <v>579</v>
      </c>
      <c r="C1165" t="s">
        <v>365</v>
      </c>
      <c r="D1165">
        <v>14299100</v>
      </c>
      <c r="E1165">
        <v>13.04</v>
      </c>
      <c r="F1165">
        <v>6.27</v>
      </c>
    </row>
    <row r="1166" spans="1:6" x14ac:dyDescent="0.3">
      <c r="A1166" t="s">
        <v>1838</v>
      </c>
      <c r="B1166" t="s">
        <v>1839</v>
      </c>
      <c r="C1166" t="s">
        <v>771</v>
      </c>
      <c r="D1166">
        <v>14302394</v>
      </c>
      <c r="E1166">
        <v>12.98</v>
      </c>
      <c r="F1166">
        <v>5.57</v>
      </c>
    </row>
    <row r="1167" spans="1:6" x14ac:dyDescent="0.3">
      <c r="A1167" t="s">
        <v>1840</v>
      </c>
      <c r="B1167" t="s">
        <v>1485</v>
      </c>
      <c r="C1167" t="s">
        <v>1689</v>
      </c>
      <c r="D1167">
        <v>14309230</v>
      </c>
      <c r="E1167">
        <v>6.94</v>
      </c>
      <c r="F1167">
        <v>5.53</v>
      </c>
    </row>
    <row r="1168" spans="1:6" x14ac:dyDescent="0.3">
      <c r="A1168" t="s">
        <v>1841</v>
      </c>
      <c r="B1168" t="s">
        <v>1842</v>
      </c>
      <c r="C1168" t="s">
        <v>365</v>
      </c>
      <c r="D1168">
        <v>14321727</v>
      </c>
      <c r="E1168">
        <v>11.91</v>
      </c>
      <c r="F1168">
        <v>7.08</v>
      </c>
    </row>
    <row r="1169" spans="1:6" x14ac:dyDescent="0.3">
      <c r="A1169" t="s">
        <v>1843</v>
      </c>
      <c r="B1169" t="s">
        <v>1215</v>
      </c>
      <c r="C1169" t="s">
        <v>1034</v>
      </c>
      <c r="D1169">
        <v>14329459</v>
      </c>
      <c r="E1169">
        <v>7.11</v>
      </c>
      <c r="F1169">
        <v>6.53</v>
      </c>
    </row>
    <row r="1170" spans="1:6" x14ac:dyDescent="0.3">
      <c r="A1170" t="s">
        <v>1844</v>
      </c>
      <c r="B1170" t="s">
        <v>1845</v>
      </c>
      <c r="C1170" t="s">
        <v>1752</v>
      </c>
      <c r="D1170">
        <v>14334093</v>
      </c>
      <c r="E1170">
        <v>13</v>
      </c>
      <c r="F1170">
        <v>7.13</v>
      </c>
    </row>
    <row r="1171" spans="1:6" x14ac:dyDescent="0.3">
      <c r="A1171" t="s">
        <v>1846</v>
      </c>
      <c r="B1171" t="s">
        <v>1847</v>
      </c>
      <c r="C1171" t="s">
        <v>1848</v>
      </c>
      <c r="D1171">
        <v>14342746</v>
      </c>
      <c r="E1171">
        <v>11.29</v>
      </c>
      <c r="F1171">
        <v>7.33</v>
      </c>
    </row>
    <row r="1172" spans="1:6" x14ac:dyDescent="0.3">
      <c r="A1172" t="s">
        <v>1849</v>
      </c>
      <c r="B1172" t="s">
        <v>895</v>
      </c>
      <c r="C1172" t="s">
        <v>1850</v>
      </c>
      <c r="D1172">
        <v>14348789</v>
      </c>
      <c r="E1172">
        <v>14.36</v>
      </c>
      <c r="F1172">
        <v>6.54</v>
      </c>
    </row>
    <row r="1173" spans="1:6" x14ac:dyDescent="0.3">
      <c r="A1173" t="s">
        <v>1851</v>
      </c>
      <c r="B1173" t="s">
        <v>1852</v>
      </c>
      <c r="C1173" t="s">
        <v>966</v>
      </c>
      <c r="D1173">
        <v>14360708</v>
      </c>
      <c r="E1173">
        <v>13.47</v>
      </c>
      <c r="F1173">
        <v>5.8</v>
      </c>
    </row>
    <row r="1174" spans="1:6" x14ac:dyDescent="0.3">
      <c r="A1174" t="s">
        <v>1651</v>
      </c>
      <c r="B1174" t="s">
        <v>1853</v>
      </c>
      <c r="C1174" t="s">
        <v>1651</v>
      </c>
      <c r="D1174">
        <v>14361377</v>
      </c>
      <c r="E1174">
        <v>3.41</v>
      </c>
      <c r="F1174">
        <v>5.07</v>
      </c>
    </row>
    <row r="1175" spans="1:6" x14ac:dyDescent="0.3">
      <c r="A1175" t="s">
        <v>1854</v>
      </c>
      <c r="B1175" t="s">
        <v>1217</v>
      </c>
      <c r="C1175" t="s">
        <v>1855</v>
      </c>
      <c r="D1175">
        <v>14361565</v>
      </c>
      <c r="E1175">
        <v>11.4</v>
      </c>
      <c r="F1175">
        <v>4.2</v>
      </c>
    </row>
    <row r="1176" spans="1:6" x14ac:dyDescent="0.3">
      <c r="A1176" t="s">
        <v>1856</v>
      </c>
      <c r="B1176" t="s">
        <v>1572</v>
      </c>
      <c r="C1176" t="s">
        <v>9</v>
      </c>
      <c r="D1176">
        <v>14365491</v>
      </c>
      <c r="E1176">
        <v>9.5500000000000007</v>
      </c>
      <c r="F1176">
        <v>5.3</v>
      </c>
    </row>
    <row r="1177" spans="1:6" x14ac:dyDescent="0.3">
      <c r="A1177" t="s">
        <v>1857</v>
      </c>
      <c r="B1177" t="s">
        <v>1141</v>
      </c>
      <c r="C1177" t="s">
        <v>727</v>
      </c>
      <c r="D1177">
        <v>14388801</v>
      </c>
      <c r="E1177">
        <v>16.399999999999999</v>
      </c>
      <c r="F1177">
        <v>6.8</v>
      </c>
    </row>
    <row r="1178" spans="1:6" x14ac:dyDescent="0.3">
      <c r="A1178" t="s">
        <v>1858</v>
      </c>
      <c r="B1178" t="s">
        <v>1576</v>
      </c>
      <c r="C1178" t="s">
        <v>1859</v>
      </c>
      <c r="D1178">
        <v>14394985</v>
      </c>
      <c r="E1178">
        <v>8.4</v>
      </c>
      <c r="F1178">
        <v>4.2</v>
      </c>
    </row>
    <row r="1179" spans="1:6" x14ac:dyDescent="0.3">
      <c r="A1179" t="s">
        <v>1860</v>
      </c>
      <c r="B1179" t="s">
        <v>1861</v>
      </c>
      <c r="C1179" t="s">
        <v>893</v>
      </c>
      <c r="D1179">
        <v>14403698</v>
      </c>
      <c r="E1179">
        <v>18.829999999999998</v>
      </c>
      <c r="F1179">
        <v>5.8</v>
      </c>
    </row>
    <row r="1180" spans="1:6" x14ac:dyDescent="0.3">
      <c r="A1180" t="s">
        <v>1862</v>
      </c>
      <c r="B1180" t="s">
        <v>1863</v>
      </c>
      <c r="C1180" t="s">
        <v>893</v>
      </c>
      <c r="D1180">
        <v>14409936</v>
      </c>
      <c r="E1180">
        <v>17.93</v>
      </c>
      <c r="F1180">
        <v>3.5</v>
      </c>
    </row>
    <row r="1181" spans="1:6" x14ac:dyDescent="0.3">
      <c r="A1181" t="s">
        <v>1864</v>
      </c>
      <c r="B1181" t="s">
        <v>1865</v>
      </c>
      <c r="C1181" t="s">
        <v>1549</v>
      </c>
      <c r="D1181">
        <v>14448436</v>
      </c>
      <c r="E1181">
        <v>14.8</v>
      </c>
      <c r="F1181">
        <v>5.75</v>
      </c>
    </row>
    <row r="1182" spans="1:6" x14ac:dyDescent="0.3">
      <c r="A1182" t="s">
        <v>1866</v>
      </c>
      <c r="B1182" t="s">
        <v>1614</v>
      </c>
      <c r="C1182" t="s">
        <v>744</v>
      </c>
      <c r="D1182">
        <v>14461113</v>
      </c>
      <c r="E1182">
        <v>12.15</v>
      </c>
      <c r="F1182">
        <v>7.6</v>
      </c>
    </row>
    <row r="1183" spans="1:6" x14ac:dyDescent="0.3">
      <c r="A1183" t="s">
        <v>1867</v>
      </c>
      <c r="B1183" t="s">
        <v>796</v>
      </c>
      <c r="C1183" t="s">
        <v>121</v>
      </c>
      <c r="D1183">
        <v>14472378</v>
      </c>
      <c r="E1183">
        <v>17.809999999999999</v>
      </c>
      <c r="F1183">
        <v>5.33</v>
      </c>
    </row>
    <row r="1184" spans="1:6" x14ac:dyDescent="0.3">
      <c r="A1184" t="s">
        <v>1868</v>
      </c>
      <c r="B1184" t="s">
        <v>1869</v>
      </c>
      <c r="C1184" t="s">
        <v>1719</v>
      </c>
      <c r="D1184">
        <v>14474467</v>
      </c>
      <c r="E1184">
        <v>10.8</v>
      </c>
      <c r="F1184">
        <v>8.75</v>
      </c>
    </row>
    <row r="1185" spans="1:6" x14ac:dyDescent="0.3">
      <c r="A1185" t="s">
        <v>1129</v>
      </c>
      <c r="B1185" t="s">
        <v>1870</v>
      </c>
      <c r="C1185" t="s">
        <v>1129</v>
      </c>
      <c r="D1185">
        <v>14487546</v>
      </c>
      <c r="E1185">
        <v>2.6</v>
      </c>
      <c r="F1185">
        <v>5.24</v>
      </c>
    </row>
    <row r="1186" spans="1:6" x14ac:dyDescent="0.3">
      <c r="A1186" t="s">
        <v>1871</v>
      </c>
      <c r="B1186" t="s">
        <v>1872</v>
      </c>
      <c r="C1186" t="s">
        <v>932</v>
      </c>
      <c r="D1186">
        <v>14526561</v>
      </c>
      <c r="E1186">
        <v>2.71</v>
      </c>
      <c r="F1186">
        <v>6.33</v>
      </c>
    </row>
    <row r="1187" spans="1:6" x14ac:dyDescent="0.3">
      <c r="A1187" t="s">
        <v>1873</v>
      </c>
      <c r="B1187" t="s">
        <v>900</v>
      </c>
      <c r="C1187" t="s">
        <v>1555</v>
      </c>
      <c r="D1187">
        <v>14551176</v>
      </c>
      <c r="E1187">
        <v>15.75</v>
      </c>
      <c r="F1187">
        <v>8</v>
      </c>
    </row>
    <row r="1188" spans="1:6" x14ac:dyDescent="0.3">
      <c r="A1188" t="s">
        <v>1874</v>
      </c>
      <c r="B1188" t="s">
        <v>1847</v>
      </c>
      <c r="C1188" t="s">
        <v>1875</v>
      </c>
      <c r="D1188">
        <v>14565195</v>
      </c>
      <c r="E1188">
        <v>6</v>
      </c>
      <c r="F1188">
        <v>6.6</v>
      </c>
    </row>
    <row r="1189" spans="1:6" x14ac:dyDescent="0.3">
      <c r="A1189" t="s">
        <v>1876</v>
      </c>
      <c r="B1189" t="s">
        <v>1877</v>
      </c>
      <c r="C1189" t="s">
        <v>1483</v>
      </c>
      <c r="D1189">
        <v>14572366</v>
      </c>
      <c r="E1189">
        <v>11.13</v>
      </c>
      <c r="F1189">
        <v>6.11</v>
      </c>
    </row>
    <row r="1190" spans="1:6" x14ac:dyDescent="0.3">
      <c r="A1190" t="s">
        <v>1878</v>
      </c>
      <c r="B1190" t="s">
        <v>1227</v>
      </c>
      <c r="C1190" t="s">
        <v>723</v>
      </c>
      <c r="D1190">
        <v>14580887</v>
      </c>
      <c r="E1190">
        <v>13.86</v>
      </c>
      <c r="F1190">
        <v>5.5</v>
      </c>
    </row>
    <row r="1191" spans="1:6" x14ac:dyDescent="0.3">
      <c r="A1191" t="s">
        <v>1879</v>
      </c>
      <c r="B1191" t="s">
        <v>840</v>
      </c>
      <c r="C1191" t="s">
        <v>1317</v>
      </c>
      <c r="D1191">
        <v>14590407</v>
      </c>
      <c r="E1191">
        <v>8</v>
      </c>
      <c r="F1191">
        <v>5</v>
      </c>
    </row>
    <row r="1192" spans="1:6" x14ac:dyDescent="0.3">
      <c r="A1192" t="s">
        <v>1880</v>
      </c>
      <c r="B1192" t="s">
        <v>1881</v>
      </c>
      <c r="C1192" t="s">
        <v>1752</v>
      </c>
      <c r="D1192">
        <v>14628777</v>
      </c>
      <c r="E1192">
        <v>13.8</v>
      </c>
      <c r="F1192">
        <v>4.8</v>
      </c>
    </row>
    <row r="1193" spans="1:6" x14ac:dyDescent="0.3">
      <c r="A1193" t="s">
        <v>1882</v>
      </c>
      <c r="B1193" t="s">
        <v>1789</v>
      </c>
      <c r="C1193" t="s">
        <v>1386</v>
      </c>
      <c r="D1193">
        <v>14633495</v>
      </c>
      <c r="E1193">
        <v>17.420000000000002</v>
      </c>
      <c r="F1193">
        <v>4.67</v>
      </c>
    </row>
    <row r="1194" spans="1:6" x14ac:dyDescent="0.3">
      <c r="A1194" t="s">
        <v>1883</v>
      </c>
      <c r="B1194" t="s">
        <v>1884</v>
      </c>
      <c r="C1194" t="s">
        <v>1719</v>
      </c>
      <c r="D1194">
        <v>14649393</v>
      </c>
      <c r="E1194">
        <v>9.8000000000000007</v>
      </c>
      <c r="F1194">
        <v>7.25</v>
      </c>
    </row>
    <row r="1195" spans="1:6" x14ac:dyDescent="0.3">
      <c r="A1195" t="s">
        <v>1885</v>
      </c>
      <c r="B1195" t="s">
        <v>1663</v>
      </c>
      <c r="C1195" t="s">
        <v>365</v>
      </c>
      <c r="D1195">
        <v>14682694</v>
      </c>
      <c r="E1195">
        <v>4.92</v>
      </c>
      <c r="F1195">
        <v>4.8600000000000003</v>
      </c>
    </row>
    <row r="1196" spans="1:6" x14ac:dyDescent="0.3">
      <c r="A1196" t="s">
        <v>1886</v>
      </c>
      <c r="B1196" t="s">
        <v>1887</v>
      </c>
      <c r="C1196" t="s">
        <v>1888</v>
      </c>
      <c r="D1196">
        <v>14699176</v>
      </c>
      <c r="E1196">
        <v>8.18</v>
      </c>
      <c r="F1196">
        <v>4.43</v>
      </c>
    </row>
    <row r="1197" spans="1:6" x14ac:dyDescent="0.3">
      <c r="A1197" t="s">
        <v>1889</v>
      </c>
      <c r="B1197" t="s">
        <v>1890</v>
      </c>
      <c r="C1197" t="s">
        <v>893</v>
      </c>
      <c r="D1197">
        <v>14713855</v>
      </c>
      <c r="E1197">
        <v>11</v>
      </c>
      <c r="F1197">
        <v>4</v>
      </c>
    </row>
    <row r="1198" spans="1:6" x14ac:dyDescent="0.3">
      <c r="A1198" t="s">
        <v>1891</v>
      </c>
      <c r="B1198" t="s">
        <v>1892</v>
      </c>
      <c r="C1198" t="s">
        <v>1401</v>
      </c>
      <c r="D1198">
        <v>14716305</v>
      </c>
      <c r="E1198">
        <v>8.4</v>
      </c>
      <c r="F1198">
        <v>4.7699999999999996</v>
      </c>
    </row>
    <row r="1199" spans="1:6" x14ac:dyDescent="0.3">
      <c r="A1199" t="s">
        <v>1145</v>
      </c>
      <c r="B1199" t="s">
        <v>1050</v>
      </c>
      <c r="C1199" t="s">
        <v>1145</v>
      </c>
      <c r="D1199">
        <v>14726952</v>
      </c>
      <c r="E1199">
        <v>7.99</v>
      </c>
      <c r="F1199">
        <v>4.78</v>
      </c>
    </row>
    <row r="1200" spans="1:6" x14ac:dyDescent="0.3">
      <c r="A1200" t="s">
        <v>1893</v>
      </c>
      <c r="B1200" t="s">
        <v>1824</v>
      </c>
      <c r="C1200" t="s">
        <v>1894</v>
      </c>
      <c r="D1200">
        <v>14764712</v>
      </c>
      <c r="E1200">
        <v>17.32</v>
      </c>
      <c r="F1200">
        <v>6.89</v>
      </c>
    </row>
    <row r="1201" spans="1:6" x14ac:dyDescent="0.3">
      <c r="A1201" t="s">
        <v>1895</v>
      </c>
      <c r="B1201" t="s">
        <v>1276</v>
      </c>
      <c r="C1201" t="s">
        <v>1531</v>
      </c>
      <c r="D1201">
        <v>14789699</v>
      </c>
      <c r="E1201">
        <v>10</v>
      </c>
      <c r="F1201">
        <v>6.5</v>
      </c>
    </row>
    <row r="1202" spans="1:6" x14ac:dyDescent="0.3">
      <c r="A1202" t="s">
        <v>1896</v>
      </c>
      <c r="B1202" t="s">
        <v>1729</v>
      </c>
      <c r="C1202" t="s">
        <v>1855</v>
      </c>
      <c r="D1202">
        <v>14810251</v>
      </c>
      <c r="E1202">
        <v>12.25</v>
      </c>
      <c r="F1202">
        <v>7</v>
      </c>
    </row>
    <row r="1203" spans="1:6" x14ac:dyDescent="0.3">
      <c r="A1203" t="s">
        <v>1897</v>
      </c>
      <c r="B1203" t="s">
        <v>1513</v>
      </c>
      <c r="C1203" t="s">
        <v>1549</v>
      </c>
      <c r="D1203">
        <v>14823579</v>
      </c>
      <c r="E1203">
        <v>9.77</v>
      </c>
      <c r="F1203">
        <v>5.33</v>
      </c>
    </row>
    <row r="1204" spans="1:6" x14ac:dyDescent="0.3">
      <c r="A1204" t="s">
        <v>1898</v>
      </c>
      <c r="B1204" t="s">
        <v>1899</v>
      </c>
      <c r="C1204" t="s">
        <v>1457</v>
      </c>
      <c r="D1204">
        <v>14839835</v>
      </c>
      <c r="E1204">
        <v>14.47</v>
      </c>
      <c r="F1204">
        <v>3.8</v>
      </c>
    </row>
    <row r="1205" spans="1:6" x14ac:dyDescent="0.3">
      <c r="A1205" t="s">
        <v>1900</v>
      </c>
      <c r="B1205" t="s">
        <v>1901</v>
      </c>
      <c r="C1205" t="s">
        <v>949</v>
      </c>
      <c r="D1205">
        <v>14850167</v>
      </c>
      <c r="E1205">
        <v>2.93</v>
      </c>
      <c r="F1205">
        <v>5.46</v>
      </c>
    </row>
    <row r="1206" spans="1:6" x14ac:dyDescent="0.3">
      <c r="A1206" t="s">
        <v>1902</v>
      </c>
      <c r="B1206" t="s">
        <v>1244</v>
      </c>
      <c r="C1206" t="s">
        <v>1062</v>
      </c>
      <c r="D1206">
        <v>14855154</v>
      </c>
      <c r="E1206">
        <v>9.11</v>
      </c>
      <c r="F1206">
        <v>5.88</v>
      </c>
    </row>
    <row r="1207" spans="1:6" x14ac:dyDescent="0.3">
      <c r="A1207" t="s">
        <v>1903</v>
      </c>
      <c r="B1207" t="s">
        <v>1817</v>
      </c>
      <c r="C1207" t="s">
        <v>1904</v>
      </c>
      <c r="D1207">
        <v>14867252</v>
      </c>
      <c r="E1207">
        <v>14.14</v>
      </c>
      <c r="F1207">
        <v>7.29</v>
      </c>
    </row>
    <row r="1208" spans="1:6" x14ac:dyDescent="0.3">
      <c r="A1208" t="s">
        <v>1905</v>
      </c>
      <c r="B1208" t="s">
        <v>1906</v>
      </c>
      <c r="C1208" t="s">
        <v>1317</v>
      </c>
      <c r="D1208">
        <v>14868153</v>
      </c>
      <c r="E1208">
        <v>16.55</v>
      </c>
      <c r="F1208">
        <v>5.33</v>
      </c>
    </row>
    <row r="1209" spans="1:6" x14ac:dyDescent="0.3">
      <c r="A1209" t="s">
        <v>1907</v>
      </c>
      <c r="B1209" t="s">
        <v>325</v>
      </c>
      <c r="C1209" t="s">
        <v>1481</v>
      </c>
      <c r="D1209">
        <v>14880418</v>
      </c>
      <c r="E1209">
        <v>15.67</v>
      </c>
      <c r="F1209">
        <v>7.4</v>
      </c>
    </row>
    <row r="1210" spans="1:6" x14ac:dyDescent="0.3">
      <c r="A1210" t="s">
        <v>1908</v>
      </c>
      <c r="B1210" t="s">
        <v>591</v>
      </c>
      <c r="C1210" t="s">
        <v>1909</v>
      </c>
      <c r="D1210">
        <v>14880818</v>
      </c>
      <c r="E1210">
        <v>12.74</v>
      </c>
      <c r="F1210">
        <v>5.94</v>
      </c>
    </row>
    <row r="1211" spans="1:6" x14ac:dyDescent="0.3">
      <c r="A1211" t="s">
        <v>1910</v>
      </c>
      <c r="B1211" t="s">
        <v>1911</v>
      </c>
      <c r="C1211" t="s">
        <v>929</v>
      </c>
      <c r="D1211">
        <v>14936015</v>
      </c>
      <c r="E1211">
        <v>7.33</v>
      </c>
      <c r="F1211">
        <v>6</v>
      </c>
    </row>
    <row r="1212" spans="1:6" x14ac:dyDescent="0.3">
      <c r="A1212" t="s">
        <v>1912</v>
      </c>
      <c r="B1212" t="s">
        <v>1913</v>
      </c>
      <c r="C1212" t="s">
        <v>1341</v>
      </c>
      <c r="D1212">
        <v>14960319</v>
      </c>
      <c r="E1212">
        <v>12.63</v>
      </c>
      <c r="F1212">
        <v>2.6</v>
      </c>
    </row>
    <row r="1213" spans="1:6" x14ac:dyDescent="0.3">
      <c r="A1213" t="s">
        <v>1914</v>
      </c>
      <c r="B1213" t="s">
        <v>1265</v>
      </c>
      <c r="C1213" t="s">
        <v>832</v>
      </c>
      <c r="D1213">
        <v>14966373</v>
      </c>
      <c r="E1213">
        <v>16.29</v>
      </c>
      <c r="F1213">
        <v>5.67</v>
      </c>
    </row>
    <row r="1214" spans="1:6" x14ac:dyDescent="0.3">
      <c r="A1214" t="s">
        <v>1915</v>
      </c>
      <c r="B1214" t="s">
        <v>1916</v>
      </c>
      <c r="C1214" t="s">
        <v>39</v>
      </c>
      <c r="D1214">
        <v>14974711</v>
      </c>
      <c r="E1214">
        <v>12.13</v>
      </c>
      <c r="F1214">
        <v>5.58</v>
      </c>
    </row>
    <row r="1215" spans="1:6" x14ac:dyDescent="0.3">
      <c r="A1215" t="s">
        <v>1917</v>
      </c>
      <c r="B1215" t="s">
        <v>1003</v>
      </c>
      <c r="C1215" t="s">
        <v>1918</v>
      </c>
      <c r="D1215">
        <v>14975695</v>
      </c>
      <c r="E1215">
        <v>6.88</v>
      </c>
      <c r="F1215">
        <v>7.58</v>
      </c>
    </row>
    <row r="1216" spans="1:6" x14ac:dyDescent="0.3">
      <c r="A1216" t="s">
        <v>750</v>
      </c>
      <c r="B1216" t="s">
        <v>1919</v>
      </c>
      <c r="C1216" t="s">
        <v>731</v>
      </c>
      <c r="D1216">
        <v>14977845</v>
      </c>
      <c r="E1216">
        <v>20.75</v>
      </c>
      <c r="F1216">
        <v>5.67</v>
      </c>
    </row>
    <row r="1217" spans="1:6" x14ac:dyDescent="0.3">
      <c r="A1217" t="s">
        <v>1920</v>
      </c>
      <c r="B1217" t="s">
        <v>1872</v>
      </c>
      <c r="C1217" t="s">
        <v>1921</v>
      </c>
      <c r="D1217">
        <v>15017578</v>
      </c>
      <c r="E1217">
        <v>7</v>
      </c>
      <c r="F1217">
        <v>5.33</v>
      </c>
    </row>
    <row r="1218" spans="1:6" x14ac:dyDescent="0.3">
      <c r="A1218" t="s">
        <v>1922</v>
      </c>
      <c r="B1218" t="s">
        <v>1923</v>
      </c>
      <c r="C1218" t="s">
        <v>1386</v>
      </c>
      <c r="D1218">
        <v>15035603</v>
      </c>
      <c r="E1218">
        <v>13.16</v>
      </c>
      <c r="F1218">
        <v>6.63</v>
      </c>
    </row>
    <row r="1219" spans="1:6" x14ac:dyDescent="0.3">
      <c r="A1219" t="s">
        <v>1924</v>
      </c>
      <c r="B1219" t="s">
        <v>1627</v>
      </c>
      <c r="C1219" t="s">
        <v>1531</v>
      </c>
      <c r="D1219">
        <v>15048625</v>
      </c>
      <c r="E1219">
        <v>16.260000000000002</v>
      </c>
      <c r="F1219">
        <v>5.79</v>
      </c>
    </row>
    <row r="1220" spans="1:6" x14ac:dyDescent="0.3">
      <c r="A1220" t="s">
        <v>1925</v>
      </c>
      <c r="B1220" t="s">
        <v>1926</v>
      </c>
      <c r="C1220" t="s">
        <v>1925</v>
      </c>
      <c r="D1220">
        <v>15071683</v>
      </c>
      <c r="E1220">
        <v>13.83</v>
      </c>
      <c r="F1220">
        <v>5.67</v>
      </c>
    </row>
    <row r="1221" spans="1:6" x14ac:dyDescent="0.3">
      <c r="A1221" t="s">
        <v>1927</v>
      </c>
      <c r="B1221" t="s">
        <v>968</v>
      </c>
      <c r="C1221" t="s">
        <v>762</v>
      </c>
      <c r="D1221">
        <v>15079844</v>
      </c>
      <c r="E1221">
        <v>6.34</v>
      </c>
      <c r="F1221">
        <v>6.65</v>
      </c>
    </row>
    <row r="1222" spans="1:6" x14ac:dyDescent="0.3">
      <c r="A1222" t="s">
        <v>1928</v>
      </c>
      <c r="B1222" t="s">
        <v>1929</v>
      </c>
      <c r="C1222" t="s">
        <v>1930</v>
      </c>
      <c r="D1222">
        <v>15088206</v>
      </c>
      <c r="E1222">
        <v>9.43</v>
      </c>
      <c r="F1222">
        <v>5.73</v>
      </c>
    </row>
    <row r="1223" spans="1:6" x14ac:dyDescent="0.3">
      <c r="A1223" t="s">
        <v>1931</v>
      </c>
      <c r="B1223" t="s">
        <v>1794</v>
      </c>
      <c r="C1223" t="s">
        <v>991</v>
      </c>
      <c r="D1223">
        <v>15100335</v>
      </c>
      <c r="E1223">
        <v>7.01</v>
      </c>
      <c r="F1223">
        <v>6.31</v>
      </c>
    </row>
    <row r="1224" spans="1:6" x14ac:dyDescent="0.3">
      <c r="A1224" t="s">
        <v>1932</v>
      </c>
      <c r="B1224" t="s">
        <v>1276</v>
      </c>
      <c r="C1224" t="s">
        <v>911</v>
      </c>
      <c r="D1224">
        <v>15107687</v>
      </c>
      <c r="E1224">
        <v>11.28</v>
      </c>
      <c r="F1224">
        <v>6.94</v>
      </c>
    </row>
    <row r="1225" spans="1:6" x14ac:dyDescent="0.3">
      <c r="A1225" t="s">
        <v>1933</v>
      </c>
      <c r="B1225" t="s">
        <v>609</v>
      </c>
      <c r="C1225" t="s">
        <v>1934</v>
      </c>
      <c r="D1225">
        <v>15119436</v>
      </c>
      <c r="E1225">
        <v>16.36</v>
      </c>
      <c r="F1225">
        <v>6.84</v>
      </c>
    </row>
    <row r="1226" spans="1:6" x14ac:dyDescent="0.3">
      <c r="A1226" t="s">
        <v>1935</v>
      </c>
      <c r="B1226" t="s">
        <v>1824</v>
      </c>
      <c r="C1226" t="s">
        <v>1935</v>
      </c>
      <c r="D1226">
        <v>15122517</v>
      </c>
      <c r="E1226">
        <v>16.59</v>
      </c>
      <c r="F1226">
        <v>7.16</v>
      </c>
    </row>
    <row r="1227" spans="1:6" x14ac:dyDescent="0.3">
      <c r="A1227" t="s">
        <v>1936</v>
      </c>
      <c r="B1227" t="s">
        <v>1725</v>
      </c>
      <c r="C1227" t="s">
        <v>1937</v>
      </c>
      <c r="D1227">
        <v>15126930</v>
      </c>
      <c r="E1227">
        <v>8.6199999999999992</v>
      </c>
      <c r="F1227">
        <v>6.89</v>
      </c>
    </row>
    <row r="1228" spans="1:6" x14ac:dyDescent="0.3">
      <c r="A1228" t="s">
        <v>1938</v>
      </c>
      <c r="B1228" t="s">
        <v>1477</v>
      </c>
      <c r="C1228" t="s">
        <v>1752</v>
      </c>
      <c r="D1228">
        <v>15129709</v>
      </c>
      <c r="E1228">
        <v>16.71</v>
      </c>
      <c r="F1228">
        <v>5.83</v>
      </c>
    </row>
    <row r="1229" spans="1:6" x14ac:dyDescent="0.3">
      <c r="A1229" t="s">
        <v>1939</v>
      </c>
      <c r="B1229" t="s">
        <v>752</v>
      </c>
      <c r="C1229" t="s">
        <v>8</v>
      </c>
      <c r="D1229">
        <v>15152041</v>
      </c>
      <c r="E1229">
        <v>18.05</v>
      </c>
      <c r="F1229">
        <v>6.29</v>
      </c>
    </row>
    <row r="1230" spans="1:6" x14ac:dyDescent="0.3">
      <c r="A1230" t="s">
        <v>1940</v>
      </c>
      <c r="B1230" t="s">
        <v>1083</v>
      </c>
      <c r="C1230" t="s">
        <v>1157</v>
      </c>
      <c r="D1230">
        <v>15162202</v>
      </c>
      <c r="E1230">
        <v>9.2799999999999994</v>
      </c>
      <c r="F1230">
        <v>7</v>
      </c>
    </row>
    <row r="1231" spans="1:6" x14ac:dyDescent="0.3">
      <c r="A1231" t="s">
        <v>1941</v>
      </c>
      <c r="B1231" t="s">
        <v>1942</v>
      </c>
      <c r="C1231" t="s">
        <v>1080</v>
      </c>
      <c r="D1231">
        <v>15162301</v>
      </c>
      <c r="E1231">
        <v>6.27</v>
      </c>
      <c r="F1231">
        <v>7.54</v>
      </c>
    </row>
    <row r="1232" spans="1:6" x14ac:dyDescent="0.3">
      <c r="A1232" t="s">
        <v>1943</v>
      </c>
      <c r="B1232" t="s">
        <v>1230</v>
      </c>
      <c r="C1232" t="s">
        <v>1944</v>
      </c>
      <c r="D1232">
        <v>15195827</v>
      </c>
      <c r="E1232">
        <v>7.8</v>
      </c>
      <c r="F1232">
        <v>4.75</v>
      </c>
    </row>
    <row r="1233" spans="1:6" x14ac:dyDescent="0.3">
      <c r="A1233" t="s">
        <v>1945</v>
      </c>
      <c r="B1233" t="s">
        <v>1693</v>
      </c>
      <c r="C1233" t="s">
        <v>379</v>
      </c>
      <c r="D1233">
        <v>15204062</v>
      </c>
      <c r="E1233">
        <v>8.25</v>
      </c>
      <c r="F1233">
        <v>5</v>
      </c>
    </row>
    <row r="1234" spans="1:6" x14ac:dyDescent="0.3">
      <c r="A1234" t="s">
        <v>1946</v>
      </c>
      <c r="B1234" t="s">
        <v>1947</v>
      </c>
      <c r="C1234" t="s">
        <v>1008</v>
      </c>
      <c r="D1234">
        <v>15237198</v>
      </c>
      <c r="E1234">
        <v>7.06</v>
      </c>
      <c r="F1234">
        <v>5.5</v>
      </c>
    </row>
    <row r="1235" spans="1:6" x14ac:dyDescent="0.3">
      <c r="A1235" t="s">
        <v>1948</v>
      </c>
      <c r="B1235" t="s">
        <v>1513</v>
      </c>
      <c r="C1235" t="s">
        <v>1752</v>
      </c>
      <c r="D1235">
        <v>15255313</v>
      </c>
      <c r="E1235">
        <v>5.22</v>
      </c>
      <c r="F1235">
        <v>6.93</v>
      </c>
    </row>
    <row r="1236" spans="1:6" x14ac:dyDescent="0.3">
      <c r="A1236" t="s">
        <v>1949</v>
      </c>
      <c r="B1236" t="s">
        <v>1950</v>
      </c>
      <c r="C1236" t="s">
        <v>727</v>
      </c>
      <c r="D1236">
        <v>15263276</v>
      </c>
      <c r="E1236">
        <v>10.67</v>
      </c>
      <c r="F1236">
        <v>6.4</v>
      </c>
    </row>
    <row r="1237" spans="1:6" x14ac:dyDescent="0.3">
      <c r="A1237" t="s">
        <v>1951</v>
      </c>
      <c r="B1237" t="s">
        <v>1244</v>
      </c>
      <c r="C1237" t="s">
        <v>6</v>
      </c>
      <c r="D1237">
        <v>15264699</v>
      </c>
      <c r="E1237">
        <v>9.25</v>
      </c>
      <c r="F1237">
        <v>6</v>
      </c>
    </row>
    <row r="1238" spans="1:6" x14ac:dyDescent="0.3">
      <c r="A1238" t="s">
        <v>1952</v>
      </c>
      <c r="B1238" t="s">
        <v>1953</v>
      </c>
      <c r="C1238" t="s">
        <v>1954</v>
      </c>
      <c r="D1238">
        <v>15265393</v>
      </c>
      <c r="E1238">
        <v>23.29</v>
      </c>
      <c r="F1238">
        <v>5.5</v>
      </c>
    </row>
    <row r="1239" spans="1:6" x14ac:dyDescent="0.3">
      <c r="A1239" t="s">
        <v>1955</v>
      </c>
      <c r="B1239" t="s">
        <v>1956</v>
      </c>
      <c r="C1239" t="s">
        <v>893</v>
      </c>
      <c r="D1239">
        <v>15266797</v>
      </c>
      <c r="E1239">
        <v>12.25</v>
      </c>
      <c r="F1239">
        <v>4.25</v>
      </c>
    </row>
    <row r="1240" spans="1:6" x14ac:dyDescent="0.3">
      <c r="A1240" t="s">
        <v>1957</v>
      </c>
      <c r="B1240" t="s">
        <v>1958</v>
      </c>
      <c r="C1240" t="s">
        <v>1317</v>
      </c>
      <c r="D1240">
        <v>15274331</v>
      </c>
      <c r="E1240">
        <v>10.32</v>
      </c>
      <c r="F1240">
        <v>6.77</v>
      </c>
    </row>
    <row r="1241" spans="1:6" x14ac:dyDescent="0.3">
      <c r="A1241" t="s">
        <v>1959</v>
      </c>
      <c r="B1241" t="s">
        <v>1960</v>
      </c>
      <c r="C1241" t="s">
        <v>1531</v>
      </c>
      <c r="D1241">
        <v>15288719</v>
      </c>
      <c r="E1241">
        <v>12.05</v>
      </c>
      <c r="F1241">
        <v>4.75</v>
      </c>
    </row>
    <row r="1242" spans="1:6" x14ac:dyDescent="0.3">
      <c r="A1242" t="s">
        <v>1548</v>
      </c>
      <c r="B1242" t="s">
        <v>951</v>
      </c>
      <c r="C1242" t="s">
        <v>1549</v>
      </c>
      <c r="D1242">
        <v>15290476</v>
      </c>
      <c r="E1242">
        <v>12.43</v>
      </c>
      <c r="F1242">
        <v>6.33</v>
      </c>
    </row>
    <row r="1243" spans="1:6" x14ac:dyDescent="0.3">
      <c r="A1243" t="s">
        <v>1961</v>
      </c>
      <c r="B1243" t="s">
        <v>1962</v>
      </c>
      <c r="C1243" t="s">
        <v>9</v>
      </c>
      <c r="D1243">
        <v>15295029</v>
      </c>
      <c r="E1243">
        <v>10.75</v>
      </c>
      <c r="F1243">
        <v>5.5</v>
      </c>
    </row>
    <row r="1244" spans="1:6" x14ac:dyDescent="0.3">
      <c r="A1244" t="s">
        <v>1963</v>
      </c>
      <c r="B1244" t="s">
        <v>1127</v>
      </c>
      <c r="C1244" t="s">
        <v>1964</v>
      </c>
      <c r="D1244">
        <v>15302674</v>
      </c>
      <c r="E1244">
        <v>10.75</v>
      </c>
      <c r="F1244">
        <v>6.2</v>
      </c>
    </row>
    <row r="1245" spans="1:6" x14ac:dyDescent="0.3">
      <c r="A1245" t="s">
        <v>1965</v>
      </c>
      <c r="B1245" t="s">
        <v>1464</v>
      </c>
      <c r="C1245" t="s">
        <v>593</v>
      </c>
      <c r="D1245">
        <v>15320637</v>
      </c>
      <c r="E1245">
        <v>15.75</v>
      </c>
      <c r="F1245">
        <v>7.71</v>
      </c>
    </row>
    <row r="1246" spans="1:6" x14ac:dyDescent="0.3">
      <c r="A1246" t="s">
        <v>1966</v>
      </c>
      <c r="B1246" t="s">
        <v>1847</v>
      </c>
      <c r="C1246" t="s">
        <v>1967</v>
      </c>
      <c r="D1246">
        <v>15340027</v>
      </c>
      <c r="E1246">
        <v>10.8</v>
      </c>
      <c r="F1246">
        <v>5.5</v>
      </c>
    </row>
    <row r="1247" spans="1:6" x14ac:dyDescent="0.3">
      <c r="A1247" t="s">
        <v>1968</v>
      </c>
      <c r="B1247" t="s">
        <v>955</v>
      </c>
      <c r="C1247" t="s">
        <v>1157</v>
      </c>
      <c r="D1247">
        <v>15369826</v>
      </c>
      <c r="E1247">
        <v>6.73</v>
      </c>
      <c r="F1247">
        <v>8.07</v>
      </c>
    </row>
    <row r="1248" spans="1:6" x14ac:dyDescent="0.3">
      <c r="A1248" t="s">
        <v>1969</v>
      </c>
      <c r="B1248" t="s">
        <v>1828</v>
      </c>
      <c r="C1248" t="s">
        <v>749</v>
      </c>
      <c r="D1248">
        <v>15392259</v>
      </c>
      <c r="E1248">
        <v>12.5</v>
      </c>
      <c r="F1248">
        <v>6</v>
      </c>
    </row>
    <row r="1249" spans="1:6" x14ac:dyDescent="0.3">
      <c r="A1249" t="s">
        <v>1970</v>
      </c>
      <c r="B1249" t="s">
        <v>796</v>
      </c>
      <c r="C1249" t="s">
        <v>1028</v>
      </c>
      <c r="D1249">
        <v>15395840</v>
      </c>
      <c r="E1249">
        <v>17.02</v>
      </c>
      <c r="F1249">
        <v>7.03</v>
      </c>
    </row>
    <row r="1250" spans="1:6" x14ac:dyDescent="0.3">
      <c r="A1250" t="s">
        <v>1971</v>
      </c>
      <c r="B1250" t="s">
        <v>1127</v>
      </c>
      <c r="C1250" t="s">
        <v>1972</v>
      </c>
      <c r="D1250">
        <v>15427055</v>
      </c>
      <c r="E1250">
        <v>9.66</v>
      </c>
      <c r="F1250">
        <v>6.35</v>
      </c>
    </row>
    <row r="1251" spans="1:6" x14ac:dyDescent="0.3">
      <c r="A1251" t="s">
        <v>1973</v>
      </c>
      <c r="B1251" t="s">
        <v>1106</v>
      </c>
      <c r="C1251" t="s">
        <v>1203</v>
      </c>
      <c r="D1251">
        <v>15448515</v>
      </c>
      <c r="E1251">
        <v>12.71</v>
      </c>
      <c r="F1251">
        <v>8.43</v>
      </c>
    </row>
    <row r="1252" spans="1:6" x14ac:dyDescent="0.3">
      <c r="A1252" t="s">
        <v>1974</v>
      </c>
      <c r="B1252" t="s">
        <v>1477</v>
      </c>
      <c r="C1252" t="s">
        <v>1182</v>
      </c>
      <c r="D1252">
        <v>15457993</v>
      </c>
      <c r="E1252">
        <v>6.94</v>
      </c>
      <c r="F1252">
        <v>6.71</v>
      </c>
    </row>
    <row r="1253" spans="1:6" x14ac:dyDescent="0.3">
      <c r="A1253" t="s">
        <v>1975</v>
      </c>
      <c r="B1253" t="s">
        <v>1976</v>
      </c>
      <c r="C1253" t="s">
        <v>767</v>
      </c>
      <c r="D1253">
        <v>15508153</v>
      </c>
      <c r="E1253">
        <v>7</v>
      </c>
      <c r="F1253">
        <v>4</v>
      </c>
    </row>
    <row r="1254" spans="1:6" x14ac:dyDescent="0.3">
      <c r="A1254" t="s">
        <v>192</v>
      </c>
      <c r="B1254" t="s">
        <v>22</v>
      </c>
      <c r="C1254" t="s">
        <v>1129</v>
      </c>
      <c r="D1254">
        <v>15521553</v>
      </c>
      <c r="E1254">
        <v>15.82</v>
      </c>
      <c r="F1254">
        <v>6.94</v>
      </c>
    </row>
    <row r="1255" spans="1:6" x14ac:dyDescent="0.3">
      <c r="A1255" t="s">
        <v>1977</v>
      </c>
      <c r="B1255" t="s">
        <v>712</v>
      </c>
      <c r="C1255" t="s">
        <v>723</v>
      </c>
      <c r="D1255">
        <v>15576803</v>
      </c>
      <c r="E1255">
        <v>11.3</v>
      </c>
      <c r="F1255">
        <v>5.57</v>
      </c>
    </row>
    <row r="1256" spans="1:6" x14ac:dyDescent="0.3">
      <c r="A1256" t="s">
        <v>964</v>
      </c>
      <c r="B1256" t="s">
        <v>1705</v>
      </c>
      <c r="C1256" t="s">
        <v>966</v>
      </c>
      <c r="D1256">
        <v>15588297</v>
      </c>
      <c r="E1256">
        <v>13.67</v>
      </c>
      <c r="F1256">
        <v>5.33</v>
      </c>
    </row>
    <row r="1257" spans="1:6" x14ac:dyDescent="0.3">
      <c r="A1257" t="s">
        <v>1978</v>
      </c>
      <c r="B1257" t="s">
        <v>1979</v>
      </c>
      <c r="C1257" t="s">
        <v>885</v>
      </c>
      <c r="D1257">
        <v>15590177</v>
      </c>
      <c r="E1257">
        <v>8</v>
      </c>
      <c r="F1257">
        <v>5.25</v>
      </c>
    </row>
    <row r="1258" spans="1:6" x14ac:dyDescent="0.3">
      <c r="A1258" t="s">
        <v>588</v>
      </c>
      <c r="B1258" t="s">
        <v>1980</v>
      </c>
      <c r="C1258" t="s">
        <v>1981</v>
      </c>
      <c r="D1258">
        <v>15590593</v>
      </c>
      <c r="E1258">
        <v>11.33</v>
      </c>
      <c r="F1258">
        <v>7.5</v>
      </c>
    </row>
    <row r="1259" spans="1:6" x14ac:dyDescent="0.3">
      <c r="A1259" t="s">
        <v>1982</v>
      </c>
      <c r="B1259" t="s">
        <v>1361</v>
      </c>
      <c r="C1259" t="s">
        <v>1925</v>
      </c>
      <c r="D1259">
        <v>15619194</v>
      </c>
      <c r="E1259">
        <v>3.8</v>
      </c>
      <c r="F1259">
        <v>7.17</v>
      </c>
    </row>
    <row r="1260" spans="1:6" x14ac:dyDescent="0.3">
      <c r="A1260" t="s">
        <v>1983</v>
      </c>
      <c r="B1260" t="s">
        <v>1984</v>
      </c>
      <c r="C1260" t="s">
        <v>1727</v>
      </c>
      <c r="D1260">
        <v>15625052</v>
      </c>
      <c r="E1260">
        <v>18.010000000000002</v>
      </c>
      <c r="F1260">
        <v>5.34</v>
      </c>
    </row>
    <row r="1261" spans="1:6" x14ac:dyDescent="0.3">
      <c r="A1261" t="s">
        <v>1985</v>
      </c>
      <c r="B1261" t="s">
        <v>1986</v>
      </c>
      <c r="C1261" t="s">
        <v>1566</v>
      </c>
      <c r="D1261">
        <v>15633738</v>
      </c>
      <c r="E1261">
        <v>8.25</v>
      </c>
      <c r="F1261">
        <v>4.75</v>
      </c>
    </row>
    <row r="1262" spans="1:6" x14ac:dyDescent="0.3">
      <c r="A1262" t="s">
        <v>1987</v>
      </c>
      <c r="B1262" t="s">
        <v>1988</v>
      </c>
      <c r="C1262" t="s">
        <v>741</v>
      </c>
      <c r="D1262">
        <v>15659139</v>
      </c>
      <c r="E1262">
        <v>18.5</v>
      </c>
      <c r="F1262">
        <v>3.5</v>
      </c>
    </row>
    <row r="1263" spans="1:6" x14ac:dyDescent="0.3">
      <c r="A1263" t="s">
        <v>1989</v>
      </c>
      <c r="B1263" t="s">
        <v>1990</v>
      </c>
      <c r="C1263" t="s">
        <v>1925</v>
      </c>
      <c r="D1263">
        <v>15699542</v>
      </c>
      <c r="E1263">
        <v>13.76</v>
      </c>
      <c r="F1263">
        <v>7.61</v>
      </c>
    </row>
    <row r="1264" spans="1:6" x14ac:dyDescent="0.3">
      <c r="A1264" t="s">
        <v>1991</v>
      </c>
      <c r="B1264" t="s">
        <v>1794</v>
      </c>
      <c r="C1264" t="s">
        <v>1481</v>
      </c>
      <c r="D1264">
        <v>15728060</v>
      </c>
      <c r="E1264">
        <v>6.33</v>
      </c>
      <c r="F1264">
        <v>6.15</v>
      </c>
    </row>
    <row r="1265" spans="1:6" x14ac:dyDescent="0.3">
      <c r="A1265" t="s">
        <v>1992</v>
      </c>
      <c r="B1265" t="s">
        <v>1993</v>
      </c>
      <c r="C1265" t="s">
        <v>769</v>
      </c>
      <c r="D1265">
        <v>15737190</v>
      </c>
      <c r="E1265">
        <v>12.24</v>
      </c>
      <c r="F1265">
        <v>4.71</v>
      </c>
    </row>
    <row r="1266" spans="1:6" x14ac:dyDescent="0.3">
      <c r="A1266" t="s">
        <v>1994</v>
      </c>
      <c r="B1266" t="s">
        <v>1485</v>
      </c>
      <c r="C1266" t="s">
        <v>1995</v>
      </c>
      <c r="D1266">
        <v>15757012</v>
      </c>
      <c r="E1266">
        <v>5.94</v>
      </c>
      <c r="F1266">
        <v>5.0599999999999996</v>
      </c>
    </row>
    <row r="1267" spans="1:6" x14ac:dyDescent="0.3">
      <c r="A1267" t="s">
        <v>1481</v>
      </c>
      <c r="B1267" t="s">
        <v>1996</v>
      </c>
      <c r="C1267" t="s">
        <v>1481</v>
      </c>
      <c r="D1267">
        <v>15760280</v>
      </c>
      <c r="E1267">
        <v>7.5</v>
      </c>
      <c r="F1267">
        <v>7.25</v>
      </c>
    </row>
    <row r="1268" spans="1:6" x14ac:dyDescent="0.3">
      <c r="A1268" t="s">
        <v>1997</v>
      </c>
      <c r="B1268" t="s">
        <v>1770</v>
      </c>
      <c r="C1268" t="s">
        <v>1549</v>
      </c>
      <c r="D1268">
        <v>15786604</v>
      </c>
      <c r="E1268">
        <v>11</v>
      </c>
      <c r="F1268">
        <v>5.63</v>
      </c>
    </row>
    <row r="1269" spans="1:6" x14ac:dyDescent="0.3">
      <c r="A1269" t="s">
        <v>1998</v>
      </c>
      <c r="B1269" t="s">
        <v>803</v>
      </c>
      <c r="C1269" t="s">
        <v>956</v>
      </c>
      <c r="D1269">
        <v>15815353</v>
      </c>
      <c r="E1269">
        <v>9.94</v>
      </c>
      <c r="F1269">
        <v>6.19</v>
      </c>
    </row>
    <row r="1270" spans="1:6" x14ac:dyDescent="0.3">
      <c r="A1270" t="s">
        <v>1999</v>
      </c>
      <c r="B1270" t="s">
        <v>2000</v>
      </c>
      <c r="C1270" t="s">
        <v>2001</v>
      </c>
      <c r="D1270">
        <v>15840719</v>
      </c>
      <c r="E1270">
        <v>16.170000000000002</v>
      </c>
      <c r="F1270">
        <v>5.31</v>
      </c>
    </row>
    <row r="1271" spans="1:6" x14ac:dyDescent="0.3">
      <c r="A1271" t="s">
        <v>2002</v>
      </c>
      <c r="B1271" t="s">
        <v>112</v>
      </c>
      <c r="C1271" t="s">
        <v>12</v>
      </c>
      <c r="D1271">
        <v>15845254</v>
      </c>
      <c r="E1271">
        <v>19.73</v>
      </c>
      <c r="F1271">
        <v>6.5</v>
      </c>
    </row>
    <row r="1272" spans="1:6" x14ac:dyDescent="0.3">
      <c r="A1272" t="s">
        <v>2003</v>
      </c>
      <c r="B1272" t="s">
        <v>985</v>
      </c>
      <c r="C1272" t="s">
        <v>2004</v>
      </c>
      <c r="D1272">
        <v>15854378</v>
      </c>
      <c r="E1272">
        <v>9.33</v>
      </c>
      <c r="F1272">
        <v>5.25</v>
      </c>
    </row>
    <row r="1273" spans="1:6" x14ac:dyDescent="0.3">
      <c r="A1273" t="s">
        <v>2005</v>
      </c>
      <c r="B1273" t="s">
        <v>796</v>
      </c>
      <c r="C1273" t="s">
        <v>2006</v>
      </c>
      <c r="D1273">
        <v>15855959</v>
      </c>
      <c r="E1273">
        <v>15.02</v>
      </c>
      <c r="F1273">
        <v>7.67</v>
      </c>
    </row>
    <row r="1274" spans="1:6" x14ac:dyDescent="0.3">
      <c r="A1274" t="s">
        <v>2007</v>
      </c>
      <c r="B1274" t="s">
        <v>1017</v>
      </c>
      <c r="C1274" t="s">
        <v>1317</v>
      </c>
      <c r="D1274">
        <v>15870891</v>
      </c>
      <c r="E1274">
        <v>12.78</v>
      </c>
      <c r="F1274">
        <v>6.12</v>
      </c>
    </row>
    <row r="1275" spans="1:6" x14ac:dyDescent="0.3">
      <c r="A1275" t="s">
        <v>2008</v>
      </c>
      <c r="B1275" t="s">
        <v>1235</v>
      </c>
      <c r="C1275" t="s">
        <v>1317</v>
      </c>
      <c r="D1275">
        <v>15875767</v>
      </c>
      <c r="E1275">
        <v>20.11</v>
      </c>
      <c r="F1275">
        <v>3.15</v>
      </c>
    </row>
    <row r="1276" spans="1:6" x14ac:dyDescent="0.3">
      <c r="A1276" t="s">
        <v>2009</v>
      </c>
      <c r="B1276" t="s">
        <v>1863</v>
      </c>
      <c r="C1276" t="s">
        <v>1381</v>
      </c>
      <c r="D1276">
        <v>15921561</v>
      </c>
      <c r="E1276">
        <v>4.5</v>
      </c>
      <c r="F1276">
        <v>5.8</v>
      </c>
    </row>
    <row r="1277" spans="1:6" x14ac:dyDescent="0.3">
      <c r="A1277" t="s">
        <v>2010</v>
      </c>
      <c r="B1277" t="s">
        <v>761</v>
      </c>
      <c r="C1277" t="s">
        <v>36</v>
      </c>
      <c r="D1277">
        <v>15947387</v>
      </c>
      <c r="E1277">
        <v>18.88</v>
      </c>
      <c r="F1277">
        <v>5.38</v>
      </c>
    </row>
    <row r="1278" spans="1:6" x14ac:dyDescent="0.3">
      <c r="A1278" t="s">
        <v>2011</v>
      </c>
      <c r="B1278" t="s">
        <v>2012</v>
      </c>
      <c r="C1278" t="s">
        <v>1719</v>
      </c>
      <c r="D1278">
        <v>15948732</v>
      </c>
      <c r="E1278">
        <v>10.49</v>
      </c>
      <c r="F1278">
        <v>5.5</v>
      </c>
    </row>
    <row r="1279" spans="1:6" x14ac:dyDescent="0.3">
      <c r="A1279" t="s">
        <v>2013</v>
      </c>
      <c r="B1279" t="s">
        <v>573</v>
      </c>
      <c r="C1279" t="s">
        <v>9</v>
      </c>
      <c r="D1279">
        <v>16011100</v>
      </c>
      <c r="E1279">
        <v>17.87</v>
      </c>
      <c r="F1279">
        <v>5.2</v>
      </c>
    </row>
    <row r="1280" spans="1:6" x14ac:dyDescent="0.3">
      <c r="A1280" t="s">
        <v>2014</v>
      </c>
      <c r="B1280" t="s">
        <v>1953</v>
      </c>
      <c r="C1280" t="s">
        <v>2015</v>
      </c>
      <c r="D1280">
        <v>16023141</v>
      </c>
      <c r="E1280">
        <v>23.31</v>
      </c>
      <c r="F1280">
        <v>5.72</v>
      </c>
    </row>
    <row r="1281" spans="1:6" x14ac:dyDescent="0.3">
      <c r="A1281" t="s">
        <v>2016</v>
      </c>
      <c r="B1281" t="s">
        <v>523</v>
      </c>
      <c r="C1281" t="s">
        <v>1579</v>
      </c>
      <c r="D1281">
        <v>16036032</v>
      </c>
      <c r="E1281">
        <v>9.6199999999999992</v>
      </c>
      <c r="F1281">
        <v>7.33</v>
      </c>
    </row>
    <row r="1282" spans="1:6" x14ac:dyDescent="0.3">
      <c r="A1282" t="s">
        <v>2017</v>
      </c>
      <c r="B1282" t="s">
        <v>2018</v>
      </c>
      <c r="C1282" t="s">
        <v>1101</v>
      </c>
      <c r="D1282">
        <v>16045600</v>
      </c>
      <c r="E1282">
        <v>6.44</v>
      </c>
      <c r="F1282">
        <v>5.75</v>
      </c>
    </row>
    <row r="1283" spans="1:6" x14ac:dyDescent="0.3">
      <c r="A1283" t="s">
        <v>2019</v>
      </c>
      <c r="B1283" t="s">
        <v>1634</v>
      </c>
      <c r="C1283" t="s">
        <v>2020</v>
      </c>
      <c r="D1283">
        <v>16047165</v>
      </c>
      <c r="E1283">
        <v>12</v>
      </c>
      <c r="F1283">
        <v>8</v>
      </c>
    </row>
    <row r="1284" spans="1:6" x14ac:dyDescent="0.3">
      <c r="A1284" t="s">
        <v>2021</v>
      </c>
      <c r="B1284" t="s">
        <v>2022</v>
      </c>
      <c r="C1284" t="s">
        <v>2021</v>
      </c>
      <c r="D1284">
        <v>16071312</v>
      </c>
      <c r="E1284">
        <v>3.82</v>
      </c>
      <c r="F1284">
        <v>5.93</v>
      </c>
    </row>
    <row r="1285" spans="1:6" x14ac:dyDescent="0.3">
      <c r="A1285" t="s">
        <v>2023</v>
      </c>
      <c r="B1285" t="s">
        <v>1068</v>
      </c>
      <c r="C1285" t="s">
        <v>1689</v>
      </c>
      <c r="D1285">
        <v>16080606</v>
      </c>
      <c r="E1285">
        <v>16.25</v>
      </c>
      <c r="F1285">
        <v>3</v>
      </c>
    </row>
    <row r="1286" spans="1:6" x14ac:dyDescent="0.3">
      <c r="A1286" t="s">
        <v>365</v>
      </c>
      <c r="B1286" t="s">
        <v>1450</v>
      </c>
      <c r="C1286" t="s">
        <v>365</v>
      </c>
      <c r="D1286">
        <v>16092648</v>
      </c>
      <c r="E1286">
        <v>10.79</v>
      </c>
      <c r="F1286">
        <v>7.8</v>
      </c>
    </row>
    <row r="1287" spans="1:6" x14ac:dyDescent="0.3">
      <c r="A1287" t="s">
        <v>2024</v>
      </c>
      <c r="B1287" t="s">
        <v>1881</v>
      </c>
      <c r="C1287" t="s">
        <v>1925</v>
      </c>
      <c r="D1287">
        <v>16112224</v>
      </c>
      <c r="E1287">
        <v>8.83</v>
      </c>
      <c r="F1287">
        <v>7.7</v>
      </c>
    </row>
    <row r="1288" spans="1:6" x14ac:dyDescent="0.3">
      <c r="A1288" t="s">
        <v>2025</v>
      </c>
      <c r="B1288" t="s">
        <v>1513</v>
      </c>
      <c r="C1288" t="s">
        <v>2026</v>
      </c>
      <c r="D1288">
        <v>16151680</v>
      </c>
      <c r="E1288">
        <v>4.57</v>
      </c>
      <c r="F1288">
        <v>5</v>
      </c>
    </row>
    <row r="1289" spans="1:6" x14ac:dyDescent="0.3">
      <c r="A1289" t="s">
        <v>2027</v>
      </c>
      <c r="B1289" t="s">
        <v>1279</v>
      </c>
      <c r="C1289" t="s">
        <v>1129</v>
      </c>
      <c r="D1289">
        <v>16156623</v>
      </c>
      <c r="E1289">
        <v>13.6</v>
      </c>
      <c r="F1289">
        <v>5.54</v>
      </c>
    </row>
    <row r="1290" spans="1:6" x14ac:dyDescent="0.3">
      <c r="A1290" t="s">
        <v>2028</v>
      </c>
      <c r="B1290" t="s">
        <v>1597</v>
      </c>
      <c r="C1290" t="s">
        <v>1051</v>
      </c>
      <c r="D1290">
        <v>16160657</v>
      </c>
      <c r="E1290">
        <v>13</v>
      </c>
      <c r="F1290">
        <v>6.5</v>
      </c>
    </row>
    <row r="1291" spans="1:6" x14ac:dyDescent="0.3">
      <c r="A1291" t="s">
        <v>2029</v>
      </c>
      <c r="B1291" t="s">
        <v>1199</v>
      </c>
      <c r="C1291" t="s">
        <v>2030</v>
      </c>
      <c r="D1291">
        <v>16160878</v>
      </c>
      <c r="E1291">
        <v>15.33</v>
      </c>
      <c r="F1291">
        <v>5.88</v>
      </c>
    </row>
    <row r="1292" spans="1:6" x14ac:dyDescent="0.3">
      <c r="A1292" t="s">
        <v>2031</v>
      </c>
      <c r="B1292" t="s">
        <v>2032</v>
      </c>
      <c r="C1292" t="s">
        <v>1531</v>
      </c>
      <c r="D1292">
        <v>16172569</v>
      </c>
      <c r="E1292">
        <v>10.93</v>
      </c>
      <c r="F1292">
        <v>6.14</v>
      </c>
    </row>
    <row r="1293" spans="1:6" x14ac:dyDescent="0.3">
      <c r="A1293" t="s">
        <v>2033</v>
      </c>
      <c r="B1293" t="s">
        <v>1477</v>
      </c>
      <c r="C1293" t="s">
        <v>1647</v>
      </c>
      <c r="D1293">
        <v>16187438</v>
      </c>
      <c r="E1293">
        <v>14.29</v>
      </c>
      <c r="F1293">
        <v>7.58</v>
      </c>
    </row>
    <row r="1294" spans="1:6" x14ac:dyDescent="0.3">
      <c r="A1294" t="s">
        <v>2034</v>
      </c>
      <c r="B1294" t="s">
        <v>2035</v>
      </c>
      <c r="C1294" t="s">
        <v>1752</v>
      </c>
      <c r="D1294">
        <v>16199655</v>
      </c>
      <c r="E1294">
        <v>14.75</v>
      </c>
      <c r="F1294">
        <v>7.08</v>
      </c>
    </row>
    <row r="1295" spans="1:6" x14ac:dyDescent="0.3">
      <c r="A1295" t="s">
        <v>2036</v>
      </c>
      <c r="B1295" t="s">
        <v>177</v>
      </c>
      <c r="C1295" t="s">
        <v>1875</v>
      </c>
      <c r="D1295">
        <v>16234921</v>
      </c>
      <c r="E1295">
        <v>3.76</v>
      </c>
      <c r="F1295">
        <v>5.21</v>
      </c>
    </row>
    <row r="1296" spans="1:6" x14ac:dyDescent="0.3">
      <c r="A1296" t="s">
        <v>2037</v>
      </c>
      <c r="B1296" t="s">
        <v>1110</v>
      </c>
      <c r="C1296" t="s">
        <v>2038</v>
      </c>
      <c r="D1296">
        <v>16269812</v>
      </c>
      <c r="E1296">
        <v>14.74</v>
      </c>
      <c r="F1296">
        <v>6.62</v>
      </c>
    </row>
    <row r="1297" spans="1:6" x14ac:dyDescent="0.3">
      <c r="A1297" t="s">
        <v>2039</v>
      </c>
      <c r="B1297" t="s">
        <v>1262</v>
      </c>
      <c r="C1297" t="s">
        <v>1062</v>
      </c>
      <c r="D1297">
        <v>16272616</v>
      </c>
      <c r="E1297">
        <v>17.82</v>
      </c>
      <c r="F1297">
        <v>6.47</v>
      </c>
    </row>
    <row r="1298" spans="1:6" x14ac:dyDescent="0.3">
      <c r="A1298" t="s">
        <v>2040</v>
      </c>
      <c r="B1298" t="s">
        <v>1516</v>
      </c>
      <c r="C1298" t="s">
        <v>778</v>
      </c>
      <c r="D1298">
        <v>16288177</v>
      </c>
      <c r="E1298">
        <v>16</v>
      </c>
      <c r="F1298">
        <v>6</v>
      </c>
    </row>
    <row r="1299" spans="1:6" x14ac:dyDescent="0.3">
      <c r="A1299" t="s">
        <v>2041</v>
      </c>
      <c r="B1299" t="s">
        <v>2042</v>
      </c>
      <c r="C1299" t="s">
        <v>2021</v>
      </c>
      <c r="D1299">
        <v>16295215</v>
      </c>
      <c r="E1299">
        <v>10.02</v>
      </c>
      <c r="F1299">
        <v>4.38</v>
      </c>
    </row>
    <row r="1300" spans="1:6" x14ac:dyDescent="0.3">
      <c r="A1300">
        <v>666</v>
      </c>
      <c r="B1300" t="s">
        <v>2043</v>
      </c>
      <c r="C1300" t="s">
        <v>264</v>
      </c>
      <c r="D1300">
        <v>16321390</v>
      </c>
      <c r="E1300">
        <v>3.18</v>
      </c>
      <c r="F1300">
        <v>7.08</v>
      </c>
    </row>
    <row r="1301" spans="1:6" x14ac:dyDescent="0.3">
      <c r="A1301" t="s">
        <v>1214</v>
      </c>
      <c r="B1301" t="s">
        <v>840</v>
      </c>
      <c r="C1301" t="s">
        <v>365</v>
      </c>
      <c r="D1301">
        <v>16327565</v>
      </c>
      <c r="E1301">
        <v>7.92</v>
      </c>
      <c r="F1301">
        <v>6.38</v>
      </c>
    </row>
    <row r="1302" spans="1:6" x14ac:dyDescent="0.3">
      <c r="A1302" t="s">
        <v>2044</v>
      </c>
      <c r="B1302" t="s">
        <v>1557</v>
      </c>
      <c r="C1302" t="s">
        <v>1139</v>
      </c>
      <c r="D1302">
        <v>16330911</v>
      </c>
      <c r="E1302">
        <v>12.98</v>
      </c>
      <c r="F1302">
        <v>6.6</v>
      </c>
    </row>
    <row r="1303" spans="1:6" x14ac:dyDescent="0.3">
      <c r="A1303" t="s">
        <v>2045</v>
      </c>
      <c r="B1303" t="s">
        <v>2046</v>
      </c>
      <c r="C1303" t="s">
        <v>792</v>
      </c>
      <c r="D1303">
        <v>16366743</v>
      </c>
      <c r="E1303">
        <v>15.51</v>
      </c>
      <c r="F1303">
        <v>5.86</v>
      </c>
    </row>
    <row r="1304" spans="1:6" x14ac:dyDescent="0.3">
      <c r="A1304" t="s">
        <v>2047</v>
      </c>
      <c r="B1304" t="s">
        <v>2048</v>
      </c>
      <c r="C1304" t="s">
        <v>2049</v>
      </c>
      <c r="D1304">
        <v>16369578</v>
      </c>
      <c r="E1304">
        <v>10.99</v>
      </c>
      <c r="F1304">
        <v>6.71</v>
      </c>
    </row>
    <row r="1305" spans="1:6" x14ac:dyDescent="0.3">
      <c r="A1305" t="s">
        <v>2050</v>
      </c>
      <c r="B1305" t="s">
        <v>1050</v>
      </c>
      <c r="C1305" t="s">
        <v>2051</v>
      </c>
      <c r="D1305">
        <v>16408420</v>
      </c>
      <c r="E1305">
        <v>9.8800000000000008</v>
      </c>
      <c r="F1305">
        <v>5.36</v>
      </c>
    </row>
    <row r="1306" spans="1:6" x14ac:dyDescent="0.3">
      <c r="A1306" t="s">
        <v>2052</v>
      </c>
      <c r="B1306" t="s">
        <v>277</v>
      </c>
      <c r="C1306" t="s">
        <v>805</v>
      </c>
      <c r="D1306">
        <v>16412338</v>
      </c>
      <c r="E1306">
        <v>16.23</v>
      </c>
      <c r="F1306">
        <v>6.96</v>
      </c>
    </row>
    <row r="1307" spans="1:6" x14ac:dyDescent="0.3">
      <c r="A1307" t="s">
        <v>1925</v>
      </c>
      <c r="B1307" t="s">
        <v>2053</v>
      </c>
      <c r="C1307" t="s">
        <v>1925</v>
      </c>
      <c r="D1307">
        <v>16441569</v>
      </c>
      <c r="E1307">
        <v>18.350000000000001</v>
      </c>
      <c r="F1307">
        <v>4.55</v>
      </c>
    </row>
    <row r="1308" spans="1:6" x14ac:dyDescent="0.3">
      <c r="A1308" t="s">
        <v>2054</v>
      </c>
      <c r="B1308" t="s">
        <v>2055</v>
      </c>
      <c r="C1308" t="s">
        <v>2056</v>
      </c>
      <c r="D1308">
        <v>16444956</v>
      </c>
      <c r="E1308">
        <v>11.25</v>
      </c>
      <c r="F1308">
        <v>7.25</v>
      </c>
    </row>
    <row r="1309" spans="1:6" x14ac:dyDescent="0.3">
      <c r="A1309" t="s">
        <v>2057</v>
      </c>
      <c r="B1309" t="s">
        <v>2058</v>
      </c>
      <c r="C1309" t="s">
        <v>771</v>
      </c>
      <c r="D1309">
        <v>16456999</v>
      </c>
      <c r="E1309">
        <v>9.4</v>
      </c>
      <c r="F1309">
        <v>7</v>
      </c>
    </row>
    <row r="1310" spans="1:6" x14ac:dyDescent="0.3">
      <c r="A1310" t="s">
        <v>2059</v>
      </c>
      <c r="B1310" t="s">
        <v>665</v>
      </c>
      <c r="C1310" t="s">
        <v>2060</v>
      </c>
      <c r="D1310">
        <v>16469381</v>
      </c>
      <c r="E1310">
        <v>7.86</v>
      </c>
      <c r="F1310">
        <v>5.33</v>
      </c>
    </row>
    <row r="1311" spans="1:6" x14ac:dyDescent="0.3">
      <c r="A1311" t="s">
        <v>2061</v>
      </c>
      <c r="B1311" t="s">
        <v>2062</v>
      </c>
      <c r="C1311" t="s">
        <v>1773</v>
      </c>
      <c r="D1311">
        <v>16500835</v>
      </c>
      <c r="E1311">
        <v>4.5999999999999996</v>
      </c>
      <c r="F1311">
        <v>5.61</v>
      </c>
    </row>
    <row r="1312" spans="1:6" x14ac:dyDescent="0.3">
      <c r="A1312" t="s">
        <v>2063</v>
      </c>
      <c r="B1312" t="s">
        <v>463</v>
      </c>
      <c r="C1312" t="s">
        <v>2064</v>
      </c>
      <c r="D1312">
        <v>16557570</v>
      </c>
      <c r="E1312">
        <v>14.15</v>
      </c>
      <c r="F1312">
        <v>4.92</v>
      </c>
    </row>
    <row r="1313" spans="1:6" x14ac:dyDescent="0.3">
      <c r="A1313" t="s">
        <v>2065</v>
      </c>
      <c r="B1313" t="s">
        <v>1477</v>
      </c>
      <c r="C1313" t="s">
        <v>2066</v>
      </c>
      <c r="D1313">
        <v>16560264</v>
      </c>
      <c r="E1313">
        <v>10.09</v>
      </c>
      <c r="F1313">
        <v>3.5</v>
      </c>
    </row>
    <row r="1314" spans="1:6" x14ac:dyDescent="0.3">
      <c r="A1314" t="s">
        <v>2067</v>
      </c>
      <c r="B1314" t="s">
        <v>1394</v>
      </c>
      <c r="C1314" t="s">
        <v>2068</v>
      </c>
      <c r="D1314">
        <v>16592526</v>
      </c>
      <c r="E1314">
        <v>15.09</v>
      </c>
      <c r="F1314">
        <v>7.92</v>
      </c>
    </row>
    <row r="1315" spans="1:6" x14ac:dyDescent="0.3">
      <c r="A1315" t="s">
        <v>2069</v>
      </c>
      <c r="B1315" t="s">
        <v>2070</v>
      </c>
      <c r="C1315" t="s">
        <v>2071</v>
      </c>
      <c r="D1315">
        <v>16618378</v>
      </c>
      <c r="E1315">
        <v>8.77</v>
      </c>
      <c r="F1315">
        <v>7.5</v>
      </c>
    </row>
    <row r="1316" spans="1:6" x14ac:dyDescent="0.3">
      <c r="A1316" t="s">
        <v>2072</v>
      </c>
      <c r="B1316" t="s">
        <v>2073</v>
      </c>
      <c r="C1316" t="s">
        <v>1300</v>
      </c>
      <c r="D1316">
        <v>16632295</v>
      </c>
      <c r="E1316">
        <v>18</v>
      </c>
      <c r="F1316">
        <v>6.06</v>
      </c>
    </row>
    <row r="1317" spans="1:6" x14ac:dyDescent="0.3">
      <c r="A1317" t="s">
        <v>2074</v>
      </c>
      <c r="B1317" t="s">
        <v>2075</v>
      </c>
      <c r="C1317" t="s">
        <v>2076</v>
      </c>
      <c r="D1317">
        <v>16635624</v>
      </c>
      <c r="E1317">
        <v>12.2</v>
      </c>
      <c r="F1317">
        <v>5.6</v>
      </c>
    </row>
    <row r="1318" spans="1:6" x14ac:dyDescent="0.3">
      <c r="A1318" t="s">
        <v>2077</v>
      </c>
      <c r="B1318" t="s">
        <v>1265</v>
      </c>
      <c r="C1318" t="s">
        <v>1079</v>
      </c>
      <c r="D1318">
        <v>16638282</v>
      </c>
      <c r="E1318">
        <v>15.28</v>
      </c>
      <c r="F1318">
        <v>6.22</v>
      </c>
    </row>
    <row r="1319" spans="1:6" x14ac:dyDescent="0.3">
      <c r="A1319" t="s">
        <v>2078</v>
      </c>
      <c r="B1319" t="s">
        <v>1156</v>
      </c>
      <c r="C1319" t="s">
        <v>2079</v>
      </c>
      <c r="D1319">
        <v>16641182</v>
      </c>
      <c r="E1319">
        <v>7.33</v>
      </c>
      <c r="F1319">
        <v>8.4499999999999993</v>
      </c>
    </row>
    <row r="1320" spans="1:6" x14ac:dyDescent="0.3">
      <c r="A1320" t="s">
        <v>2080</v>
      </c>
      <c r="B1320" t="s">
        <v>2081</v>
      </c>
      <c r="C1320" t="s">
        <v>723</v>
      </c>
      <c r="D1320">
        <v>16642162</v>
      </c>
      <c r="E1320">
        <v>10.6</v>
      </c>
      <c r="F1320">
        <v>7.67</v>
      </c>
    </row>
    <row r="1321" spans="1:6" x14ac:dyDescent="0.3">
      <c r="A1321" t="s">
        <v>2082</v>
      </c>
      <c r="B1321" t="s">
        <v>1807</v>
      </c>
      <c r="C1321" t="s">
        <v>727</v>
      </c>
      <c r="D1321">
        <v>16663553</v>
      </c>
      <c r="E1321">
        <v>14</v>
      </c>
      <c r="F1321">
        <v>5.86</v>
      </c>
    </row>
    <row r="1322" spans="1:6" x14ac:dyDescent="0.3">
      <c r="A1322" t="s">
        <v>1114</v>
      </c>
      <c r="B1322" t="s">
        <v>1576</v>
      </c>
      <c r="C1322" t="s">
        <v>739</v>
      </c>
      <c r="D1322">
        <v>16667379</v>
      </c>
      <c r="E1322">
        <v>6.95</v>
      </c>
      <c r="F1322">
        <v>5.66</v>
      </c>
    </row>
    <row r="1323" spans="1:6" x14ac:dyDescent="0.3">
      <c r="A1323" t="s">
        <v>2083</v>
      </c>
      <c r="B1323" t="s">
        <v>965</v>
      </c>
      <c r="C1323" t="s">
        <v>2083</v>
      </c>
      <c r="D1323">
        <v>16675186</v>
      </c>
      <c r="E1323">
        <v>17.850000000000001</v>
      </c>
      <c r="F1323">
        <v>5.65</v>
      </c>
    </row>
    <row r="1324" spans="1:6" x14ac:dyDescent="0.3">
      <c r="A1324" t="s">
        <v>2084</v>
      </c>
      <c r="B1324" t="s">
        <v>177</v>
      </c>
      <c r="C1324" t="s">
        <v>1787</v>
      </c>
      <c r="D1324">
        <v>16689082</v>
      </c>
      <c r="E1324">
        <v>2.5499999999999998</v>
      </c>
      <c r="F1324">
        <v>6.36</v>
      </c>
    </row>
    <row r="1325" spans="1:6" x14ac:dyDescent="0.3">
      <c r="A1325" t="s">
        <v>2085</v>
      </c>
      <c r="B1325" t="s">
        <v>1127</v>
      </c>
      <c r="C1325" t="s">
        <v>2086</v>
      </c>
      <c r="D1325">
        <v>16695880</v>
      </c>
      <c r="E1325">
        <v>11.55</v>
      </c>
      <c r="F1325">
        <v>5.42</v>
      </c>
    </row>
    <row r="1326" spans="1:6" x14ac:dyDescent="0.3">
      <c r="A1326" t="s">
        <v>2087</v>
      </c>
      <c r="B1326" t="s">
        <v>2088</v>
      </c>
      <c r="C1326" t="s">
        <v>2089</v>
      </c>
      <c r="D1326">
        <v>16703548</v>
      </c>
      <c r="E1326">
        <v>14</v>
      </c>
      <c r="F1326">
        <v>3.5</v>
      </c>
    </row>
    <row r="1327" spans="1:6" x14ac:dyDescent="0.3">
      <c r="A1327" t="s">
        <v>2090</v>
      </c>
      <c r="B1327" t="s">
        <v>1805</v>
      </c>
      <c r="C1327" t="s">
        <v>1203</v>
      </c>
      <c r="D1327">
        <v>16728036</v>
      </c>
      <c r="E1327">
        <v>7</v>
      </c>
      <c r="F1327">
        <v>4</v>
      </c>
    </row>
    <row r="1328" spans="1:6" x14ac:dyDescent="0.3">
      <c r="A1328" t="s">
        <v>2091</v>
      </c>
      <c r="B1328" t="s">
        <v>1666</v>
      </c>
      <c r="C1328" t="s">
        <v>2092</v>
      </c>
      <c r="D1328">
        <v>16732818</v>
      </c>
      <c r="E1328">
        <v>9.1999999999999993</v>
      </c>
      <c r="F1328">
        <v>7.4</v>
      </c>
    </row>
    <row r="1329" spans="1:6" x14ac:dyDescent="0.3">
      <c r="A1329" t="s">
        <v>2093</v>
      </c>
      <c r="B1329" t="s">
        <v>2094</v>
      </c>
      <c r="C1329" t="s">
        <v>1752</v>
      </c>
      <c r="D1329">
        <v>16762658</v>
      </c>
      <c r="E1329">
        <v>15.68</v>
      </c>
      <c r="F1329">
        <v>6.56</v>
      </c>
    </row>
    <row r="1330" spans="1:6" x14ac:dyDescent="0.3">
      <c r="A1330" t="s">
        <v>1129</v>
      </c>
      <c r="B1330" t="s">
        <v>2095</v>
      </c>
      <c r="C1330" t="s">
        <v>1129</v>
      </c>
      <c r="D1330">
        <v>16800341</v>
      </c>
      <c r="E1330">
        <v>9.27</v>
      </c>
      <c r="F1330">
        <v>4.63</v>
      </c>
    </row>
    <row r="1331" spans="1:6" x14ac:dyDescent="0.3">
      <c r="A1331" t="s">
        <v>2096</v>
      </c>
      <c r="B1331" t="s">
        <v>2097</v>
      </c>
      <c r="C1331" t="s">
        <v>1157</v>
      </c>
      <c r="D1331">
        <v>16807085</v>
      </c>
      <c r="E1331">
        <v>8.5</v>
      </c>
      <c r="F1331">
        <v>7</v>
      </c>
    </row>
    <row r="1332" spans="1:6" x14ac:dyDescent="0.3">
      <c r="A1332" t="s">
        <v>2098</v>
      </c>
      <c r="B1332" t="s">
        <v>900</v>
      </c>
      <c r="C1332" t="s">
        <v>1549</v>
      </c>
      <c r="D1332">
        <v>16810830</v>
      </c>
      <c r="E1332">
        <v>15.67</v>
      </c>
      <c r="F1332">
        <v>7.67</v>
      </c>
    </row>
    <row r="1333" spans="1:6" x14ac:dyDescent="0.3">
      <c r="A1333" t="s">
        <v>2099</v>
      </c>
      <c r="B1333" t="s">
        <v>955</v>
      </c>
      <c r="C1333" t="s">
        <v>365</v>
      </c>
      <c r="D1333">
        <v>16811143</v>
      </c>
      <c r="E1333">
        <v>10</v>
      </c>
      <c r="F1333">
        <v>3</v>
      </c>
    </row>
    <row r="1334" spans="1:6" x14ac:dyDescent="0.3">
      <c r="A1334" t="s">
        <v>2100</v>
      </c>
      <c r="B1334" t="s">
        <v>2101</v>
      </c>
      <c r="C1334" t="s">
        <v>1930</v>
      </c>
      <c r="D1334">
        <v>16834458</v>
      </c>
      <c r="E1334">
        <v>12.09</v>
      </c>
      <c r="F1334">
        <v>6.6</v>
      </c>
    </row>
    <row r="1335" spans="1:6" x14ac:dyDescent="0.3">
      <c r="A1335" t="s">
        <v>2102</v>
      </c>
      <c r="B1335" t="s">
        <v>1083</v>
      </c>
      <c r="C1335" t="s">
        <v>2103</v>
      </c>
      <c r="D1335">
        <v>16854313</v>
      </c>
      <c r="E1335">
        <v>6.09</v>
      </c>
      <c r="F1335">
        <v>5.2</v>
      </c>
    </row>
    <row r="1336" spans="1:6" x14ac:dyDescent="0.3">
      <c r="A1336" t="s">
        <v>2104</v>
      </c>
      <c r="B1336" t="s">
        <v>1911</v>
      </c>
      <c r="C1336" t="s">
        <v>739</v>
      </c>
      <c r="D1336">
        <v>16856581</v>
      </c>
      <c r="E1336">
        <v>13.57</v>
      </c>
      <c r="F1336">
        <v>6.86</v>
      </c>
    </row>
    <row r="1337" spans="1:6" x14ac:dyDescent="0.3">
      <c r="A1337" t="s">
        <v>2066</v>
      </c>
      <c r="B1337" t="s">
        <v>1847</v>
      </c>
      <c r="C1337" t="s">
        <v>2066</v>
      </c>
      <c r="D1337">
        <v>16881205</v>
      </c>
      <c r="E1337">
        <v>6.22</v>
      </c>
      <c r="F1337">
        <v>6.86</v>
      </c>
    </row>
    <row r="1338" spans="1:6" x14ac:dyDescent="0.3">
      <c r="A1338" t="s">
        <v>2105</v>
      </c>
      <c r="B1338" t="s">
        <v>709</v>
      </c>
      <c r="C1338" t="s">
        <v>896</v>
      </c>
      <c r="D1338">
        <v>16881296</v>
      </c>
      <c r="E1338">
        <v>7.13</v>
      </c>
      <c r="F1338">
        <v>4.5999999999999996</v>
      </c>
    </row>
    <row r="1339" spans="1:6" x14ac:dyDescent="0.3">
      <c r="A1339" t="s">
        <v>2106</v>
      </c>
      <c r="B1339" t="s">
        <v>1276</v>
      </c>
      <c r="C1339" t="s">
        <v>2107</v>
      </c>
      <c r="D1339">
        <v>16883348</v>
      </c>
      <c r="E1339">
        <v>12.02</v>
      </c>
      <c r="F1339">
        <v>5.27</v>
      </c>
    </row>
    <row r="1340" spans="1:6" x14ac:dyDescent="0.3">
      <c r="A1340" t="s">
        <v>1081</v>
      </c>
      <c r="B1340" t="s">
        <v>2108</v>
      </c>
      <c r="C1340" t="s">
        <v>1925</v>
      </c>
      <c r="D1340">
        <v>16953623</v>
      </c>
      <c r="E1340">
        <v>11.03</v>
      </c>
      <c r="F1340">
        <v>7.83</v>
      </c>
    </row>
    <row r="1341" spans="1:6" x14ac:dyDescent="0.3">
      <c r="A1341" t="s">
        <v>2109</v>
      </c>
      <c r="B1341" t="s">
        <v>1210</v>
      </c>
      <c r="C1341" t="s">
        <v>2110</v>
      </c>
      <c r="D1341">
        <v>16961247</v>
      </c>
      <c r="E1341">
        <v>9</v>
      </c>
      <c r="F1341">
        <v>7.5</v>
      </c>
    </row>
    <row r="1342" spans="1:6" x14ac:dyDescent="0.3">
      <c r="A1342" t="s">
        <v>2111</v>
      </c>
      <c r="B1342" t="s">
        <v>1642</v>
      </c>
      <c r="C1342" t="s">
        <v>2112</v>
      </c>
      <c r="D1342">
        <v>16964413</v>
      </c>
      <c r="E1342">
        <v>7.38</v>
      </c>
      <c r="F1342">
        <v>7.25</v>
      </c>
    </row>
    <row r="1343" spans="1:6" x14ac:dyDescent="0.3">
      <c r="A1343" t="s">
        <v>2113</v>
      </c>
      <c r="B1343" t="s">
        <v>1663</v>
      </c>
      <c r="C1343" t="s">
        <v>1651</v>
      </c>
      <c r="D1343">
        <v>17010838</v>
      </c>
      <c r="E1343">
        <v>7.8</v>
      </c>
      <c r="F1343">
        <v>6.13</v>
      </c>
    </row>
    <row r="1344" spans="1:6" x14ac:dyDescent="0.3">
      <c r="A1344" t="s">
        <v>2114</v>
      </c>
      <c r="B1344" t="s">
        <v>1227</v>
      </c>
      <c r="C1344" t="s">
        <v>2066</v>
      </c>
      <c r="D1344">
        <v>17013102</v>
      </c>
      <c r="E1344">
        <v>12.85</v>
      </c>
      <c r="F1344">
        <v>7.17</v>
      </c>
    </row>
    <row r="1345" spans="1:6" x14ac:dyDescent="0.3">
      <c r="A1345" t="s">
        <v>2115</v>
      </c>
      <c r="B1345" t="s">
        <v>790</v>
      </c>
      <c r="C1345" t="s">
        <v>2116</v>
      </c>
      <c r="D1345">
        <v>17021645</v>
      </c>
      <c r="E1345">
        <v>15.67</v>
      </c>
      <c r="F1345">
        <v>5.67</v>
      </c>
    </row>
    <row r="1346" spans="1:6" x14ac:dyDescent="0.3">
      <c r="A1346" t="s">
        <v>2110</v>
      </c>
      <c r="B1346" t="s">
        <v>513</v>
      </c>
      <c r="C1346" t="s">
        <v>2110</v>
      </c>
      <c r="D1346">
        <v>17042469</v>
      </c>
      <c r="E1346">
        <v>16.55</v>
      </c>
      <c r="F1346">
        <v>7.21</v>
      </c>
    </row>
    <row r="1347" spans="1:6" x14ac:dyDescent="0.3">
      <c r="A1347" t="s">
        <v>2117</v>
      </c>
      <c r="B1347" t="s">
        <v>1892</v>
      </c>
      <c r="C1347" t="s">
        <v>1549</v>
      </c>
      <c r="D1347">
        <v>17055900</v>
      </c>
      <c r="E1347">
        <v>14.87</v>
      </c>
      <c r="F1347">
        <v>4.88</v>
      </c>
    </row>
    <row r="1348" spans="1:6" x14ac:dyDescent="0.3">
      <c r="A1348" t="s">
        <v>2118</v>
      </c>
      <c r="B1348" t="s">
        <v>1068</v>
      </c>
      <c r="C1348" t="s">
        <v>782</v>
      </c>
      <c r="D1348">
        <v>17077997</v>
      </c>
      <c r="E1348">
        <v>15</v>
      </c>
      <c r="F1348">
        <v>5</v>
      </c>
    </row>
    <row r="1349" spans="1:6" x14ac:dyDescent="0.3">
      <c r="A1349" t="s">
        <v>2066</v>
      </c>
      <c r="B1349" t="s">
        <v>1834</v>
      </c>
      <c r="C1349" t="s">
        <v>2066</v>
      </c>
      <c r="D1349">
        <v>17097770</v>
      </c>
      <c r="E1349">
        <v>7.6</v>
      </c>
      <c r="F1349">
        <v>6.75</v>
      </c>
    </row>
    <row r="1350" spans="1:6" x14ac:dyDescent="0.3">
      <c r="A1350" t="s">
        <v>2119</v>
      </c>
      <c r="B1350" t="s">
        <v>2120</v>
      </c>
      <c r="C1350" t="s">
        <v>1995</v>
      </c>
      <c r="D1350">
        <v>17103575</v>
      </c>
      <c r="E1350">
        <v>14.36</v>
      </c>
      <c r="F1350">
        <v>6.37</v>
      </c>
    </row>
    <row r="1351" spans="1:6" x14ac:dyDescent="0.3">
      <c r="A1351" t="s">
        <v>2121</v>
      </c>
      <c r="B1351" t="s">
        <v>1127</v>
      </c>
      <c r="C1351" t="s">
        <v>175</v>
      </c>
      <c r="D1351">
        <v>17152805</v>
      </c>
      <c r="E1351">
        <v>6.43</v>
      </c>
      <c r="F1351">
        <v>7.17</v>
      </c>
    </row>
    <row r="1352" spans="1:6" x14ac:dyDescent="0.3">
      <c r="A1352" t="s">
        <v>2122</v>
      </c>
      <c r="B1352" t="s">
        <v>1276</v>
      </c>
      <c r="C1352" t="s">
        <v>1205</v>
      </c>
      <c r="D1352">
        <v>17169423</v>
      </c>
      <c r="E1352">
        <v>9.82</v>
      </c>
      <c r="F1352">
        <v>8.1199999999999992</v>
      </c>
    </row>
    <row r="1353" spans="1:6" x14ac:dyDescent="0.3">
      <c r="A1353" t="s">
        <v>627</v>
      </c>
      <c r="B1353" t="s">
        <v>1926</v>
      </c>
      <c r="C1353" t="s">
        <v>2004</v>
      </c>
      <c r="D1353">
        <v>17198070</v>
      </c>
      <c r="E1353">
        <v>16.25</v>
      </c>
      <c r="F1353">
        <v>5.88</v>
      </c>
    </row>
    <row r="1354" spans="1:6" x14ac:dyDescent="0.3">
      <c r="A1354" t="s">
        <v>2123</v>
      </c>
      <c r="B1354" t="s">
        <v>2124</v>
      </c>
      <c r="C1354" t="s">
        <v>1549</v>
      </c>
      <c r="D1354">
        <v>17200328</v>
      </c>
      <c r="E1354">
        <v>8.5</v>
      </c>
      <c r="F1354">
        <v>5</v>
      </c>
    </row>
    <row r="1355" spans="1:6" x14ac:dyDescent="0.3">
      <c r="A1355" t="s">
        <v>2125</v>
      </c>
      <c r="B1355" t="s">
        <v>2126</v>
      </c>
      <c r="C1355" t="s">
        <v>2092</v>
      </c>
      <c r="D1355">
        <v>17202440</v>
      </c>
      <c r="E1355">
        <v>8</v>
      </c>
      <c r="F1355">
        <v>5.57</v>
      </c>
    </row>
    <row r="1356" spans="1:6" x14ac:dyDescent="0.3">
      <c r="A1356" t="s">
        <v>2127</v>
      </c>
      <c r="B1356" t="s">
        <v>1554</v>
      </c>
      <c r="C1356" t="s">
        <v>2089</v>
      </c>
      <c r="D1356">
        <v>17217389</v>
      </c>
      <c r="E1356">
        <v>19.96</v>
      </c>
      <c r="F1356">
        <v>5.17</v>
      </c>
    </row>
    <row r="1357" spans="1:6" x14ac:dyDescent="0.3">
      <c r="A1357" t="s">
        <v>2128</v>
      </c>
      <c r="B1357" t="s">
        <v>2129</v>
      </c>
      <c r="C1357" t="s">
        <v>1579</v>
      </c>
      <c r="D1357">
        <v>17220661</v>
      </c>
      <c r="E1357">
        <v>12.4</v>
      </c>
      <c r="F1357">
        <v>5.5</v>
      </c>
    </row>
    <row r="1358" spans="1:6" x14ac:dyDescent="0.3">
      <c r="A1358" t="s">
        <v>2130</v>
      </c>
      <c r="B1358" t="s">
        <v>277</v>
      </c>
      <c r="C1358" t="s">
        <v>2131</v>
      </c>
      <c r="D1358">
        <v>17225176</v>
      </c>
      <c r="E1358">
        <v>15.83</v>
      </c>
      <c r="F1358">
        <v>5.77</v>
      </c>
    </row>
    <row r="1359" spans="1:6" x14ac:dyDescent="0.3">
      <c r="A1359" t="s">
        <v>2132</v>
      </c>
      <c r="B1359" t="s">
        <v>2133</v>
      </c>
      <c r="C1359" t="s">
        <v>2112</v>
      </c>
      <c r="D1359">
        <v>17233618</v>
      </c>
      <c r="E1359">
        <v>6.33</v>
      </c>
      <c r="F1359">
        <v>6.72</v>
      </c>
    </row>
    <row r="1360" spans="1:6" x14ac:dyDescent="0.3">
      <c r="A1360" t="s">
        <v>2134</v>
      </c>
      <c r="B1360" t="s">
        <v>1108</v>
      </c>
      <c r="C1360" t="s">
        <v>2135</v>
      </c>
      <c r="D1360">
        <v>17235008</v>
      </c>
      <c r="E1360">
        <v>3.11</v>
      </c>
      <c r="F1360">
        <v>6.91</v>
      </c>
    </row>
    <row r="1361" spans="1:6" x14ac:dyDescent="0.3">
      <c r="A1361" t="s">
        <v>2136</v>
      </c>
      <c r="B1361" t="s">
        <v>1547</v>
      </c>
      <c r="C1361" t="s">
        <v>2137</v>
      </c>
      <c r="D1361">
        <v>17238082</v>
      </c>
      <c r="E1361">
        <v>11.25</v>
      </c>
      <c r="F1361">
        <v>6.71</v>
      </c>
    </row>
    <row r="1362" spans="1:6" x14ac:dyDescent="0.3">
      <c r="A1362" t="s">
        <v>2138</v>
      </c>
      <c r="B1362" t="s">
        <v>1962</v>
      </c>
      <c r="C1362" t="s">
        <v>2066</v>
      </c>
      <c r="D1362">
        <v>17238943</v>
      </c>
      <c r="E1362">
        <v>8.25</v>
      </c>
      <c r="F1362">
        <v>2.75</v>
      </c>
    </row>
    <row r="1363" spans="1:6" x14ac:dyDescent="0.3">
      <c r="A1363" t="s">
        <v>2139</v>
      </c>
      <c r="B1363" t="s">
        <v>1131</v>
      </c>
      <c r="C1363" t="s">
        <v>966</v>
      </c>
      <c r="D1363">
        <v>17242817</v>
      </c>
      <c r="E1363">
        <v>11.9</v>
      </c>
      <c r="F1363">
        <v>6.5</v>
      </c>
    </row>
    <row r="1364" spans="1:6" x14ac:dyDescent="0.3">
      <c r="A1364" t="s">
        <v>2140</v>
      </c>
      <c r="B1364" t="s">
        <v>1223</v>
      </c>
      <c r="C1364" t="s">
        <v>1093</v>
      </c>
      <c r="D1364">
        <v>17246196</v>
      </c>
      <c r="E1364">
        <v>14.22</v>
      </c>
      <c r="F1364">
        <v>6.11</v>
      </c>
    </row>
    <row r="1365" spans="1:6" x14ac:dyDescent="0.3">
      <c r="A1365" t="s">
        <v>2141</v>
      </c>
      <c r="B1365" t="s">
        <v>567</v>
      </c>
      <c r="C1365" t="s">
        <v>2142</v>
      </c>
      <c r="D1365">
        <v>17312229</v>
      </c>
      <c r="E1365">
        <v>17.3</v>
      </c>
      <c r="F1365">
        <v>5.43</v>
      </c>
    </row>
    <row r="1366" spans="1:6" x14ac:dyDescent="0.3">
      <c r="A1366" t="s">
        <v>2143</v>
      </c>
      <c r="B1366" t="s">
        <v>1048</v>
      </c>
      <c r="C1366" t="s">
        <v>771</v>
      </c>
      <c r="D1366">
        <v>17351478</v>
      </c>
      <c r="E1366">
        <v>4.3099999999999996</v>
      </c>
      <c r="F1366">
        <v>6.13</v>
      </c>
    </row>
    <row r="1367" spans="1:6" x14ac:dyDescent="0.3">
      <c r="A1367" t="s">
        <v>2144</v>
      </c>
      <c r="B1367" t="s">
        <v>2145</v>
      </c>
      <c r="C1367" t="s">
        <v>1803</v>
      </c>
      <c r="D1367">
        <v>17354422</v>
      </c>
      <c r="E1367">
        <v>7.08</v>
      </c>
      <c r="F1367">
        <v>6.29</v>
      </c>
    </row>
    <row r="1368" spans="1:6" x14ac:dyDescent="0.3">
      <c r="A1368" t="s">
        <v>2146</v>
      </c>
      <c r="B1368" t="s">
        <v>1576</v>
      </c>
      <c r="C1368" t="s">
        <v>379</v>
      </c>
      <c r="D1368">
        <v>17367022</v>
      </c>
      <c r="E1368">
        <v>10.86</v>
      </c>
      <c r="F1368">
        <v>6.5</v>
      </c>
    </row>
    <row r="1369" spans="1:6" x14ac:dyDescent="0.3">
      <c r="A1369" t="s">
        <v>2147</v>
      </c>
      <c r="B1369" t="s">
        <v>96</v>
      </c>
      <c r="C1369" t="s">
        <v>1129</v>
      </c>
      <c r="D1369">
        <v>17382902</v>
      </c>
      <c r="E1369">
        <v>15.58</v>
      </c>
      <c r="F1369">
        <v>7</v>
      </c>
    </row>
    <row r="1370" spans="1:6" x14ac:dyDescent="0.3">
      <c r="A1370" t="s">
        <v>950</v>
      </c>
      <c r="B1370" t="s">
        <v>2148</v>
      </c>
      <c r="C1370" t="s">
        <v>950</v>
      </c>
      <c r="D1370">
        <v>17394407</v>
      </c>
      <c r="E1370">
        <v>7</v>
      </c>
      <c r="F1370">
        <v>5.33</v>
      </c>
    </row>
    <row r="1371" spans="1:6" x14ac:dyDescent="0.3">
      <c r="A1371" t="s">
        <v>2149</v>
      </c>
      <c r="B1371" t="s">
        <v>1742</v>
      </c>
      <c r="C1371" t="s">
        <v>1300</v>
      </c>
      <c r="D1371">
        <v>17437314</v>
      </c>
      <c r="E1371">
        <v>14.11</v>
      </c>
      <c r="F1371">
        <v>4.67</v>
      </c>
    </row>
    <row r="1372" spans="1:6" x14ac:dyDescent="0.3">
      <c r="A1372" t="s">
        <v>2150</v>
      </c>
      <c r="B1372" t="s">
        <v>849</v>
      </c>
      <c r="C1372" t="s">
        <v>1317</v>
      </c>
      <c r="D1372">
        <v>17477256</v>
      </c>
      <c r="E1372">
        <v>6.8</v>
      </c>
      <c r="F1372">
        <v>5.57</v>
      </c>
    </row>
    <row r="1373" spans="1:6" x14ac:dyDescent="0.3">
      <c r="A1373" t="s">
        <v>2066</v>
      </c>
      <c r="B1373" t="s">
        <v>2151</v>
      </c>
      <c r="C1373" t="s">
        <v>2066</v>
      </c>
      <c r="D1373">
        <v>17482853</v>
      </c>
      <c r="E1373">
        <v>6.25</v>
      </c>
      <c r="F1373">
        <v>6.67</v>
      </c>
    </row>
    <row r="1374" spans="1:6" x14ac:dyDescent="0.3">
      <c r="A1374" t="s">
        <v>2152</v>
      </c>
      <c r="B1374" t="s">
        <v>2153</v>
      </c>
      <c r="C1374" t="s">
        <v>2154</v>
      </c>
      <c r="D1374">
        <v>17497056</v>
      </c>
      <c r="E1374">
        <v>15.72</v>
      </c>
      <c r="F1374">
        <v>5.8</v>
      </c>
    </row>
    <row r="1375" spans="1:6" x14ac:dyDescent="0.3">
      <c r="A1375" t="s">
        <v>2155</v>
      </c>
      <c r="B1375" t="s">
        <v>1627</v>
      </c>
      <c r="C1375" t="s">
        <v>2156</v>
      </c>
      <c r="D1375">
        <v>17497369</v>
      </c>
      <c r="E1375">
        <v>13.45</v>
      </c>
      <c r="F1375">
        <v>6.22</v>
      </c>
    </row>
    <row r="1376" spans="1:6" x14ac:dyDescent="0.3">
      <c r="A1376" t="s">
        <v>2157</v>
      </c>
      <c r="B1376" t="s">
        <v>1980</v>
      </c>
      <c r="C1376" t="s">
        <v>12</v>
      </c>
      <c r="D1376">
        <v>17501971</v>
      </c>
      <c r="E1376">
        <v>12.2</v>
      </c>
      <c r="F1376">
        <v>5.33</v>
      </c>
    </row>
    <row r="1377" spans="1:6" x14ac:dyDescent="0.3">
      <c r="A1377" t="s">
        <v>2158</v>
      </c>
      <c r="B1377" t="s">
        <v>548</v>
      </c>
      <c r="C1377" t="s">
        <v>1647</v>
      </c>
      <c r="D1377">
        <v>17518686</v>
      </c>
      <c r="E1377">
        <v>8.74</v>
      </c>
      <c r="F1377">
        <v>6.32</v>
      </c>
    </row>
    <row r="1378" spans="1:6" x14ac:dyDescent="0.3">
      <c r="A1378" t="s">
        <v>2159</v>
      </c>
      <c r="B1378" t="s">
        <v>712</v>
      </c>
      <c r="C1378" t="s">
        <v>121</v>
      </c>
      <c r="D1378">
        <v>17524973</v>
      </c>
      <c r="E1378">
        <v>11.75</v>
      </c>
      <c r="F1378">
        <v>6</v>
      </c>
    </row>
    <row r="1379" spans="1:6" x14ac:dyDescent="0.3">
      <c r="A1379" t="s">
        <v>2160</v>
      </c>
      <c r="B1379" t="s">
        <v>2161</v>
      </c>
      <c r="C1379" t="s">
        <v>1116</v>
      </c>
      <c r="D1379">
        <v>17527775</v>
      </c>
      <c r="E1379">
        <v>7.61</v>
      </c>
      <c r="F1379">
        <v>6.71</v>
      </c>
    </row>
    <row r="1380" spans="1:6" x14ac:dyDescent="0.3">
      <c r="A1380" t="s">
        <v>2162</v>
      </c>
      <c r="B1380" t="s">
        <v>2163</v>
      </c>
      <c r="C1380" t="s">
        <v>2164</v>
      </c>
      <c r="D1380">
        <v>17569606</v>
      </c>
      <c r="E1380">
        <v>9.14</v>
      </c>
      <c r="F1380">
        <v>6</v>
      </c>
    </row>
    <row r="1381" spans="1:6" x14ac:dyDescent="0.3">
      <c r="A1381" t="s">
        <v>2165</v>
      </c>
      <c r="B1381" t="s">
        <v>2166</v>
      </c>
      <c r="C1381" t="s">
        <v>2167</v>
      </c>
      <c r="D1381">
        <v>17606039</v>
      </c>
      <c r="E1381">
        <v>11.37</v>
      </c>
      <c r="F1381">
        <v>6.17</v>
      </c>
    </row>
    <row r="1382" spans="1:6" x14ac:dyDescent="0.3">
      <c r="A1382" t="s">
        <v>2168</v>
      </c>
      <c r="B1382" t="s">
        <v>1605</v>
      </c>
      <c r="C1382" t="s">
        <v>2169</v>
      </c>
      <c r="D1382">
        <v>17614912</v>
      </c>
      <c r="E1382">
        <v>10.199999999999999</v>
      </c>
      <c r="F1382">
        <v>8</v>
      </c>
    </row>
    <row r="1383" spans="1:6" x14ac:dyDescent="0.3">
      <c r="A1383" t="s">
        <v>2170</v>
      </c>
      <c r="B1383" t="s">
        <v>2171</v>
      </c>
      <c r="C1383" t="s">
        <v>859</v>
      </c>
      <c r="D1383">
        <v>17683166</v>
      </c>
      <c r="E1383">
        <v>19.329999999999998</v>
      </c>
      <c r="F1383">
        <v>3.89</v>
      </c>
    </row>
    <row r="1384" spans="1:6" x14ac:dyDescent="0.3">
      <c r="A1384" t="s">
        <v>2172</v>
      </c>
      <c r="B1384" t="s">
        <v>2173</v>
      </c>
      <c r="C1384" t="s">
        <v>1606</v>
      </c>
      <c r="D1384">
        <v>17693933</v>
      </c>
      <c r="E1384">
        <v>9.57</v>
      </c>
      <c r="F1384">
        <v>5.17</v>
      </c>
    </row>
    <row r="1385" spans="1:6" x14ac:dyDescent="0.3">
      <c r="A1385" t="s">
        <v>2174</v>
      </c>
      <c r="B1385" t="s">
        <v>1824</v>
      </c>
      <c r="C1385" t="s">
        <v>39</v>
      </c>
      <c r="D1385">
        <v>17711004</v>
      </c>
      <c r="E1385">
        <v>23.89</v>
      </c>
      <c r="F1385">
        <v>6.13</v>
      </c>
    </row>
    <row r="1386" spans="1:6" x14ac:dyDescent="0.3">
      <c r="A1386" t="s">
        <v>2175</v>
      </c>
      <c r="B1386" t="s">
        <v>1513</v>
      </c>
      <c r="C1386" t="s">
        <v>2176</v>
      </c>
      <c r="D1386">
        <v>17784701</v>
      </c>
      <c r="E1386">
        <v>7.33</v>
      </c>
      <c r="F1386">
        <v>6.8</v>
      </c>
    </row>
    <row r="1387" spans="1:6" x14ac:dyDescent="0.3">
      <c r="A1387" t="s">
        <v>2177</v>
      </c>
      <c r="B1387" t="s">
        <v>1990</v>
      </c>
      <c r="C1387" t="s">
        <v>1803</v>
      </c>
      <c r="D1387">
        <v>17796070</v>
      </c>
      <c r="E1387">
        <v>8.6999999999999993</v>
      </c>
      <c r="F1387">
        <v>6.26</v>
      </c>
    </row>
    <row r="1388" spans="1:6" x14ac:dyDescent="0.3">
      <c r="A1388" t="s">
        <v>2178</v>
      </c>
      <c r="B1388" t="s">
        <v>412</v>
      </c>
      <c r="C1388" t="s">
        <v>1719</v>
      </c>
      <c r="D1388">
        <v>17798873</v>
      </c>
      <c r="E1388">
        <v>7.32</v>
      </c>
      <c r="F1388">
        <v>5.14</v>
      </c>
    </row>
    <row r="1389" spans="1:6" x14ac:dyDescent="0.3">
      <c r="A1389" t="s">
        <v>1200</v>
      </c>
      <c r="B1389" t="s">
        <v>2179</v>
      </c>
      <c r="C1389" t="s">
        <v>1200</v>
      </c>
      <c r="D1389">
        <v>17821245</v>
      </c>
      <c r="E1389">
        <v>10.6</v>
      </c>
      <c r="F1389">
        <v>5.6</v>
      </c>
    </row>
    <row r="1390" spans="1:6" x14ac:dyDescent="0.3">
      <c r="A1390" t="s">
        <v>2180</v>
      </c>
      <c r="B1390" t="s">
        <v>1322</v>
      </c>
      <c r="C1390" t="s">
        <v>2181</v>
      </c>
      <c r="D1390">
        <v>17830567</v>
      </c>
      <c r="E1390">
        <v>7.24</v>
      </c>
      <c r="F1390">
        <v>7.28</v>
      </c>
    </row>
    <row r="1391" spans="1:6" x14ac:dyDescent="0.3">
      <c r="A1391" t="s">
        <v>2182</v>
      </c>
      <c r="B1391" t="s">
        <v>965</v>
      </c>
      <c r="C1391" t="s">
        <v>1329</v>
      </c>
      <c r="D1391">
        <v>17850739</v>
      </c>
      <c r="E1391">
        <v>15.98</v>
      </c>
      <c r="F1391">
        <v>5.5</v>
      </c>
    </row>
    <row r="1392" spans="1:6" x14ac:dyDescent="0.3">
      <c r="A1392" t="s">
        <v>2183</v>
      </c>
      <c r="B1392" t="s">
        <v>91</v>
      </c>
      <c r="C1392" t="s">
        <v>2184</v>
      </c>
      <c r="D1392">
        <v>17924880</v>
      </c>
      <c r="E1392">
        <v>6.23</v>
      </c>
      <c r="F1392">
        <v>7.41</v>
      </c>
    </row>
    <row r="1393" spans="1:6" x14ac:dyDescent="0.3">
      <c r="A1393" t="s">
        <v>2185</v>
      </c>
      <c r="B1393" t="s">
        <v>1547</v>
      </c>
      <c r="C1393" t="s">
        <v>1537</v>
      </c>
      <c r="D1393">
        <v>17956072</v>
      </c>
      <c r="E1393">
        <v>14.32</v>
      </c>
      <c r="F1393">
        <v>5.71</v>
      </c>
    </row>
    <row r="1394" spans="1:6" x14ac:dyDescent="0.3">
      <c r="A1394" t="s">
        <v>2186</v>
      </c>
      <c r="B1394" t="s">
        <v>796</v>
      </c>
      <c r="C1394" t="s">
        <v>28</v>
      </c>
      <c r="D1394">
        <v>17956486</v>
      </c>
      <c r="E1394">
        <v>12.7</v>
      </c>
      <c r="F1394">
        <v>5.87</v>
      </c>
    </row>
    <row r="1395" spans="1:6" x14ac:dyDescent="0.3">
      <c r="A1395" t="s">
        <v>2187</v>
      </c>
      <c r="B1395" t="s">
        <v>822</v>
      </c>
      <c r="C1395" t="s">
        <v>1001</v>
      </c>
      <c r="D1395">
        <v>17971218</v>
      </c>
      <c r="E1395">
        <v>16.27</v>
      </c>
      <c r="F1395">
        <v>7.57</v>
      </c>
    </row>
    <row r="1396" spans="1:6" x14ac:dyDescent="0.3">
      <c r="A1396" t="s">
        <v>2188</v>
      </c>
      <c r="B1396" t="s">
        <v>1477</v>
      </c>
      <c r="C1396" t="s">
        <v>2189</v>
      </c>
      <c r="D1396">
        <v>17976837</v>
      </c>
      <c r="E1396">
        <v>10.4</v>
      </c>
      <c r="F1396">
        <v>5.7</v>
      </c>
    </row>
    <row r="1397" spans="1:6" x14ac:dyDescent="0.3">
      <c r="A1397" t="s">
        <v>2190</v>
      </c>
      <c r="B1397" t="s">
        <v>1744</v>
      </c>
      <c r="C1397" t="s">
        <v>505</v>
      </c>
      <c r="D1397">
        <v>17985332</v>
      </c>
      <c r="E1397">
        <v>7.67</v>
      </c>
      <c r="F1397">
        <v>6.86</v>
      </c>
    </row>
    <row r="1398" spans="1:6" x14ac:dyDescent="0.3">
      <c r="A1398" t="s">
        <v>2191</v>
      </c>
      <c r="B1398" t="s">
        <v>1144</v>
      </c>
      <c r="C1398" t="s">
        <v>9</v>
      </c>
      <c r="D1398">
        <v>17988770</v>
      </c>
      <c r="E1398">
        <v>19</v>
      </c>
      <c r="F1398">
        <v>5</v>
      </c>
    </row>
    <row r="1399" spans="1:6" x14ac:dyDescent="0.3">
      <c r="A1399" t="s">
        <v>2192</v>
      </c>
      <c r="B1399" t="s">
        <v>2193</v>
      </c>
      <c r="C1399" t="s">
        <v>2192</v>
      </c>
      <c r="D1399">
        <v>18025697</v>
      </c>
      <c r="E1399">
        <v>5.23</v>
      </c>
      <c r="F1399">
        <v>5.87</v>
      </c>
    </row>
    <row r="1400" spans="1:6" x14ac:dyDescent="0.3">
      <c r="A1400" t="s">
        <v>2194</v>
      </c>
      <c r="B1400" t="s">
        <v>1219</v>
      </c>
      <c r="C1400" t="s">
        <v>2195</v>
      </c>
      <c r="D1400">
        <v>18059872</v>
      </c>
      <c r="E1400">
        <v>7.08</v>
      </c>
      <c r="F1400">
        <v>5.6</v>
      </c>
    </row>
    <row r="1401" spans="1:6" x14ac:dyDescent="0.3">
      <c r="A1401" t="s">
        <v>2196</v>
      </c>
      <c r="B1401" t="s">
        <v>1725</v>
      </c>
      <c r="C1401" t="s">
        <v>1165</v>
      </c>
      <c r="D1401">
        <v>18061862</v>
      </c>
      <c r="E1401">
        <v>15.75</v>
      </c>
      <c r="F1401">
        <v>6.25</v>
      </c>
    </row>
    <row r="1402" spans="1:6" x14ac:dyDescent="0.3">
      <c r="A1402" t="s">
        <v>2197</v>
      </c>
      <c r="B1402" t="s">
        <v>1477</v>
      </c>
      <c r="C1402" t="s">
        <v>1925</v>
      </c>
      <c r="D1402">
        <v>18065739</v>
      </c>
      <c r="E1402">
        <v>6.97</v>
      </c>
      <c r="F1402">
        <v>5.67</v>
      </c>
    </row>
    <row r="1403" spans="1:6" x14ac:dyDescent="0.3">
      <c r="A1403" t="s">
        <v>2198</v>
      </c>
      <c r="B1403" t="s">
        <v>2199</v>
      </c>
      <c r="C1403" t="s">
        <v>987</v>
      </c>
      <c r="D1403">
        <v>18135848</v>
      </c>
      <c r="E1403">
        <v>8.56</v>
      </c>
      <c r="F1403">
        <v>5.89</v>
      </c>
    </row>
    <row r="1404" spans="1:6" x14ac:dyDescent="0.3">
      <c r="A1404" t="s">
        <v>2200</v>
      </c>
      <c r="B1404" t="s">
        <v>1655</v>
      </c>
      <c r="C1404" t="s">
        <v>966</v>
      </c>
      <c r="D1404">
        <v>18156693</v>
      </c>
      <c r="E1404">
        <v>13.47</v>
      </c>
      <c r="F1404">
        <v>8.65</v>
      </c>
    </row>
    <row r="1405" spans="1:6" x14ac:dyDescent="0.3">
      <c r="A1405" t="s">
        <v>2201</v>
      </c>
      <c r="B1405" t="s">
        <v>2151</v>
      </c>
      <c r="C1405" t="s">
        <v>2202</v>
      </c>
      <c r="D1405">
        <v>18161804</v>
      </c>
      <c r="E1405">
        <v>7.67</v>
      </c>
      <c r="F1405">
        <v>7</v>
      </c>
    </row>
    <row r="1406" spans="1:6" x14ac:dyDescent="0.3">
      <c r="A1406" t="s">
        <v>1555</v>
      </c>
      <c r="B1406" t="s">
        <v>2203</v>
      </c>
      <c r="C1406" t="s">
        <v>1555</v>
      </c>
      <c r="D1406">
        <v>18192141</v>
      </c>
      <c r="E1406">
        <v>9.33</v>
      </c>
      <c r="F1406">
        <v>4.8</v>
      </c>
    </row>
    <row r="1407" spans="1:6" x14ac:dyDescent="0.3">
      <c r="A1407" t="s">
        <v>2204</v>
      </c>
      <c r="B1407" t="s">
        <v>2205</v>
      </c>
      <c r="C1407" t="s">
        <v>1341</v>
      </c>
      <c r="D1407">
        <v>18226365</v>
      </c>
      <c r="E1407">
        <v>12.5</v>
      </c>
      <c r="F1407">
        <v>6.75</v>
      </c>
    </row>
    <row r="1408" spans="1:6" x14ac:dyDescent="0.3">
      <c r="A1408" t="s">
        <v>2206</v>
      </c>
      <c r="B1408" t="s">
        <v>1901</v>
      </c>
      <c r="C1408" t="s">
        <v>949</v>
      </c>
      <c r="D1408">
        <v>18230693</v>
      </c>
      <c r="E1408">
        <v>3.79</v>
      </c>
      <c r="F1408">
        <v>6</v>
      </c>
    </row>
    <row r="1409" spans="1:6" x14ac:dyDescent="0.3">
      <c r="A1409" t="s">
        <v>2207</v>
      </c>
      <c r="B1409" t="s">
        <v>1415</v>
      </c>
      <c r="C1409" t="s">
        <v>9</v>
      </c>
      <c r="D1409">
        <v>18240610</v>
      </c>
      <c r="E1409">
        <v>14.95</v>
      </c>
      <c r="F1409">
        <v>5.56</v>
      </c>
    </row>
    <row r="1410" spans="1:6" x14ac:dyDescent="0.3">
      <c r="A1410" t="s">
        <v>2208</v>
      </c>
      <c r="B1410" t="s">
        <v>2209</v>
      </c>
      <c r="C1410" t="s">
        <v>2135</v>
      </c>
      <c r="D1410">
        <v>18269713</v>
      </c>
      <c r="E1410">
        <v>10.89</v>
      </c>
      <c r="F1410">
        <v>4.87</v>
      </c>
    </row>
    <row r="1411" spans="1:6" x14ac:dyDescent="0.3">
      <c r="A1411" t="s">
        <v>2210</v>
      </c>
      <c r="B1411" t="s">
        <v>808</v>
      </c>
      <c r="C1411" t="s">
        <v>227</v>
      </c>
      <c r="D1411">
        <v>18286611</v>
      </c>
      <c r="E1411">
        <v>17.77</v>
      </c>
      <c r="F1411">
        <v>4.68</v>
      </c>
    </row>
    <row r="1412" spans="1:6" x14ac:dyDescent="0.3">
      <c r="A1412" t="s">
        <v>2211</v>
      </c>
      <c r="B1412" t="s">
        <v>968</v>
      </c>
      <c r="C1412" t="s">
        <v>893</v>
      </c>
      <c r="D1412">
        <v>18310072</v>
      </c>
      <c r="E1412">
        <v>10.25</v>
      </c>
      <c r="F1412">
        <v>6.5</v>
      </c>
    </row>
    <row r="1413" spans="1:6" x14ac:dyDescent="0.3">
      <c r="A1413" t="s">
        <v>2212</v>
      </c>
      <c r="B1413" t="s">
        <v>2042</v>
      </c>
      <c r="C1413" t="s">
        <v>8</v>
      </c>
      <c r="D1413">
        <v>18315345</v>
      </c>
      <c r="E1413">
        <v>8.67</v>
      </c>
      <c r="F1413">
        <v>7</v>
      </c>
    </row>
    <row r="1414" spans="1:6" x14ac:dyDescent="0.3">
      <c r="A1414" t="s">
        <v>2213</v>
      </c>
      <c r="B1414" t="s">
        <v>683</v>
      </c>
      <c r="C1414" t="s">
        <v>121</v>
      </c>
      <c r="D1414">
        <v>18352958</v>
      </c>
      <c r="E1414">
        <v>18.600000000000001</v>
      </c>
      <c r="F1414">
        <v>5.4</v>
      </c>
    </row>
    <row r="1415" spans="1:6" x14ac:dyDescent="0.3">
      <c r="A1415" t="s">
        <v>2214</v>
      </c>
      <c r="B1415" t="s">
        <v>336</v>
      </c>
      <c r="C1415" t="s">
        <v>8</v>
      </c>
      <c r="D1415">
        <v>18379283</v>
      </c>
      <c r="E1415">
        <v>10</v>
      </c>
      <c r="F1415">
        <v>5</v>
      </c>
    </row>
    <row r="1416" spans="1:6" x14ac:dyDescent="0.3">
      <c r="A1416" t="s">
        <v>2215</v>
      </c>
      <c r="B1416" t="s">
        <v>2216</v>
      </c>
      <c r="C1416" t="s">
        <v>28</v>
      </c>
      <c r="D1416">
        <v>18388332</v>
      </c>
      <c r="E1416">
        <v>14.22</v>
      </c>
      <c r="F1416">
        <v>5.67</v>
      </c>
    </row>
    <row r="1417" spans="1:6" x14ac:dyDescent="0.3">
      <c r="A1417" t="s">
        <v>2217</v>
      </c>
      <c r="B1417" t="s">
        <v>1485</v>
      </c>
      <c r="C1417">
        <v>1077</v>
      </c>
      <c r="D1417">
        <v>18397804</v>
      </c>
      <c r="E1417">
        <v>6.22</v>
      </c>
      <c r="F1417">
        <v>6.43</v>
      </c>
    </row>
    <row r="1418" spans="1:6" x14ac:dyDescent="0.3">
      <c r="A1418" t="s">
        <v>2218</v>
      </c>
      <c r="B1418" t="s">
        <v>2219</v>
      </c>
      <c r="C1418" t="s">
        <v>2220</v>
      </c>
      <c r="D1418">
        <v>18406722</v>
      </c>
      <c r="E1418">
        <v>5.8</v>
      </c>
      <c r="F1418">
        <v>4.2</v>
      </c>
    </row>
    <row r="1419" spans="1:6" x14ac:dyDescent="0.3">
      <c r="A1419" t="s">
        <v>2221</v>
      </c>
      <c r="B1419" t="s">
        <v>1576</v>
      </c>
      <c r="C1419" t="s">
        <v>2222</v>
      </c>
      <c r="D1419">
        <v>18421584</v>
      </c>
      <c r="E1419">
        <v>8.1</v>
      </c>
      <c r="F1419">
        <v>6.11</v>
      </c>
    </row>
    <row r="1420" spans="1:6" x14ac:dyDescent="0.3">
      <c r="A1420" t="s">
        <v>2223</v>
      </c>
      <c r="B1420" t="s">
        <v>826</v>
      </c>
      <c r="C1420" t="s">
        <v>2224</v>
      </c>
      <c r="D1420">
        <v>18478071</v>
      </c>
      <c r="E1420">
        <v>17.66</v>
      </c>
      <c r="F1420">
        <v>2.94</v>
      </c>
    </row>
    <row r="1421" spans="1:6" x14ac:dyDescent="0.3">
      <c r="A1421" t="s">
        <v>2225</v>
      </c>
      <c r="B1421" t="s">
        <v>1865</v>
      </c>
      <c r="C1421" t="s">
        <v>1579</v>
      </c>
      <c r="D1421">
        <v>18481930</v>
      </c>
      <c r="E1421">
        <v>10.4</v>
      </c>
      <c r="F1421">
        <v>6.8</v>
      </c>
    </row>
    <row r="1422" spans="1:6" x14ac:dyDescent="0.3">
      <c r="A1422" t="s">
        <v>2226</v>
      </c>
      <c r="B1422" t="s">
        <v>1385</v>
      </c>
      <c r="C1422" t="s">
        <v>1719</v>
      </c>
      <c r="D1422">
        <v>18483771</v>
      </c>
      <c r="E1422">
        <v>8.25</v>
      </c>
      <c r="F1422">
        <v>4.5</v>
      </c>
    </row>
    <row r="1423" spans="1:6" x14ac:dyDescent="0.3">
      <c r="A1423" t="s">
        <v>2227</v>
      </c>
      <c r="B1423" t="s">
        <v>2228</v>
      </c>
      <c r="C1423" t="s">
        <v>2229</v>
      </c>
      <c r="D1423">
        <v>18515822</v>
      </c>
      <c r="E1423">
        <v>16.75</v>
      </c>
      <c r="F1423">
        <v>5.78</v>
      </c>
    </row>
    <row r="1424" spans="1:6" x14ac:dyDescent="0.3">
      <c r="A1424" t="s">
        <v>2230</v>
      </c>
      <c r="B1424" t="s">
        <v>1361</v>
      </c>
      <c r="C1424" t="s">
        <v>2231</v>
      </c>
      <c r="D1424">
        <v>18598146</v>
      </c>
      <c r="E1424">
        <v>2.89</v>
      </c>
      <c r="F1424">
        <v>7.91</v>
      </c>
    </row>
    <row r="1425" spans="1:6" x14ac:dyDescent="0.3">
      <c r="A1425" t="s">
        <v>2232</v>
      </c>
      <c r="B1425" t="s">
        <v>1725</v>
      </c>
      <c r="C1425" t="s">
        <v>2233</v>
      </c>
      <c r="D1425">
        <v>18653569</v>
      </c>
      <c r="E1425">
        <v>15.35</v>
      </c>
      <c r="F1425">
        <v>7.2</v>
      </c>
    </row>
    <row r="1426" spans="1:6" x14ac:dyDescent="0.3">
      <c r="A1426" t="s">
        <v>2234</v>
      </c>
      <c r="B1426" t="s">
        <v>796</v>
      </c>
      <c r="C1426" t="s">
        <v>1062</v>
      </c>
      <c r="D1426">
        <v>18674844</v>
      </c>
      <c r="E1426">
        <v>18.940000000000001</v>
      </c>
      <c r="F1426">
        <v>6.64</v>
      </c>
    </row>
    <row r="1427" spans="1:6" x14ac:dyDescent="0.3">
      <c r="A1427" t="s">
        <v>2235</v>
      </c>
      <c r="B1427" t="s">
        <v>761</v>
      </c>
      <c r="C1427" t="s">
        <v>2236</v>
      </c>
      <c r="D1427">
        <v>18697406</v>
      </c>
      <c r="E1427">
        <v>21.72</v>
      </c>
      <c r="F1427">
        <v>7.97</v>
      </c>
    </row>
    <row r="1428" spans="1:6" x14ac:dyDescent="0.3">
      <c r="A1428" t="s">
        <v>2237</v>
      </c>
      <c r="B1428" t="s">
        <v>1127</v>
      </c>
      <c r="C1428" t="s">
        <v>2238</v>
      </c>
      <c r="D1428">
        <v>18716963</v>
      </c>
      <c r="E1428">
        <v>16.04</v>
      </c>
      <c r="F1428">
        <v>5.47</v>
      </c>
    </row>
    <row r="1429" spans="1:6" x14ac:dyDescent="0.3">
      <c r="A1429" t="s">
        <v>2239</v>
      </c>
      <c r="B1429" t="s">
        <v>1108</v>
      </c>
      <c r="C1429" t="s">
        <v>1638</v>
      </c>
      <c r="D1429">
        <v>18735780</v>
      </c>
      <c r="E1429">
        <v>3.23</v>
      </c>
      <c r="F1429">
        <v>6.6</v>
      </c>
    </row>
    <row r="1430" spans="1:6" x14ac:dyDescent="0.3">
      <c r="A1430" t="s">
        <v>2240</v>
      </c>
      <c r="B1430" t="s">
        <v>1053</v>
      </c>
      <c r="C1430" t="s">
        <v>2241</v>
      </c>
      <c r="D1430">
        <v>18769431</v>
      </c>
      <c r="E1430">
        <v>8.2200000000000006</v>
      </c>
      <c r="F1430">
        <v>5.14</v>
      </c>
    </row>
    <row r="1431" spans="1:6" x14ac:dyDescent="0.3">
      <c r="A1431" t="s">
        <v>2242</v>
      </c>
      <c r="B1431" t="s">
        <v>1872</v>
      </c>
      <c r="C1431" t="s">
        <v>925</v>
      </c>
      <c r="D1431">
        <v>18778523</v>
      </c>
      <c r="E1431">
        <v>6.09</v>
      </c>
      <c r="F1431">
        <v>6.36</v>
      </c>
    </row>
    <row r="1432" spans="1:6" x14ac:dyDescent="0.3">
      <c r="A1432" t="s">
        <v>2243</v>
      </c>
      <c r="B1432" t="s">
        <v>1415</v>
      </c>
      <c r="C1432" t="s">
        <v>1689</v>
      </c>
      <c r="D1432">
        <v>18780414</v>
      </c>
      <c r="E1432">
        <v>11.67</v>
      </c>
      <c r="F1432">
        <v>6</v>
      </c>
    </row>
    <row r="1433" spans="1:6" x14ac:dyDescent="0.3">
      <c r="A1433" t="s">
        <v>2244</v>
      </c>
      <c r="B1433" t="s">
        <v>900</v>
      </c>
      <c r="C1433" t="s">
        <v>1004</v>
      </c>
      <c r="D1433">
        <v>18786055</v>
      </c>
      <c r="E1433">
        <v>13.4</v>
      </c>
      <c r="F1433">
        <v>7.2</v>
      </c>
    </row>
    <row r="1434" spans="1:6" x14ac:dyDescent="0.3">
      <c r="A1434" t="s">
        <v>2245</v>
      </c>
      <c r="B1434" t="s">
        <v>1576</v>
      </c>
      <c r="C1434" t="s">
        <v>2246</v>
      </c>
      <c r="D1434">
        <v>18834999</v>
      </c>
      <c r="E1434">
        <v>6.89</v>
      </c>
      <c r="F1434">
        <v>6.89</v>
      </c>
    </row>
    <row r="1435" spans="1:6" x14ac:dyDescent="0.3">
      <c r="A1435" t="s">
        <v>2247</v>
      </c>
      <c r="B1435" t="s">
        <v>1083</v>
      </c>
      <c r="C1435" t="s">
        <v>2004</v>
      </c>
      <c r="D1435">
        <v>18876987</v>
      </c>
      <c r="E1435">
        <v>11</v>
      </c>
      <c r="F1435">
        <v>6.5</v>
      </c>
    </row>
    <row r="1436" spans="1:6" x14ac:dyDescent="0.3">
      <c r="A1436" t="s">
        <v>2248</v>
      </c>
      <c r="B1436" t="s">
        <v>1729</v>
      </c>
      <c r="C1436" t="s">
        <v>1894</v>
      </c>
      <c r="D1436">
        <v>18885171</v>
      </c>
      <c r="E1436">
        <v>9.0299999999999994</v>
      </c>
      <c r="F1436">
        <v>5.75</v>
      </c>
    </row>
    <row r="1437" spans="1:6" x14ac:dyDescent="0.3">
      <c r="A1437" t="s">
        <v>2249</v>
      </c>
      <c r="B1437" t="s">
        <v>2250</v>
      </c>
      <c r="C1437" t="s">
        <v>2251</v>
      </c>
      <c r="D1437">
        <v>18909639</v>
      </c>
      <c r="E1437">
        <v>11.8</v>
      </c>
      <c r="F1437">
        <v>8.6</v>
      </c>
    </row>
    <row r="1438" spans="1:6" x14ac:dyDescent="0.3">
      <c r="A1438" t="s">
        <v>2252</v>
      </c>
      <c r="B1438" t="s">
        <v>2253</v>
      </c>
      <c r="C1438" t="s">
        <v>2252</v>
      </c>
      <c r="D1438">
        <v>18926501</v>
      </c>
      <c r="E1438">
        <v>14.57</v>
      </c>
      <c r="F1438">
        <v>7.86</v>
      </c>
    </row>
    <row r="1439" spans="1:6" x14ac:dyDescent="0.3">
      <c r="A1439">
        <v>48155</v>
      </c>
      <c r="B1439" t="s">
        <v>463</v>
      </c>
      <c r="C1439" t="s">
        <v>2254</v>
      </c>
      <c r="D1439">
        <v>18994125</v>
      </c>
      <c r="E1439">
        <v>8.6999999999999993</v>
      </c>
      <c r="F1439">
        <v>5.29</v>
      </c>
    </row>
    <row r="1440" spans="1:6" x14ac:dyDescent="0.3">
      <c r="A1440" t="s">
        <v>2255</v>
      </c>
      <c r="B1440" t="s">
        <v>509</v>
      </c>
      <c r="C1440" t="s">
        <v>739</v>
      </c>
      <c r="D1440">
        <v>19030693</v>
      </c>
      <c r="E1440">
        <v>8.06</v>
      </c>
      <c r="F1440">
        <v>5</v>
      </c>
    </row>
    <row r="1441" spans="1:6" x14ac:dyDescent="0.3">
      <c r="A1441" t="s">
        <v>2256</v>
      </c>
      <c r="B1441" t="s">
        <v>2257</v>
      </c>
      <c r="C1441" t="s">
        <v>1200</v>
      </c>
      <c r="D1441">
        <v>19101053</v>
      </c>
      <c r="E1441">
        <v>10.43</v>
      </c>
      <c r="F1441">
        <v>6.57</v>
      </c>
    </row>
    <row r="1442" spans="1:6" x14ac:dyDescent="0.3">
      <c r="A1442" t="s">
        <v>2258</v>
      </c>
      <c r="B1442" t="s">
        <v>1135</v>
      </c>
      <c r="C1442" t="s">
        <v>1101</v>
      </c>
      <c r="D1442">
        <v>19134395</v>
      </c>
      <c r="E1442">
        <v>14.5</v>
      </c>
      <c r="F1442">
        <v>5.83</v>
      </c>
    </row>
    <row r="1443" spans="1:6" x14ac:dyDescent="0.3">
      <c r="A1443" t="s">
        <v>2259</v>
      </c>
      <c r="B1443" t="s">
        <v>2260</v>
      </c>
      <c r="C1443" t="s">
        <v>1521</v>
      </c>
      <c r="D1443">
        <v>19183040</v>
      </c>
      <c r="E1443">
        <v>8.4</v>
      </c>
      <c r="F1443">
        <v>7.78</v>
      </c>
    </row>
    <row r="1444" spans="1:6" x14ac:dyDescent="0.3">
      <c r="A1444" t="s">
        <v>2261</v>
      </c>
      <c r="B1444" t="s">
        <v>2262</v>
      </c>
      <c r="C1444" t="s">
        <v>2263</v>
      </c>
      <c r="D1444">
        <v>19228405</v>
      </c>
      <c r="E1444">
        <v>7</v>
      </c>
      <c r="F1444">
        <v>4.5</v>
      </c>
    </row>
    <row r="1445" spans="1:6" x14ac:dyDescent="0.3">
      <c r="A1445" t="s">
        <v>2264</v>
      </c>
      <c r="B1445" t="s">
        <v>1147</v>
      </c>
      <c r="C1445" t="s">
        <v>1752</v>
      </c>
      <c r="D1445">
        <v>19270970</v>
      </c>
      <c r="E1445">
        <v>12.4</v>
      </c>
      <c r="F1445">
        <v>7.8</v>
      </c>
    </row>
    <row r="1446" spans="1:6" x14ac:dyDescent="0.3">
      <c r="A1446" t="s">
        <v>2265</v>
      </c>
      <c r="B1446" t="s">
        <v>1842</v>
      </c>
      <c r="C1446" t="s">
        <v>749</v>
      </c>
      <c r="D1446">
        <v>19280543</v>
      </c>
      <c r="E1446">
        <v>8.7100000000000009</v>
      </c>
      <c r="F1446">
        <v>4</v>
      </c>
    </row>
    <row r="1447" spans="1:6" x14ac:dyDescent="0.3">
      <c r="A1447" t="s">
        <v>2266</v>
      </c>
      <c r="B1447" t="s">
        <v>2267</v>
      </c>
      <c r="C1447" t="s">
        <v>769</v>
      </c>
      <c r="D1447">
        <v>19300593</v>
      </c>
      <c r="E1447">
        <v>21.17</v>
      </c>
      <c r="F1447">
        <v>5</v>
      </c>
    </row>
    <row r="1448" spans="1:6" x14ac:dyDescent="0.3">
      <c r="A1448" t="s">
        <v>2268</v>
      </c>
      <c r="B1448" t="s">
        <v>1805</v>
      </c>
      <c r="C1448" t="s">
        <v>1018</v>
      </c>
      <c r="D1448">
        <v>19476977</v>
      </c>
      <c r="E1448">
        <v>16</v>
      </c>
      <c r="F1448">
        <v>7.89</v>
      </c>
    </row>
    <row r="1449" spans="1:6" x14ac:dyDescent="0.3">
      <c r="A1449" t="s">
        <v>2269</v>
      </c>
      <c r="B1449" t="s">
        <v>1725</v>
      </c>
      <c r="C1449" t="s">
        <v>2270</v>
      </c>
      <c r="D1449">
        <v>19476981</v>
      </c>
      <c r="E1449">
        <v>10.39</v>
      </c>
      <c r="F1449">
        <v>6</v>
      </c>
    </row>
    <row r="1450" spans="1:6" x14ac:dyDescent="0.3">
      <c r="A1450" t="s">
        <v>2271</v>
      </c>
      <c r="B1450" t="s">
        <v>2272</v>
      </c>
      <c r="C1450" t="s">
        <v>2142</v>
      </c>
      <c r="D1450">
        <v>19533723</v>
      </c>
      <c r="E1450">
        <v>6.71</v>
      </c>
      <c r="F1450">
        <v>6.57</v>
      </c>
    </row>
    <row r="1451" spans="1:6" x14ac:dyDescent="0.3">
      <c r="A1451" t="s">
        <v>2273</v>
      </c>
      <c r="B1451" t="s">
        <v>1554</v>
      </c>
      <c r="C1451" t="s">
        <v>2195</v>
      </c>
      <c r="D1451">
        <v>19564763</v>
      </c>
      <c r="E1451">
        <v>14.71</v>
      </c>
      <c r="F1451">
        <v>6.55</v>
      </c>
    </row>
    <row r="1452" spans="1:6" x14ac:dyDescent="0.3">
      <c r="A1452" t="s">
        <v>2274</v>
      </c>
      <c r="B1452" t="s">
        <v>2148</v>
      </c>
      <c r="C1452" t="s">
        <v>2195</v>
      </c>
      <c r="D1452">
        <v>19578656</v>
      </c>
      <c r="E1452">
        <v>8.36</v>
      </c>
      <c r="F1452">
        <v>5.83</v>
      </c>
    </row>
    <row r="1453" spans="1:6" x14ac:dyDescent="0.3">
      <c r="A1453" t="s">
        <v>819</v>
      </c>
      <c r="B1453" t="s">
        <v>1135</v>
      </c>
      <c r="C1453" t="s">
        <v>820</v>
      </c>
      <c r="D1453">
        <v>19603498</v>
      </c>
      <c r="E1453">
        <v>7.9</v>
      </c>
      <c r="F1453">
        <v>7.3</v>
      </c>
    </row>
    <row r="1454" spans="1:6" x14ac:dyDescent="0.3">
      <c r="A1454" t="s">
        <v>2275</v>
      </c>
      <c r="B1454" t="s">
        <v>1688</v>
      </c>
      <c r="C1454" t="s">
        <v>1651</v>
      </c>
      <c r="D1454">
        <v>19676068</v>
      </c>
      <c r="E1454">
        <v>8</v>
      </c>
      <c r="F1454">
        <v>5.33</v>
      </c>
    </row>
    <row r="1455" spans="1:6" x14ac:dyDescent="0.3">
      <c r="A1455" t="s">
        <v>2276</v>
      </c>
      <c r="B1455" t="s">
        <v>609</v>
      </c>
      <c r="C1455" t="s">
        <v>2056</v>
      </c>
      <c r="D1455">
        <v>19699322</v>
      </c>
      <c r="E1455">
        <v>14.13</v>
      </c>
      <c r="F1455">
        <v>7.2</v>
      </c>
    </row>
    <row r="1456" spans="1:6" x14ac:dyDescent="0.3">
      <c r="A1456" t="s">
        <v>2277</v>
      </c>
      <c r="B1456" t="s">
        <v>900</v>
      </c>
      <c r="C1456" t="s">
        <v>723</v>
      </c>
      <c r="D1456">
        <v>19709171</v>
      </c>
      <c r="E1456">
        <v>19.7</v>
      </c>
      <c r="F1456">
        <v>6.38</v>
      </c>
    </row>
    <row r="1457" spans="1:6" x14ac:dyDescent="0.3">
      <c r="A1457" t="s">
        <v>2278</v>
      </c>
      <c r="B1457" t="s">
        <v>2279</v>
      </c>
      <c r="C1457" t="s">
        <v>2280</v>
      </c>
      <c r="D1457">
        <v>19714034</v>
      </c>
      <c r="E1457">
        <v>9.25</v>
      </c>
      <c r="F1457">
        <v>7.27</v>
      </c>
    </row>
    <row r="1458" spans="1:6" x14ac:dyDescent="0.3">
      <c r="A1458" t="s">
        <v>2281</v>
      </c>
      <c r="B1458" t="s">
        <v>49</v>
      </c>
      <c r="C1458" t="s">
        <v>2282</v>
      </c>
      <c r="D1458">
        <v>19719196</v>
      </c>
      <c r="E1458">
        <v>17.059999999999999</v>
      </c>
      <c r="F1458">
        <v>7.43</v>
      </c>
    </row>
    <row r="1459" spans="1:6" x14ac:dyDescent="0.3">
      <c r="A1459" t="s">
        <v>2283</v>
      </c>
      <c r="B1459" t="s">
        <v>2284</v>
      </c>
      <c r="C1459" t="s">
        <v>2285</v>
      </c>
      <c r="D1459">
        <v>19735376</v>
      </c>
      <c r="E1459">
        <v>9.32</v>
      </c>
      <c r="F1459">
        <v>6.47</v>
      </c>
    </row>
    <row r="1460" spans="1:6" x14ac:dyDescent="0.3">
      <c r="A1460" t="s">
        <v>2286</v>
      </c>
      <c r="B1460" t="s">
        <v>1824</v>
      </c>
      <c r="C1460" t="s">
        <v>2287</v>
      </c>
      <c r="D1460">
        <v>19759411</v>
      </c>
      <c r="E1460">
        <v>25.02</v>
      </c>
      <c r="F1460">
        <v>4.93</v>
      </c>
    </row>
    <row r="1461" spans="1:6" x14ac:dyDescent="0.3">
      <c r="A1461" t="s">
        <v>2288</v>
      </c>
      <c r="B1461" t="s">
        <v>1446</v>
      </c>
      <c r="C1461" t="s">
        <v>1555</v>
      </c>
      <c r="D1461">
        <v>19781121</v>
      </c>
      <c r="E1461">
        <v>10.33</v>
      </c>
      <c r="F1461">
        <v>6.33</v>
      </c>
    </row>
    <row r="1462" spans="1:6" x14ac:dyDescent="0.3">
      <c r="A1462" t="s">
        <v>2289</v>
      </c>
      <c r="B1462" t="s">
        <v>2290</v>
      </c>
      <c r="C1462" t="s">
        <v>2291</v>
      </c>
      <c r="D1462">
        <v>19791377</v>
      </c>
      <c r="E1462">
        <v>5.97</v>
      </c>
      <c r="F1462">
        <v>5.97</v>
      </c>
    </row>
    <row r="1463" spans="1:6" x14ac:dyDescent="0.3">
      <c r="A1463" t="s">
        <v>2292</v>
      </c>
      <c r="B1463" t="s">
        <v>951</v>
      </c>
      <c r="C1463" t="s">
        <v>2293</v>
      </c>
      <c r="D1463">
        <v>19845806</v>
      </c>
      <c r="E1463">
        <v>6.3</v>
      </c>
      <c r="F1463">
        <v>5.63</v>
      </c>
    </row>
    <row r="1464" spans="1:6" x14ac:dyDescent="0.3">
      <c r="A1464" t="s">
        <v>2294</v>
      </c>
      <c r="B1464" t="s">
        <v>2053</v>
      </c>
      <c r="C1464" t="s">
        <v>2295</v>
      </c>
      <c r="D1464">
        <v>19855930</v>
      </c>
      <c r="E1464">
        <v>6.05</v>
      </c>
      <c r="F1464">
        <v>7.12</v>
      </c>
    </row>
    <row r="1465" spans="1:6" x14ac:dyDescent="0.3">
      <c r="A1465" t="s">
        <v>2296</v>
      </c>
      <c r="B1465" t="s">
        <v>1196</v>
      </c>
      <c r="C1465" t="s">
        <v>1188</v>
      </c>
      <c r="D1465">
        <v>19870531</v>
      </c>
      <c r="E1465">
        <v>6.75</v>
      </c>
      <c r="F1465">
        <v>6.6</v>
      </c>
    </row>
    <row r="1466" spans="1:6" x14ac:dyDescent="0.3">
      <c r="A1466" t="s">
        <v>2297</v>
      </c>
      <c r="B1466" t="s">
        <v>1083</v>
      </c>
      <c r="C1466" t="s">
        <v>2298</v>
      </c>
      <c r="D1466">
        <v>19931773</v>
      </c>
      <c r="E1466">
        <v>5.5</v>
      </c>
      <c r="F1466">
        <v>6.75</v>
      </c>
    </row>
    <row r="1467" spans="1:6" x14ac:dyDescent="0.3">
      <c r="A1467" t="s">
        <v>2299</v>
      </c>
      <c r="B1467" t="s">
        <v>2300</v>
      </c>
      <c r="C1467" t="s">
        <v>1336</v>
      </c>
      <c r="D1467">
        <v>19987018</v>
      </c>
      <c r="E1467">
        <v>10</v>
      </c>
      <c r="F1467">
        <v>6.94</v>
      </c>
    </row>
    <row r="1468" spans="1:6" x14ac:dyDescent="0.3">
      <c r="A1468" t="s">
        <v>2301</v>
      </c>
      <c r="B1468" t="s">
        <v>1834</v>
      </c>
      <c r="C1468" t="s">
        <v>2302</v>
      </c>
      <c r="D1468">
        <v>20008078</v>
      </c>
      <c r="E1468">
        <v>4.2</v>
      </c>
      <c r="F1468">
        <v>5.75</v>
      </c>
    </row>
    <row r="1469" spans="1:6" x14ac:dyDescent="0.3">
      <c r="A1469" t="s">
        <v>2303</v>
      </c>
      <c r="B1469" t="s">
        <v>49</v>
      </c>
      <c r="C1469" t="s">
        <v>2304</v>
      </c>
      <c r="D1469">
        <v>20053020</v>
      </c>
      <c r="E1469">
        <v>13.84</v>
      </c>
      <c r="F1469">
        <v>6.42</v>
      </c>
    </row>
    <row r="1470" spans="1:6" x14ac:dyDescent="0.3">
      <c r="A1470" t="s">
        <v>2305</v>
      </c>
      <c r="B1470" t="s">
        <v>342</v>
      </c>
      <c r="C1470" t="s">
        <v>6</v>
      </c>
      <c r="D1470">
        <v>20077821</v>
      </c>
      <c r="E1470">
        <v>21.88</v>
      </c>
      <c r="F1470">
        <v>4.68</v>
      </c>
    </row>
    <row r="1471" spans="1:6" x14ac:dyDescent="0.3">
      <c r="A1471" t="s">
        <v>2306</v>
      </c>
      <c r="B1471" t="s">
        <v>1477</v>
      </c>
      <c r="C1471" t="s">
        <v>1719</v>
      </c>
      <c r="D1471">
        <v>20125194</v>
      </c>
      <c r="E1471">
        <v>17.18</v>
      </c>
      <c r="F1471">
        <v>6</v>
      </c>
    </row>
    <row r="1472" spans="1:6" x14ac:dyDescent="0.3">
      <c r="A1472" t="s">
        <v>2307</v>
      </c>
      <c r="B1472" t="s">
        <v>761</v>
      </c>
      <c r="C1472" t="s">
        <v>2308</v>
      </c>
      <c r="D1472">
        <v>20142657</v>
      </c>
      <c r="E1472">
        <v>20.079999999999998</v>
      </c>
      <c r="F1472">
        <v>7.45</v>
      </c>
    </row>
    <row r="1473" spans="1:6" x14ac:dyDescent="0.3">
      <c r="A1473" t="s">
        <v>2309</v>
      </c>
      <c r="B1473" t="s">
        <v>2193</v>
      </c>
      <c r="C1473" t="s">
        <v>2310</v>
      </c>
      <c r="D1473">
        <v>20150779</v>
      </c>
      <c r="E1473">
        <v>9.73</v>
      </c>
      <c r="F1473">
        <v>7.8</v>
      </c>
    </row>
    <row r="1474" spans="1:6" x14ac:dyDescent="0.3">
      <c r="A1474" t="s">
        <v>2311</v>
      </c>
      <c r="B1474" t="s">
        <v>1331</v>
      </c>
      <c r="C1474" t="s">
        <v>925</v>
      </c>
      <c r="D1474">
        <v>20159880</v>
      </c>
      <c r="E1474">
        <v>23.68</v>
      </c>
      <c r="F1474">
        <v>6.9</v>
      </c>
    </row>
    <row r="1475" spans="1:6" x14ac:dyDescent="0.3">
      <c r="A1475" t="s">
        <v>2312</v>
      </c>
      <c r="B1475" t="s">
        <v>2313</v>
      </c>
      <c r="C1475" t="s">
        <v>2195</v>
      </c>
      <c r="D1475">
        <v>20178013</v>
      </c>
      <c r="E1475">
        <v>16.989999999999998</v>
      </c>
      <c r="F1475">
        <v>5.07</v>
      </c>
    </row>
    <row r="1476" spans="1:6" x14ac:dyDescent="0.3">
      <c r="A1476" t="s">
        <v>2314</v>
      </c>
      <c r="B1476" t="s">
        <v>1141</v>
      </c>
      <c r="C1476" t="s">
        <v>1080</v>
      </c>
      <c r="D1476">
        <v>20202179</v>
      </c>
      <c r="E1476">
        <v>13.67</v>
      </c>
      <c r="F1476">
        <v>5.89</v>
      </c>
    </row>
    <row r="1477" spans="1:6" x14ac:dyDescent="0.3">
      <c r="A1477" t="s">
        <v>2315</v>
      </c>
      <c r="B1477" t="s">
        <v>2151</v>
      </c>
      <c r="C1477" t="s">
        <v>2164</v>
      </c>
      <c r="D1477">
        <v>20203622</v>
      </c>
      <c r="E1477">
        <v>6.14</v>
      </c>
      <c r="F1477">
        <v>7.17</v>
      </c>
    </row>
    <row r="1478" spans="1:6" x14ac:dyDescent="0.3">
      <c r="A1478" t="s">
        <v>2316</v>
      </c>
      <c r="B1478" t="s">
        <v>2317</v>
      </c>
      <c r="C1478" t="s">
        <v>2318</v>
      </c>
      <c r="D1478">
        <v>20233964</v>
      </c>
      <c r="E1478">
        <v>16.329999999999998</v>
      </c>
      <c r="F1478">
        <v>7</v>
      </c>
    </row>
    <row r="1479" spans="1:6" x14ac:dyDescent="0.3">
      <c r="A1479" t="s">
        <v>2319</v>
      </c>
      <c r="B1479" t="s">
        <v>985</v>
      </c>
      <c r="C1479" t="s">
        <v>1205</v>
      </c>
      <c r="D1479">
        <v>20247541</v>
      </c>
      <c r="E1479">
        <v>13.5</v>
      </c>
      <c r="F1479">
        <v>6.5</v>
      </c>
    </row>
    <row r="1480" spans="1:6" x14ac:dyDescent="0.3">
      <c r="A1480" t="s">
        <v>2320</v>
      </c>
      <c r="B1480" t="s">
        <v>941</v>
      </c>
      <c r="C1480" t="s">
        <v>2320</v>
      </c>
      <c r="D1480">
        <v>20274259</v>
      </c>
      <c r="E1480">
        <v>17</v>
      </c>
      <c r="F1480">
        <v>7.38</v>
      </c>
    </row>
    <row r="1481" spans="1:6" x14ac:dyDescent="0.3">
      <c r="A1481" t="s">
        <v>2321</v>
      </c>
      <c r="B1481" t="s">
        <v>2322</v>
      </c>
      <c r="C1481" t="s">
        <v>2323</v>
      </c>
      <c r="D1481">
        <v>20285637</v>
      </c>
      <c r="E1481">
        <v>16.329999999999998</v>
      </c>
      <c r="F1481">
        <v>7.67</v>
      </c>
    </row>
    <row r="1482" spans="1:6" x14ac:dyDescent="0.3">
      <c r="A1482" t="s">
        <v>2324</v>
      </c>
      <c r="B1482" t="s">
        <v>2325</v>
      </c>
      <c r="C1482" t="s">
        <v>2154</v>
      </c>
      <c r="D1482">
        <v>20317438</v>
      </c>
      <c r="E1482">
        <v>12.71</v>
      </c>
      <c r="F1482">
        <v>7.18</v>
      </c>
    </row>
    <row r="1483" spans="1:6" x14ac:dyDescent="0.3">
      <c r="A1483" t="s">
        <v>2316</v>
      </c>
      <c r="B1483" t="s">
        <v>1824</v>
      </c>
      <c r="C1483" t="s">
        <v>2316</v>
      </c>
      <c r="D1483">
        <v>20321297</v>
      </c>
      <c r="E1483">
        <v>22.59</v>
      </c>
      <c r="F1483">
        <v>6.07</v>
      </c>
    </row>
    <row r="1484" spans="1:6" x14ac:dyDescent="0.3">
      <c r="A1484" t="s">
        <v>2326</v>
      </c>
      <c r="B1484" t="s">
        <v>673</v>
      </c>
      <c r="C1484" t="s">
        <v>2015</v>
      </c>
      <c r="D1484">
        <v>20329544</v>
      </c>
      <c r="E1484">
        <v>24.88</v>
      </c>
      <c r="F1484">
        <v>6.79</v>
      </c>
    </row>
    <row r="1485" spans="1:6" x14ac:dyDescent="0.3">
      <c r="A1485" t="s">
        <v>2327</v>
      </c>
      <c r="B1485" t="s">
        <v>1265</v>
      </c>
      <c r="C1485">
        <v>1077</v>
      </c>
      <c r="D1485">
        <v>20338483</v>
      </c>
      <c r="E1485">
        <v>17</v>
      </c>
      <c r="F1485">
        <v>7.5</v>
      </c>
    </row>
    <row r="1486" spans="1:6" x14ac:dyDescent="0.3">
      <c r="A1486" t="s">
        <v>2328</v>
      </c>
      <c r="B1486" t="s">
        <v>1980</v>
      </c>
      <c r="C1486" t="s">
        <v>898</v>
      </c>
      <c r="D1486">
        <v>20343523</v>
      </c>
      <c r="E1486">
        <v>7.11</v>
      </c>
      <c r="F1486">
        <v>8.5</v>
      </c>
    </row>
    <row r="1487" spans="1:6" x14ac:dyDescent="0.3">
      <c r="A1487" t="s">
        <v>2329</v>
      </c>
      <c r="B1487" t="s">
        <v>1219</v>
      </c>
      <c r="C1487" t="s">
        <v>2293</v>
      </c>
      <c r="D1487">
        <v>20350031</v>
      </c>
      <c r="E1487">
        <v>6.06</v>
      </c>
      <c r="F1487">
        <v>5.86</v>
      </c>
    </row>
    <row r="1488" spans="1:6" x14ac:dyDescent="0.3">
      <c r="A1488" t="s">
        <v>2330</v>
      </c>
      <c r="B1488" t="s">
        <v>1053</v>
      </c>
      <c r="C1488" t="s">
        <v>2282</v>
      </c>
      <c r="D1488">
        <v>20374388</v>
      </c>
      <c r="E1488">
        <v>17.07</v>
      </c>
      <c r="F1488">
        <v>7.14</v>
      </c>
    </row>
    <row r="1489" spans="1:6" x14ac:dyDescent="0.3">
      <c r="A1489" t="s">
        <v>2331</v>
      </c>
      <c r="B1489" t="s">
        <v>1147</v>
      </c>
      <c r="C1489" t="s">
        <v>2332</v>
      </c>
      <c r="D1489">
        <v>20511156</v>
      </c>
      <c r="E1489">
        <v>5.76</v>
      </c>
      <c r="F1489">
        <v>7.56</v>
      </c>
    </row>
    <row r="1490" spans="1:6" x14ac:dyDescent="0.3">
      <c r="A1490" t="s">
        <v>2333</v>
      </c>
      <c r="B1490" t="s">
        <v>900</v>
      </c>
      <c r="C1490" t="s">
        <v>2103</v>
      </c>
      <c r="D1490">
        <v>20523739</v>
      </c>
      <c r="E1490">
        <v>12.33</v>
      </c>
      <c r="F1490">
        <v>6.67</v>
      </c>
    </row>
    <row r="1491" spans="1:6" x14ac:dyDescent="0.3">
      <c r="A1491" t="s">
        <v>2334</v>
      </c>
      <c r="B1491" t="s">
        <v>2279</v>
      </c>
      <c r="C1491" t="s">
        <v>2335</v>
      </c>
      <c r="D1491">
        <v>20539293</v>
      </c>
      <c r="E1491">
        <v>11.29</v>
      </c>
      <c r="F1491">
        <v>6.93</v>
      </c>
    </row>
    <row r="1492" spans="1:6" x14ac:dyDescent="0.3">
      <c r="A1492" t="s">
        <v>2336</v>
      </c>
      <c r="B1492" t="s">
        <v>517</v>
      </c>
      <c r="C1492" t="s">
        <v>2337</v>
      </c>
      <c r="D1492">
        <v>20590223</v>
      </c>
      <c r="E1492">
        <v>6.91</v>
      </c>
      <c r="F1492">
        <v>7.25</v>
      </c>
    </row>
    <row r="1493" spans="1:6" x14ac:dyDescent="0.3">
      <c r="A1493" t="s">
        <v>2338</v>
      </c>
      <c r="B1493" t="s">
        <v>2339</v>
      </c>
      <c r="C1493" t="s">
        <v>1689</v>
      </c>
      <c r="D1493">
        <v>20611718</v>
      </c>
      <c r="E1493">
        <v>7</v>
      </c>
      <c r="F1493">
        <v>3.67</v>
      </c>
    </row>
    <row r="1494" spans="1:6" x14ac:dyDescent="0.3">
      <c r="A1494" t="s">
        <v>2340</v>
      </c>
      <c r="B1494" t="s">
        <v>1477</v>
      </c>
      <c r="C1494" t="s">
        <v>1537</v>
      </c>
      <c r="D1494">
        <v>20636070</v>
      </c>
      <c r="E1494">
        <v>8.75</v>
      </c>
      <c r="F1494">
        <v>5.71</v>
      </c>
    </row>
    <row r="1495" spans="1:6" x14ac:dyDescent="0.3">
      <c r="A1495" t="s">
        <v>2341</v>
      </c>
      <c r="B1495" t="s">
        <v>2342</v>
      </c>
      <c r="C1495" t="s">
        <v>1633</v>
      </c>
      <c r="D1495">
        <v>20663310</v>
      </c>
      <c r="E1495">
        <v>8.57</v>
      </c>
      <c r="F1495">
        <v>7.6</v>
      </c>
    </row>
    <row r="1496" spans="1:6" x14ac:dyDescent="0.3">
      <c r="A1496" t="s">
        <v>2343</v>
      </c>
      <c r="B1496" t="s">
        <v>1187</v>
      </c>
      <c r="C1496" t="s">
        <v>2344</v>
      </c>
      <c r="D1496">
        <v>20700931</v>
      </c>
      <c r="E1496">
        <v>5.66</v>
      </c>
      <c r="F1496">
        <v>6.88</v>
      </c>
    </row>
    <row r="1497" spans="1:6" x14ac:dyDescent="0.3">
      <c r="A1497" t="s">
        <v>2345</v>
      </c>
      <c r="B1497" t="s">
        <v>656</v>
      </c>
      <c r="C1497" t="s">
        <v>2103</v>
      </c>
      <c r="D1497">
        <v>20727320</v>
      </c>
      <c r="E1497">
        <v>10.130000000000001</v>
      </c>
      <c r="F1497">
        <v>5.5</v>
      </c>
    </row>
    <row r="1498" spans="1:6" x14ac:dyDescent="0.3">
      <c r="A1498" t="s">
        <v>2346</v>
      </c>
      <c r="B1498" t="s">
        <v>796</v>
      </c>
      <c r="C1498" t="s">
        <v>2347</v>
      </c>
      <c r="D1498">
        <v>20741977</v>
      </c>
      <c r="E1498">
        <v>13.91</v>
      </c>
      <c r="F1498">
        <v>7.08</v>
      </c>
    </row>
    <row r="1499" spans="1:6" x14ac:dyDescent="0.3">
      <c r="A1499" t="s">
        <v>2348</v>
      </c>
      <c r="B1499" t="s">
        <v>1048</v>
      </c>
      <c r="C1499" t="s">
        <v>2349</v>
      </c>
      <c r="D1499">
        <v>20742226</v>
      </c>
      <c r="E1499">
        <v>12.83</v>
      </c>
      <c r="F1499">
        <v>7.6</v>
      </c>
    </row>
    <row r="1500" spans="1:6" x14ac:dyDescent="0.3">
      <c r="A1500" t="s">
        <v>2350</v>
      </c>
      <c r="B1500" t="s">
        <v>2351</v>
      </c>
      <c r="C1500" t="s">
        <v>2352</v>
      </c>
      <c r="D1500">
        <v>20761188</v>
      </c>
      <c r="E1500">
        <v>21.32</v>
      </c>
      <c r="F1500">
        <v>6.48</v>
      </c>
    </row>
    <row r="1501" spans="1:6" x14ac:dyDescent="0.3">
      <c r="A1501" t="s">
        <v>2353</v>
      </c>
      <c r="B1501" t="s">
        <v>2199</v>
      </c>
      <c r="C1501" t="s">
        <v>2293</v>
      </c>
      <c r="D1501">
        <v>20765552</v>
      </c>
      <c r="E1501">
        <v>7</v>
      </c>
      <c r="F1501">
        <v>5.5</v>
      </c>
    </row>
    <row r="1502" spans="1:6" x14ac:dyDescent="0.3">
      <c r="A1502" t="s">
        <v>2354</v>
      </c>
      <c r="B1502" t="s">
        <v>2355</v>
      </c>
      <c r="C1502" t="s">
        <v>2356</v>
      </c>
      <c r="D1502">
        <v>20778936</v>
      </c>
      <c r="E1502">
        <v>13.88</v>
      </c>
      <c r="F1502">
        <v>7.38</v>
      </c>
    </row>
    <row r="1503" spans="1:6" x14ac:dyDescent="0.3">
      <c r="A1503" t="s">
        <v>1035</v>
      </c>
      <c r="B1503" t="s">
        <v>2284</v>
      </c>
      <c r="C1503" t="s">
        <v>1008</v>
      </c>
      <c r="D1503">
        <v>20785077</v>
      </c>
      <c r="E1503">
        <v>10.01</v>
      </c>
      <c r="F1503">
        <v>5.13</v>
      </c>
    </row>
    <row r="1504" spans="1:6" x14ac:dyDescent="0.3">
      <c r="A1504" t="s">
        <v>2357</v>
      </c>
      <c r="B1504" t="s">
        <v>2284</v>
      </c>
      <c r="C1504" t="s">
        <v>2358</v>
      </c>
      <c r="D1504">
        <v>20785147</v>
      </c>
      <c r="E1504">
        <v>6.71</v>
      </c>
      <c r="F1504">
        <v>4.57</v>
      </c>
    </row>
    <row r="1505" spans="1:6" x14ac:dyDescent="0.3">
      <c r="A1505" t="s">
        <v>2359</v>
      </c>
      <c r="B1505" t="s">
        <v>2360</v>
      </c>
      <c r="C1505" t="s">
        <v>1934</v>
      </c>
      <c r="D1505">
        <v>20937583</v>
      </c>
      <c r="E1505">
        <v>21.56</v>
      </c>
      <c r="F1505">
        <v>5.58</v>
      </c>
    </row>
    <row r="1506" spans="1:6" x14ac:dyDescent="0.3">
      <c r="A1506" t="s">
        <v>2361</v>
      </c>
      <c r="B1506" t="s">
        <v>2362</v>
      </c>
      <c r="C1506" t="s">
        <v>8</v>
      </c>
      <c r="D1506">
        <v>20943856</v>
      </c>
      <c r="E1506">
        <v>6.75</v>
      </c>
      <c r="F1506">
        <v>6</v>
      </c>
    </row>
    <row r="1507" spans="1:6" x14ac:dyDescent="0.3">
      <c r="A1507" t="s">
        <v>2363</v>
      </c>
      <c r="B1507" t="s">
        <v>2300</v>
      </c>
      <c r="C1507" t="s">
        <v>911</v>
      </c>
      <c r="D1507">
        <v>20980504</v>
      </c>
      <c r="E1507">
        <v>8.98</v>
      </c>
      <c r="F1507">
        <v>6.6</v>
      </c>
    </row>
    <row r="1508" spans="1:6" x14ac:dyDescent="0.3">
      <c r="A1508" t="s">
        <v>2364</v>
      </c>
      <c r="B1508" t="s">
        <v>2365</v>
      </c>
      <c r="C1508" t="s">
        <v>1329</v>
      </c>
      <c r="D1508">
        <v>20995454</v>
      </c>
      <c r="E1508">
        <v>7.43</v>
      </c>
      <c r="F1508">
        <v>6.86</v>
      </c>
    </row>
    <row r="1509" spans="1:6" x14ac:dyDescent="0.3">
      <c r="A1509" t="s">
        <v>2366</v>
      </c>
      <c r="B1509" t="s">
        <v>1805</v>
      </c>
      <c r="C1509" t="s">
        <v>2367</v>
      </c>
      <c r="D1509">
        <v>21081515</v>
      </c>
      <c r="E1509">
        <v>6.95</v>
      </c>
      <c r="F1509">
        <v>6.76</v>
      </c>
    </row>
    <row r="1510" spans="1:6" x14ac:dyDescent="0.3">
      <c r="A1510" t="s">
        <v>2368</v>
      </c>
      <c r="B1510" t="s">
        <v>2369</v>
      </c>
      <c r="C1510" t="s">
        <v>2304</v>
      </c>
      <c r="D1510">
        <v>21108143</v>
      </c>
      <c r="E1510">
        <v>17.2</v>
      </c>
      <c r="F1510">
        <v>5.5</v>
      </c>
    </row>
    <row r="1511" spans="1:6" x14ac:dyDescent="0.3">
      <c r="A1511" t="s">
        <v>2370</v>
      </c>
      <c r="B1511" t="s">
        <v>1926</v>
      </c>
      <c r="C1511" t="s">
        <v>2021</v>
      </c>
      <c r="D1511">
        <v>21148981</v>
      </c>
      <c r="E1511">
        <v>15.14</v>
      </c>
      <c r="F1511">
        <v>5.36</v>
      </c>
    </row>
    <row r="1512" spans="1:6" x14ac:dyDescent="0.3">
      <c r="A1512" t="s">
        <v>2371</v>
      </c>
      <c r="B1512" t="s">
        <v>1634</v>
      </c>
      <c r="C1512" t="s">
        <v>2372</v>
      </c>
      <c r="D1512">
        <v>21196897</v>
      </c>
      <c r="E1512">
        <v>6.07</v>
      </c>
      <c r="F1512">
        <v>7.71</v>
      </c>
    </row>
    <row r="1513" spans="1:6" x14ac:dyDescent="0.3">
      <c r="A1513" t="s">
        <v>2373</v>
      </c>
      <c r="B1513" t="s">
        <v>1227</v>
      </c>
      <c r="C1513" t="s">
        <v>1764</v>
      </c>
      <c r="D1513">
        <v>21227933</v>
      </c>
      <c r="E1513">
        <v>16.14</v>
      </c>
      <c r="F1513">
        <v>6.17</v>
      </c>
    </row>
    <row r="1514" spans="1:6" x14ac:dyDescent="0.3">
      <c r="A1514" t="s">
        <v>2374</v>
      </c>
      <c r="B1514" t="s">
        <v>2375</v>
      </c>
      <c r="C1514" t="s">
        <v>173</v>
      </c>
      <c r="D1514">
        <v>21253117</v>
      </c>
      <c r="E1514">
        <v>17.36</v>
      </c>
      <c r="F1514">
        <v>7.25</v>
      </c>
    </row>
    <row r="1515" spans="1:6" x14ac:dyDescent="0.3">
      <c r="A1515" t="s">
        <v>2376</v>
      </c>
      <c r="B1515" t="s">
        <v>1984</v>
      </c>
      <c r="C1515" t="s">
        <v>2092</v>
      </c>
      <c r="D1515">
        <v>21256194</v>
      </c>
      <c r="E1515">
        <v>20.04</v>
      </c>
      <c r="F1515">
        <v>5.27</v>
      </c>
    </row>
    <row r="1516" spans="1:6" x14ac:dyDescent="0.3">
      <c r="A1516" t="s">
        <v>2377</v>
      </c>
      <c r="B1516" t="s">
        <v>1892</v>
      </c>
      <c r="C1516" t="s">
        <v>1954</v>
      </c>
      <c r="D1516">
        <v>21280210</v>
      </c>
      <c r="E1516">
        <v>21.11</v>
      </c>
      <c r="F1516">
        <v>5.49</v>
      </c>
    </row>
    <row r="1517" spans="1:6" x14ac:dyDescent="0.3">
      <c r="A1517" t="s">
        <v>2378</v>
      </c>
      <c r="B1517" t="s">
        <v>1110</v>
      </c>
      <c r="C1517" t="s">
        <v>1205</v>
      </c>
      <c r="D1517">
        <v>21280245</v>
      </c>
      <c r="E1517">
        <v>14.89</v>
      </c>
      <c r="F1517">
        <v>6.75</v>
      </c>
    </row>
    <row r="1518" spans="1:6" x14ac:dyDescent="0.3">
      <c r="A1518" t="s">
        <v>2379</v>
      </c>
      <c r="B1518" t="s">
        <v>325</v>
      </c>
      <c r="C1518" t="s">
        <v>2142</v>
      </c>
      <c r="D1518">
        <v>21306256</v>
      </c>
      <c r="E1518">
        <v>18.18</v>
      </c>
      <c r="F1518">
        <v>5.33</v>
      </c>
    </row>
    <row r="1519" spans="1:6" x14ac:dyDescent="0.3">
      <c r="A1519" t="s">
        <v>2380</v>
      </c>
      <c r="B1519" t="s">
        <v>1576</v>
      </c>
      <c r="C1519" t="s">
        <v>2381</v>
      </c>
      <c r="D1519">
        <v>21337579</v>
      </c>
      <c r="E1519">
        <v>6.85</v>
      </c>
      <c r="F1519">
        <v>6.19</v>
      </c>
    </row>
    <row r="1520" spans="1:6" x14ac:dyDescent="0.3">
      <c r="A1520" t="s">
        <v>2382</v>
      </c>
      <c r="B1520" t="s">
        <v>1572</v>
      </c>
      <c r="C1520" t="s">
        <v>2383</v>
      </c>
      <c r="D1520">
        <v>21356710</v>
      </c>
      <c r="E1520">
        <v>11.63</v>
      </c>
      <c r="F1520">
        <v>6</v>
      </c>
    </row>
    <row r="1521" spans="1:6" x14ac:dyDescent="0.3">
      <c r="A1521" t="s">
        <v>2384</v>
      </c>
      <c r="B1521" t="s">
        <v>2342</v>
      </c>
      <c r="C1521" t="s">
        <v>2385</v>
      </c>
      <c r="D1521">
        <v>21377852</v>
      </c>
      <c r="E1521">
        <v>5.13</v>
      </c>
      <c r="F1521">
        <v>7.52</v>
      </c>
    </row>
    <row r="1522" spans="1:6" x14ac:dyDescent="0.3">
      <c r="A1522" t="s">
        <v>2386</v>
      </c>
      <c r="B1522" t="s">
        <v>2387</v>
      </c>
      <c r="C1522" t="s">
        <v>2388</v>
      </c>
      <c r="D1522">
        <v>21414154</v>
      </c>
      <c r="E1522">
        <v>7.99</v>
      </c>
      <c r="F1522">
        <v>6.61</v>
      </c>
    </row>
    <row r="1523" spans="1:6" x14ac:dyDescent="0.3">
      <c r="A1523" t="s">
        <v>1355</v>
      </c>
      <c r="B1523" t="s">
        <v>1083</v>
      </c>
      <c r="C1523" t="s">
        <v>1355</v>
      </c>
      <c r="D1523">
        <v>21414182</v>
      </c>
      <c r="E1523">
        <v>7.36</v>
      </c>
      <c r="F1523">
        <v>7.63</v>
      </c>
    </row>
    <row r="1524" spans="1:6" x14ac:dyDescent="0.3">
      <c r="A1524" t="s">
        <v>2389</v>
      </c>
      <c r="B1524" t="s">
        <v>1265</v>
      </c>
      <c r="C1524" t="s">
        <v>1039</v>
      </c>
      <c r="D1524">
        <v>21604884</v>
      </c>
      <c r="E1524">
        <v>20.93</v>
      </c>
      <c r="F1524">
        <v>5.87</v>
      </c>
    </row>
    <row r="1525" spans="1:6" x14ac:dyDescent="0.3">
      <c r="A1525" t="s">
        <v>2390</v>
      </c>
      <c r="B1525" t="s">
        <v>900</v>
      </c>
      <c r="C1525" t="s">
        <v>2391</v>
      </c>
      <c r="D1525">
        <v>21630565</v>
      </c>
      <c r="E1525">
        <v>12.57</v>
      </c>
      <c r="F1525">
        <v>5.17</v>
      </c>
    </row>
    <row r="1526" spans="1:6" x14ac:dyDescent="0.3">
      <c r="A1526" t="s">
        <v>2392</v>
      </c>
      <c r="B1526" t="s">
        <v>951</v>
      </c>
      <c r="C1526" t="s">
        <v>1491</v>
      </c>
      <c r="D1526">
        <v>21651249</v>
      </c>
      <c r="E1526">
        <v>7.8</v>
      </c>
      <c r="F1526">
        <v>6.5</v>
      </c>
    </row>
    <row r="1527" spans="1:6" x14ac:dyDescent="0.3">
      <c r="A1527" t="s">
        <v>2393</v>
      </c>
      <c r="B1527" t="s">
        <v>1147</v>
      </c>
      <c r="C1527" t="s">
        <v>2394</v>
      </c>
      <c r="D1527">
        <v>21686349</v>
      </c>
      <c r="E1527">
        <v>4.6100000000000003</v>
      </c>
      <c r="F1527">
        <v>7.05</v>
      </c>
    </row>
    <row r="1528" spans="1:6" x14ac:dyDescent="0.3">
      <c r="A1528" t="s">
        <v>2395</v>
      </c>
      <c r="B1528" t="s">
        <v>1485</v>
      </c>
      <c r="C1528" t="s">
        <v>966</v>
      </c>
      <c r="D1528">
        <v>21761387</v>
      </c>
      <c r="E1528">
        <v>8.86</v>
      </c>
      <c r="F1528">
        <v>4.96</v>
      </c>
    </row>
    <row r="1529" spans="1:6" x14ac:dyDescent="0.3">
      <c r="A1529" t="s">
        <v>2251</v>
      </c>
      <c r="B1529" t="s">
        <v>1758</v>
      </c>
      <c r="C1529" t="s">
        <v>2251</v>
      </c>
      <c r="D1529">
        <v>21777915</v>
      </c>
      <c r="E1529">
        <v>8.75</v>
      </c>
      <c r="F1529">
        <v>5.33</v>
      </c>
    </row>
    <row r="1530" spans="1:6" x14ac:dyDescent="0.3">
      <c r="A1530" t="s">
        <v>1239</v>
      </c>
      <c r="B1530" t="s">
        <v>2396</v>
      </c>
      <c r="C1530" t="s">
        <v>2383</v>
      </c>
      <c r="D1530">
        <v>21805247</v>
      </c>
      <c r="E1530">
        <v>9.14</v>
      </c>
      <c r="F1530">
        <v>7.57</v>
      </c>
    </row>
    <row r="1531" spans="1:6" x14ac:dyDescent="0.3">
      <c r="A1531" t="s">
        <v>2397</v>
      </c>
      <c r="B1531" t="s">
        <v>2398</v>
      </c>
      <c r="C1531" t="s">
        <v>2399</v>
      </c>
      <c r="D1531">
        <v>21812270</v>
      </c>
      <c r="E1531">
        <v>3.94</v>
      </c>
      <c r="F1531">
        <v>5.2</v>
      </c>
    </row>
    <row r="1532" spans="1:6" x14ac:dyDescent="0.3">
      <c r="A1532" t="s">
        <v>2400</v>
      </c>
      <c r="B1532" t="s">
        <v>520</v>
      </c>
      <c r="C1532" t="s">
        <v>2400</v>
      </c>
      <c r="D1532">
        <v>21877979</v>
      </c>
      <c r="E1532">
        <v>7.25</v>
      </c>
      <c r="F1532">
        <v>7</v>
      </c>
    </row>
    <row r="1533" spans="1:6" x14ac:dyDescent="0.3">
      <c r="A1533" t="s">
        <v>2401</v>
      </c>
      <c r="B1533" t="s">
        <v>1394</v>
      </c>
      <c r="C1533" t="s">
        <v>2254</v>
      </c>
      <c r="D1533">
        <v>21884354</v>
      </c>
      <c r="E1533">
        <v>10.92</v>
      </c>
      <c r="F1533">
        <v>6.81</v>
      </c>
    </row>
    <row r="1534" spans="1:6" x14ac:dyDescent="0.3">
      <c r="A1534" t="s">
        <v>2402</v>
      </c>
      <c r="B1534" t="s">
        <v>1210</v>
      </c>
      <c r="C1534" t="s">
        <v>1598</v>
      </c>
      <c r="D1534">
        <v>21909050</v>
      </c>
      <c r="E1534">
        <v>11.33</v>
      </c>
      <c r="F1534">
        <v>8.1999999999999993</v>
      </c>
    </row>
    <row r="1535" spans="1:6" x14ac:dyDescent="0.3">
      <c r="A1535" t="s">
        <v>2403</v>
      </c>
      <c r="B1535" t="s">
        <v>2133</v>
      </c>
      <c r="C1535" t="s">
        <v>2404</v>
      </c>
      <c r="D1535">
        <v>21949567</v>
      </c>
      <c r="E1535">
        <v>4.07</v>
      </c>
      <c r="F1535">
        <v>6.66</v>
      </c>
    </row>
    <row r="1536" spans="1:6" x14ac:dyDescent="0.3">
      <c r="A1536" t="s">
        <v>2405</v>
      </c>
      <c r="B1536" t="s">
        <v>2406</v>
      </c>
      <c r="C1536" t="s">
        <v>1719</v>
      </c>
      <c r="D1536">
        <v>21949927</v>
      </c>
      <c r="E1536">
        <v>7.4</v>
      </c>
      <c r="F1536">
        <v>5</v>
      </c>
    </row>
    <row r="1537" spans="1:6" x14ac:dyDescent="0.3">
      <c r="A1537" t="s">
        <v>2407</v>
      </c>
      <c r="B1537" t="s">
        <v>1227</v>
      </c>
      <c r="C1537" t="s">
        <v>782</v>
      </c>
      <c r="D1537">
        <v>21952243</v>
      </c>
      <c r="E1537">
        <v>18.97</v>
      </c>
      <c r="F1537">
        <v>5.73</v>
      </c>
    </row>
    <row r="1538" spans="1:6" x14ac:dyDescent="0.3">
      <c r="A1538" t="s">
        <v>2408</v>
      </c>
      <c r="B1538" t="s">
        <v>2409</v>
      </c>
      <c r="C1538" t="s">
        <v>2410</v>
      </c>
      <c r="D1538">
        <v>21967859</v>
      </c>
      <c r="E1538">
        <v>4.3</v>
      </c>
      <c r="F1538">
        <v>5.83</v>
      </c>
    </row>
    <row r="1539" spans="1:6" x14ac:dyDescent="0.3">
      <c r="A1539" t="s">
        <v>2411</v>
      </c>
      <c r="B1539" t="s">
        <v>712</v>
      </c>
      <c r="C1539" t="s">
        <v>1859</v>
      </c>
      <c r="D1539">
        <v>22027525</v>
      </c>
      <c r="E1539">
        <v>18</v>
      </c>
      <c r="F1539">
        <v>6.83</v>
      </c>
    </row>
    <row r="1540" spans="1:6" x14ac:dyDescent="0.3">
      <c r="A1540" t="s">
        <v>2412</v>
      </c>
      <c r="B1540" t="s">
        <v>2413</v>
      </c>
      <c r="C1540" t="s">
        <v>2414</v>
      </c>
      <c r="D1540">
        <v>22031889</v>
      </c>
      <c r="E1540">
        <v>5.99</v>
      </c>
      <c r="F1540">
        <v>5.4</v>
      </c>
    </row>
    <row r="1541" spans="1:6" x14ac:dyDescent="0.3">
      <c r="A1541" t="s">
        <v>2415</v>
      </c>
      <c r="B1541" t="s">
        <v>475</v>
      </c>
      <c r="C1541" t="s">
        <v>847</v>
      </c>
      <c r="D1541">
        <v>22042993</v>
      </c>
      <c r="E1541">
        <v>14.28</v>
      </c>
      <c r="F1541">
        <v>6.92</v>
      </c>
    </row>
    <row r="1542" spans="1:6" x14ac:dyDescent="0.3">
      <c r="A1542" t="s">
        <v>2416</v>
      </c>
      <c r="B1542" t="s">
        <v>1758</v>
      </c>
      <c r="C1542" t="s">
        <v>2066</v>
      </c>
      <c r="D1542">
        <v>22136046</v>
      </c>
      <c r="E1542">
        <v>8.93</v>
      </c>
      <c r="F1542">
        <v>5</v>
      </c>
    </row>
    <row r="1543" spans="1:6" x14ac:dyDescent="0.3">
      <c r="A1543" t="s">
        <v>2417</v>
      </c>
      <c r="B1543" t="s">
        <v>1707</v>
      </c>
      <c r="C1543" t="s">
        <v>2418</v>
      </c>
      <c r="D1543">
        <v>22143188</v>
      </c>
      <c r="E1543">
        <v>15.86</v>
      </c>
      <c r="F1543">
        <v>7.44</v>
      </c>
    </row>
    <row r="1544" spans="1:6" x14ac:dyDescent="0.3">
      <c r="A1544" t="s">
        <v>2419</v>
      </c>
      <c r="B1544" t="s">
        <v>1775</v>
      </c>
      <c r="C1544" t="s">
        <v>2310</v>
      </c>
      <c r="D1544">
        <v>22195317</v>
      </c>
      <c r="E1544">
        <v>6.94</v>
      </c>
      <c r="F1544">
        <v>5.2</v>
      </c>
    </row>
    <row r="1545" spans="1:6" x14ac:dyDescent="0.3">
      <c r="A1545" t="s">
        <v>2420</v>
      </c>
      <c r="B1545" t="s">
        <v>1576</v>
      </c>
      <c r="C1545" t="s">
        <v>1269</v>
      </c>
      <c r="D1545">
        <v>22203116</v>
      </c>
      <c r="E1545">
        <v>16.36</v>
      </c>
      <c r="F1545">
        <v>6.13</v>
      </c>
    </row>
    <row r="1546" spans="1:6" x14ac:dyDescent="0.3">
      <c r="A1546" t="s">
        <v>2421</v>
      </c>
      <c r="B1546" t="s">
        <v>951</v>
      </c>
      <c r="C1546" t="s">
        <v>2418</v>
      </c>
      <c r="D1546">
        <v>22249732</v>
      </c>
      <c r="E1546">
        <v>6.81</v>
      </c>
      <c r="F1546">
        <v>6.4</v>
      </c>
    </row>
    <row r="1547" spans="1:6" x14ac:dyDescent="0.3">
      <c r="A1547" t="s">
        <v>2422</v>
      </c>
      <c r="B1547" t="s">
        <v>2423</v>
      </c>
      <c r="C1547" t="s">
        <v>12</v>
      </c>
      <c r="D1547">
        <v>22259203</v>
      </c>
      <c r="E1547">
        <v>27.92</v>
      </c>
      <c r="F1547">
        <v>5.43</v>
      </c>
    </row>
    <row r="1548" spans="1:6" x14ac:dyDescent="0.3">
      <c r="A1548" t="s">
        <v>2424</v>
      </c>
      <c r="B1548" t="s">
        <v>2425</v>
      </c>
      <c r="C1548" t="s">
        <v>2426</v>
      </c>
      <c r="D1548">
        <v>22291447</v>
      </c>
      <c r="E1548">
        <v>8.08</v>
      </c>
      <c r="F1548">
        <v>6.7</v>
      </c>
    </row>
    <row r="1549" spans="1:6" x14ac:dyDescent="0.3">
      <c r="A1549" t="s">
        <v>1843</v>
      </c>
      <c r="B1549" t="s">
        <v>1634</v>
      </c>
      <c r="C1549" t="s">
        <v>1843</v>
      </c>
      <c r="D1549">
        <v>22300473</v>
      </c>
      <c r="E1549">
        <v>11.45</v>
      </c>
      <c r="F1549">
        <v>8.81</v>
      </c>
    </row>
    <row r="1550" spans="1:6" x14ac:dyDescent="0.3">
      <c r="A1550" t="s">
        <v>2427</v>
      </c>
      <c r="B1550" t="s">
        <v>1477</v>
      </c>
      <c r="C1550" t="s">
        <v>797</v>
      </c>
      <c r="D1550">
        <v>22353400</v>
      </c>
      <c r="E1550">
        <v>16.100000000000001</v>
      </c>
      <c r="F1550">
        <v>7.27</v>
      </c>
    </row>
    <row r="1551" spans="1:6" x14ac:dyDescent="0.3">
      <c r="A1551" t="s">
        <v>2428</v>
      </c>
      <c r="B1551" t="s">
        <v>1962</v>
      </c>
      <c r="C1551" t="s">
        <v>2429</v>
      </c>
      <c r="D1551">
        <v>22390740</v>
      </c>
      <c r="E1551">
        <v>2.0699999999999998</v>
      </c>
      <c r="F1551">
        <v>6.9</v>
      </c>
    </row>
    <row r="1552" spans="1:6" x14ac:dyDescent="0.3">
      <c r="A1552" t="s">
        <v>2430</v>
      </c>
      <c r="B1552" t="s">
        <v>1394</v>
      </c>
      <c r="C1552" t="s">
        <v>2066</v>
      </c>
      <c r="D1552">
        <v>22405515</v>
      </c>
      <c r="E1552">
        <v>7.5</v>
      </c>
      <c r="F1552">
        <v>7.3</v>
      </c>
    </row>
    <row r="1553" spans="1:6" x14ac:dyDescent="0.3">
      <c r="A1553" t="s">
        <v>2431</v>
      </c>
      <c r="B1553" t="s">
        <v>1285</v>
      </c>
      <c r="C1553" t="s">
        <v>1566</v>
      </c>
      <c r="D1553">
        <v>22434793</v>
      </c>
      <c r="E1553">
        <v>22.22</v>
      </c>
      <c r="F1553">
        <v>7.38</v>
      </c>
    </row>
    <row r="1554" spans="1:6" x14ac:dyDescent="0.3">
      <c r="A1554" t="s">
        <v>2432</v>
      </c>
      <c r="B1554" t="s">
        <v>2433</v>
      </c>
      <c r="C1554" t="s">
        <v>2434</v>
      </c>
      <c r="D1554">
        <v>22453900</v>
      </c>
      <c r="E1554">
        <v>16.14</v>
      </c>
      <c r="F1554">
        <v>7.33</v>
      </c>
    </row>
    <row r="1555" spans="1:6" x14ac:dyDescent="0.3">
      <c r="A1555" t="s">
        <v>2435</v>
      </c>
      <c r="B1555" t="s">
        <v>2216</v>
      </c>
      <c r="C1555" t="s">
        <v>2436</v>
      </c>
      <c r="D1555">
        <v>22476462</v>
      </c>
      <c r="E1555">
        <v>16.75</v>
      </c>
      <c r="F1555">
        <v>8</v>
      </c>
    </row>
    <row r="1556" spans="1:6" x14ac:dyDescent="0.3">
      <c r="A1556" t="s">
        <v>2437</v>
      </c>
      <c r="B1556" t="s">
        <v>1305</v>
      </c>
      <c r="C1556" t="s">
        <v>1579</v>
      </c>
      <c r="D1556">
        <v>22481280</v>
      </c>
      <c r="E1556">
        <v>13</v>
      </c>
      <c r="F1556">
        <v>7</v>
      </c>
    </row>
    <row r="1557" spans="1:6" x14ac:dyDescent="0.3">
      <c r="A1557" t="s">
        <v>2438</v>
      </c>
      <c r="B1557" t="s">
        <v>2048</v>
      </c>
      <c r="C1557" t="s">
        <v>2439</v>
      </c>
      <c r="D1557">
        <v>23104397</v>
      </c>
      <c r="E1557">
        <v>6.63</v>
      </c>
      <c r="F1557">
        <v>6.14</v>
      </c>
    </row>
    <row r="1558" spans="1:6" x14ac:dyDescent="0.3">
      <c r="A1558" t="s">
        <v>2440</v>
      </c>
      <c r="B1558" t="s">
        <v>2387</v>
      </c>
      <c r="C1558" t="s">
        <v>2441</v>
      </c>
      <c r="D1558">
        <v>23189196</v>
      </c>
      <c r="E1558">
        <v>4.1100000000000003</v>
      </c>
      <c r="F1558">
        <v>5.42</v>
      </c>
    </row>
    <row r="1559" spans="1:6" x14ac:dyDescent="0.3">
      <c r="A1559" t="s">
        <v>2442</v>
      </c>
      <c r="B1559" t="s">
        <v>1227</v>
      </c>
      <c r="C1559" t="s">
        <v>2443</v>
      </c>
      <c r="D1559">
        <v>23208646</v>
      </c>
      <c r="E1559">
        <v>8.65</v>
      </c>
      <c r="F1559">
        <v>7.13</v>
      </c>
    </row>
    <row r="1560" spans="1:6" x14ac:dyDescent="0.3">
      <c r="A1560" t="s">
        <v>2444</v>
      </c>
      <c r="B1560" t="s">
        <v>2445</v>
      </c>
      <c r="C1560" t="s">
        <v>2293</v>
      </c>
      <c r="D1560">
        <v>23224354</v>
      </c>
      <c r="E1560">
        <v>2.77</v>
      </c>
      <c r="F1560">
        <v>6.41</v>
      </c>
    </row>
    <row r="1561" spans="1:6" x14ac:dyDescent="0.3">
      <c r="A1561" t="s">
        <v>2446</v>
      </c>
      <c r="B1561" t="s">
        <v>2447</v>
      </c>
      <c r="C1561" t="s">
        <v>2448</v>
      </c>
      <c r="D1561">
        <v>23253910</v>
      </c>
      <c r="E1561">
        <v>2.99</v>
      </c>
      <c r="F1561">
        <v>5.55</v>
      </c>
    </row>
    <row r="1562" spans="1:6" x14ac:dyDescent="0.3">
      <c r="A1562" t="s">
        <v>2449</v>
      </c>
      <c r="B1562" t="s">
        <v>2450</v>
      </c>
      <c r="C1562" t="s">
        <v>1386</v>
      </c>
      <c r="D1562">
        <v>23262780</v>
      </c>
      <c r="E1562">
        <v>24.85</v>
      </c>
      <c r="F1562">
        <v>4.29</v>
      </c>
    </row>
    <row r="1563" spans="1:6" x14ac:dyDescent="0.3">
      <c r="A1563" t="s">
        <v>2451</v>
      </c>
      <c r="B1563" t="s">
        <v>1990</v>
      </c>
      <c r="C1563" t="s">
        <v>2452</v>
      </c>
      <c r="D1563">
        <v>23294441</v>
      </c>
      <c r="E1563">
        <v>4.38</v>
      </c>
      <c r="F1563">
        <v>4.91</v>
      </c>
    </row>
    <row r="1564" spans="1:6" x14ac:dyDescent="0.3">
      <c r="A1564" t="s">
        <v>2453</v>
      </c>
      <c r="B1564" t="s">
        <v>1799</v>
      </c>
      <c r="C1564" t="s">
        <v>2454</v>
      </c>
      <c r="D1564">
        <v>23298409</v>
      </c>
      <c r="E1564">
        <v>19.7</v>
      </c>
      <c r="F1564">
        <v>7.56</v>
      </c>
    </row>
    <row r="1565" spans="1:6" x14ac:dyDescent="0.3">
      <c r="A1565" t="s">
        <v>2455</v>
      </c>
      <c r="B1565" t="s">
        <v>49</v>
      </c>
      <c r="C1565" t="s">
        <v>2456</v>
      </c>
      <c r="D1565">
        <v>23300671</v>
      </c>
      <c r="E1565">
        <v>8.0399999999999991</v>
      </c>
      <c r="F1565">
        <v>6.59</v>
      </c>
    </row>
    <row r="1566" spans="1:6" x14ac:dyDescent="0.3">
      <c r="A1566" t="s">
        <v>2401</v>
      </c>
      <c r="B1566" t="s">
        <v>2457</v>
      </c>
      <c r="C1566" t="s">
        <v>2458</v>
      </c>
      <c r="D1566">
        <v>23303000</v>
      </c>
      <c r="E1566">
        <v>18.149999999999999</v>
      </c>
      <c r="F1566">
        <v>6.18</v>
      </c>
    </row>
    <row r="1567" spans="1:6" x14ac:dyDescent="0.3">
      <c r="A1567" t="s">
        <v>2459</v>
      </c>
      <c r="B1567" t="s">
        <v>2460</v>
      </c>
      <c r="C1567" t="s">
        <v>2293</v>
      </c>
      <c r="D1567">
        <v>23305393</v>
      </c>
      <c r="E1567">
        <v>10.83</v>
      </c>
      <c r="F1567">
        <v>5</v>
      </c>
    </row>
    <row r="1568" spans="1:6" x14ac:dyDescent="0.3">
      <c r="A1568" t="s">
        <v>2461</v>
      </c>
      <c r="B1568" t="s">
        <v>2462</v>
      </c>
      <c r="C1568" t="s">
        <v>2463</v>
      </c>
      <c r="D1568">
        <v>23311493</v>
      </c>
      <c r="E1568">
        <v>6.6</v>
      </c>
      <c r="F1568">
        <v>5.25</v>
      </c>
    </row>
    <row r="1569" spans="1:6" x14ac:dyDescent="0.3">
      <c r="A1569" t="s">
        <v>2464</v>
      </c>
      <c r="B1569" t="s">
        <v>2423</v>
      </c>
      <c r="C1569" t="s">
        <v>379</v>
      </c>
      <c r="D1569">
        <v>23328970</v>
      </c>
      <c r="E1569">
        <v>15.74</v>
      </c>
      <c r="F1569">
        <v>4.74</v>
      </c>
    </row>
    <row r="1570" spans="1:6" x14ac:dyDescent="0.3">
      <c r="A1570" t="s">
        <v>2465</v>
      </c>
      <c r="B1570" t="s">
        <v>2466</v>
      </c>
      <c r="C1570" t="s">
        <v>782</v>
      </c>
      <c r="D1570">
        <v>23355570</v>
      </c>
      <c r="E1570">
        <v>19.75</v>
      </c>
      <c r="F1570">
        <v>3</v>
      </c>
    </row>
    <row r="1571" spans="1:6" x14ac:dyDescent="0.3">
      <c r="A1571" t="s">
        <v>2467</v>
      </c>
      <c r="B1571" t="s">
        <v>1196</v>
      </c>
      <c r="C1571" t="s">
        <v>707</v>
      </c>
      <c r="D1571">
        <v>23385845</v>
      </c>
      <c r="E1571">
        <v>7.7</v>
      </c>
      <c r="F1571">
        <v>5.5</v>
      </c>
    </row>
    <row r="1572" spans="1:6" x14ac:dyDescent="0.3">
      <c r="A1572" t="s">
        <v>2468</v>
      </c>
      <c r="B1572" t="s">
        <v>1110</v>
      </c>
      <c r="C1572" t="s">
        <v>2092</v>
      </c>
      <c r="D1572">
        <v>23409681</v>
      </c>
      <c r="E1572">
        <v>19.239999999999998</v>
      </c>
      <c r="F1572">
        <v>5.53</v>
      </c>
    </row>
    <row r="1573" spans="1:6" x14ac:dyDescent="0.3">
      <c r="A1573" t="s">
        <v>2469</v>
      </c>
      <c r="B1573" t="s">
        <v>2470</v>
      </c>
      <c r="C1573" t="s">
        <v>1934</v>
      </c>
      <c r="D1573">
        <v>23450155</v>
      </c>
      <c r="E1573">
        <v>10.5</v>
      </c>
      <c r="F1573">
        <v>9.1300000000000008</v>
      </c>
    </row>
    <row r="1574" spans="1:6" x14ac:dyDescent="0.3">
      <c r="A1574" t="s">
        <v>2471</v>
      </c>
      <c r="B1574" t="s">
        <v>2472</v>
      </c>
      <c r="C1574" t="s">
        <v>9</v>
      </c>
      <c r="D1574">
        <v>23579781</v>
      </c>
      <c r="E1574">
        <v>23.5</v>
      </c>
      <c r="F1574">
        <v>9</v>
      </c>
    </row>
    <row r="1575" spans="1:6" x14ac:dyDescent="0.3">
      <c r="A1575" t="s">
        <v>2473</v>
      </c>
      <c r="B1575" t="s">
        <v>2193</v>
      </c>
      <c r="C1575" t="s">
        <v>2439</v>
      </c>
      <c r="D1575">
        <v>23595034</v>
      </c>
      <c r="E1575">
        <v>8.1999999999999993</v>
      </c>
      <c r="F1575">
        <v>5.44</v>
      </c>
    </row>
    <row r="1576" spans="1:6" x14ac:dyDescent="0.3">
      <c r="A1576" t="s">
        <v>2474</v>
      </c>
      <c r="B1576" t="s">
        <v>1691</v>
      </c>
      <c r="C1576" t="s">
        <v>2015</v>
      </c>
      <c r="D1576">
        <v>23775384</v>
      </c>
      <c r="E1576">
        <v>6.75</v>
      </c>
      <c r="F1576">
        <v>5.5</v>
      </c>
    </row>
    <row r="1577" spans="1:6" x14ac:dyDescent="0.3">
      <c r="A1577" t="s">
        <v>2475</v>
      </c>
      <c r="B1577" t="s">
        <v>2476</v>
      </c>
      <c r="C1577" t="s">
        <v>2110</v>
      </c>
      <c r="D1577">
        <v>24254081</v>
      </c>
      <c r="E1577">
        <v>20</v>
      </c>
      <c r="F1577">
        <v>1</v>
      </c>
    </row>
    <row r="1578" spans="1:6" x14ac:dyDescent="0.3">
      <c r="A1578" t="s">
        <v>2477</v>
      </c>
      <c r="B1578" t="s">
        <v>2193</v>
      </c>
      <c r="C1578" t="s">
        <v>2323</v>
      </c>
      <c r="D1578">
        <v>24269136</v>
      </c>
      <c r="E1578">
        <v>6.92</v>
      </c>
      <c r="F1578">
        <v>7.4</v>
      </c>
    </row>
    <row r="1579" spans="1:6" x14ac:dyDescent="0.3">
      <c r="A1579" t="s">
        <v>2478</v>
      </c>
      <c r="B1579" t="s">
        <v>1543</v>
      </c>
      <c r="C1579" t="s">
        <v>2479</v>
      </c>
      <c r="D1579">
        <v>24277132</v>
      </c>
      <c r="E1579">
        <v>7.5</v>
      </c>
      <c r="F1579">
        <v>6.67</v>
      </c>
    </row>
    <row r="1580" spans="1:6" x14ac:dyDescent="0.3">
      <c r="A1580" t="s">
        <v>2480</v>
      </c>
      <c r="B1580" t="s">
        <v>1824</v>
      </c>
      <c r="C1580" t="s">
        <v>2481</v>
      </c>
      <c r="D1580">
        <v>24301797</v>
      </c>
      <c r="E1580">
        <v>21.84</v>
      </c>
      <c r="F1580">
        <v>6.65</v>
      </c>
    </row>
    <row r="1581" spans="1:6" x14ac:dyDescent="0.3">
      <c r="A1581" t="s">
        <v>2482</v>
      </c>
      <c r="B1581" t="s">
        <v>1477</v>
      </c>
      <c r="C1581" t="s">
        <v>9</v>
      </c>
      <c r="D1581">
        <v>24316300</v>
      </c>
      <c r="E1581">
        <v>16.8</v>
      </c>
      <c r="F1581">
        <v>7</v>
      </c>
    </row>
    <row r="1582" spans="1:6" x14ac:dyDescent="0.3">
      <c r="A1582" t="s">
        <v>2483</v>
      </c>
      <c r="B1582" t="s">
        <v>2484</v>
      </c>
      <c r="C1582" t="s">
        <v>2485</v>
      </c>
      <c r="D1582">
        <v>24318979</v>
      </c>
      <c r="E1582">
        <v>11</v>
      </c>
      <c r="F1582">
        <v>7.91</v>
      </c>
    </row>
    <row r="1583" spans="1:6" x14ac:dyDescent="0.3">
      <c r="A1583" t="s">
        <v>2486</v>
      </c>
      <c r="B1583" t="s">
        <v>1605</v>
      </c>
      <c r="C1583" t="s">
        <v>2487</v>
      </c>
      <c r="D1583">
        <v>24380303</v>
      </c>
      <c r="E1583">
        <v>5.93</v>
      </c>
      <c r="F1583">
        <v>7.25</v>
      </c>
    </row>
    <row r="1584" spans="1:6" x14ac:dyDescent="0.3">
      <c r="A1584" t="s">
        <v>2488</v>
      </c>
      <c r="B1584" t="s">
        <v>2199</v>
      </c>
      <c r="C1584" t="s">
        <v>2231</v>
      </c>
      <c r="D1584">
        <v>24415619</v>
      </c>
      <c r="E1584">
        <v>16</v>
      </c>
      <c r="F1584">
        <v>7</v>
      </c>
    </row>
    <row r="1585" spans="1:6" x14ac:dyDescent="0.3">
      <c r="A1585" t="s">
        <v>2489</v>
      </c>
      <c r="B1585" t="s">
        <v>2490</v>
      </c>
      <c r="C1585" t="s">
        <v>2491</v>
      </c>
      <c r="D1585">
        <v>24426217</v>
      </c>
      <c r="E1585">
        <v>4.8099999999999996</v>
      </c>
      <c r="F1585">
        <v>7.57</v>
      </c>
    </row>
    <row r="1586" spans="1:6" x14ac:dyDescent="0.3">
      <c r="A1586" t="s">
        <v>2492</v>
      </c>
      <c r="B1586" t="s">
        <v>463</v>
      </c>
      <c r="C1586" t="s">
        <v>1944</v>
      </c>
      <c r="D1586">
        <v>24595125</v>
      </c>
      <c r="E1586">
        <v>14.97</v>
      </c>
      <c r="F1586">
        <v>5.63</v>
      </c>
    </row>
    <row r="1587" spans="1:6" x14ac:dyDescent="0.3">
      <c r="A1587" t="s">
        <v>2493</v>
      </c>
      <c r="B1587" t="s">
        <v>1378</v>
      </c>
      <c r="C1587" t="s">
        <v>2494</v>
      </c>
      <c r="D1587">
        <v>24641852</v>
      </c>
      <c r="E1587">
        <v>13.8</v>
      </c>
      <c r="F1587">
        <v>5.7</v>
      </c>
    </row>
    <row r="1588" spans="1:6" x14ac:dyDescent="0.3">
      <c r="A1588" t="s">
        <v>2495</v>
      </c>
      <c r="B1588" t="s">
        <v>2387</v>
      </c>
      <c r="C1588" t="s">
        <v>2496</v>
      </c>
      <c r="D1588">
        <v>24721185</v>
      </c>
      <c r="E1588">
        <v>6.8</v>
      </c>
      <c r="F1588">
        <v>6.75</v>
      </c>
    </row>
    <row r="1589" spans="1:6" x14ac:dyDescent="0.3">
      <c r="A1589" t="s">
        <v>2497</v>
      </c>
      <c r="B1589" t="s">
        <v>2228</v>
      </c>
      <c r="C1589" t="s">
        <v>2497</v>
      </c>
      <c r="D1589">
        <v>24736896</v>
      </c>
      <c r="E1589">
        <v>18.38</v>
      </c>
      <c r="F1589">
        <v>4.5</v>
      </c>
    </row>
    <row r="1590" spans="1:6" x14ac:dyDescent="0.3">
      <c r="A1590" t="s">
        <v>2498</v>
      </c>
      <c r="B1590" t="s">
        <v>1477</v>
      </c>
      <c r="C1590" t="s">
        <v>2436</v>
      </c>
      <c r="D1590">
        <v>24746310</v>
      </c>
      <c r="E1590">
        <v>8.15</v>
      </c>
      <c r="F1590">
        <v>5.48</v>
      </c>
    </row>
    <row r="1591" spans="1:6" x14ac:dyDescent="0.3">
      <c r="A1591" t="s">
        <v>2499</v>
      </c>
      <c r="B1591" t="s">
        <v>1454</v>
      </c>
      <c r="C1591" t="s">
        <v>1263</v>
      </c>
      <c r="D1591">
        <v>24842579</v>
      </c>
      <c r="E1591">
        <v>20.5</v>
      </c>
      <c r="F1591">
        <v>4.25</v>
      </c>
    </row>
    <row r="1592" spans="1:6" x14ac:dyDescent="0.3">
      <c r="A1592" t="s">
        <v>2500</v>
      </c>
      <c r="B1592" t="s">
        <v>2501</v>
      </c>
      <c r="C1592" t="s">
        <v>2388</v>
      </c>
      <c r="D1592">
        <v>24904605</v>
      </c>
      <c r="E1592">
        <v>17</v>
      </c>
      <c r="F1592">
        <v>7.2</v>
      </c>
    </row>
    <row r="1593" spans="1:6" x14ac:dyDescent="0.3">
      <c r="A1593" t="s">
        <v>2502</v>
      </c>
      <c r="B1593" t="s">
        <v>2503</v>
      </c>
      <c r="C1593" t="s">
        <v>2456</v>
      </c>
      <c r="D1593">
        <v>24964470</v>
      </c>
      <c r="E1593">
        <v>17.13</v>
      </c>
      <c r="F1593">
        <v>7.63</v>
      </c>
    </row>
    <row r="1594" spans="1:6" x14ac:dyDescent="0.3">
      <c r="A1594" t="s">
        <v>2504</v>
      </c>
      <c r="B1594" t="s">
        <v>2505</v>
      </c>
      <c r="C1594" t="s">
        <v>1129</v>
      </c>
      <c r="D1594">
        <v>24964597</v>
      </c>
      <c r="E1594">
        <v>18.5</v>
      </c>
      <c r="F1594">
        <v>7.33</v>
      </c>
    </row>
    <row r="1595" spans="1:6" x14ac:dyDescent="0.3">
      <c r="A1595" t="s">
        <v>2506</v>
      </c>
      <c r="B1595" t="s">
        <v>1227</v>
      </c>
      <c r="C1595" t="s">
        <v>2507</v>
      </c>
      <c r="D1595">
        <v>24986856</v>
      </c>
      <c r="E1595">
        <v>14.06</v>
      </c>
      <c r="F1595">
        <v>6.15</v>
      </c>
    </row>
    <row r="1596" spans="1:6" x14ac:dyDescent="0.3">
      <c r="A1596" t="s">
        <v>2508</v>
      </c>
      <c r="B1596" t="s">
        <v>1634</v>
      </c>
      <c r="C1596" t="s">
        <v>2509</v>
      </c>
      <c r="D1596">
        <v>24990887</v>
      </c>
      <c r="E1596">
        <v>12.59</v>
      </c>
      <c r="F1596">
        <v>8.57</v>
      </c>
    </row>
    <row r="1597" spans="1:6" x14ac:dyDescent="0.3">
      <c r="A1597" t="s">
        <v>2510</v>
      </c>
      <c r="B1597" t="s">
        <v>2163</v>
      </c>
      <c r="C1597" t="s">
        <v>2510</v>
      </c>
      <c r="D1597">
        <v>24996989</v>
      </c>
      <c r="E1597">
        <v>6</v>
      </c>
      <c r="F1597">
        <v>5.67</v>
      </c>
    </row>
    <row r="1598" spans="1:6" x14ac:dyDescent="0.3">
      <c r="A1598" t="s">
        <v>2511</v>
      </c>
      <c r="B1598" t="s">
        <v>2512</v>
      </c>
      <c r="C1598" t="s">
        <v>2513</v>
      </c>
      <c r="D1598">
        <v>25010257</v>
      </c>
      <c r="E1598">
        <v>8.6</v>
      </c>
      <c r="F1598">
        <v>3.75</v>
      </c>
    </row>
    <row r="1599" spans="1:6" x14ac:dyDescent="0.3">
      <c r="A1599" t="s">
        <v>2514</v>
      </c>
      <c r="B1599" t="s">
        <v>192</v>
      </c>
      <c r="C1599" t="s">
        <v>365</v>
      </c>
      <c r="D1599">
        <v>25076704</v>
      </c>
      <c r="E1599">
        <v>12.67</v>
      </c>
      <c r="F1599">
        <v>6.25</v>
      </c>
    </row>
    <row r="1600" spans="1:6" x14ac:dyDescent="0.3">
      <c r="A1600" t="s">
        <v>2515</v>
      </c>
      <c r="B1600" t="s">
        <v>2290</v>
      </c>
      <c r="C1600" t="s">
        <v>2516</v>
      </c>
      <c r="D1600">
        <v>25115939</v>
      </c>
      <c r="E1600">
        <v>8.48</v>
      </c>
      <c r="F1600">
        <v>4.75</v>
      </c>
    </row>
    <row r="1601" spans="1:6" x14ac:dyDescent="0.3">
      <c r="A1601" t="s">
        <v>2517</v>
      </c>
      <c r="B1601" t="s">
        <v>1824</v>
      </c>
      <c r="C1601" t="e">
        <f>-Miami Hotline- Vol.3</f>
        <v>#NAME?</v>
      </c>
      <c r="D1601">
        <v>25147297</v>
      </c>
      <c r="E1601">
        <v>18.899999999999999</v>
      </c>
      <c r="F1601">
        <v>4.6500000000000004</v>
      </c>
    </row>
    <row r="1602" spans="1:6" x14ac:dyDescent="0.3">
      <c r="A1602" t="s">
        <v>2518</v>
      </c>
      <c r="B1602" t="s">
        <v>2519</v>
      </c>
      <c r="C1602" t="s">
        <v>1375</v>
      </c>
      <c r="D1602">
        <v>25222097</v>
      </c>
      <c r="E1602">
        <v>6.7</v>
      </c>
      <c r="F1602">
        <v>7.08</v>
      </c>
    </row>
    <row r="1603" spans="1:6" x14ac:dyDescent="0.3">
      <c r="A1603" t="s">
        <v>2520</v>
      </c>
      <c r="B1603" t="s">
        <v>1219</v>
      </c>
      <c r="C1603" t="s">
        <v>950</v>
      </c>
      <c r="D1603">
        <v>25241513</v>
      </c>
      <c r="E1603">
        <v>21.79</v>
      </c>
      <c r="F1603">
        <v>6.14</v>
      </c>
    </row>
    <row r="1604" spans="1:6" x14ac:dyDescent="0.3">
      <c r="A1604" t="s">
        <v>2521</v>
      </c>
      <c r="B1604" t="s">
        <v>2522</v>
      </c>
      <c r="C1604" t="s">
        <v>2523</v>
      </c>
      <c r="D1604">
        <v>25285330</v>
      </c>
      <c r="E1604">
        <v>8</v>
      </c>
      <c r="F1604">
        <v>6</v>
      </c>
    </row>
    <row r="1605" spans="1:6" x14ac:dyDescent="0.3">
      <c r="A1605" t="s">
        <v>2524</v>
      </c>
      <c r="B1605" t="s">
        <v>2525</v>
      </c>
      <c r="C1605" t="s">
        <v>2526</v>
      </c>
      <c r="D1605">
        <v>25314516</v>
      </c>
      <c r="E1605">
        <v>18.78</v>
      </c>
      <c r="F1605">
        <v>8.1300000000000008</v>
      </c>
    </row>
    <row r="1606" spans="1:6" x14ac:dyDescent="0.3">
      <c r="A1606" t="s">
        <v>2527</v>
      </c>
      <c r="B1606" t="s">
        <v>1068</v>
      </c>
      <c r="C1606" t="s">
        <v>1719</v>
      </c>
      <c r="D1606">
        <v>25346157</v>
      </c>
      <c r="E1606">
        <v>5.58</v>
      </c>
      <c r="F1606">
        <v>6.67</v>
      </c>
    </row>
    <row r="1607" spans="1:6" x14ac:dyDescent="0.3">
      <c r="A1607" t="s">
        <v>2528</v>
      </c>
      <c r="B1607" t="s">
        <v>2529</v>
      </c>
      <c r="C1607" t="s">
        <v>2530</v>
      </c>
      <c r="D1607">
        <v>25347934</v>
      </c>
      <c r="E1607">
        <v>15.11</v>
      </c>
      <c r="F1607">
        <v>5.58</v>
      </c>
    </row>
    <row r="1608" spans="1:6" x14ac:dyDescent="0.3">
      <c r="A1608" t="s">
        <v>2531</v>
      </c>
      <c r="B1608" t="s">
        <v>2532</v>
      </c>
      <c r="C1608" t="s">
        <v>780</v>
      </c>
      <c r="D1608">
        <v>25449475</v>
      </c>
      <c r="E1608">
        <v>22.07</v>
      </c>
      <c r="F1608">
        <v>5.42</v>
      </c>
    </row>
    <row r="1609" spans="1:6" x14ac:dyDescent="0.3">
      <c r="A1609" t="s">
        <v>2533</v>
      </c>
      <c r="B1609" t="s">
        <v>2534</v>
      </c>
      <c r="C1609" t="s">
        <v>2535</v>
      </c>
      <c r="D1609">
        <v>25468310</v>
      </c>
      <c r="E1609">
        <v>7.67</v>
      </c>
      <c r="F1609">
        <v>5</v>
      </c>
    </row>
    <row r="1610" spans="1:6" x14ac:dyDescent="0.3">
      <c r="A1610" t="s">
        <v>2536</v>
      </c>
      <c r="B1610" t="s">
        <v>192</v>
      </c>
      <c r="C1610" t="s">
        <v>987</v>
      </c>
      <c r="D1610">
        <v>25501342</v>
      </c>
      <c r="E1610">
        <v>14.36</v>
      </c>
      <c r="F1610">
        <v>5</v>
      </c>
    </row>
    <row r="1611" spans="1:6" x14ac:dyDescent="0.3">
      <c r="A1611" t="s">
        <v>2537</v>
      </c>
      <c r="B1611" t="s">
        <v>1559</v>
      </c>
      <c r="C1611" t="s">
        <v>2538</v>
      </c>
      <c r="D1611">
        <v>25520548</v>
      </c>
      <c r="E1611">
        <v>7</v>
      </c>
      <c r="F1611">
        <v>6.54</v>
      </c>
    </row>
    <row r="1612" spans="1:6" x14ac:dyDescent="0.3">
      <c r="A1612" t="s">
        <v>1604</v>
      </c>
      <c r="B1612" t="s">
        <v>2539</v>
      </c>
      <c r="C1612" t="s">
        <v>2540</v>
      </c>
      <c r="D1612">
        <v>25533681</v>
      </c>
      <c r="E1612">
        <v>6.91</v>
      </c>
      <c r="F1612">
        <v>5.5</v>
      </c>
    </row>
    <row r="1613" spans="1:6" x14ac:dyDescent="0.3">
      <c r="A1613" t="s">
        <v>2541</v>
      </c>
      <c r="B1613" t="s">
        <v>1824</v>
      </c>
      <c r="C1613" t="s">
        <v>2414</v>
      </c>
      <c r="D1613">
        <v>25540324</v>
      </c>
      <c r="E1613">
        <v>19.66</v>
      </c>
      <c r="F1613">
        <v>5.3</v>
      </c>
    </row>
    <row r="1614" spans="1:6" x14ac:dyDescent="0.3">
      <c r="A1614" t="s">
        <v>2542</v>
      </c>
      <c r="B1614" t="s">
        <v>2409</v>
      </c>
      <c r="C1614" t="s">
        <v>2543</v>
      </c>
      <c r="D1614">
        <v>25559054</v>
      </c>
      <c r="E1614">
        <v>9.7799999999999994</v>
      </c>
      <c r="F1614">
        <v>5.92</v>
      </c>
    </row>
    <row r="1615" spans="1:6" x14ac:dyDescent="0.3">
      <c r="A1615" t="s">
        <v>2544</v>
      </c>
      <c r="B1615" t="s">
        <v>2193</v>
      </c>
      <c r="C1615" t="s">
        <v>2507</v>
      </c>
      <c r="D1615">
        <v>25603065</v>
      </c>
      <c r="E1615">
        <v>7.62</v>
      </c>
      <c r="F1615">
        <v>6.2</v>
      </c>
    </row>
    <row r="1616" spans="1:6" x14ac:dyDescent="0.3">
      <c r="A1616" t="s">
        <v>2545</v>
      </c>
      <c r="B1616" t="s">
        <v>1238</v>
      </c>
      <c r="C1616" t="s">
        <v>782</v>
      </c>
      <c r="D1616">
        <v>25610878</v>
      </c>
      <c r="E1616">
        <v>23.01</v>
      </c>
      <c r="F1616">
        <v>4.99</v>
      </c>
    </row>
    <row r="1617" spans="1:6" x14ac:dyDescent="0.3">
      <c r="A1617" t="s">
        <v>2546</v>
      </c>
      <c r="B1617" t="s">
        <v>1691</v>
      </c>
      <c r="C1617" t="s">
        <v>2547</v>
      </c>
      <c r="D1617">
        <v>25638482</v>
      </c>
      <c r="E1617">
        <v>7.86</v>
      </c>
      <c r="F1617">
        <v>5.75</v>
      </c>
    </row>
    <row r="1618" spans="1:6" x14ac:dyDescent="0.3">
      <c r="A1618" t="s">
        <v>2548</v>
      </c>
      <c r="B1618" t="s">
        <v>1477</v>
      </c>
      <c r="C1618" t="s">
        <v>2549</v>
      </c>
      <c r="D1618">
        <v>25645517</v>
      </c>
      <c r="E1618">
        <v>9.8000000000000007</v>
      </c>
      <c r="F1618">
        <v>7.32</v>
      </c>
    </row>
    <row r="1619" spans="1:6" x14ac:dyDescent="0.3">
      <c r="A1619" t="s">
        <v>2550</v>
      </c>
      <c r="B1619" t="s">
        <v>1887</v>
      </c>
      <c r="C1619" t="s">
        <v>2551</v>
      </c>
      <c r="D1619">
        <v>25676163</v>
      </c>
      <c r="E1619">
        <v>8.24</v>
      </c>
      <c r="F1619">
        <v>7.42</v>
      </c>
    </row>
    <row r="1620" spans="1:6" x14ac:dyDescent="0.3">
      <c r="A1620" t="s">
        <v>2552</v>
      </c>
      <c r="B1620" t="s">
        <v>2529</v>
      </c>
      <c r="C1620" t="s">
        <v>2287</v>
      </c>
      <c r="D1620">
        <v>25692923</v>
      </c>
      <c r="E1620">
        <v>9.16</v>
      </c>
      <c r="F1620">
        <v>5.8</v>
      </c>
    </row>
    <row r="1621" spans="1:6" x14ac:dyDescent="0.3">
      <c r="A1621" t="s">
        <v>2553</v>
      </c>
      <c r="B1621" t="s">
        <v>1576</v>
      </c>
      <c r="C1621" t="s">
        <v>2494</v>
      </c>
      <c r="D1621">
        <v>25706351</v>
      </c>
      <c r="E1621">
        <v>8.1</v>
      </c>
      <c r="F1621">
        <v>6.77</v>
      </c>
    </row>
    <row r="1622" spans="1:6" x14ac:dyDescent="0.3">
      <c r="A1622" t="s">
        <v>2554</v>
      </c>
      <c r="B1622" t="s">
        <v>2555</v>
      </c>
      <c r="C1622" t="s">
        <v>227</v>
      </c>
      <c r="D1622">
        <v>25709518</v>
      </c>
      <c r="E1622">
        <v>12.92</v>
      </c>
      <c r="F1622">
        <v>8.17</v>
      </c>
    </row>
    <row r="1623" spans="1:6" x14ac:dyDescent="0.3">
      <c r="A1623" t="s">
        <v>2556</v>
      </c>
      <c r="B1623" t="s">
        <v>1792</v>
      </c>
      <c r="C1623" t="s">
        <v>2142</v>
      </c>
      <c r="D1623">
        <v>25726223</v>
      </c>
      <c r="E1623">
        <v>13.67</v>
      </c>
      <c r="F1623">
        <v>6</v>
      </c>
    </row>
    <row r="1624" spans="1:6" x14ac:dyDescent="0.3">
      <c r="A1624" t="s">
        <v>2557</v>
      </c>
      <c r="B1624" t="s">
        <v>1996</v>
      </c>
      <c r="C1624" t="s">
        <v>1214</v>
      </c>
      <c r="D1624">
        <v>25742788</v>
      </c>
      <c r="E1624">
        <v>6.67</v>
      </c>
      <c r="F1624">
        <v>6.1</v>
      </c>
    </row>
    <row r="1625" spans="1:6" x14ac:dyDescent="0.3">
      <c r="A1625" t="s">
        <v>2558</v>
      </c>
      <c r="B1625" t="s">
        <v>2559</v>
      </c>
      <c r="C1625" t="s">
        <v>2429</v>
      </c>
      <c r="D1625">
        <v>25763191</v>
      </c>
      <c r="E1625">
        <v>6.66</v>
      </c>
      <c r="F1625">
        <v>7.1</v>
      </c>
    </row>
    <row r="1626" spans="1:6" x14ac:dyDescent="0.3">
      <c r="A1626" t="s">
        <v>2560</v>
      </c>
      <c r="B1626" t="s">
        <v>2561</v>
      </c>
      <c r="C1626" t="s">
        <v>237</v>
      </c>
      <c r="D1626">
        <v>25787486</v>
      </c>
      <c r="E1626">
        <v>7.8</v>
      </c>
      <c r="F1626">
        <v>5.14</v>
      </c>
    </row>
    <row r="1627" spans="1:6" x14ac:dyDescent="0.3">
      <c r="A1627" t="s">
        <v>2562</v>
      </c>
      <c r="B1627" t="s">
        <v>2563</v>
      </c>
      <c r="C1627" t="s">
        <v>2443</v>
      </c>
      <c r="D1627">
        <v>25835803</v>
      </c>
      <c r="E1627">
        <v>13.2</v>
      </c>
      <c r="F1627">
        <v>5.25</v>
      </c>
    </row>
    <row r="1628" spans="1:6" x14ac:dyDescent="0.3">
      <c r="A1628" t="s">
        <v>2564</v>
      </c>
      <c r="B1628" t="s">
        <v>2565</v>
      </c>
      <c r="C1628" t="s">
        <v>2388</v>
      </c>
      <c r="D1628">
        <v>25840344</v>
      </c>
      <c r="E1628">
        <v>5.22</v>
      </c>
      <c r="F1628">
        <v>6.59</v>
      </c>
    </row>
    <row r="1629" spans="1:6" x14ac:dyDescent="0.3">
      <c r="A1629" t="s">
        <v>2566</v>
      </c>
      <c r="B1629" t="s">
        <v>1729</v>
      </c>
      <c r="C1629" t="s">
        <v>2388</v>
      </c>
      <c r="D1629">
        <v>25867119</v>
      </c>
      <c r="E1629">
        <v>9.23</v>
      </c>
      <c r="F1629">
        <v>7.33</v>
      </c>
    </row>
    <row r="1630" spans="1:6" x14ac:dyDescent="0.3">
      <c r="A1630" t="s">
        <v>2567</v>
      </c>
      <c r="B1630" t="s">
        <v>955</v>
      </c>
      <c r="C1630" t="s">
        <v>2568</v>
      </c>
      <c r="D1630">
        <v>25878820</v>
      </c>
      <c r="E1630">
        <v>7.79</v>
      </c>
      <c r="F1630">
        <v>8.6</v>
      </c>
    </row>
    <row r="1631" spans="1:6" x14ac:dyDescent="0.3">
      <c r="A1631" t="s">
        <v>2569</v>
      </c>
      <c r="B1631" t="s">
        <v>955</v>
      </c>
      <c r="C1631" t="s">
        <v>2570</v>
      </c>
      <c r="D1631">
        <v>25900819</v>
      </c>
      <c r="E1631">
        <v>5.43</v>
      </c>
      <c r="F1631">
        <v>6.5</v>
      </c>
    </row>
    <row r="1632" spans="1:6" x14ac:dyDescent="0.3">
      <c r="A1632" t="s">
        <v>2571</v>
      </c>
      <c r="B1632" t="s">
        <v>1048</v>
      </c>
      <c r="C1632" t="s">
        <v>2020</v>
      </c>
      <c r="D1632">
        <v>25901054</v>
      </c>
      <c r="E1632">
        <v>10.19</v>
      </c>
      <c r="F1632">
        <v>6.69</v>
      </c>
    </row>
    <row r="1633" spans="1:6" x14ac:dyDescent="0.3">
      <c r="A1633" t="s">
        <v>2572</v>
      </c>
      <c r="B1633" t="s">
        <v>2573</v>
      </c>
      <c r="C1633" t="s">
        <v>925</v>
      </c>
      <c r="D1633">
        <v>25925524</v>
      </c>
      <c r="E1633">
        <v>9.31</v>
      </c>
      <c r="F1633">
        <v>5.3</v>
      </c>
    </row>
    <row r="1634" spans="1:6" x14ac:dyDescent="0.3">
      <c r="A1634" t="s">
        <v>2574</v>
      </c>
      <c r="B1634" t="s">
        <v>1230</v>
      </c>
      <c r="C1634" t="s">
        <v>379</v>
      </c>
      <c r="D1634">
        <v>25972857</v>
      </c>
      <c r="E1634">
        <v>5.63</v>
      </c>
      <c r="F1634">
        <v>5.67</v>
      </c>
    </row>
    <row r="1635" spans="1:6" x14ac:dyDescent="0.3">
      <c r="A1635" t="s">
        <v>2575</v>
      </c>
      <c r="B1635" t="s">
        <v>2173</v>
      </c>
      <c r="C1635" t="s">
        <v>859</v>
      </c>
      <c r="D1635">
        <v>25977272</v>
      </c>
      <c r="E1635">
        <v>16.670000000000002</v>
      </c>
      <c r="F1635">
        <v>6.67</v>
      </c>
    </row>
    <row r="1636" spans="1:6" x14ac:dyDescent="0.3">
      <c r="A1636" t="s">
        <v>2576</v>
      </c>
      <c r="B1636" t="s">
        <v>1758</v>
      </c>
      <c r="C1636" t="s">
        <v>2577</v>
      </c>
      <c r="D1636">
        <v>25986010</v>
      </c>
      <c r="E1636">
        <v>10.02</v>
      </c>
      <c r="F1636">
        <v>5.5</v>
      </c>
    </row>
    <row r="1637" spans="1:6" x14ac:dyDescent="0.3">
      <c r="A1637" t="s">
        <v>2578</v>
      </c>
      <c r="B1637" t="s">
        <v>1799</v>
      </c>
      <c r="C1637" t="s">
        <v>2579</v>
      </c>
      <c r="D1637">
        <v>25999999</v>
      </c>
      <c r="E1637">
        <v>12.08</v>
      </c>
      <c r="F1637">
        <v>5.63</v>
      </c>
    </row>
    <row r="1638" spans="1:6" x14ac:dyDescent="0.3">
      <c r="A1638" t="s">
        <v>2580</v>
      </c>
      <c r="B1638" t="s">
        <v>192</v>
      </c>
      <c r="C1638" t="s">
        <v>2581</v>
      </c>
      <c r="D1638">
        <v>26004907</v>
      </c>
      <c r="E1638">
        <v>15.34</v>
      </c>
      <c r="F1638">
        <v>5.17</v>
      </c>
    </row>
    <row r="1639" spans="1:6" x14ac:dyDescent="0.3">
      <c r="A1639" t="s">
        <v>2582</v>
      </c>
      <c r="B1639" t="s">
        <v>2583</v>
      </c>
      <c r="C1639" t="s">
        <v>1165</v>
      </c>
      <c r="D1639">
        <v>26022115</v>
      </c>
      <c r="E1639">
        <v>8.67</v>
      </c>
      <c r="F1639">
        <v>6.38</v>
      </c>
    </row>
    <row r="1640" spans="1:6" x14ac:dyDescent="0.3">
      <c r="A1640" t="s">
        <v>2584</v>
      </c>
      <c r="B1640" t="s">
        <v>1279</v>
      </c>
      <c r="C1640" t="s">
        <v>744</v>
      </c>
      <c r="D1640">
        <v>26046240</v>
      </c>
      <c r="E1640">
        <v>18.399999999999999</v>
      </c>
      <c r="F1640">
        <v>7.8</v>
      </c>
    </row>
    <row r="1641" spans="1:6" x14ac:dyDescent="0.3">
      <c r="A1641" t="s">
        <v>2585</v>
      </c>
      <c r="B1641" t="s">
        <v>1513</v>
      </c>
      <c r="C1641" t="s">
        <v>2586</v>
      </c>
      <c r="D1641">
        <v>26111906</v>
      </c>
      <c r="E1641">
        <v>10.56</v>
      </c>
      <c r="F1641">
        <v>3.67</v>
      </c>
    </row>
    <row r="1642" spans="1:6" x14ac:dyDescent="0.3">
      <c r="A1642" t="s">
        <v>2587</v>
      </c>
      <c r="B1642" t="s">
        <v>1758</v>
      </c>
      <c r="C1642" t="s">
        <v>2588</v>
      </c>
      <c r="D1642">
        <v>26125744</v>
      </c>
      <c r="E1642">
        <v>4.4000000000000004</v>
      </c>
      <c r="F1642">
        <v>5.16</v>
      </c>
    </row>
    <row r="1643" spans="1:6" x14ac:dyDescent="0.3">
      <c r="A1643" t="s">
        <v>2589</v>
      </c>
      <c r="B1643" t="s">
        <v>1238</v>
      </c>
      <c r="C1643" t="s">
        <v>2590</v>
      </c>
      <c r="D1643">
        <v>26133601</v>
      </c>
      <c r="E1643">
        <v>25.98</v>
      </c>
      <c r="F1643">
        <v>6.78</v>
      </c>
    </row>
    <row r="1644" spans="1:6" x14ac:dyDescent="0.3">
      <c r="A1644" t="s">
        <v>2388</v>
      </c>
      <c r="B1644" t="s">
        <v>1361</v>
      </c>
      <c r="C1644" t="s">
        <v>2388</v>
      </c>
      <c r="D1644">
        <v>26149304</v>
      </c>
      <c r="E1644">
        <v>13.67</v>
      </c>
      <c r="F1644">
        <v>7.25</v>
      </c>
    </row>
    <row r="1645" spans="1:6" x14ac:dyDescent="0.3">
      <c r="A1645" t="s">
        <v>2591</v>
      </c>
      <c r="B1645" t="s">
        <v>1824</v>
      </c>
      <c r="C1645" t="s">
        <v>121</v>
      </c>
      <c r="D1645">
        <v>26157409</v>
      </c>
      <c r="E1645">
        <v>21.5</v>
      </c>
      <c r="F1645">
        <v>5.1100000000000003</v>
      </c>
    </row>
    <row r="1646" spans="1:6" x14ac:dyDescent="0.3">
      <c r="A1646" t="s">
        <v>2592</v>
      </c>
      <c r="B1646" t="s">
        <v>1584</v>
      </c>
      <c r="C1646" t="s">
        <v>2593</v>
      </c>
      <c r="D1646">
        <v>26170688</v>
      </c>
      <c r="E1646">
        <v>12.5</v>
      </c>
      <c r="F1646">
        <v>7.67</v>
      </c>
    </row>
    <row r="1647" spans="1:6" x14ac:dyDescent="0.3">
      <c r="A1647" t="s">
        <v>2594</v>
      </c>
      <c r="B1647" t="s">
        <v>1842</v>
      </c>
      <c r="C1647" t="s">
        <v>65</v>
      </c>
      <c r="D1647">
        <v>26172007</v>
      </c>
      <c r="E1647">
        <v>15.8</v>
      </c>
      <c r="F1647">
        <v>7.28</v>
      </c>
    </row>
    <row r="1648" spans="1:6" x14ac:dyDescent="0.3">
      <c r="A1648" t="s">
        <v>2595</v>
      </c>
      <c r="B1648" t="s">
        <v>2596</v>
      </c>
      <c r="C1648" t="s">
        <v>2195</v>
      </c>
      <c r="D1648">
        <v>26173974</v>
      </c>
      <c r="E1648">
        <v>1.1100000000000001</v>
      </c>
      <c r="F1648">
        <v>6.68</v>
      </c>
    </row>
    <row r="1649" spans="1:6" x14ac:dyDescent="0.3">
      <c r="A1649" t="s">
        <v>2597</v>
      </c>
      <c r="B1649" t="s">
        <v>192</v>
      </c>
      <c r="C1649" t="s">
        <v>2441</v>
      </c>
      <c r="D1649">
        <v>26182487</v>
      </c>
      <c r="E1649">
        <v>14.33</v>
      </c>
      <c r="F1649">
        <v>7.93</v>
      </c>
    </row>
    <row r="1650" spans="1:6" x14ac:dyDescent="0.3">
      <c r="A1650" t="s">
        <v>2598</v>
      </c>
      <c r="B1650" t="s">
        <v>2199</v>
      </c>
      <c r="C1650" t="s">
        <v>1015</v>
      </c>
      <c r="D1650">
        <v>26209433</v>
      </c>
      <c r="E1650">
        <v>14.8</v>
      </c>
      <c r="F1650">
        <v>8.07</v>
      </c>
    </row>
    <row r="1651" spans="1:6" x14ac:dyDescent="0.3">
      <c r="A1651" t="s">
        <v>2599</v>
      </c>
      <c r="B1651" t="s">
        <v>965</v>
      </c>
      <c r="C1651" t="s">
        <v>2600</v>
      </c>
      <c r="D1651">
        <v>26245696</v>
      </c>
      <c r="E1651">
        <v>3.73</v>
      </c>
      <c r="F1651">
        <v>5.05</v>
      </c>
    </row>
    <row r="1652" spans="1:6" x14ac:dyDescent="0.3">
      <c r="A1652" t="s">
        <v>2601</v>
      </c>
      <c r="B1652" t="s">
        <v>2472</v>
      </c>
      <c r="C1652" t="s">
        <v>2602</v>
      </c>
      <c r="D1652">
        <v>26258120</v>
      </c>
      <c r="E1652">
        <v>19.329999999999998</v>
      </c>
      <c r="F1652">
        <v>7.92</v>
      </c>
    </row>
    <row r="1653" spans="1:6" x14ac:dyDescent="0.3">
      <c r="A1653" t="s">
        <v>2603</v>
      </c>
      <c r="B1653" t="s">
        <v>2433</v>
      </c>
      <c r="C1653" t="s">
        <v>2603</v>
      </c>
      <c r="D1653">
        <v>26258633</v>
      </c>
      <c r="E1653">
        <v>14.42</v>
      </c>
      <c r="F1653">
        <v>7.64</v>
      </c>
    </row>
    <row r="1654" spans="1:6" x14ac:dyDescent="0.3">
      <c r="A1654" t="s">
        <v>2604</v>
      </c>
      <c r="B1654" t="s">
        <v>2534</v>
      </c>
      <c r="C1654" t="s">
        <v>2605</v>
      </c>
      <c r="D1654">
        <v>26262199</v>
      </c>
      <c r="E1654">
        <v>9</v>
      </c>
      <c r="F1654">
        <v>2.75</v>
      </c>
    </row>
    <row r="1655" spans="1:6" x14ac:dyDescent="0.3">
      <c r="A1655" t="s">
        <v>2606</v>
      </c>
      <c r="B1655" t="s">
        <v>1589</v>
      </c>
      <c r="C1655" t="s">
        <v>2607</v>
      </c>
      <c r="D1655">
        <v>26298359</v>
      </c>
      <c r="E1655">
        <v>7.92</v>
      </c>
      <c r="F1655">
        <v>3</v>
      </c>
    </row>
    <row r="1656" spans="1:6" x14ac:dyDescent="0.3">
      <c r="A1656">
        <v>999</v>
      </c>
      <c r="B1656" t="s">
        <v>2043</v>
      </c>
      <c r="C1656" t="s">
        <v>2590</v>
      </c>
      <c r="D1656">
        <v>26358619</v>
      </c>
      <c r="E1656">
        <v>11.57</v>
      </c>
      <c r="F1656">
        <v>7.43</v>
      </c>
    </row>
    <row r="1657" spans="1:6" x14ac:dyDescent="0.3">
      <c r="A1657" t="s">
        <v>2608</v>
      </c>
      <c r="B1657" t="s">
        <v>2609</v>
      </c>
      <c r="C1657" t="s">
        <v>2610</v>
      </c>
      <c r="D1657">
        <v>26396040</v>
      </c>
      <c r="E1657">
        <v>9.4600000000000009</v>
      </c>
      <c r="F1657">
        <v>5.6</v>
      </c>
    </row>
    <row r="1658" spans="1:6" x14ac:dyDescent="0.3">
      <c r="A1658" t="s">
        <v>2611</v>
      </c>
      <c r="B1658" t="s">
        <v>2612</v>
      </c>
      <c r="C1658" t="s">
        <v>1203</v>
      </c>
      <c r="D1658">
        <v>26416200</v>
      </c>
      <c r="E1658">
        <v>8.43</v>
      </c>
      <c r="F1658">
        <v>6</v>
      </c>
    </row>
    <row r="1659" spans="1:6" x14ac:dyDescent="0.3">
      <c r="A1659" t="s">
        <v>2613</v>
      </c>
      <c r="B1659" t="s">
        <v>2614</v>
      </c>
      <c r="C1659" t="s">
        <v>1251</v>
      </c>
      <c r="D1659">
        <v>26441161</v>
      </c>
      <c r="E1659">
        <v>17.88</v>
      </c>
      <c r="F1659">
        <v>5.76</v>
      </c>
    </row>
    <row r="1660" spans="1:6" x14ac:dyDescent="0.3">
      <c r="A1660" t="s">
        <v>2615</v>
      </c>
      <c r="B1660" t="s">
        <v>2616</v>
      </c>
      <c r="C1660" t="s">
        <v>2617</v>
      </c>
      <c r="D1660">
        <v>26453027</v>
      </c>
      <c r="E1660">
        <v>3</v>
      </c>
      <c r="F1660">
        <v>6.41</v>
      </c>
    </row>
    <row r="1661" spans="1:6" x14ac:dyDescent="0.3">
      <c r="A1661" t="s">
        <v>2618</v>
      </c>
      <c r="B1661" t="s">
        <v>1244</v>
      </c>
      <c r="C1661" t="s">
        <v>797</v>
      </c>
      <c r="D1661">
        <v>26512451</v>
      </c>
      <c r="E1661">
        <v>19.690000000000001</v>
      </c>
      <c r="F1661">
        <v>4.84</v>
      </c>
    </row>
    <row r="1662" spans="1:6" x14ac:dyDescent="0.3">
      <c r="A1662" t="s">
        <v>2619</v>
      </c>
      <c r="B1662" t="s">
        <v>463</v>
      </c>
      <c r="C1662" t="s">
        <v>847</v>
      </c>
      <c r="D1662">
        <v>26539891</v>
      </c>
      <c r="E1662">
        <v>11</v>
      </c>
      <c r="F1662">
        <v>5.84</v>
      </c>
    </row>
    <row r="1663" spans="1:6" x14ac:dyDescent="0.3">
      <c r="A1663" t="s">
        <v>2620</v>
      </c>
      <c r="B1663" t="s">
        <v>2362</v>
      </c>
      <c r="C1663" t="s">
        <v>2621</v>
      </c>
      <c r="D1663">
        <v>26542985</v>
      </c>
      <c r="E1663">
        <v>12.72</v>
      </c>
      <c r="F1663">
        <v>8.4</v>
      </c>
    </row>
    <row r="1664" spans="1:6" x14ac:dyDescent="0.3">
      <c r="A1664" t="s">
        <v>2622</v>
      </c>
      <c r="B1664" t="s">
        <v>1477</v>
      </c>
      <c r="C1664" t="s">
        <v>2623</v>
      </c>
      <c r="D1664">
        <v>26557207</v>
      </c>
      <c r="E1664">
        <v>7.97</v>
      </c>
      <c r="F1664">
        <v>6.94</v>
      </c>
    </row>
    <row r="1665" spans="1:6" x14ac:dyDescent="0.3">
      <c r="A1665" t="s">
        <v>1579</v>
      </c>
      <c r="B1665" t="s">
        <v>2624</v>
      </c>
      <c r="C1665" t="s">
        <v>1579</v>
      </c>
      <c r="D1665">
        <v>26587879</v>
      </c>
      <c r="E1665">
        <v>2.59</v>
      </c>
      <c r="F1665">
        <v>5.3</v>
      </c>
    </row>
    <row r="1666" spans="1:6" x14ac:dyDescent="0.3">
      <c r="A1666" t="s">
        <v>2625</v>
      </c>
      <c r="B1666" t="s">
        <v>1863</v>
      </c>
      <c r="C1666" t="s">
        <v>2291</v>
      </c>
      <c r="D1666">
        <v>26590470</v>
      </c>
      <c r="E1666">
        <v>8.25</v>
      </c>
      <c r="F1666">
        <v>4.75</v>
      </c>
    </row>
    <row r="1667" spans="1:6" x14ac:dyDescent="0.3">
      <c r="A1667" t="s">
        <v>2626</v>
      </c>
      <c r="B1667" t="s">
        <v>2555</v>
      </c>
      <c r="C1667" t="s">
        <v>2627</v>
      </c>
      <c r="D1667">
        <v>26592660</v>
      </c>
      <c r="E1667">
        <v>7</v>
      </c>
      <c r="F1667">
        <v>7.23</v>
      </c>
    </row>
    <row r="1668" spans="1:6" x14ac:dyDescent="0.3">
      <c r="A1668" t="s">
        <v>2628</v>
      </c>
      <c r="B1668" t="s">
        <v>1732</v>
      </c>
      <c r="C1668" t="s">
        <v>2629</v>
      </c>
      <c r="D1668">
        <v>26638930</v>
      </c>
      <c r="E1668">
        <v>15.83</v>
      </c>
      <c r="F1668">
        <v>7.4</v>
      </c>
    </row>
    <row r="1669" spans="1:6" x14ac:dyDescent="0.3">
      <c r="A1669" t="s">
        <v>2630</v>
      </c>
      <c r="B1669" t="s">
        <v>1732</v>
      </c>
      <c r="C1669" t="s">
        <v>2631</v>
      </c>
      <c r="D1669">
        <v>26638962</v>
      </c>
      <c r="E1669">
        <v>13.33</v>
      </c>
      <c r="F1669">
        <v>4.5</v>
      </c>
    </row>
    <row r="1670" spans="1:6" x14ac:dyDescent="0.3">
      <c r="A1670" t="s">
        <v>2632</v>
      </c>
      <c r="B1670" t="s">
        <v>2559</v>
      </c>
      <c r="C1670" t="s">
        <v>2633</v>
      </c>
      <c r="D1670">
        <v>26664577</v>
      </c>
      <c r="E1670">
        <v>2.04</v>
      </c>
      <c r="F1670">
        <v>6.95</v>
      </c>
    </row>
    <row r="1671" spans="1:6" x14ac:dyDescent="0.3">
      <c r="A1671" t="s">
        <v>2634</v>
      </c>
      <c r="B1671" t="s">
        <v>463</v>
      </c>
      <c r="C1671" t="s">
        <v>2367</v>
      </c>
      <c r="D1671">
        <v>26673304</v>
      </c>
      <c r="E1671">
        <v>15.3</v>
      </c>
      <c r="F1671">
        <v>7.36</v>
      </c>
    </row>
    <row r="1672" spans="1:6" x14ac:dyDescent="0.3">
      <c r="A1672" t="s">
        <v>2635</v>
      </c>
      <c r="B1672" t="s">
        <v>2636</v>
      </c>
      <c r="C1672" t="s">
        <v>893</v>
      </c>
      <c r="D1672">
        <v>26681070</v>
      </c>
      <c r="E1672">
        <v>30.14</v>
      </c>
      <c r="F1672">
        <v>4.93</v>
      </c>
    </row>
    <row r="1673" spans="1:6" x14ac:dyDescent="0.3">
      <c r="A1673" t="s">
        <v>2637</v>
      </c>
      <c r="B1673" t="s">
        <v>2638</v>
      </c>
      <c r="C1673" t="s">
        <v>2251</v>
      </c>
      <c r="D1673">
        <v>26717803</v>
      </c>
      <c r="E1673">
        <v>10.25</v>
      </c>
      <c r="F1673">
        <v>7</v>
      </c>
    </row>
    <row r="1674" spans="1:6" x14ac:dyDescent="0.3">
      <c r="A1674" t="s">
        <v>2639</v>
      </c>
      <c r="B1674" t="s">
        <v>1576</v>
      </c>
      <c r="C1674" t="s">
        <v>2640</v>
      </c>
      <c r="D1674">
        <v>26727028</v>
      </c>
      <c r="E1674">
        <v>8.9600000000000009</v>
      </c>
      <c r="F1674">
        <v>7.5</v>
      </c>
    </row>
    <row r="1675" spans="1:6" x14ac:dyDescent="0.3">
      <c r="A1675" t="s">
        <v>2641</v>
      </c>
      <c r="B1675" t="s">
        <v>1775</v>
      </c>
      <c r="C1675" t="s">
        <v>898</v>
      </c>
      <c r="D1675">
        <v>26736049</v>
      </c>
      <c r="E1675">
        <v>8.77</v>
      </c>
      <c r="F1675">
        <v>6.54</v>
      </c>
    </row>
    <row r="1676" spans="1:6" x14ac:dyDescent="0.3">
      <c r="A1676" t="s">
        <v>2642</v>
      </c>
      <c r="B1676" t="s">
        <v>1729</v>
      </c>
      <c r="C1676" t="s">
        <v>1934</v>
      </c>
      <c r="D1676">
        <v>26753878</v>
      </c>
      <c r="E1676">
        <v>9.9</v>
      </c>
      <c r="F1676">
        <v>6.25</v>
      </c>
    </row>
    <row r="1677" spans="1:6" x14ac:dyDescent="0.3">
      <c r="A1677" t="s">
        <v>2643</v>
      </c>
      <c r="B1677" t="s">
        <v>900</v>
      </c>
      <c r="C1677" t="s">
        <v>2644</v>
      </c>
      <c r="D1677">
        <v>26758192</v>
      </c>
      <c r="E1677">
        <v>8.33</v>
      </c>
      <c r="F1677">
        <v>7</v>
      </c>
    </row>
    <row r="1678" spans="1:6" x14ac:dyDescent="0.3">
      <c r="A1678" t="s">
        <v>2645</v>
      </c>
      <c r="B1678" t="s">
        <v>951</v>
      </c>
      <c r="C1678" t="s">
        <v>2645</v>
      </c>
      <c r="D1678">
        <v>26770534</v>
      </c>
      <c r="E1678">
        <v>4.05</v>
      </c>
      <c r="F1678">
        <v>5.78</v>
      </c>
    </row>
    <row r="1679" spans="1:6" x14ac:dyDescent="0.3">
      <c r="A1679" t="s">
        <v>1229</v>
      </c>
      <c r="B1679" t="s">
        <v>192</v>
      </c>
      <c r="C1679" t="s">
        <v>1231</v>
      </c>
      <c r="D1679">
        <v>26790067</v>
      </c>
      <c r="E1679">
        <v>7.77</v>
      </c>
      <c r="F1679">
        <v>6.7</v>
      </c>
    </row>
    <row r="1680" spans="1:6" x14ac:dyDescent="0.3">
      <c r="A1680" t="s">
        <v>2646</v>
      </c>
      <c r="B1680" t="s">
        <v>1605</v>
      </c>
      <c r="C1680" t="s">
        <v>2647</v>
      </c>
      <c r="D1680">
        <v>26803923</v>
      </c>
      <c r="E1680">
        <v>6.57</v>
      </c>
      <c r="F1680">
        <v>6.83</v>
      </c>
    </row>
    <row r="1681" spans="1:6" x14ac:dyDescent="0.3">
      <c r="A1681" t="s">
        <v>2648</v>
      </c>
      <c r="B1681" t="s">
        <v>2433</v>
      </c>
      <c r="C1681" t="s">
        <v>707</v>
      </c>
      <c r="D1681">
        <v>26833031</v>
      </c>
      <c r="E1681">
        <v>1.79</v>
      </c>
      <c r="F1681">
        <v>5.91</v>
      </c>
    </row>
    <row r="1682" spans="1:6" x14ac:dyDescent="0.3">
      <c r="A1682" t="s">
        <v>2649</v>
      </c>
      <c r="B1682" t="s">
        <v>2398</v>
      </c>
      <c r="C1682" t="s">
        <v>2650</v>
      </c>
      <c r="D1682">
        <v>26833322</v>
      </c>
      <c r="E1682">
        <v>5.67</v>
      </c>
      <c r="F1682">
        <v>5</v>
      </c>
    </row>
    <row r="1683" spans="1:6" x14ac:dyDescent="0.3">
      <c r="A1683" t="s">
        <v>2651</v>
      </c>
      <c r="B1683" t="s">
        <v>2652</v>
      </c>
      <c r="C1683" t="s">
        <v>1843</v>
      </c>
      <c r="D1683">
        <v>26838293</v>
      </c>
      <c r="E1683">
        <v>4.5999999999999996</v>
      </c>
      <c r="F1683">
        <v>7.22</v>
      </c>
    </row>
    <row r="1684" spans="1:6" x14ac:dyDescent="0.3">
      <c r="A1684" t="s">
        <v>2653</v>
      </c>
      <c r="B1684" t="s">
        <v>2654</v>
      </c>
      <c r="C1684" t="s">
        <v>2110</v>
      </c>
      <c r="D1684">
        <v>26879141</v>
      </c>
      <c r="E1684">
        <v>17.25</v>
      </c>
      <c r="F1684">
        <v>5.25</v>
      </c>
    </row>
    <row r="1685" spans="1:6" x14ac:dyDescent="0.3">
      <c r="A1685" t="s">
        <v>2655</v>
      </c>
      <c r="B1685" t="s">
        <v>573</v>
      </c>
      <c r="C1685" t="s">
        <v>723</v>
      </c>
      <c r="D1685">
        <v>26883500</v>
      </c>
      <c r="E1685">
        <v>12.86</v>
      </c>
      <c r="F1685">
        <v>7</v>
      </c>
    </row>
    <row r="1686" spans="1:6" x14ac:dyDescent="0.3">
      <c r="A1686" t="s">
        <v>2656</v>
      </c>
      <c r="B1686" t="s">
        <v>1322</v>
      </c>
      <c r="C1686" t="s">
        <v>2657</v>
      </c>
      <c r="D1686">
        <v>26906729</v>
      </c>
      <c r="E1686">
        <v>5.55</v>
      </c>
      <c r="F1686">
        <v>5.75</v>
      </c>
    </row>
    <row r="1687" spans="1:6" x14ac:dyDescent="0.3">
      <c r="A1687" t="s">
        <v>2658</v>
      </c>
      <c r="B1687" t="s">
        <v>2659</v>
      </c>
      <c r="C1687" t="s">
        <v>2660</v>
      </c>
      <c r="D1687">
        <v>26934392</v>
      </c>
      <c r="E1687">
        <v>8.98</v>
      </c>
      <c r="F1687">
        <v>5</v>
      </c>
    </row>
    <row r="1688" spans="1:6" x14ac:dyDescent="0.3">
      <c r="A1688" t="s">
        <v>2661</v>
      </c>
      <c r="B1688" t="s">
        <v>1634</v>
      </c>
      <c r="C1688" t="s">
        <v>2662</v>
      </c>
      <c r="D1688">
        <v>26935784</v>
      </c>
      <c r="E1688">
        <v>11.2</v>
      </c>
      <c r="F1688">
        <v>8.09</v>
      </c>
    </row>
    <row r="1689" spans="1:6" x14ac:dyDescent="0.3">
      <c r="A1689" t="s">
        <v>2061</v>
      </c>
      <c r="B1689" t="s">
        <v>2042</v>
      </c>
      <c r="C1689" t="s">
        <v>1647</v>
      </c>
      <c r="D1689">
        <v>26960030</v>
      </c>
      <c r="E1689">
        <v>7.08</v>
      </c>
      <c r="F1689">
        <v>6.55</v>
      </c>
    </row>
    <row r="1690" spans="1:6" x14ac:dyDescent="0.3">
      <c r="A1690" t="s">
        <v>2663</v>
      </c>
      <c r="B1690" t="s">
        <v>1794</v>
      </c>
      <c r="C1690" t="s">
        <v>2231</v>
      </c>
      <c r="D1690">
        <v>27002198</v>
      </c>
      <c r="E1690">
        <v>6</v>
      </c>
      <c r="F1690">
        <v>7.21</v>
      </c>
    </row>
    <row r="1691" spans="1:6" x14ac:dyDescent="0.3">
      <c r="A1691" t="s">
        <v>2664</v>
      </c>
      <c r="B1691" t="s">
        <v>1144</v>
      </c>
      <c r="C1691" t="s">
        <v>2665</v>
      </c>
      <c r="D1691">
        <v>27004728</v>
      </c>
      <c r="E1691">
        <v>17.87</v>
      </c>
      <c r="F1691">
        <v>5.31</v>
      </c>
    </row>
    <row r="1692" spans="1:6" x14ac:dyDescent="0.3">
      <c r="A1692" t="s">
        <v>2666</v>
      </c>
      <c r="B1692" t="s">
        <v>1805</v>
      </c>
      <c r="C1692" t="s">
        <v>2202</v>
      </c>
      <c r="D1692">
        <v>27020206</v>
      </c>
      <c r="E1692">
        <v>8.25</v>
      </c>
      <c r="F1692">
        <v>8</v>
      </c>
    </row>
    <row r="1693" spans="1:6" x14ac:dyDescent="0.3">
      <c r="A1693" t="s">
        <v>2667</v>
      </c>
      <c r="B1693" t="s">
        <v>1156</v>
      </c>
      <c r="C1693" t="s">
        <v>1030</v>
      </c>
      <c r="D1693">
        <v>27024880</v>
      </c>
      <c r="E1693">
        <v>7.8</v>
      </c>
      <c r="F1693">
        <v>5.32</v>
      </c>
    </row>
    <row r="1694" spans="1:6" x14ac:dyDescent="0.3">
      <c r="A1694" t="s">
        <v>2668</v>
      </c>
      <c r="B1694" t="s">
        <v>1131</v>
      </c>
      <c r="C1694" t="s">
        <v>2568</v>
      </c>
      <c r="D1694">
        <v>27025102</v>
      </c>
      <c r="E1694">
        <v>9.1999999999999993</v>
      </c>
      <c r="F1694">
        <v>5.5</v>
      </c>
    </row>
    <row r="1695" spans="1:6" x14ac:dyDescent="0.3">
      <c r="A1695" t="s">
        <v>2669</v>
      </c>
      <c r="B1695" t="s">
        <v>2035</v>
      </c>
      <c r="C1695" t="s">
        <v>1832</v>
      </c>
      <c r="D1695">
        <v>27032220</v>
      </c>
      <c r="E1695">
        <v>4.25</v>
      </c>
      <c r="F1695">
        <v>4.91</v>
      </c>
    </row>
    <row r="1696" spans="1:6" x14ac:dyDescent="0.3">
      <c r="A1696" t="s">
        <v>2670</v>
      </c>
      <c r="B1696" t="s">
        <v>1589</v>
      </c>
      <c r="C1696" t="s">
        <v>2335</v>
      </c>
      <c r="D1696">
        <v>27043869</v>
      </c>
      <c r="E1696">
        <v>6.2</v>
      </c>
      <c r="F1696">
        <v>5.25</v>
      </c>
    </row>
    <row r="1697" spans="1:6" x14ac:dyDescent="0.3">
      <c r="A1697" t="s">
        <v>2671</v>
      </c>
      <c r="B1697" t="s">
        <v>2672</v>
      </c>
      <c r="C1697" t="s">
        <v>2673</v>
      </c>
      <c r="D1697">
        <v>27070244</v>
      </c>
      <c r="E1697">
        <v>11.8</v>
      </c>
      <c r="F1697">
        <v>8.4</v>
      </c>
    </row>
    <row r="1698" spans="1:6" x14ac:dyDescent="0.3">
      <c r="A1698" t="s">
        <v>2674</v>
      </c>
      <c r="B1698" t="s">
        <v>2300</v>
      </c>
      <c r="C1698" t="s">
        <v>2675</v>
      </c>
      <c r="D1698">
        <v>27086139</v>
      </c>
      <c r="E1698">
        <v>9.67</v>
      </c>
      <c r="F1698">
        <v>7.33</v>
      </c>
    </row>
    <row r="1699" spans="1:6" x14ac:dyDescent="0.3">
      <c r="A1699" t="s">
        <v>2676</v>
      </c>
      <c r="B1699" t="s">
        <v>900</v>
      </c>
      <c r="C1699" t="s">
        <v>2677</v>
      </c>
      <c r="D1699">
        <v>27109351</v>
      </c>
      <c r="E1699">
        <v>13</v>
      </c>
      <c r="F1699">
        <v>8.8000000000000007</v>
      </c>
    </row>
    <row r="1700" spans="1:6" x14ac:dyDescent="0.3">
      <c r="A1700" t="s">
        <v>2678</v>
      </c>
      <c r="B1700" t="s">
        <v>463</v>
      </c>
      <c r="C1700" t="s">
        <v>2679</v>
      </c>
      <c r="D1700">
        <v>27122654</v>
      </c>
      <c r="E1700">
        <v>28.01</v>
      </c>
      <c r="F1700">
        <v>6.37</v>
      </c>
    </row>
    <row r="1701" spans="1:6" x14ac:dyDescent="0.3">
      <c r="A1701" t="s">
        <v>2680</v>
      </c>
      <c r="B1701" t="s">
        <v>1147</v>
      </c>
      <c r="C1701" t="s">
        <v>2681</v>
      </c>
      <c r="D1701">
        <v>27143567</v>
      </c>
      <c r="E1701">
        <v>2.98</v>
      </c>
      <c r="F1701">
        <v>6.03</v>
      </c>
    </row>
    <row r="1702" spans="1:6" x14ac:dyDescent="0.3">
      <c r="A1702" t="s">
        <v>2024</v>
      </c>
      <c r="B1702" t="s">
        <v>192</v>
      </c>
      <c r="C1702" t="s">
        <v>2682</v>
      </c>
      <c r="D1702">
        <v>27143574</v>
      </c>
      <c r="E1702">
        <v>13</v>
      </c>
      <c r="F1702">
        <v>5.6</v>
      </c>
    </row>
    <row r="1703" spans="1:6" x14ac:dyDescent="0.3">
      <c r="A1703" t="s">
        <v>2683</v>
      </c>
      <c r="B1703" t="s">
        <v>2684</v>
      </c>
      <c r="C1703" t="s">
        <v>1579</v>
      </c>
      <c r="D1703">
        <v>27143905</v>
      </c>
      <c r="E1703">
        <v>7.33</v>
      </c>
      <c r="F1703">
        <v>7</v>
      </c>
    </row>
    <row r="1704" spans="1:6" x14ac:dyDescent="0.3">
      <c r="A1704" t="s">
        <v>2685</v>
      </c>
      <c r="B1704" t="s">
        <v>1477</v>
      </c>
      <c r="C1704" t="s">
        <v>2347</v>
      </c>
      <c r="D1704">
        <v>27144322</v>
      </c>
      <c r="E1704">
        <v>18.55</v>
      </c>
      <c r="F1704">
        <v>5.9</v>
      </c>
    </row>
    <row r="1705" spans="1:6" x14ac:dyDescent="0.3">
      <c r="A1705" t="s">
        <v>2686</v>
      </c>
      <c r="B1705" t="s">
        <v>2687</v>
      </c>
      <c r="C1705" t="s">
        <v>2688</v>
      </c>
      <c r="D1705">
        <v>27158045</v>
      </c>
      <c r="E1705">
        <v>6.75</v>
      </c>
      <c r="F1705">
        <v>7</v>
      </c>
    </row>
    <row r="1706" spans="1:6" x14ac:dyDescent="0.3">
      <c r="A1706" t="s">
        <v>488</v>
      </c>
      <c r="B1706" t="s">
        <v>192</v>
      </c>
      <c r="C1706" t="s">
        <v>2603</v>
      </c>
      <c r="D1706">
        <v>27183383</v>
      </c>
      <c r="E1706">
        <v>13.33</v>
      </c>
      <c r="F1706">
        <v>5.8</v>
      </c>
    </row>
    <row r="1707" spans="1:6" x14ac:dyDescent="0.3">
      <c r="A1707" t="s">
        <v>2689</v>
      </c>
      <c r="B1707" t="s">
        <v>1736</v>
      </c>
      <c r="C1707" t="s">
        <v>2690</v>
      </c>
      <c r="D1707">
        <v>27221836</v>
      </c>
      <c r="E1707">
        <v>13.43</v>
      </c>
      <c r="F1707">
        <v>3.6</v>
      </c>
    </row>
    <row r="1708" spans="1:6" x14ac:dyDescent="0.3">
      <c r="A1708" t="s">
        <v>2691</v>
      </c>
      <c r="B1708" t="s">
        <v>1587</v>
      </c>
      <c r="C1708" t="s">
        <v>2692</v>
      </c>
      <c r="D1708">
        <v>27287879</v>
      </c>
      <c r="E1708">
        <v>5</v>
      </c>
      <c r="F1708">
        <v>4</v>
      </c>
    </row>
    <row r="1709" spans="1:6" x14ac:dyDescent="0.3">
      <c r="A1709" t="s">
        <v>2693</v>
      </c>
      <c r="B1709" t="s">
        <v>1794</v>
      </c>
      <c r="C1709" t="s">
        <v>2388</v>
      </c>
      <c r="D1709">
        <v>27305971</v>
      </c>
      <c r="E1709">
        <v>7.22</v>
      </c>
      <c r="F1709">
        <v>6</v>
      </c>
    </row>
    <row r="1710" spans="1:6" x14ac:dyDescent="0.3">
      <c r="A1710" t="s">
        <v>2694</v>
      </c>
      <c r="B1710" t="s">
        <v>2695</v>
      </c>
      <c r="C1710" t="s">
        <v>9</v>
      </c>
      <c r="D1710">
        <v>27320476</v>
      </c>
      <c r="E1710">
        <v>19</v>
      </c>
      <c r="F1710">
        <v>4.91</v>
      </c>
    </row>
    <row r="1711" spans="1:6" x14ac:dyDescent="0.3">
      <c r="A1711" t="s">
        <v>2696</v>
      </c>
      <c r="B1711" t="s">
        <v>1106</v>
      </c>
      <c r="C1711" t="s">
        <v>2697</v>
      </c>
      <c r="D1711">
        <v>27326431</v>
      </c>
      <c r="E1711">
        <v>15.93</v>
      </c>
      <c r="F1711">
        <v>7.24</v>
      </c>
    </row>
    <row r="1712" spans="1:6" x14ac:dyDescent="0.3">
      <c r="A1712" t="s">
        <v>2698</v>
      </c>
      <c r="B1712" t="s">
        <v>1083</v>
      </c>
      <c r="C1712" t="s">
        <v>2698</v>
      </c>
      <c r="D1712">
        <v>27348676</v>
      </c>
      <c r="E1712">
        <v>10.08</v>
      </c>
      <c r="F1712">
        <v>6.6</v>
      </c>
    </row>
    <row r="1713" spans="1:6" x14ac:dyDescent="0.3">
      <c r="A1713" t="s">
        <v>2699</v>
      </c>
      <c r="B1713" t="s">
        <v>683</v>
      </c>
      <c r="C1713" t="s">
        <v>1465</v>
      </c>
      <c r="D1713">
        <v>27379546</v>
      </c>
      <c r="E1713">
        <v>25.33</v>
      </c>
      <c r="F1713">
        <v>4.2699999999999996</v>
      </c>
    </row>
    <row r="1714" spans="1:6" x14ac:dyDescent="0.3">
      <c r="A1714" t="s">
        <v>2700</v>
      </c>
      <c r="B1714" t="s">
        <v>1259</v>
      </c>
      <c r="C1714" t="s">
        <v>2701</v>
      </c>
      <c r="D1714">
        <v>27380464</v>
      </c>
      <c r="E1714">
        <v>15.33</v>
      </c>
      <c r="F1714">
        <v>7.6</v>
      </c>
    </row>
    <row r="1715" spans="1:6" x14ac:dyDescent="0.3">
      <c r="A1715" t="s">
        <v>2702</v>
      </c>
      <c r="B1715" t="s">
        <v>2596</v>
      </c>
      <c r="C1715" t="s">
        <v>2703</v>
      </c>
      <c r="D1715">
        <v>27478528</v>
      </c>
      <c r="E1715">
        <v>1.19</v>
      </c>
      <c r="F1715">
        <v>6.65</v>
      </c>
    </row>
    <row r="1716" spans="1:6" x14ac:dyDescent="0.3">
      <c r="A1716" t="s">
        <v>2704</v>
      </c>
      <c r="B1716" t="s">
        <v>91</v>
      </c>
      <c r="C1716" t="s">
        <v>2705</v>
      </c>
      <c r="D1716">
        <v>27541081</v>
      </c>
      <c r="E1716">
        <v>14.86</v>
      </c>
      <c r="F1716">
        <v>7.31</v>
      </c>
    </row>
    <row r="1717" spans="1:6" x14ac:dyDescent="0.3">
      <c r="A1717" t="s">
        <v>2706</v>
      </c>
      <c r="B1717" t="s">
        <v>2707</v>
      </c>
      <c r="C1717" t="s">
        <v>1481</v>
      </c>
      <c r="D1717">
        <v>27580467</v>
      </c>
      <c r="E1717">
        <v>26.95</v>
      </c>
      <c r="F1717">
        <v>5.1100000000000003</v>
      </c>
    </row>
    <row r="1718" spans="1:6" x14ac:dyDescent="0.3">
      <c r="A1718" t="s">
        <v>2708</v>
      </c>
      <c r="B1718" t="s">
        <v>2709</v>
      </c>
      <c r="C1718" t="s">
        <v>2708</v>
      </c>
      <c r="D1718">
        <v>27647377</v>
      </c>
      <c r="E1718">
        <v>7.8</v>
      </c>
      <c r="F1718">
        <v>5</v>
      </c>
    </row>
    <row r="1719" spans="1:6" x14ac:dyDescent="0.3">
      <c r="A1719" t="s">
        <v>2710</v>
      </c>
      <c r="B1719" t="s">
        <v>900</v>
      </c>
      <c r="C1719" t="s">
        <v>2711</v>
      </c>
      <c r="D1719">
        <v>27650846</v>
      </c>
      <c r="E1719">
        <v>11.25</v>
      </c>
      <c r="F1719">
        <v>5.8</v>
      </c>
    </row>
    <row r="1720" spans="1:6" x14ac:dyDescent="0.3">
      <c r="A1720" t="s">
        <v>2712</v>
      </c>
      <c r="B1720" t="s">
        <v>2369</v>
      </c>
      <c r="C1720" t="s">
        <v>741</v>
      </c>
      <c r="D1720">
        <v>27655282</v>
      </c>
      <c r="E1720">
        <v>16.54</v>
      </c>
      <c r="F1720">
        <v>5.63</v>
      </c>
    </row>
    <row r="1721" spans="1:6" x14ac:dyDescent="0.3">
      <c r="A1721" t="s">
        <v>2713</v>
      </c>
      <c r="B1721" t="s">
        <v>2000</v>
      </c>
      <c r="C1721" t="s">
        <v>2714</v>
      </c>
      <c r="D1721">
        <v>27680280</v>
      </c>
      <c r="E1721">
        <v>16</v>
      </c>
      <c r="F1721">
        <v>5.75</v>
      </c>
    </row>
    <row r="1722" spans="1:6" x14ac:dyDescent="0.3">
      <c r="A1722" t="s">
        <v>2715</v>
      </c>
      <c r="B1722" t="s">
        <v>2716</v>
      </c>
      <c r="C1722" t="s">
        <v>2717</v>
      </c>
      <c r="D1722">
        <v>27690100</v>
      </c>
      <c r="E1722">
        <v>35</v>
      </c>
      <c r="F1722">
        <v>2</v>
      </c>
    </row>
    <row r="1723" spans="1:6" x14ac:dyDescent="0.3">
      <c r="A1723" t="s">
        <v>2718</v>
      </c>
      <c r="B1723" t="s">
        <v>2719</v>
      </c>
      <c r="C1723" t="s">
        <v>2310</v>
      </c>
      <c r="D1723">
        <v>27721246</v>
      </c>
      <c r="E1723">
        <v>15.95</v>
      </c>
      <c r="F1723">
        <v>7.45</v>
      </c>
    </row>
    <row r="1724" spans="1:6" x14ac:dyDescent="0.3">
      <c r="A1724" t="s">
        <v>2720</v>
      </c>
      <c r="B1724" t="s">
        <v>2684</v>
      </c>
      <c r="C1724" t="s">
        <v>2291</v>
      </c>
      <c r="D1724">
        <v>27728679</v>
      </c>
      <c r="E1724">
        <v>4.1100000000000003</v>
      </c>
      <c r="F1724">
        <v>4.93</v>
      </c>
    </row>
    <row r="1725" spans="1:6" x14ac:dyDescent="0.3">
      <c r="A1725" t="s">
        <v>2721</v>
      </c>
      <c r="B1725" t="s">
        <v>2722</v>
      </c>
      <c r="C1725" t="s">
        <v>2723</v>
      </c>
      <c r="D1725">
        <v>27762542</v>
      </c>
      <c r="E1725">
        <v>15.11</v>
      </c>
      <c r="F1725">
        <v>4.67</v>
      </c>
    </row>
    <row r="1726" spans="1:6" x14ac:dyDescent="0.3">
      <c r="A1726" t="s">
        <v>2724</v>
      </c>
      <c r="B1726" t="s">
        <v>1707</v>
      </c>
      <c r="C1726" t="s">
        <v>2481</v>
      </c>
      <c r="D1726">
        <v>27781773</v>
      </c>
      <c r="E1726">
        <v>17.5</v>
      </c>
      <c r="F1726">
        <v>5.86</v>
      </c>
    </row>
    <row r="1727" spans="1:6" x14ac:dyDescent="0.3">
      <c r="A1727" t="s">
        <v>2725</v>
      </c>
      <c r="B1727" t="s">
        <v>2695</v>
      </c>
      <c r="C1727" t="s">
        <v>2726</v>
      </c>
      <c r="D1727">
        <v>27786218</v>
      </c>
      <c r="E1727">
        <v>6.88</v>
      </c>
      <c r="F1727">
        <v>6.35</v>
      </c>
    </row>
    <row r="1728" spans="1:6" x14ac:dyDescent="0.3">
      <c r="A1728" t="s">
        <v>2727</v>
      </c>
      <c r="B1728" t="s">
        <v>1227</v>
      </c>
      <c r="C1728" t="s">
        <v>2251</v>
      </c>
      <c r="D1728">
        <v>27795417</v>
      </c>
      <c r="E1728">
        <v>15.16</v>
      </c>
      <c r="F1728">
        <v>7.06</v>
      </c>
    </row>
    <row r="1729" spans="1:6" x14ac:dyDescent="0.3">
      <c r="A1729" t="s">
        <v>2728</v>
      </c>
      <c r="B1729" t="s">
        <v>1210</v>
      </c>
      <c r="C1729" t="s">
        <v>2304</v>
      </c>
      <c r="D1729">
        <v>27817788</v>
      </c>
      <c r="E1729">
        <v>5.75</v>
      </c>
      <c r="F1729">
        <v>6.8</v>
      </c>
    </row>
    <row r="1730" spans="1:6" x14ac:dyDescent="0.3">
      <c r="A1730" t="s">
        <v>838</v>
      </c>
      <c r="B1730" t="s">
        <v>2423</v>
      </c>
      <c r="C1730" t="s">
        <v>20</v>
      </c>
      <c r="D1730">
        <v>27904579</v>
      </c>
      <c r="E1730">
        <v>26.8</v>
      </c>
      <c r="F1730">
        <v>5</v>
      </c>
    </row>
    <row r="1731" spans="1:6" x14ac:dyDescent="0.3">
      <c r="A1731" t="s">
        <v>2729</v>
      </c>
      <c r="B1731" t="s">
        <v>1953</v>
      </c>
      <c r="C1731" t="s">
        <v>1747</v>
      </c>
      <c r="D1731">
        <v>27908448</v>
      </c>
      <c r="E1731">
        <v>23.93</v>
      </c>
      <c r="F1731">
        <v>6</v>
      </c>
    </row>
    <row r="1732" spans="1:6" x14ac:dyDescent="0.3">
      <c r="A1732" t="s">
        <v>2730</v>
      </c>
      <c r="B1732" t="s">
        <v>1744</v>
      </c>
      <c r="C1732" t="s">
        <v>2633</v>
      </c>
      <c r="D1732">
        <v>27912428</v>
      </c>
      <c r="E1732">
        <v>4.72</v>
      </c>
      <c r="F1732">
        <v>5.81</v>
      </c>
    </row>
    <row r="1733" spans="1:6" x14ac:dyDescent="0.3">
      <c r="A1733" t="s">
        <v>2731</v>
      </c>
      <c r="B1733" t="s">
        <v>85</v>
      </c>
      <c r="C1733" t="s">
        <v>2732</v>
      </c>
      <c r="D1733">
        <v>27919097</v>
      </c>
      <c r="E1733">
        <v>15.72</v>
      </c>
      <c r="F1733">
        <v>8.1999999999999993</v>
      </c>
    </row>
    <row r="1734" spans="1:6" x14ac:dyDescent="0.3">
      <c r="A1734" t="s">
        <v>2733</v>
      </c>
      <c r="B1734" t="s">
        <v>2734</v>
      </c>
      <c r="C1734" t="s">
        <v>2310</v>
      </c>
      <c r="D1734">
        <v>27990000</v>
      </c>
      <c r="E1734">
        <v>3.9</v>
      </c>
      <c r="F1734">
        <v>6.05</v>
      </c>
    </row>
    <row r="1735" spans="1:6" x14ac:dyDescent="0.3">
      <c r="A1735" t="s">
        <v>2735</v>
      </c>
      <c r="B1735" t="s">
        <v>2736</v>
      </c>
      <c r="C1735" t="s">
        <v>1139</v>
      </c>
      <c r="D1735">
        <v>27991508</v>
      </c>
      <c r="E1735">
        <v>17.12</v>
      </c>
      <c r="F1735">
        <v>3.38</v>
      </c>
    </row>
    <row r="1736" spans="1:6" x14ac:dyDescent="0.3">
      <c r="A1736" t="s">
        <v>2737</v>
      </c>
      <c r="B1736" t="s">
        <v>2738</v>
      </c>
      <c r="C1736" t="s">
        <v>2739</v>
      </c>
      <c r="D1736">
        <v>28006159</v>
      </c>
      <c r="E1736">
        <v>8.86</v>
      </c>
      <c r="F1736">
        <v>4.33</v>
      </c>
    </row>
    <row r="1737" spans="1:6" x14ac:dyDescent="0.3">
      <c r="A1737" t="s">
        <v>2740</v>
      </c>
      <c r="B1737" t="s">
        <v>873</v>
      </c>
      <c r="C1737" t="s">
        <v>1894</v>
      </c>
      <c r="D1737">
        <v>28022419</v>
      </c>
      <c r="E1737">
        <v>11.66</v>
      </c>
      <c r="F1737">
        <v>6.42</v>
      </c>
    </row>
    <row r="1738" spans="1:6" x14ac:dyDescent="0.3">
      <c r="A1738" t="s">
        <v>2741</v>
      </c>
      <c r="B1738" t="s">
        <v>1691</v>
      </c>
      <c r="C1738" t="s">
        <v>2742</v>
      </c>
      <c r="D1738">
        <v>28030863</v>
      </c>
      <c r="E1738">
        <v>9.25</v>
      </c>
      <c r="F1738">
        <v>3.67</v>
      </c>
    </row>
    <row r="1739" spans="1:6" x14ac:dyDescent="0.3">
      <c r="A1739" t="s">
        <v>2743</v>
      </c>
      <c r="B1739" t="s">
        <v>609</v>
      </c>
      <c r="C1739" t="s">
        <v>2744</v>
      </c>
      <c r="D1739">
        <v>28031554</v>
      </c>
      <c r="E1739">
        <v>17.329999999999998</v>
      </c>
      <c r="F1739">
        <v>5.79</v>
      </c>
    </row>
    <row r="1740" spans="1:6" x14ac:dyDescent="0.3">
      <c r="A1740" t="s">
        <v>2745</v>
      </c>
      <c r="B1740" t="s">
        <v>873</v>
      </c>
      <c r="C1740" t="s">
        <v>1761</v>
      </c>
      <c r="D1740">
        <v>28036995</v>
      </c>
      <c r="E1740">
        <v>8</v>
      </c>
      <c r="F1740">
        <v>4</v>
      </c>
    </row>
    <row r="1741" spans="1:6" x14ac:dyDescent="0.3">
      <c r="A1741" t="s">
        <v>2746</v>
      </c>
      <c r="B1741" t="s">
        <v>2747</v>
      </c>
      <c r="C1741" t="s">
        <v>2748</v>
      </c>
      <c r="D1741">
        <v>28044846</v>
      </c>
      <c r="E1741">
        <v>17.86</v>
      </c>
      <c r="F1741">
        <v>6.67</v>
      </c>
    </row>
    <row r="1742" spans="1:6" x14ac:dyDescent="0.3">
      <c r="A1742" t="s">
        <v>2749</v>
      </c>
      <c r="B1742" t="s">
        <v>2466</v>
      </c>
      <c r="C1742" t="s">
        <v>6</v>
      </c>
      <c r="D1742">
        <v>28050431</v>
      </c>
      <c r="E1742">
        <v>18.04</v>
      </c>
      <c r="F1742">
        <v>3.92</v>
      </c>
    </row>
    <row r="1743" spans="1:6" x14ac:dyDescent="0.3">
      <c r="A1743" t="s">
        <v>2750</v>
      </c>
      <c r="B1743" t="s">
        <v>2751</v>
      </c>
      <c r="C1743" t="s">
        <v>959</v>
      </c>
      <c r="D1743">
        <v>28056991</v>
      </c>
      <c r="E1743">
        <v>17.5</v>
      </c>
      <c r="F1743">
        <v>6.25</v>
      </c>
    </row>
    <row r="1744" spans="1:6" x14ac:dyDescent="0.3">
      <c r="A1744" t="s">
        <v>2752</v>
      </c>
      <c r="B1744" t="s">
        <v>1693</v>
      </c>
      <c r="C1744" t="s">
        <v>2753</v>
      </c>
      <c r="D1744">
        <v>28076389</v>
      </c>
      <c r="E1744">
        <v>8.89</v>
      </c>
      <c r="F1744">
        <v>7.13</v>
      </c>
    </row>
    <row r="1745" spans="1:6" x14ac:dyDescent="0.3">
      <c r="A1745" t="s">
        <v>2754</v>
      </c>
      <c r="B1745" t="s">
        <v>1479</v>
      </c>
      <c r="C1745" t="s">
        <v>6</v>
      </c>
      <c r="D1745">
        <v>28115629</v>
      </c>
      <c r="E1745">
        <v>14.09</v>
      </c>
      <c r="F1745">
        <v>5</v>
      </c>
    </row>
    <row r="1746" spans="1:6" x14ac:dyDescent="0.3">
      <c r="A1746" t="s">
        <v>2755</v>
      </c>
      <c r="B1746" t="s">
        <v>2756</v>
      </c>
      <c r="C1746" t="s">
        <v>2441</v>
      </c>
      <c r="D1746">
        <v>28125368</v>
      </c>
      <c r="E1746">
        <v>7.35</v>
      </c>
      <c r="F1746">
        <v>4.16</v>
      </c>
    </row>
    <row r="1747" spans="1:6" x14ac:dyDescent="0.3">
      <c r="A1747" t="s">
        <v>2757</v>
      </c>
      <c r="B1747" t="s">
        <v>2053</v>
      </c>
      <c r="C1747" t="s">
        <v>2758</v>
      </c>
      <c r="D1747">
        <v>28143265</v>
      </c>
      <c r="E1747">
        <v>14.24</v>
      </c>
      <c r="F1747">
        <v>5.54</v>
      </c>
    </row>
    <row r="1748" spans="1:6" x14ac:dyDescent="0.3">
      <c r="A1748" t="s">
        <v>2759</v>
      </c>
      <c r="B1748" t="s">
        <v>2555</v>
      </c>
      <c r="C1748" t="s">
        <v>1925</v>
      </c>
      <c r="D1748">
        <v>28165631</v>
      </c>
      <c r="E1748">
        <v>6.04</v>
      </c>
      <c r="F1748">
        <v>7.88</v>
      </c>
    </row>
    <row r="1749" spans="1:6" x14ac:dyDescent="0.3">
      <c r="A1749" t="s">
        <v>2760</v>
      </c>
      <c r="B1749" t="s">
        <v>2555</v>
      </c>
      <c r="C1749" t="s">
        <v>1573</v>
      </c>
      <c r="D1749">
        <v>28165641</v>
      </c>
      <c r="E1749">
        <v>12.12</v>
      </c>
      <c r="F1749">
        <v>8.4700000000000006</v>
      </c>
    </row>
    <row r="1750" spans="1:6" x14ac:dyDescent="0.3">
      <c r="A1750" t="s">
        <v>2761</v>
      </c>
      <c r="B1750" t="s">
        <v>2450</v>
      </c>
      <c r="C1750" t="s">
        <v>1954</v>
      </c>
      <c r="D1750">
        <v>28220417</v>
      </c>
      <c r="E1750">
        <v>30.54</v>
      </c>
      <c r="F1750">
        <v>5.93</v>
      </c>
    </row>
    <row r="1751" spans="1:6" x14ac:dyDescent="0.3">
      <c r="A1751" t="s">
        <v>2762</v>
      </c>
      <c r="B1751" t="s">
        <v>2534</v>
      </c>
      <c r="C1751" t="s">
        <v>6</v>
      </c>
      <c r="D1751">
        <v>28221092</v>
      </c>
      <c r="E1751">
        <v>5.78</v>
      </c>
      <c r="F1751">
        <v>5</v>
      </c>
    </row>
    <row r="1752" spans="1:6" x14ac:dyDescent="0.3">
      <c r="A1752" t="s">
        <v>2763</v>
      </c>
      <c r="B1752" t="s">
        <v>1576</v>
      </c>
      <c r="C1752" t="s">
        <v>2690</v>
      </c>
      <c r="D1752">
        <v>28224893</v>
      </c>
      <c r="E1752">
        <v>6.65</v>
      </c>
      <c r="F1752">
        <v>5.33</v>
      </c>
    </row>
    <row r="1753" spans="1:6" x14ac:dyDescent="0.3">
      <c r="A1753" t="s">
        <v>2764</v>
      </c>
      <c r="B1753" t="s">
        <v>2765</v>
      </c>
      <c r="C1753" t="s">
        <v>1113</v>
      </c>
      <c r="D1753">
        <v>28227560</v>
      </c>
      <c r="E1753">
        <v>3</v>
      </c>
      <c r="F1753">
        <v>6.41</v>
      </c>
    </row>
    <row r="1754" spans="1:6" x14ac:dyDescent="0.3">
      <c r="A1754" t="s">
        <v>2766</v>
      </c>
      <c r="B1754" t="s">
        <v>1265</v>
      </c>
      <c r="C1754" t="s">
        <v>1764</v>
      </c>
      <c r="D1754">
        <v>28231603</v>
      </c>
      <c r="E1754">
        <v>20.79</v>
      </c>
      <c r="F1754">
        <v>6.29</v>
      </c>
    </row>
    <row r="1755" spans="1:6" x14ac:dyDescent="0.3">
      <c r="A1755" t="s">
        <v>2767</v>
      </c>
      <c r="B1755" t="s">
        <v>2768</v>
      </c>
      <c r="C1755" t="s">
        <v>916</v>
      </c>
      <c r="D1755">
        <v>28236592</v>
      </c>
      <c r="E1755">
        <v>11.7</v>
      </c>
      <c r="F1755">
        <v>5.67</v>
      </c>
    </row>
    <row r="1756" spans="1:6" x14ac:dyDescent="0.3">
      <c r="A1756" t="s">
        <v>2769</v>
      </c>
      <c r="B1756" t="s">
        <v>49</v>
      </c>
      <c r="C1756" t="s">
        <v>2711</v>
      </c>
      <c r="D1756">
        <v>28266626</v>
      </c>
      <c r="E1756">
        <v>12.32</v>
      </c>
      <c r="F1756">
        <v>7.48</v>
      </c>
    </row>
    <row r="1757" spans="1:6" x14ac:dyDescent="0.3">
      <c r="A1757" t="s">
        <v>2770</v>
      </c>
      <c r="B1757" t="s">
        <v>2771</v>
      </c>
      <c r="C1757" t="s">
        <v>2772</v>
      </c>
      <c r="D1757">
        <v>28313886</v>
      </c>
      <c r="E1757">
        <v>10</v>
      </c>
      <c r="F1757">
        <v>7.3</v>
      </c>
    </row>
    <row r="1758" spans="1:6" x14ac:dyDescent="0.3">
      <c r="A1758" t="s">
        <v>2773</v>
      </c>
      <c r="B1758" t="s">
        <v>1259</v>
      </c>
      <c r="C1758" t="s">
        <v>2774</v>
      </c>
      <c r="D1758">
        <v>28318123</v>
      </c>
      <c r="E1758">
        <v>12.17</v>
      </c>
      <c r="F1758">
        <v>7.44</v>
      </c>
    </row>
    <row r="1759" spans="1:6" x14ac:dyDescent="0.3">
      <c r="A1759" t="s">
        <v>2775</v>
      </c>
      <c r="B1759" t="s">
        <v>2776</v>
      </c>
      <c r="C1759" t="s">
        <v>2777</v>
      </c>
      <c r="D1759">
        <v>28350769</v>
      </c>
      <c r="E1759">
        <v>12.24</v>
      </c>
      <c r="F1759">
        <v>7.9</v>
      </c>
    </row>
    <row r="1760" spans="1:6" x14ac:dyDescent="0.3">
      <c r="A1760" t="s">
        <v>2778</v>
      </c>
      <c r="B1760" t="s">
        <v>2228</v>
      </c>
      <c r="C1760" t="s">
        <v>2779</v>
      </c>
      <c r="D1760">
        <v>28352064</v>
      </c>
      <c r="E1760">
        <v>1.73</v>
      </c>
      <c r="F1760">
        <v>6.72</v>
      </c>
    </row>
    <row r="1761" spans="1:6" x14ac:dyDescent="0.3">
      <c r="A1761" t="s">
        <v>2780</v>
      </c>
      <c r="B1761" t="s">
        <v>1576</v>
      </c>
      <c r="C1761" t="s">
        <v>2781</v>
      </c>
      <c r="D1761">
        <v>28360554</v>
      </c>
      <c r="E1761">
        <v>4.87</v>
      </c>
      <c r="F1761">
        <v>7.53</v>
      </c>
    </row>
    <row r="1762" spans="1:6" x14ac:dyDescent="0.3">
      <c r="A1762" t="s">
        <v>2782</v>
      </c>
      <c r="B1762" t="s">
        <v>2783</v>
      </c>
      <c r="C1762" t="s">
        <v>2784</v>
      </c>
      <c r="D1762">
        <v>28395532</v>
      </c>
      <c r="E1762">
        <v>17.670000000000002</v>
      </c>
      <c r="F1762">
        <v>8.33</v>
      </c>
    </row>
    <row r="1763" spans="1:6" x14ac:dyDescent="0.3">
      <c r="A1763" t="s">
        <v>2785</v>
      </c>
      <c r="B1763" t="s">
        <v>2173</v>
      </c>
      <c r="C1763" t="s">
        <v>1545</v>
      </c>
      <c r="D1763">
        <v>28404326</v>
      </c>
      <c r="E1763">
        <v>8.56</v>
      </c>
      <c r="F1763">
        <v>3.71</v>
      </c>
    </row>
    <row r="1764" spans="1:6" x14ac:dyDescent="0.3">
      <c r="A1764" t="s">
        <v>2786</v>
      </c>
      <c r="B1764" t="s">
        <v>968</v>
      </c>
      <c r="C1764" t="s">
        <v>2787</v>
      </c>
      <c r="D1764">
        <v>28418019</v>
      </c>
      <c r="E1764">
        <v>13.85</v>
      </c>
      <c r="F1764">
        <v>6.81</v>
      </c>
    </row>
    <row r="1765" spans="1:6" x14ac:dyDescent="0.3">
      <c r="A1765" t="s">
        <v>2788</v>
      </c>
      <c r="B1765" t="s">
        <v>1865</v>
      </c>
      <c r="C1765" t="s">
        <v>2523</v>
      </c>
      <c r="D1765">
        <v>28456310</v>
      </c>
      <c r="E1765">
        <v>9.69</v>
      </c>
      <c r="F1765">
        <v>4.13</v>
      </c>
    </row>
    <row r="1766" spans="1:6" x14ac:dyDescent="0.3">
      <c r="A1766" t="s">
        <v>2789</v>
      </c>
      <c r="B1766" t="s">
        <v>722</v>
      </c>
      <c r="C1766" t="s">
        <v>718</v>
      </c>
      <c r="D1766">
        <v>28461869</v>
      </c>
      <c r="E1766">
        <v>1.8</v>
      </c>
      <c r="F1766">
        <v>6.12</v>
      </c>
    </row>
    <row r="1767" spans="1:6" x14ac:dyDescent="0.3">
      <c r="A1767" t="s">
        <v>2790</v>
      </c>
      <c r="B1767" t="s">
        <v>2791</v>
      </c>
      <c r="C1767" t="s">
        <v>1719</v>
      </c>
      <c r="D1767">
        <v>28594107</v>
      </c>
      <c r="E1767">
        <v>8.11</v>
      </c>
      <c r="F1767">
        <v>6.31</v>
      </c>
    </row>
    <row r="1768" spans="1:6" x14ac:dyDescent="0.3">
      <c r="A1768" t="s">
        <v>2792</v>
      </c>
      <c r="B1768" t="s">
        <v>509</v>
      </c>
      <c r="C1768" t="s">
        <v>1972</v>
      </c>
      <c r="D1768">
        <v>28598048</v>
      </c>
      <c r="E1768">
        <v>10.42</v>
      </c>
      <c r="F1768">
        <v>5.8</v>
      </c>
    </row>
    <row r="1769" spans="1:6" x14ac:dyDescent="0.3">
      <c r="A1769" t="s">
        <v>2793</v>
      </c>
      <c r="B1769" t="s">
        <v>1010</v>
      </c>
      <c r="C1769" t="s">
        <v>2794</v>
      </c>
      <c r="D1769">
        <v>28672992</v>
      </c>
      <c r="E1769">
        <v>3.03</v>
      </c>
      <c r="F1769">
        <v>6.18</v>
      </c>
    </row>
    <row r="1770" spans="1:6" x14ac:dyDescent="0.3">
      <c r="A1770" t="s">
        <v>2795</v>
      </c>
      <c r="B1770" t="s">
        <v>2199</v>
      </c>
      <c r="C1770" t="s">
        <v>2796</v>
      </c>
      <c r="D1770">
        <v>28742632</v>
      </c>
      <c r="E1770">
        <v>17.5</v>
      </c>
      <c r="F1770">
        <v>6.5</v>
      </c>
    </row>
    <row r="1771" spans="1:6" x14ac:dyDescent="0.3">
      <c r="A1771" t="s">
        <v>2797</v>
      </c>
      <c r="B1771" t="s">
        <v>2798</v>
      </c>
      <c r="C1771" t="s">
        <v>1801</v>
      </c>
      <c r="D1771">
        <v>28752402</v>
      </c>
      <c r="E1771">
        <v>10.78</v>
      </c>
      <c r="F1771">
        <v>7.78</v>
      </c>
    </row>
    <row r="1772" spans="1:6" x14ac:dyDescent="0.3">
      <c r="A1772" t="s">
        <v>2799</v>
      </c>
      <c r="B1772" t="s">
        <v>1322</v>
      </c>
      <c r="C1772" t="s">
        <v>2800</v>
      </c>
      <c r="D1772">
        <v>28755513</v>
      </c>
      <c r="E1772">
        <v>6.62</v>
      </c>
      <c r="F1772">
        <v>5.75</v>
      </c>
    </row>
    <row r="1773" spans="1:6" x14ac:dyDescent="0.3">
      <c r="A1773" t="s">
        <v>2801</v>
      </c>
      <c r="B1773" t="s">
        <v>2133</v>
      </c>
      <c r="C1773" t="s">
        <v>2802</v>
      </c>
      <c r="D1773">
        <v>28757688</v>
      </c>
      <c r="E1773">
        <v>5.67</v>
      </c>
      <c r="F1773">
        <v>6.5</v>
      </c>
    </row>
    <row r="1774" spans="1:6" x14ac:dyDescent="0.3">
      <c r="A1774" t="s">
        <v>1435</v>
      </c>
      <c r="B1774" t="s">
        <v>2803</v>
      </c>
      <c r="C1774" t="s">
        <v>1435</v>
      </c>
      <c r="D1774">
        <v>28794076</v>
      </c>
      <c r="E1774">
        <v>5.64</v>
      </c>
      <c r="F1774">
        <v>5.85</v>
      </c>
    </row>
    <row r="1775" spans="1:6" x14ac:dyDescent="0.3">
      <c r="A1775" t="s">
        <v>1229</v>
      </c>
      <c r="B1775" t="s">
        <v>709</v>
      </c>
      <c r="C1775" t="s">
        <v>1231</v>
      </c>
      <c r="D1775">
        <v>28827633</v>
      </c>
      <c r="E1775">
        <v>7.5</v>
      </c>
      <c r="F1775">
        <v>6.5</v>
      </c>
    </row>
    <row r="1776" spans="1:6" x14ac:dyDescent="0.3">
      <c r="A1776" t="s">
        <v>1973</v>
      </c>
      <c r="B1776" t="s">
        <v>752</v>
      </c>
      <c r="C1776" t="s">
        <v>707</v>
      </c>
      <c r="D1776">
        <v>28880422</v>
      </c>
      <c r="E1776">
        <v>24</v>
      </c>
      <c r="F1776">
        <v>6</v>
      </c>
    </row>
    <row r="1777" spans="1:6" x14ac:dyDescent="0.3">
      <c r="A1777" t="s">
        <v>2804</v>
      </c>
      <c r="B1777" t="s">
        <v>1996</v>
      </c>
      <c r="C1777" t="s">
        <v>2383</v>
      </c>
      <c r="D1777">
        <v>28933902</v>
      </c>
      <c r="E1777">
        <v>2.16</v>
      </c>
      <c r="F1777">
        <v>5.83</v>
      </c>
    </row>
    <row r="1778" spans="1:6" x14ac:dyDescent="0.3">
      <c r="A1778" t="s">
        <v>2805</v>
      </c>
      <c r="B1778" t="s">
        <v>1775</v>
      </c>
      <c r="C1778" t="s">
        <v>2623</v>
      </c>
      <c r="D1778">
        <v>28956515</v>
      </c>
      <c r="E1778">
        <v>11.6</v>
      </c>
      <c r="F1778">
        <v>8.25</v>
      </c>
    </row>
    <row r="1779" spans="1:6" x14ac:dyDescent="0.3">
      <c r="A1779" t="s">
        <v>2806</v>
      </c>
      <c r="B1779" t="s">
        <v>2565</v>
      </c>
      <c r="C1779" t="s">
        <v>1491</v>
      </c>
      <c r="D1779">
        <v>29074072</v>
      </c>
      <c r="E1779">
        <v>4</v>
      </c>
      <c r="F1779">
        <v>5.68</v>
      </c>
    </row>
    <row r="1780" spans="1:6" x14ac:dyDescent="0.3">
      <c r="A1780" t="s">
        <v>2807</v>
      </c>
      <c r="B1780" t="s">
        <v>2808</v>
      </c>
      <c r="C1780" t="s">
        <v>2487</v>
      </c>
      <c r="D1780">
        <v>29078866</v>
      </c>
      <c r="E1780">
        <v>4.8</v>
      </c>
      <c r="F1780">
        <v>5.67</v>
      </c>
    </row>
    <row r="1781" spans="1:6" x14ac:dyDescent="0.3">
      <c r="A1781" t="s">
        <v>2809</v>
      </c>
      <c r="B1781" t="s">
        <v>2596</v>
      </c>
      <c r="C1781" t="s">
        <v>2810</v>
      </c>
      <c r="D1781">
        <v>29123017</v>
      </c>
      <c r="E1781">
        <v>4.8600000000000003</v>
      </c>
      <c r="F1781">
        <v>6.5</v>
      </c>
    </row>
    <row r="1782" spans="1:6" x14ac:dyDescent="0.3">
      <c r="A1782" t="s">
        <v>2811</v>
      </c>
      <c r="B1782" t="s">
        <v>2636</v>
      </c>
      <c r="C1782" t="s">
        <v>1386</v>
      </c>
      <c r="D1782">
        <v>29127411</v>
      </c>
      <c r="E1782">
        <v>18.690000000000001</v>
      </c>
      <c r="F1782">
        <v>3.85</v>
      </c>
    </row>
    <row r="1783" spans="1:6" x14ac:dyDescent="0.3">
      <c r="A1783" t="s">
        <v>2812</v>
      </c>
      <c r="B1783" t="s">
        <v>1962</v>
      </c>
      <c r="C1783" t="s">
        <v>2813</v>
      </c>
      <c r="D1783">
        <v>29181506</v>
      </c>
      <c r="E1783">
        <v>6.32</v>
      </c>
      <c r="F1783">
        <v>6.83</v>
      </c>
    </row>
    <row r="1784" spans="1:6" x14ac:dyDescent="0.3">
      <c r="A1784" t="s">
        <v>2814</v>
      </c>
      <c r="B1784" t="s">
        <v>2815</v>
      </c>
      <c r="C1784" t="s">
        <v>2816</v>
      </c>
      <c r="D1784">
        <v>29183052</v>
      </c>
      <c r="E1784">
        <v>10.95</v>
      </c>
      <c r="F1784">
        <v>8</v>
      </c>
    </row>
    <row r="1785" spans="1:6" x14ac:dyDescent="0.3">
      <c r="A1785" t="s">
        <v>2817</v>
      </c>
      <c r="B1785" t="s">
        <v>1605</v>
      </c>
      <c r="C1785" t="s">
        <v>2640</v>
      </c>
      <c r="D1785">
        <v>29233496</v>
      </c>
      <c r="E1785">
        <v>4.0599999999999996</v>
      </c>
      <c r="F1785">
        <v>6</v>
      </c>
    </row>
    <row r="1786" spans="1:6" x14ac:dyDescent="0.3">
      <c r="A1786" t="s">
        <v>2818</v>
      </c>
      <c r="B1786" t="s">
        <v>2819</v>
      </c>
      <c r="C1786" t="s">
        <v>2820</v>
      </c>
      <c r="D1786">
        <v>29247995</v>
      </c>
      <c r="E1786">
        <v>3.64</v>
      </c>
      <c r="F1786">
        <v>6.32</v>
      </c>
    </row>
    <row r="1787" spans="1:6" x14ac:dyDescent="0.3">
      <c r="A1787" t="s">
        <v>2821</v>
      </c>
      <c r="B1787" t="s">
        <v>2462</v>
      </c>
      <c r="C1787" t="s">
        <v>741</v>
      </c>
      <c r="D1787">
        <v>29329481</v>
      </c>
      <c r="E1787">
        <v>6.99</v>
      </c>
      <c r="F1787">
        <v>6.38</v>
      </c>
    </row>
    <row r="1788" spans="1:6" x14ac:dyDescent="0.3">
      <c r="A1788" t="s">
        <v>2822</v>
      </c>
      <c r="B1788" t="s">
        <v>761</v>
      </c>
      <c r="C1788" t="s">
        <v>1995</v>
      </c>
      <c r="D1788">
        <v>29374473</v>
      </c>
      <c r="E1788">
        <v>17.03</v>
      </c>
      <c r="F1788">
        <v>7.88</v>
      </c>
    </row>
    <row r="1789" spans="1:6" x14ac:dyDescent="0.3">
      <c r="A1789" t="s">
        <v>2823</v>
      </c>
      <c r="B1789" t="s">
        <v>2824</v>
      </c>
      <c r="C1789" t="s">
        <v>2825</v>
      </c>
      <c r="D1789">
        <v>29394539</v>
      </c>
      <c r="E1789">
        <v>10.67</v>
      </c>
      <c r="F1789">
        <v>7.4</v>
      </c>
    </row>
    <row r="1790" spans="1:6" x14ac:dyDescent="0.3">
      <c r="A1790" t="s">
        <v>2826</v>
      </c>
      <c r="B1790" t="s">
        <v>2827</v>
      </c>
      <c r="C1790" t="s">
        <v>1843</v>
      </c>
      <c r="D1790">
        <v>29430891</v>
      </c>
      <c r="E1790">
        <v>5.86</v>
      </c>
      <c r="F1790">
        <v>4.5</v>
      </c>
    </row>
    <row r="1791" spans="1:6" x14ac:dyDescent="0.3">
      <c r="A1791" t="s">
        <v>775</v>
      </c>
      <c r="B1791" t="s">
        <v>1477</v>
      </c>
      <c r="C1791" t="s">
        <v>2828</v>
      </c>
      <c r="D1791">
        <v>29443338</v>
      </c>
      <c r="E1791">
        <v>12.04</v>
      </c>
      <c r="F1791">
        <v>6.65</v>
      </c>
    </row>
    <row r="1792" spans="1:6" x14ac:dyDescent="0.3">
      <c r="A1792" t="s">
        <v>2829</v>
      </c>
      <c r="B1792" t="s">
        <v>2830</v>
      </c>
      <c r="C1792" t="s">
        <v>2388</v>
      </c>
      <c r="D1792">
        <v>29496250</v>
      </c>
      <c r="E1792">
        <v>12.44</v>
      </c>
      <c r="F1792">
        <v>6</v>
      </c>
    </row>
    <row r="1793" spans="1:6" x14ac:dyDescent="0.3">
      <c r="A1793" t="s">
        <v>2831</v>
      </c>
      <c r="B1793" t="s">
        <v>1911</v>
      </c>
      <c r="C1793" t="s">
        <v>2794</v>
      </c>
      <c r="D1793">
        <v>29539928</v>
      </c>
      <c r="E1793">
        <v>6.63</v>
      </c>
      <c r="F1793">
        <v>6.81</v>
      </c>
    </row>
    <row r="1794" spans="1:6" x14ac:dyDescent="0.3">
      <c r="A1794" t="s">
        <v>2832</v>
      </c>
      <c r="B1794" t="s">
        <v>2833</v>
      </c>
      <c r="C1794" t="s">
        <v>2834</v>
      </c>
      <c r="D1794">
        <v>29564730</v>
      </c>
      <c r="E1794">
        <v>7.75</v>
      </c>
      <c r="F1794">
        <v>6</v>
      </c>
    </row>
    <row r="1795" spans="1:6" x14ac:dyDescent="0.3">
      <c r="A1795" t="s">
        <v>2835</v>
      </c>
      <c r="B1795" t="s">
        <v>1691</v>
      </c>
      <c r="C1795" t="s">
        <v>1764</v>
      </c>
      <c r="D1795">
        <v>29581494</v>
      </c>
      <c r="E1795">
        <v>5.05</v>
      </c>
      <c r="F1795">
        <v>4.5</v>
      </c>
    </row>
    <row r="1796" spans="1:6" x14ac:dyDescent="0.3">
      <c r="A1796" t="s">
        <v>2836</v>
      </c>
      <c r="B1796" t="s">
        <v>2837</v>
      </c>
      <c r="C1796" t="s">
        <v>2414</v>
      </c>
      <c r="D1796">
        <v>29600332</v>
      </c>
      <c r="E1796">
        <v>11.83</v>
      </c>
      <c r="F1796">
        <v>6.8</v>
      </c>
    </row>
    <row r="1797" spans="1:6" x14ac:dyDescent="0.3">
      <c r="A1797" t="s">
        <v>2838</v>
      </c>
      <c r="B1797" t="s">
        <v>1758</v>
      </c>
      <c r="C1797" t="s">
        <v>2839</v>
      </c>
      <c r="D1797">
        <v>29619645</v>
      </c>
      <c r="E1797">
        <v>5.04</v>
      </c>
      <c r="F1797">
        <v>5.24</v>
      </c>
    </row>
    <row r="1798" spans="1:6" x14ac:dyDescent="0.3">
      <c r="A1798" t="s">
        <v>2840</v>
      </c>
      <c r="B1798" t="s">
        <v>1865</v>
      </c>
      <c r="C1798" t="s">
        <v>2841</v>
      </c>
      <c r="D1798">
        <v>29704376</v>
      </c>
      <c r="E1798">
        <v>9.1300000000000008</v>
      </c>
      <c r="F1798">
        <v>7.9</v>
      </c>
    </row>
    <row r="1799" spans="1:6" x14ac:dyDescent="0.3">
      <c r="A1799" t="s">
        <v>2842</v>
      </c>
      <c r="B1799" t="s">
        <v>2843</v>
      </c>
      <c r="C1799" t="s">
        <v>2844</v>
      </c>
      <c r="D1799">
        <v>29730613</v>
      </c>
      <c r="E1799">
        <v>12.73</v>
      </c>
      <c r="F1799">
        <v>4.4400000000000004</v>
      </c>
    </row>
    <row r="1800" spans="1:6" x14ac:dyDescent="0.3">
      <c r="A1800" t="s">
        <v>2845</v>
      </c>
      <c r="B1800" t="s">
        <v>2846</v>
      </c>
      <c r="C1800" t="s">
        <v>1200</v>
      </c>
      <c r="D1800">
        <v>29807508</v>
      </c>
      <c r="E1800">
        <v>22</v>
      </c>
      <c r="F1800">
        <v>7.58</v>
      </c>
    </row>
    <row r="1801" spans="1:6" x14ac:dyDescent="0.3">
      <c r="A1801" t="s">
        <v>2847</v>
      </c>
      <c r="B1801" t="s">
        <v>2848</v>
      </c>
      <c r="C1801" t="s">
        <v>2849</v>
      </c>
      <c r="D1801">
        <v>29825134</v>
      </c>
      <c r="E1801">
        <v>2.89</v>
      </c>
      <c r="F1801">
        <v>5.26</v>
      </c>
    </row>
    <row r="1802" spans="1:6" x14ac:dyDescent="0.3">
      <c r="A1802" t="s">
        <v>2850</v>
      </c>
      <c r="B1802" t="s">
        <v>2433</v>
      </c>
      <c r="C1802" t="s">
        <v>2851</v>
      </c>
      <c r="D1802">
        <v>29862626</v>
      </c>
      <c r="E1802">
        <v>10.96</v>
      </c>
      <c r="F1802">
        <v>7.21</v>
      </c>
    </row>
    <row r="1803" spans="1:6" x14ac:dyDescent="0.3">
      <c r="A1803" t="s">
        <v>2852</v>
      </c>
      <c r="B1803" t="s">
        <v>2101</v>
      </c>
      <c r="C1803" t="s">
        <v>2794</v>
      </c>
      <c r="D1803">
        <v>29914623</v>
      </c>
      <c r="E1803">
        <v>17.82</v>
      </c>
      <c r="F1803">
        <v>4.2</v>
      </c>
    </row>
    <row r="1804" spans="1:6" x14ac:dyDescent="0.3">
      <c r="A1804" t="s">
        <v>2853</v>
      </c>
      <c r="B1804" t="s">
        <v>1048</v>
      </c>
      <c r="C1804" t="s">
        <v>2602</v>
      </c>
      <c r="D1804">
        <v>29917082</v>
      </c>
      <c r="E1804">
        <v>10.91</v>
      </c>
      <c r="F1804">
        <v>6.91</v>
      </c>
    </row>
    <row r="1805" spans="1:6" x14ac:dyDescent="0.3">
      <c r="A1805" t="s">
        <v>2854</v>
      </c>
      <c r="B1805" t="s">
        <v>1775</v>
      </c>
      <c r="C1805" t="s">
        <v>2855</v>
      </c>
      <c r="D1805">
        <v>29960016</v>
      </c>
      <c r="E1805">
        <v>4.2699999999999996</v>
      </c>
      <c r="F1805">
        <v>5</v>
      </c>
    </row>
    <row r="1806" spans="1:6" x14ac:dyDescent="0.3">
      <c r="A1806" t="s">
        <v>2856</v>
      </c>
      <c r="B1806" t="s">
        <v>2857</v>
      </c>
      <c r="C1806" t="s">
        <v>797</v>
      </c>
      <c r="D1806">
        <v>29976161</v>
      </c>
      <c r="E1806">
        <v>17.5</v>
      </c>
      <c r="F1806">
        <v>5.5</v>
      </c>
    </row>
    <row r="1807" spans="1:6" x14ac:dyDescent="0.3">
      <c r="A1807" t="s">
        <v>2858</v>
      </c>
      <c r="B1807" t="s">
        <v>1477</v>
      </c>
      <c r="C1807" t="s">
        <v>2549</v>
      </c>
      <c r="D1807">
        <v>29996879</v>
      </c>
      <c r="E1807">
        <v>9.92</v>
      </c>
      <c r="F1807">
        <v>6.4</v>
      </c>
    </row>
    <row r="1808" spans="1:6" x14ac:dyDescent="0.3">
      <c r="A1808" t="s">
        <v>1760</v>
      </c>
      <c r="B1808" t="s">
        <v>968</v>
      </c>
      <c r="C1808" t="s">
        <v>1242</v>
      </c>
      <c r="D1808">
        <v>30102666</v>
      </c>
      <c r="E1808">
        <v>8.1</v>
      </c>
      <c r="F1808">
        <v>6.13</v>
      </c>
    </row>
    <row r="1809" spans="1:6" x14ac:dyDescent="0.3">
      <c r="A1809" t="s">
        <v>2859</v>
      </c>
      <c r="B1809" t="s">
        <v>1589</v>
      </c>
      <c r="C1809" t="s">
        <v>2860</v>
      </c>
      <c r="D1809">
        <v>30157349</v>
      </c>
      <c r="E1809">
        <v>5.09</v>
      </c>
      <c r="F1809">
        <v>5.85</v>
      </c>
    </row>
    <row r="1810" spans="1:6" x14ac:dyDescent="0.3">
      <c r="A1810" t="s">
        <v>2861</v>
      </c>
      <c r="B1810" t="s">
        <v>277</v>
      </c>
      <c r="C1810" t="s">
        <v>2862</v>
      </c>
      <c r="D1810">
        <v>30157581</v>
      </c>
      <c r="E1810">
        <v>21.14</v>
      </c>
      <c r="F1810">
        <v>7.48</v>
      </c>
    </row>
    <row r="1811" spans="1:6" x14ac:dyDescent="0.3">
      <c r="A1811" t="s">
        <v>2863</v>
      </c>
      <c r="B1811" t="s">
        <v>2864</v>
      </c>
      <c r="C1811" t="s">
        <v>237</v>
      </c>
      <c r="D1811">
        <v>30173579</v>
      </c>
      <c r="E1811">
        <v>6.33</v>
      </c>
      <c r="F1811">
        <v>5.71</v>
      </c>
    </row>
    <row r="1812" spans="1:6" x14ac:dyDescent="0.3">
      <c r="A1812" t="s">
        <v>2865</v>
      </c>
      <c r="B1812" t="s">
        <v>336</v>
      </c>
      <c r="C1812" t="s">
        <v>2866</v>
      </c>
      <c r="D1812">
        <v>30194711</v>
      </c>
      <c r="E1812">
        <v>22.95</v>
      </c>
      <c r="F1812">
        <v>7.83</v>
      </c>
    </row>
    <row r="1813" spans="1:6" x14ac:dyDescent="0.3">
      <c r="A1813" t="s">
        <v>2867</v>
      </c>
      <c r="B1813" t="s">
        <v>463</v>
      </c>
      <c r="C1813" t="s">
        <v>2868</v>
      </c>
      <c r="D1813">
        <v>30219145</v>
      </c>
      <c r="E1813">
        <v>21.07</v>
      </c>
      <c r="F1813">
        <v>6.11</v>
      </c>
    </row>
    <row r="1814" spans="1:6" x14ac:dyDescent="0.3">
      <c r="A1814" t="s">
        <v>2869</v>
      </c>
      <c r="B1814" t="s">
        <v>1305</v>
      </c>
      <c r="C1814" t="s">
        <v>723</v>
      </c>
      <c r="D1814">
        <v>30252514</v>
      </c>
      <c r="E1814">
        <v>16</v>
      </c>
      <c r="F1814">
        <v>6.13</v>
      </c>
    </row>
    <row r="1815" spans="1:6" x14ac:dyDescent="0.3">
      <c r="A1815" t="s">
        <v>2870</v>
      </c>
      <c r="B1815" t="s">
        <v>1758</v>
      </c>
      <c r="C1815" t="s">
        <v>1843</v>
      </c>
      <c r="D1815">
        <v>30342879</v>
      </c>
      <c r="E1815">
        <v>7.19</v>
      </c>
      <c r="F1815">
        <v>5.43</v>
      </c>
    </row>
    <row r="1816" spans="1:6" x14ac:dyDescent="0.3">
      <c r="A1816" t="s">
        <v>2871</v>
      </c>
      <c r="B1816" t="s">
        <v>2872</v>
      </c>
      <c r="C1816" t="s">
        <v>2038</v>
      </c>
      <c r="D1816">
        <v>30378867</v>
      </c>
      <c r="E1816">
        <v>15.06</v>
      </c>
      <c r="F1816">
        <v>5.56</v>
      </c>
    </row>
    <row r="1817" spans="1:6" x14ac:dyDescent="0.3">
      <c r="A1817" t="s">
        <v>2873</v>
      </c>
      <c r="B1817" t="s">
        <v>1265</v>
      </c>
      <c r="C1817" t="s">
        <v>1165</v>
      </c>
      <c r="D1817">
        <v>30380566</v>
      </c>
      <c r="E1817">
        <v>27.66</v>
      </c>
      <c r="F1817">
        <v>6.73</v>
      </c>
    </row>
    <row r="1818" spans="1:6" x14ac:dyDescent="0.3">
      <c r="A1818" t="s">
        <v>2874</v>
      </c>
      <c r="B1818" t="s">
        <v>2875</v>
      </c>
      <c r="C1818" t="s">
        <v>2454</v>
      </c>
      <c r="D1818">
        <v>30447412</v>
      </c>
      <c r="E1818">
        <v>17.77</v>
      </c>
      <c r="F1818">
        <v>5.75</v>
      </c>
    </row>
    <row r="1819" spans="1:6" x14ac:dyDescent="0.3">
      <c r="A1819" t="s">
        <v>2876</v>
      </c>
      <c r="B1819" t="s">
        <v>2877</v>
      </c>
      <c r="C1819" t="s">
        <v>2878</v>
      </c>
      <c r="D1819">
        <v>30469106</v>
      </c>
      <c r="E1819">
        <v>7.11</v>
      </c>
      <c r="F1819">
        <v>6.86</v>
      </c>
    </row>
    <row r="1820" spans="1:6" x14ac:dyDescent="0.3">
      <c r="A1820" t="s">
        <v>2879</v>
      </c>
      <c r="B1820" t="s">
        <v>2880</v>
      </c>
      <c r="C1820" t="s">
        <v>2623</v>
      </c>
      <c r="D1820">
        <v>30507781</v>
      </c>
      <c r="E1820">
        <v>2.87</v>
      </c>
      <c r="F1820">
        <v>5.67</v>
      </c>
    </row>
    <row r="1821" spans="1:6" x14ac:dyDescent="0.3">
      <c r="A1821" t="s">
        <v>2881</v>
      </c>
      <c r="B1821" t="s">
        <v>463</v>
      </c>
      <c r="C1821" t="s">
        <v>2231</v>
      </c>
      <c r="D1821">
        <v>30533157</v>
      </c>
      <c r="E1821">
        <v>13.25</v>
      </c>
      <c r="F1821">
        <v>7.14</v>
      </c>
    </row>
    <row r="1822" spans="1:6" x14ac:dyDescent="0.3">
      <c r="A1822" t="s">
        <v>2882</v>
      </c>
      <c r="B1822" t="s">
        <v>325</v>
      </c>
      <c r="C1822" t="s">
        <v>2883</v>
      </c>
      <c r="D1822">
        <v>30552131</v>
      </c>
      <c r="E1822">
        <v>15.63</v>
      </c>
      <c r="F1822">
        <v>7</v>
      </c>
    </row>
    <row r="1823" spans="1:6" x14ac:dyDescent="0.3">
      <c r="A1823" t="s">
        <v>2622</v>
      </c>
      <c r="B1823" t="s">
        <v>1824</v>
      </c>
      <c r="C1823" t="s">
        <v>2623</v>
      </c>
      <c r="D1823">
        <v>30586021</v>
      </c>
      <c r="E1823">
        <v>21.31</v>
      </c>
      <c r="F1823">
        <v>4.3099999999999996</v>
      </c>
    </row>
    <row r="1824" spans="1:6" x14ac:dyDescent="0.3">
      <c r="A1824" t="s">
        <v>2884</v>
      </c>
      <c r="B1824" t="s">
        <v>520</v>
      </c>
      <c r="C1824" t="s">
        <v>2885</v>
      </c>
      <c r="D1824">
        <v>30597313</v>
      </c>
      <c r="E1824">
        <v>15.77</v>
      </c>
      <c r="F1824">
        <v>4.88</v>
      </c>
    </row>
    <row r="1825" spans="1:6" x14ac:dyDescent="0.3">
      <c r="A1825" t="s">
        <v>2886</v>
      </c>
      <c r="B1825" t="s">
        <v>2887</v>
      </c>
      <c r="C1825" t="s">
        <v>2744</v>
      </c>
      <c r="D1825">
        <v>30646465</v>
      </c>
      <c r="E1825">
        <v>12.9</v>
      </c>
      <c r="F1825">
        <v>4</v>
      </c>
    </row>
    <row r="1826" spans="1:6" x14ac:dyDescent="0.3">
      <c r="A1826" t="s">
        <v>2888</v>
      </c>
      <c r="B1826" t="s">
        <v>1589</v>
      </c>
      <c r="C1826" t="s">
        <v>2810</v>
      </c>
      <c r="D1826">
        <v>30655152</v>
      </c>
      <c r="E1826">
        <v>4.63</v>
      </c>
      <c r="F1826">
        <v>3.8</v>
      </c>
    </row>
    <row r="1827" spans="1:6" x14ac:dyDescent="0.3">
      <c r="A1827" t="s">
        <v>2889</v>
      </c>
      <c r="B1827" t="s">
        <v>1477</v>
      </c>
      <c r="C1827" t="s">
        <v>1185</v>
      </c>
      <c r="D1827">
        <v>30670670</v>
      </c>
      <c r="E1827">
        <v>7.93</v>
      </c>
      <c r="F1827">
        <v>6.15</v>
      </c>
    </row>
    <row r="1828" spans="1:6" x14ac:dyDescent="0.3">
      <c r="A1828" t="s">
        <v>2890</v>
      </c>
      <c r="B1828" t="s">
        <v>2433</v>
      </c>
      <c r="C1828" t="s">
        <v>1129</v>
      </c>
      <c r="D1828">
        <v>30708526</v>
      </c>
      <c r="E1828">
        <v>12.63</v>
      </c>
      <c r="F1828">
        <v>7.67</v>
      </c>
    </row>
    <row r="1829" spans="1:6" x14ac:dyDescent="0.3">
      <c r="A1829" t="s">
        <v>2891</v>
      </c>
      <c r="B1829" t="s">
        <v>2892</v>
      </c>
      <c r="C1829" t="s">
        <v>2893</v>
      </c>
      <c r="D1829">
        <v>30753202</v>
      </c>
      <c r="E1829">
        <v>16.899999999999999</v>
      </c>
      <c r="F1829">
        <v>5.5</v>
      </c>
    </row>
    <row r="1830" spans="1:6" x14ac:dyDescent="0.3">
      <c r="A1830" t="s">
        <v>2894</v>
      </c>
      <c r="B1830" t="s">
        <v>2895</v>
      </c>
      <c r="C1830" t="s">
        <v>2711</v>
      </c>
      <c r="D1830">
        <v>30753864</v>
      </c>
      <c r="E1830">
        <v>6.88</v>
      </c>
      <c r="F1830">
        <v>7.94</v>
      </c>
    </row>
    <row r="1831" spans="1:6" x14ac:dyDescent="0.3">
      <c r="A1831" t="s">
        <v>2896</v>
      </c>
      <c r="B1831" t="s">
        <v>2897</v>
      </c>
      <c r="C1831">
        <v>33</v>
      </c>
      <c r="D1831">
        <v>30775991</v>
      </c>
      <c r="E1831">
        <v>4.45</v>
      </c>
      <c r="F1831">
        <v>5.62</v>
      </c>
    </row>
    <row r="1832" spans="1:6" x14ac:dyDescent="0.3">
      <c r="A1832" t="s">
        <v>2898</v>
      </c>
      <c r="B1832" t="s">
        <v>2899</v>
      </c>
      <c r="C1832" t="s">
        <v>1152</v>
      </c>
      <c r="D1832">
        <v>30781348</v>
      </c>
      <c r="E1832">
        <v>16.2</v>
      </c>
      <c r="F1832">
        <v>5.2</v>
      </c>
    </row>
    <row r="1833" spans="1:6" x14ac:dyDescent="0.3">
      <c r="A1833" t="s">
        <v>2900</v>
      </c>
      <c r="B1833" t="s">
        <v>2747</v>
      </c>
      <c r="C1833" t="s">
        <v>2901</v>
      </c>
      <c r="D1833">
        <v>30804223</v>
      </c>
      <c r="E1833">
        <v>18</v>
      </c>
      <c r="F1833">
        <v>7</v>
      </c>
    </row>
    <row r="1834" spans="1:6" x14ac:dyDescent="0.3">
      <c r="A1834" t="s">
        <v>2902</v>
      </c>
      <c r="B1834" t="s">
        <v>2903</v>
      </c>
      <c r="C1834" t="s">
        <v>2904</v>
      </c>
      <c r="D1834">
        <v>30826018</v>
      </c>
      <c r="E1834">
        <v>6.5</v>
      </c>
      <c r="F1834">
        <v>2</v>
      </c>
    </row>
    <row r="1835" spans="1:6" x14ac:dyDescent="0.3">
      <c r="A1835" t="s">
        <v>2905</v>
      </c>
      <c r="B1835" t="s">
        <v>325</v>
      </c>
      <c r="C1835" t="s">
        <v>2810</v>
      </c>
      <c r="D1835">
        <v>30861262</v>
      </c>
      <c r="E1835">
        <v>18.170000000000002</v>
      </c>
      <c r="F1835">
        <v>5.2</v>
      </c>
    </row>
    <row r="1836" spans="1:6" x14ac:dyDescent="0.3">
      <c r="A1836" t="s">
        <v>2906</v>
      </c>
      <c r="B1836" t="s">
        <v>2433</v>
      </c>
      <c r="C1836" t="s">
        <v>2907</v>
      </c>
      <c r="D1836">
        <v>30944062</v>
      </c>
      <c r="E1836">
        <v>14.06</v>
      </c>
      <c r="F1836">
        <v>5.33</v>
      </c>
    </row>
    <row r="1837" spans="1:6" x14ac:dyDescent="0.3">
      <c r="A1837" t="s">
        <v>2908</v>
      </c>
      <c r="B1837" t="s">
        <v>412</v>
      </c>
      <c r="C1837" t="s">
        <v>2623</v>
      </c>
      <c r="D1837">
        <v>31040773</v>
      </c>
      <c r="E1837">
        <v>14.05</v>
      </c>
      <c r="F1837">
        <v>4.25</v>
      </c>
    </row>
    <row r="1838" spans="1:6" x14ac:dyDescent="0.3">
      <c r="A1838" t="s">
        <v>2909</v>
      </c>
      <c r="B1838" t="s">
        <v>2910</v>
      </c>
      <c r="C1838" t="s">
        <v>2911</v>
      </c>
      <c r="D1838">
        <v>31076618</v>
      </c>
      <c r="E1838">
        <v>2.87</v>
      </c>
      <c r="F1838">
        <v>6.35</v>
      </c>
    </row>
    <row r="1839" spans="1:6" x14ac:dyDescent="0.3">
      <c r="A1839" t="s">
        <v>2912</v>
      </c>
      <c r="B1839" t="s">
        <v>2913</v>
      </c>
      <c r="C1839" t="s">
        <v>2650</v>
      </c>
      <c r="D1839">
        <v>31128886</v>
      </c>
      <c r="E1839">
        <v>3.65</v>
      </c>
      <c r="F1839">
        <v>5</v>
      </c>
    </row>
    <row r="1840" spans="1:6" x14ac:dyDescent="0.3">
      <c r="A1840" t="s">
        <v>2914</v>
      </c>
      <c r="B1840" t="s">
        <v>2638</v>
      </c>
      <c r="C1840" t="s">
        <v>2507</v>
      </c>
      <c r="D1840">
        <v>31263896</v>
      </c>
      <c r="E1840">
        <v>8.6</v>
      </c>
      <c r="F1840">
        <v>7.5</v>
      </c>
    </row>
    <row r="1841" spans="1:6" x14ac:dyDescent="0.3">
      <c r="A1841" t="s">
        <v>2915</v>
      </c>
      <c r="B1841" t="s">
        <v>2916</v>
      </c>
      <c r="C1841" t="s">
        <v>1925</v>
      </c>
      <c r="D1841">
        <v>31357494</v>
      </c>
      <c r="E1841">
        <v>13</v>
      </c>
      <c r="F1841">
        <v>6.57</v>
      </c>
    </row>
    <row r="1842" spans="1:6" x14ac:dyDescent="0.3">
      <c r="A1842" t="s">
        <v>2917</v>
      </c>
      <c r="B1842" t="s">
        <v>2918</v>
      </c>
      <c r="C1842" t="s">
        <v>2251</v>
      </c>
      <c r="D1842">
        <v>31375328</v>
      </c>
      <c r="E1842">
        <v>15.6</v>
      </c>
      <c r="F1842">
        <v>5</v>
      </c>
    </row>
    <row r="1843" spans="1:6" x14ac:dyDescent="0.3">
      <c r="A1843" t="s">
        <v>2919</v>
      </c>
      <c r="B1843" t="s">
        <v>1322</v>
      </c>
      <c r="C1843" t="s">
        <v>2920</v>
      </c>
      <c r="D1843">
        <v>31378074</v>
      </c>
      <c r="E1843">
        <v>4.25</v>
      </c>
      <c r="F1843">
        <v>6.09</v>
      </c>
    </row>
    <row r="1844" spans="1:6" x14ac:dyDescent="0.3">
      <c r="A1844" t="s">
        <v>2921</v>
      </c>
      <c r="B1844" t="s">
        <v>1259</v>
      </c>
      <c r="C1844" t="s">
        <v>2922</v>
      </c>
      <c r="D1844">
        <v>31396152</v>
      </c>
      <c r="E1844">
        <v>13.4</v>
      </c>
      <c r="F1844">
        <v>3.67</v>
      </c>
    </row>
    <row r="1845" spans="1:6" x14ac:dyDescent="0.3">
      <c r="A1845" t="s">
        <v>2923</v>
      </c>
      <c r="B1845" t="s">
        <v>1589</v>
      </c>
      <c r="C1845" t="s">
        <v>2924</v>
      </c>
      <c r="D1845">
        <v>31420516</v>
      </c>
      <c r="E1845">
        <v>2.9</v>
      </c>
      <c r="F1845">
        <v>5.78</v>
      </c>
    </row>
    <row r="1846" spans="1:6" x14ac:dyDescent="0.3">
      <c r="A1846" t="s">
        <v>2925</v>
      </c>
      <c r="B1846" t="s">
        <v>2926</v>
      </c>
      <c r="C1846" t="s">
        <v>1747</v>
      </c>
      <c r="D1846">
        <v>31462941</v>
      </c>
      <c r="E1846">
        <v>30.01</v>
      </c>
      <c r="F1846">
        <v>5.97</v>
      </c>
    </row>
    <row r="1847" spans="1:6" x14ac:dyDescent="0.3">
      <c r="A1847" t="s">
        <v>2927</v>
      </c>
      <c r="B1847" t="s">
        <v>2317</v>
      </c>
      <c r="C1847" t="s">
        <v>2928</v>
      </c>
      <c r="D1847">
        <v>31471111</v>
      </c>
      <c r="E1847">
        <v>17.170000000000002</v>
      </c>
      <c r="F1847">
        <v>7</v>
      </c>
    </row>
    <row r="1848" spans="1:6" x14ac:dyDescent="0.3">
      <c r="A1848" t="s">
        <v>2929</v>
      </c>
      <c r="B1848" t="s">
        <v>2930</v>
      </c>
      <c r="C1848" t="s">
        <v>2454</v>
      </c>
      <c r="D1848">
        <v>31518901</v>
      </c>
      <c r="E1848">
        <v>8.74</v>
      </c>
      <c r="F1848">
        <v>7.87</v>
      </c>
    </row>
    <row r="1849" spans="1:6" x14ac:dyDescent="0.3">
      <c r="A1849" t="s">
        <v>2931</v>
      </c>
      <c r="B1849" t="s">
        <v>2433</v>
      </c>
      <c r="C1849" t="s">
        <v>2640</v>
      </c>
      <c r="D1849">
        <v>31530600</v>
      </c>
      <c r="E1849">
        <v>13.88</v>
      </c>
      <c r="F1849">
        <v>7.43</v>
      </c>
    </row>
    <row r="1850" spans="1:6" x14ac:dyDescent="0.3">
      <c r="A1850" t="s">
        <v>2932</v>
      </c>
      <c r="B1850" t="s">
        <v>2933</v>
      </c>
      <c r="C1850" t="s">
        <v>2934</v>
      </c>
      <c r="D1850">
        <v>31571625</v>
      </c>
      <c r="E1850">
        <v>11.03</v>
      </c>
      <c r="F1850">
        <v>3.75</v>
      </c>
    </row>
    <row r="1851" spans="1:6" x14ac:dyDescent="0.3">
      <c r="A1851" t="s">
        <v>2935</v>
      </c>
      <c r="B1851" t="s">
        <v>2555</v>
      </c>
      <c r="C1851" t="s">
        <v>2456</v>
      </c>
      <c r="D1851">
        <v>31596491</v>
      </c>
      <c r="E1851">
        <v>8.17</v>
      </c>
      <c r="F1851">
        <v>5.8</v>
      </c>
    </row>
    <row r="1852" spans="1:6" x14ac:dyDescent="0.3">
      <c r="A1852" t="s">
        <v>2936</v>
      </c>
      <c r="B1852" t="s">
        <v>2937</v>
      </c>
      <c r="C1852" t="s">
        <v>2938</v>
      </c>
      <c r="D1852">
        <v>31665805</v>
      </c>
      <c r="E1852">
        <v>11.5</v>
      </c>
      <c r="F1852">
        <v>5.67</v>
      </c>
    </row>
    <row r="1853" spans="1:6" x14ac:dyDescent="0.3">
      <c r="A1853" t="s">
        <v>2939</v>
      </c>
      <c r="B1853" t="s">
        <v>2776</v>
      </c>
      <c r="C1853" t="s">
        <v>2940</v>
      </c>
      <c r="D1853">
        <v>31667603</v>
      </c>
      <c r="E1853">
        <v>17</v>
      </c>
      <c r="F1853">
        <v>5.5</v>
      </c>
    </row>
    <row r="1854" spans="1:6" x14ac:dyDescent="0.3">
      <c r="A1854" t="s">
        <v>2941</v>
      </c>
      <c r="B1854" t="s">
        <v>2830</v>
      </c>
      <c r="C1854" t="s">
        <v>2810</v>
      </c>
      <c r="D1854">
        <v>31735056</v>
      </c>
      <c r="E1854">
        <v>15</v>
      </c>
      <c r="F1854">
        <v>3.33</v>
      </c>
    </row>
    <row r="1855" spans="1:6" x14ac:dyDescent="0.3">
      <c r="A1855" t="s">
        <v>2942</v>
      </c>
      <c r="B1855" t="s">
        <v>2943</v>
      </c>
      <c r="C1855" t="s">
        <v>2942</v>
      </c>
      <c r="D1855">
        <v>31751923</v>
      </c>
      <c r="E1855">
        <v>6.24</v>
      </c>
      <c r="F1855">
        <v>7.81</v>
      </c>
    </row>
    <row r="1856" spans="1:6" x14ac:dyDescent="0.3">
      <c r="A1856" t="s">
        <v>2944</v>
      </c>
      <c r="B1856" t="s">
        <v>1890</v>
      </c>
      <c r="C1856" t="s">
        <v>2254</v>
      </c>
      <c r="D1856">
        <v>31771532</v>
      </c>
      <c r="E1856">
        <v>12.6</v>
      </c>
      <c r="F1856">
        <v>5.8</v>
      </c>
    </row>
    <row r="1857" spans="1:6" x14ac:dyDescent="0.3">
      <c r="A1857" t="s">
        <v>2945</v>
      </c>
      <c r="B1857" t="s">
        <v>1477</v>
      </c>
      <c r="C1857" t="s">
        <v>2291</v>
      </c>
      <c r="D1857">
        <v>31772194</v>
      </c>
      <c r="E1857">
        <v>19.11</v>
      </c>
      <c r="F1857">
        <v>7.33</v>
      </c>
    </row>
    <row r="1858" spans="1:6" x14ac:dyDescent="0.3">
      <c r="A1858" t="s">
        <v>2946</v>
      </c>
      <c r="B1858" t="s">
        <v>2947</v>
      </c>
      <c r="C1858" t="s">
        <v>2948</v>
      </c>
      <c r="D1858">
        <v>31777902</v>
      </c>
      <c r="E1858">
        <v>10.39</v>
      </c>
      <c r="F1858">
        <v>5.94</v>
      </c>
    </row>
    <row r="1859" spans="1:6" x14ac:dyDescent="0.3">
      <c r="A1859" t="s">
        <v>2949</v>
      </c>
      <c r="B1859" t="s">
        <v>2756</v>
      </c>
      <c r="C1859" t="s">
        <v>2950</v>
      </c>
      <c r="D1859">
        <v>31785584</v>
      </c>
      <c r="E1859">
        <v>6.44</v>
      </c>
      <c r="F1859">
        <v>5.5</v>
      </c>
    </row>
    <row r="1860" spans="1:6" x14ac:dyDescent="0.3">
      <c r="A1860" t="s">
        <v>2951</v>
      </c>
      <c r="B1860" t="s">
        <v>2952</v>
      </c>
      <c r="C1860" t="s">
        <v>2657</v>
      </c>
      <c r="D1860">
        <v>31839477</v>
      </c>
      <c r="E1860">
        <v>7.17</v>
      </c>
      <c r="F1860">
        <v>6.67</v>
      </c>
    </row>
    <row r="1861" spans="1:6" x14ac:dyDescent="0.3">
      <c r="A1861" t="s">
        <v>2953</v>
      </c>
      <c r="B1861" t="s">
        <v>2954</v>
      </c>
      <c r="C1861" t="s">
        <v>2955</v>
      </c>
      <c r="D1861">
        <v>32008750</v>
      </c>
      <c r="E1861">
        <v>15.76</v>
      </c>
      <c r="F1861">
        <v>5.8</v>
      </c>
    </row>
    <row r="1862" spans="1:6" x14ac:dyDescent="0.3">
      <c r="A1862" t="s">
        <v>2956</v>
      </c>
      <c r="B1862" t="s">
        <v>2957</v>
      </c>
      <c r="C1862" t="s">
        <v>2958</v>
      </c>
      <c r="D1862">
        <v>32132820</v>
      </c>
      <c r="E1862">
        <v>14.48</v>
      </c>
      <c r="F1862">
        <v>5.33</v>
      </c>
    </row>
    <row r="1863" spans="1:6" x14ac:dyDescent="0.3">
      <c r="A1863" t="s">
        <v>2959</v>
      </c>
      <c r="B1863" t="s">
        <v>2960</v>
      </c>
      <c r="C1863" t="s">
        <v>2961</v>
      </c>
      <c r="D1863">
        <v>32145604</v>
      </c>
      <c r="E1863">
        <v>10.199999999999999</v>
      </c>
      <c r="F1863">
        <v>6.79</v>
      </c>
    </row>
    <row r="1864" spans="1:6" x14ac:dyDescent="0.3">
      <c r="A1864" t="s">
        <v>2962</v>
      </c>
      <c r="B1864" t="s">
        <v>1926</v>
      </c>
      <c r="C1864" t="s">
        <v>2963</v>
      </c>
      <c r="D1864">
        <v>32180315</v>
      </c>
      <c r="E1864">
        <v>7.57</v>
      </c>
      <c r="F1864">
        <v>5.75</v>
      </c>
    </row>
    <row r="1865" spans="1:6" x14ac:dyDescent="0.3">
      <c r="A1865" t="s">
        <v>2964</v>
      </c>
      <c r="B1865" t="s">
        <v>2133</v>
      </c>
      <c r="C1865" t="s">
        <v>2965</v>
      </c>
      <c r="D1865">
        <v>32186443</v>
      </c>
      <c r="E1865">
        <v>11.36</v>
      </c>
      <c r="F1865">
        <v>6.5</v>
      </c>
    </row>
    <row r="1866" spans="1:6" x14ac:dyDescent="0.3">
      <c r="A1866" t="s">
        <v>2966</v>
      </c>
      <c r="B1866" t="s">
        <v>2827</v>
      </c>
      <c r="C1866" t="s">
        <v>379</v>
      </c>
      <c r="D1866">
        <v>32198995</v>
      </c>
      <c r="E1866">
        <v>6.04</v>
      </c>
      <c r="F1866">
        <v>5.45</v>
      </c>
    </row>
    <row r="1867" spans="1:6" x14ac:dyDescent="0.3">
      <c r="A1867" t="s">
        <v>2967</v>
      </c>
      <c r="B1867" t="s">
        <v>2913</v>
      </c>
      <c r="C1867" t="s">
        <v>2968</v>
      </c>
      <c r="D1867">
        <v>32223092</v>
      </c>
      <c r="E1867">
        <v>3.2</v>
      </c>
      <c r="F1867">
        <v>4.47</v>
      </c>
    </row>
    <row r="1868" spans="1:6" x14ac:dyDescent="0.3">
      <c r="A1868" t="s">
        <v>2969</v>
      </c>
      <c r="B1868" t="s">
        <v>2519</v>
      </c>
      <c r="C1868" t="s">
        <v>2970</v>
      </c>
      <c r="D1868">
        <v>32238143</v>
      </c>
      <c r="E1868">
        <v>11.34</v>
      </c>
      <c r="F1868">
        <v>7.54</v>
      </c>
    </row>
    <row r="1869" spans="1:6" x14ac:dyDescent="0.3">
      <c r="A1869" t="s">
        <v>2971</v>
      </c>
      <c r="B1869" t="s">
        <v>2695</v>
      </c>
      <c r="C1869" t="s">
        <v>2972</v>
      </c>
      <c r="D1869">
        <v>32243307</v>
      </c>
      <c r="E1869">
        <v>10.99</v>
      </c>
      <c r="F1869">
        <v>5.75</v>
      </c>
    </row>
    <row r="1870" spans="1:6" x14ac:dyDescent="0.3">
      <c r="A1870" t="s">
        <v>2973</v>
      </c>
      <c r="B1870" t="s">
        <v>1996</v>
      </c>
      <c r="C1870" t="s">
        <v>1934</v>
      </c>
      <c r="D1870">
        <v>32298346</v>
      </c>
      <c r="E1870">
        <v>15.69</v>
      </c>
      <c r="F1870">
        <v>8.23</v>
      </c>
    </row>
    <row r="1871" spans="1:6" x14ac:dyDescent="0.3">
      <c r="A1871" t="s">
        <v>2974</v>
      </c>
      <c r="B1871" t="s">
        <v>2433</v>
      </c>
      <c r="C1871" t="s">
        <v>1185</v>
      </c>
      <c r="D1871">
        <v>32321683</v>
      </c>
      <c r="E1871">
        <v>10.06</v>
      </c>
      <c r="F1871">
        <v>6.88</v>
      </c>
    </row>
    <row r="1872" spans="1:6" x14ac:dyDescent="0.3">
      <c r="A1872" t="s">
        <v>2975</v>
      </c>
      <c r="B1872" t="s">
        <v>2976</v>
      </c>
      <c r="C1872" t="s">
        <v>2977</v>
      </c>
      <c r="D1872">
        <v>32343467</v>
      </c>
      <c r="E1872">
        <v>4.4400000000000004</v>
      </c>
      <c r="F1872">
        <v>4.83</v>
      </c>
    </row>
    <row r="1873" spans="1:6" x14ac:dyDescent="0.3">
      <c r="A1873" t="s">
        <v>2978</v>
      </c>
      <c r="B1873" t="s">
        <v>1477</v>
      </c>
      <c r="C1873" t="s">
        <v>2979</v>
      </c>
      <c r="D1873">
        <v>32363718</v>
      </c>
      <c r="E1873">
        <v>8.94</v>
      </c>
      <c r="F1873">
        <v>6.2</v>
      </c>
    </row>
    <row r="1874" spans="1:6" x14ac:dyDescent="0.3">
      <c r="A1874" t="s">
        <v>2980</v>
      </c>
      <c r="B1874" t="s">
        <v>1259</v>
      </c>
      <c r="C1874" t="s">
        <v>1260</v>
      </c>
      <c r="D1874">
        <v>32363984</v>
      </c>
      <c r="E1874">
        <v>9.1300000000000008</v>
      </c>
      <c r="F1874">
        <v>7.14</v>
      </c>
    </row>
    <row r="1875" spans="1:6" x14ac:dyDescent="0.3">
      <c r="A1875" t="s">
        <v>2981</v>
      </c>
      <c r="B1875" t="s">
        <v>2982</v>
      </c>
      <c r="C1875" t="s">
        <v>2494</v>
      </c>
      <c r="D1875">
        <v>32477628</v>
      </c>
      <c r="E1875">
        <v>16.91</v>
      </c>
      <c r="F1875">
        <v>5.73</v>
      </c>
    </row>
    <row r="1876" spans="1:6" x14ac:dyDescent="0.3">
      <c r="A1876" t="s">
        <v>2983</v>
      </c>
      <c r="B1876" t="s">
        <v>1705</v>
      </c>
      <c r="C1876" t="s">
        <v>2984</v>
      </c>
      <c r="D1876">
        <v>32506540</v>
      </c>
      <c r="E1876">
        <v>16.25</v>
      </c>
      <c r="F1876">
        <v>3.25</v>
      </c>
    </row>
    <row r="1877" spans="1:6" x14ac:dyDescent="0.3">
      <c r="A1877" t="s">
        <v>2985</v>
      </c>
      <c r="B1877" t="s">
        <v>2875</v>
      </c>
      <c r="C1877" t="s">
        <v>2692</v>
      </c>
      <c r="D1877">
        <v>32512032</v>
      </c>
      <c r="E1877">
        <v>18.41</v>
      </c>
      <c r="F1877">
        <v>4.3899999999999997</v>
      </c>
    </row>
    <row r="1878" spans="1:6" x14ac:dyDescent="0.3">
      <c r="A1878" t="s">
        <v>2986</v>
      </c>
      <c r="B1878" t="s">
        <v>2987</v>
      </c>
      <c r="C1878" t="s">
        <v>2868</v>
      </c>
      <c r="D1878">
        <v>32572526</v>
      </c>
      <c r="E1878">
        <v>5.39</v>
      </c>
      <c r="F1878">
        <v>5.18</v>
      </c>
    </row>
    <row r="1879" spans="1:6" x14ac:dyDescent="0.3">
      <c r="A1879" t="s">
        <v>2988</v>
      </c>
      <c r="B1879" t="s">
        <v>2989</v>
      </c>
      <c r="C1879" t="s">
        <v>1098</v>
      </c>
      <c r="D1879">
        <v>32606300</v>
      </c>
      <c r="E1879">
        <v>14</v>
      </c>
      <c r="F1879">
        <v>5.8</v>
      </c>
    </row>
    <row r="1880" spans="1:6" x14ac:dyDescent="0.3">
      <c r="A1880" t="s">
        <v>2990</v>
      </c>
      <c r="B1880" t="s">
        <v>2193</v>
      </c>
      <c r="C1880" t="s">
        <v>2723</v>
      </c>
      <c r="D1880">
        <v>32612656</v>
      </c>
      <c r="E1880">
        <v>14</v>
      </c>
      <c r="F1880">
        <v>6.4</v>
      </c>
    </row>
    <row r="1881" spans="1:6" x14ac:dyDescent="0.3">
      <c r="A1881" t="s">
        <v>2991</v>
      </c>
      <c r="B1881" t="s">
        <v>2088</v>
      </c>
      <c r="C1881" t="s">
        <v>2992</v>
      </c>
      <c r="D1881">
        <v>32614415</v>
      </c>
      <c r="E1881">
        <v>3.22</v>
      </c>
      <c r="F1881">
        <v>6.25</v>
      </c>
    </row>
    <row r="1882" spans="1:6" x14ac:dyDescent="0.3">
      <c r="A1882" t="s">
        <v>2993</v>
      </c>
      <c r="B1882" t="s">
        <v>1605</v>
      </c>
      <c r="C1882" t="s">
        <v>2994</v>
      </c>
      <c r="D1882">
        <v>32621600</v>
      </c>
      <c r="E1882">
        <v>16.75</v>
      </c>
      <c r="F1882">
        <v>6.5</v>
      </c>
    </row>
    <row r="1883" spans="1:6" x14ac:dyDescent="0.3">
      <c r="A1883" t="s">
        <v>2995</v>
      </c>
      <c r="B1883" t="s">
        <v>1634</v>
      </c>
      <c r="C1883" t="s">
        <v>2996</v>
      </c>
      <c r="D1883">
        <v>32668860</v>
      </c>
      <c r="E1883">
        <v>10.130000000000001</v>
      </c>
      <c r="F1883">
        <v>7.86</v>
      </c>
    </row>
    <row r="1884" spans="1:6" x14ac:dyDescent="0.3">
      <c r="A1884" t="s">
        <v>2997</v>
      </c>
      <c r="B1884" t="s">
        <v>1584</v>
      </c>
      <c r="C1884" t="s">
        <v>2538</v>
      </c>
      <c r="D1884">
        <v>32688321</v>
      </c>
      <c r="E1884">
        <v>20.87</v>
      </c>
      <c r="F1884">
        <v>6.89</v>
      </c>
    </row>
    <row r="1885" spans="1:6" x14ac:dyDescent="0.3">
      <c r="A1885" t="s">
        <v>2998</v>
      </c>
      <c r="B1885" t="s">
        <v>2999</v>
      </c>
      <c r="C1885" t="s">
        <v>3000</v>
      </c>
      <c r="D1885">
        <v>32791937</v>
      </c>
      <c r="E1885">
        <v>8.7200000000000006</v>
      </c>
      <c r="F1885">
        <v>6.1</v>
      </c>
    </row>
    <row r="1886" spans="1:6" x14ac:dyDescent="0.3">
      <c r="A1886" t="s">
        <v>3001</v>
      </c>
      <c r="B1886" t="s">
        <v>1691</v>
      </c>
      <c r="C1886" t="s">
        <v>3002</v>
      </c>
      <c r="D1886">
        <v>32792392</v>
      </c>
      <c r="E1886">
        <v>5.01</v>
      </c>
      <c r="F1886">
        <v>6</v>
      </c>
    </row>
    <row r="1887" spans="1:6" x14ac:dyDescent="0.3">
      <c r="A1887" t="s">
        <v>3003</v>
      </c>
      <c r="B1887" t="s">
        <v>2460</v>
      </c>
      <c r="C1887" t="s">
        <v>2868</v>
      </c>
      <c r="D1887">
        <v>32802982</v>
      </c>
      <c r="E1887">
        <v>11.05</v>
      </c>
      <c r="F1887">
        <v>5.83</v>
      </c>
    </row>
    <row r="1888" spans="1:6" x14ac:dyDescent="0.3">
      <c r="A1888" t="s">
        <v>3004</v>
      </c>
      <c r="B1888" t="s">
        <v>900</v>
      </c>
      <c r="C1888" t="s">
        <v>2723</v>
      </c>
      <c r="D1888">
        <v>32831386</v>
      </c>
      <c r="E1888">
        <v>7.75</v>
      </c>
      <c r="F1888">
        <v>6.38</v>
      </c>
    </row>
    <row r="1889" spans="1:6" x14ac:dyDescent="0.3">
      <c r="A1889" t="s">
        <v>3005</v>
      </c>
      <c r="B1889" t="s">
        <v>2228</v>
      </c>
      <c r="C1889" t="s">
        <v>3006</v>
      </c>
      <c r="D1889">
        <v>32885972</v>
      </c>
      <c r="E1889">
        <v>16.79</v>
      </c>
      <c r="F1889">
        <v>7.22</v>
      </c>
    </row>
    <row r="1890" spans="1:6" x14ac:dyDescent="0.3">
      <c r="A1890" t="s">
        <v>3007</v>
      </c>
      <c r="B1890" t="s">
        <v>1083</v>
      </c>
      <c r="C1890" t="s">
        <v>3008</v>
      </c>
      <c r="D1890">
        <v>32907562</v>
      </c>
      <c r="E1890">
        <v>8</v>
      </c>
      <c r="F1890">
        <v>4.43</v>
      </c>
    </row>
    <row r="1891" spans="1:6" x14ac:dyDescent="0.3">
      <c r="A1891" t="s">
        <v>3009</v>
      </c>
      <c r="B1891" t="s">
        <v>3010</v>
      </c>
      <c r="C1891" t="s">
        <v>2310</v>
      </c>
      <c r="D1891">
        <v>32915142</v>
      </c>
      <c r="E1891">
        <v>14.88</v>
      </c>
      <c r="F1891">
        <v>7.04</v>
      </c>
    </row>
    <row r="1892" spans="1:6" x14ac:dyDescent="0.3">
      <c r="A1892" t="s">
        <v>3011</v>
      </c>
      <c r="B1892" t="s">
        <v>3012</v>
      </c>
      <c r="C1892" t="s">
        <v>3013</v>
      </c>
      <c r="D1892">
        <v>32920197</v>
      </c>
      <c r="E1892">
        <v>22.77</v>
      </c>
      <c r="F1892">
        <v>5.82</v>
      </c>
    </row>
    <row r="1893" spans="1:6" x14ac:dyDescent="0.3">
      <c r="A1893" t="s">
        <v>3014</v>
      </c>
      <c r="B1893" t="s">
        <v>2501</v>
      </c>
      <c r="C1893" t="s">
        <v>3015</v>
      </c>
      <c r="D1893">
        <v>32927589</v>
      </c>
      <c r="E1893">
        <v>15.57</v>
      </c>
      <c r="F1893">
        <v>4.91</v>
      </c>
    </row>
    <row r="1894" spans="1:6" x14ac:dyDescent="0.3">
      <c r="A1894" t="s">
        <v>3016</v>
      </c>
      <c r="B1894" t="s">
        <v>840</v>
      </c>
      <c r="C1894" t="s">
        <v>718</v>
      </c>
      <c r="D1894">
        <v>32929514</v>
      </c>
      <c r="E1894">
        <v>5.6</v>
      </c>
      <c r="F1894">
        <v>5.56</v>
      </c>
    </row>
    <row r="1895" spans="1:6" x14ac:dyDescent="0.3">
      <c r="A1895" t="s">
        <v>3017</v>
      </c>
      <c r="B1895" t="s">
        <v>1394</v>
      </c>
      <c r="C1895" t="s">
        <v>898</v>
      </c>
      <c r="D1895">
        <v>32940369</v>
      </c>
      <c r="E1895">
        <v>7.14</v>
      </c>
      <c r="F1895">
        <v>8.83</v>
      </c>
    </row>
    <row r="1896" spans="1:6" x14ac:dyDescent="0.3">
      <c r="A1896" t="s">
        <v>3018</v>
      </c>
      <c r="B1896" t="s">
        <v>1589</v>
      </c>
      <c r="C1896" t="s">
        <v>2110</v>
      </c>
      <c r="D1896">
        <v>32940442</v>
      </c>
      <c r="E1896">
        <v>5.36</v>
      </c>
      <c r="F1896">
        <v>6</v>
      </c>
    </row>
    <row r="1897" spans="1:6" x14ac:dyDescent="0.3">
      <c r="A1897" t="s">
        <v>3019</v>
      </c>
      <c r="B1897" t="s">
        <v>1758</v>
      </c>
      <c r="C1897" t="s">
        <v>3020</v>
      </c>
      <c r="D1897">
        <v>32969607</v>
      </c>
      <c r="E1897">
        <v>29.15</v>
      </c>
      <c r="F1897">
        <v>4</v>
      </c>
    </row>
    <row r="1898" spans="1:6" x14ac:dyDescent="0.3">
      <c r="A1898" t="s">
        <v>3021</v>
      </c>
      <c r="B1898" t="s">
        <v>2843</v>
      </c>
      <c r="C1898" t="s">
        <v>2530</v>
      </c>
      <c r="D1898">
        <v>32973942</v>
      </c>
      <c r="E1898">
        <v>11.98</v>
      </c>
      <c r="F1898">
        <v>5.69</v>
      </c>
    </row>
    <row r="1899" spans="1:6" x14ac:dyDescent="0.3">
      <c r="A1899" t="s">
        <v>3022</v>
      </c>
      <c r="B1899" t="s">
        <v>1863</v>
      </c>
      <c r="C1899" t="s">
        <v>3023</v>
      </c>
      <c r="D1899">
        <v>32990328</v>
      </c>
      <c r="E1899">
        <v>2.84</v>
      </c>
      <c r="F1899">
        <v>5.26</v>
      </c>
    </row>
    <row r="1900" spans="1:6" x14ac:dyDescent="0.3">
      <c r="A1900" t="s">
        <v>3024</v>
      </c>
      <c r="B1900" t="s">
        <v>1693</v>
      </c>
      <c r="C1900" t="s">
        <v>1491</v>
      </c>
      <c r="D1900">
        <v>33124814</v>
      </c>
      <c r="E1900">
        <v>7.33</v>
      </c>
      <c r="F1900">
        <v>7.8</v>
      </c>
    </row>
    <row r="1901" spans="1:6" x14ac:dyDescent="0.3">
      <c r="A1901" t="s">
        <v>3025</v>
      </c>
      <c r="B1901" t="s">
        <v>3026</v>
      </c>
      <c r="C1901" t="s">
        <v>2590</v>
      </c>
      <c r="D1901">
        <v>33184361</v>
      </c>
      <c r="E1901">
        <v>10.210000000000001</v>
      </c>
      <c r="F1901">
        <v>7.43</v>
      </c>
    </row>
    <row r="1902" spans="1:6" x14ac:dyDescent="0.3">
      <c r="A1902" t="s">
        <v>1973</v>
      </c>
      <c r="B1902" t="s">
        <v>2738</v>
      </c>
      <c r="C1902" t="s">
        <v>1855</v>
      </c>
      <c r="D1902">
        <v>33218690</v>
      </c>
      <c r="E1902">
        <v>6.11</v>
      </c>
      <c r="F1902">
        <v>4</v>
      </c>
    </row>
    <row r="1903" spans="1:6" x14ac:dyDescent="0.3">
      <c r="A1903" t="s">
        <v>3027</v>
      </c>
      <c r="B1903" t="s">
        <v>509</v>
      </c>
      <c r="C1903" t="s">
        <v>3028</v>
      </c>
      <c r="D1903">
        <v>33219945</v>
      </c>
      <c r="E1903">
        <v>11.27</v>
      </c>
      <c r="F1903">
        <v>6.56</v>
      </c>
    </row>
    <row r="1904" spans="1:6" x14ac:dyDescent="0.3">
      <c r="A1904" t="s">
        <v>3029</v>
      </c>
      <c r="B1904" t="s">
        <v>1589</v>
      </c>
      <c r="C1904" t="s">
        <v>3030</v>
      </c>
      <c r="D1904">
        <v>33244195</v>
      </c>
      <c r="E1904">
        <v>2.71</v>
      </c>
      <c r="F1904">
        <v>6.27</v>
      </c>
    </row>
    <row r="1905" spans="1:6" x14ac:dyDescent="0.3">
      <c r="A1905" t="s">
        <v>3031</v>
      </c>
      <c r="B1905" t="s">
        <v>3032</v>
      </c>
      <c r="C1905" t="s">
        <v>1832</v>
      </c>
      <c r="D1905">
        <v>33364327</v>
      </c>
      <c r="E1905">
        <v>23.18</v>
      </c>
      <c r="F1905">
        <v>3.9</v>
      </c>
    </row>
    <row r="1906" spans="1:6" x14ac:dyDescent="0.3">
      <c r="A1906" t="s">
        <v>3033</v>
      </c>
      <c r="B1906" t="s">
        <v>3034</v>
      </c>
      <c r="C1906" t="s">
        <v>3035</v>
      </c>
      <c r="D1906">
        <v>33373923</v>
      </c>
      <c r="E1906">
        <v>14.52</v>
      </c>
      <c r="F1906">
        <v>6.47</v>
      </c>
    </row>
    <row r="1907" spans="1:6" x14ac:dyDescent="0.3">
      <c r="A1907" t="s">
        <v>3036</v>
      </c>
      <c r="B1907" t="s">
        <v>3037</v>
      </c>
      <c r="C1907" t="s">
        <v>813</v>
      </c>
      <c r="D1907">
        <v>33383668</v>
      </c>
      <c r="E1907">
        <v>19.2</v>
      </c>
      <c r="F1907">
        <v>6.38</v>
      </c>
    </row>
    <row r="1908" spans="1:6" x14ac:dyDescent="0.3">
      <c r="A1908" t="s">
        <v>3038</v>
      </c>
      <c r="B1908" t="s">
        <v>463</v>
      </c>
      <c r="C1908" t="s">
        <v>3039</v>
      </c>
      <c r="D1908">
        <v>33387622</v>
      </c>
      <c r="E1908">
        <v>26.11</v>
      </c>
      <c r="F1908">
        <v>6.98</v>
      </c>
    </row>
    <row r="1909" spans="1:6" x14ac:dyDescent="0.3">
      <c r="A1909" t="s">
        <v>3040</v>
      </c>
      <c r="B1909" t="s">
        <v>3041</v>
      </c>
      <c r="C1909" t="s">
        <v>3042</v>
      </c>
      <c r="D1909">
        <v>33389349</v>
      </c>
      <c r="E1909">
        <v>16.89</v>
      </c>
      <c r="F1909">
        <v>8.14</v>
      </c>
    </row>
    <row r="1910" spans="1:6" x14ac:dyDescent="0.3">
      <c r="A1910" t="s">
        <v>3043</v>
      </c>
      <c r="B1910" t="s">
        <v>2166</v>
      </c>
      <c r="C1910" t="s">
        <v>1435</v>
      </c>
      <c r="D1910">
        <v>33405303</v>
      </c>
      <c r="E1910">
        <v>17.920000000000002</v>
      </c>
      <c r="F1910">
        <v>6.9</v>
      </c>
    </row>
    <row r="1911" spans="1:6" x14ac:dyDescent="0.3">
      <c r="A1911" t="s">
        <v>3044</v>
      </c>
      <c r="B1911" t="s">
        <v>803</v>
      </c>
      <c r="C1911" t="s">
        <v>2367</v>
      </c>
      <c r="D1911">
        <v>33457286</v>
      </c>
      <c r="E1911">
        <v>11.41</v>
      </c>
      <c r="F1911">
        <v>7.9</v>
      </c>
    </row>
    <row r="1912" spans="1:6" x14ac:dyDescent="0.3">
      <c r="A1912" t="s">
        <v>3045</v>
      </c>
      <c r="B1912" t="s">
        <v>3012</v>
      </c>
      <c r="C1912" t="s">
        <v>2441</v>
      </c>
      <c r="D1912">
        <v>33494809</v>
      </c>
      <c r="E1912">
        <v>13.09</v>
      </c>
      <c r="F1912">
        <v>7.44</v>
      </c>
    </row>
    <row r="1913" spans="1:6" x14ac:dyDescent="0.3">
      <c r="A1913" t="s">
        <v>3046</v>
      </c>
      <c r="B1913" t="s">
        <v>3047</v>
      </c>
      <c r="C1913" t="s">
        <v>313</v>
      </c>
      <c r="D1913">
        <v>33498127</v>
      </c>
      <c r="E1913">
        <v>33</v>
      </c>
      <c r="F1913">
        <v>4.75</v>
      </c>
    </row>
    <row r="1914" spans="1:6" x14ac:dyDescent="0.3">
      <c r="A1914" t="s">
        <v>3048</v>
      </c>
      <c r="B1914" t="s">
        <v>3049</v>
      </c>
      <c r="C1914" t="s">
        <v>2868</v>
      </c>
      <c r="D1914">
        <v>33560074</v>
      </c>
      <c r="E1914">
        <v>3.92</v>
      </c>
      <c r="F1914">
        <v>5.5</v>
      </c>
    </row>
    <row r="1915" spans="1:6" x14ac:dyDescent="0.3">
      <c r="A1915" t="s">
        <v>3050</v>
      </c>
      <c r="B1915" t="s">
        <v>3051</v>
      </c>
      <c r="C1915" t="s">
        <v>2231</v>
      </c>
      <c r="D1915">
        <v>33610831</v>
      </c>
      <c r="E1915">
        <v>11.4</v>
      </c>
      <c r="F1915">
        <v>7</v>
      </c>
    </row>
    <row r="1916" spans="1:6" x14ac:dyDescent="0.3">
      <c r="A1916" t="s">
        <v>3052</v>
      </c>
      <c r="B1916" t="s">
        <v>2433</v>
      </c>
      <c r="C1916" t="s">
        <v>2662</v>
      </c>
      <c r="D1916">
        <v>33618850</v>
      </c>
      <c r="E1916">
        <v>7.75</v>
      </c>
      <c r="F1916">
        <v>5.19</v>
      </c>
    </row>
    <row r="1917" spans="1:6" x14ac:dyDescent="0.3">
      <c r="A1917" t="s">
        <v>3053</v>
      </c>
      <c r="B1917" t="s">
        <v>3054</v>
      </c>
      <c r="C1917" t="s">
        <v>2640</v>
      </c>
      <c r="D1917">
        <v>33646343</v>
      </c>
      <c r="E1917">
        <v>6.67</v>
      </c>
      <c r="F1917">
        <v>2.5</v>
      </c>
    </row>
    <row r="1918" spans="1:6" x14ac:dyDescent="0.3">
      <c r="A1918" t="s">
        <v>2972</v>
      </c>
      <c r="B1918" t="s">
        <v>2734</v>
      </c>
      <c r="C1918" t="s">
        <v>2972</v>
      </c>
      <c r="D1918">
        <v>33652048</v>
      </c>
      <c r="E1918">
        <v>12.83</v>
      </c>
      <c r="F1918">
        <v>6.19</v>
      </c>
    </row>
    <row r="1919" spans="1:6" x14ac:dyDescent="0.3">
      <c r="A1919" t="s">
        <v>3055</v>
      </c>
      <c r="B1919" t="s">
        <v>3056</v>
      </c>
      <c r="C1919" t="s">
        <v>1727</v>
      </c>
      <c r="D1919">
        <v>33670767</v>
      </c>
      <c r="E1919">
        <v>25.36</v>
      </c>
      <c r="F1919">
        <v>6.3</v>
      </c>
    </row>
    <row r="1920" spans="1:6" x14ac:dyDescent="0.3">
      <c r="A1920" t="s">
        <v>3057</v>
      </c>
      <c r="B1920" t="s">
        <v>1605</v>
      </c>
      <c r="C1920" t="s">
        <v>3058</v>
      </c>
      <c r="D1920">
        <v>33682092</v>
      </c>
      <c r="E1920">
        <v>9</v>
      </c>
      <c r="F1920">
        <v>3.75</v>
      </c>
    </row>
    <row r="1921" spans="1:6" x14ac:dyDescent="0.3">
      <c r="A1921" t="s">
        <v>3059</v>
      </c>
      <c r="B1921" t="s">
        <v>3060</v>
      </c>
      <c r="C1921" t="s">
        <v>1269</v>
      </c>
      <c r="D1921">
        <v>33694973</v>
      </c>
      <c r="E1921">
        <v>3.85</v>
      </c>
      <c r="F1921">
        <v>6.24</v>
      </c>
    </row>
    <row r="1922" spans="1:6" x14ac:dyDescent="0.3">
      <c r="A1922" t="s">
        <v>3061</v>
      </c>
      <c r="B1922" t="s">
        <v>3051</v>
      </c>
      <c r="C1922" t="s">
        <v>2994</v>
      </c>
      <c r="D1922">
        <v>33716915</v>
      </c>
      <c r="E1922">
        <v>8.1</v>
      </c>
      <c r="F1922">
        <v>4.25</v>
      </c>
    </row>
    <row r="1923" spans="1:6" x14ac:dyDescent="0.3">
      <c r="A1923" t="s">
        <v>3062</v>
      </c>
      <c r="B1923" t="s">
        <v>3063</v>
      </c>
      <c r="C1923" t="s">
        <v>3064</v>
      </c>
      <c r="D1923">
        <v>33727693</v>
      </c>
      <c r="E1923">
        <v>14.93</v>
      </c>
      <c r="F1923">
        <v>4.9000000000000004</v>
      </c>
    </row>
    <row r="1924" spans="1:6" x14ac:dyDescent="0.3">
      <c r="A1924" t="s">
        <v>3065</v>
      </c>
      <c r="B1924" t="s">
        <v>1996</v>
      </c>
      <c r="C1924" t="s">
        <v>3066</v>
      </c>
      <c r="D1924">
        <v>33737577</v>
      </c>
      <c r="E1924">
        <v>2.04</v>
      </c>
      <c r="F1924">
        <v>6.87</v>
      </c>
    </row>
    <row r="1925" spans="1:6" x14ac:dyDescent="0.3">
      <c r="A1925" t="s">
        <v>3067</v>
      </c>
      <c r="B1925" t="s">
        <v>2216</v>
      </c>
      <c r="C1925" t="s">
        <v>2787</v>
      </c>
      <c r="D1925">
        <v>33748382</v>
      </c>
      <c r="E1925">
        <v>23.06</v>
      </c>
      <c r="F1925">
        <v>8.15</v>
      </c>
    </row>
    <row r="1926" spans="1:6" x14ac:dyDescent="0.3">
      <c r="A1926" t="s">
        <v>3068</v>
      </c>
      <c r="B1926" t="s">
        <v>1048</v>
      </c>
      <c r="C1926" t="s">
        <v>2092</v>
      </c>
      <c r="D1926">
        <v>33807439</v>
      </c>
      <c r="E1926">
        <v>13.94</v>
      </c>
      <c r="F1926">
        <v>7.42</v>
      </c>
    </row>
    <row r="1927" spans="1:6" x14ac:dyDescent="0.3">
      <c r="A1927" t="s">
        <v>3069</v>
      </c>
      <c r="B1927" t="s">
        <v>3070</v>
      </c>
      <c r="C1927" t="s">
        <v>3042</v>
      </c>
      <c r="D1927">
        <v>33823663</v>
      </c>
      <c r="E1927">
        <v>15.63</v>
      </c>
      <c r="F1927">
        <v>5.71</v>
      </c>
    </row>
    <row r="1928" spans="1:6" x14ac:dyDescent="0.3">
      <c r="A1928" t="s">
        <v>3071</v>
      </c>
      <c r="B1928" t="s">
        <v>3072</v>
      </c>
      <c r="C1928" t="s">
        <v>3073</v>
      </c>
      <c r="D1928">
        <v>33875184</v>
      </c>
      <c r="E1928">
        <v>17.5</v>
      </c>
      <c r="F1928">
        <v>6</v>
      </c>
    </row>
    <row r="1929" spans="1:6" x14ac:dyDescent="0.3">
      <c r="A1929" t="s">
        <v>3074</v>
      </c>
      <c r="B1929" t="s">
        <v>2843</v>
      </c>
      <c r="C1929" t="s">
        <v>3075</v>
      </c>
      <c r="D1929">
        <v>33919003</v>
      </c>
      <c r="E1929">
        <v>5.52</v>
      </c>
      <c r="F1929">
        <v>5.83</v>
      </c>
    </row>
    <row r="1930" spans="1:6" x14ac:dyDescent="0.3">
      <c r="A1930" t="s">
        <v>3076</v>
      </c>
      <c r="B1930" t="s">
        <v>2583</v>
      </c>
      <c r="C1930" t="s">
        <v>2868</v>
      </c>
      <c r="D1930">
        <v>33942408</v>
      </c>
      <c r="E1930">
        <v>9</v>
      </c>
      <c r="F1930">
        <v>7.93</v>
      </c>
    </row>
    <row r="1931" spans="1:6" x14ac:dyDescent="0.3">
      <c r="A1931" t="s">
        <v>3077</v>
      </c>
      <c r="B1931" t="s">
        <v>325</v>
      </c>
      <c r="C1931" t="s">
        <v>2660</v>
      </c>
      <c r="D1931">
        <v>33983930</v>
      </c>
      <c r="E1931">
        <v>28.5</v>
      </c>
      <c r="F1931">
        <v>6.75</v>
      </c>
    </row>
    <row r="1932" spans="1:6" x14ac:dyDescent="0.3">
      <c r="A1932" t="s">
        <v>3078</v>
      </c>
      <c r="B1932" t="s">
        <v>2342</v>
      </c>
      <c r="C1932" t="s">
        <v>1375</v>
      </c>
      <c r="D1932">
        <v>33984978</v>
      </c>
      <c r="E1932">
        <v>12.2</v>
      </c>
      <c r="F1932">
        <v>6.09</v>
      </c>
    </row>
    <row r="1933" spans="1:6" x14ac:dyDescent="0.3">
      <c r="A1933" t="s">
        <v>3079</v>
      </c>
      <c r="B1933" t="s">
        <v>1962</v>
      </c>
      <c r="C1933" t="s">
        <v>3030</v>
      </c>
      <c r="D1933">
        <v>34017055</v>
      </c>
      <c r="E1933">
        <v>5.17</v>
      </c>
      <c r="F1933">
        <v>6.9</v>
      </c>
    </row>
    <row r="1934" spans="1:6" x14ac:dyDescent="0.3">
      <c r="A1934" t="s">
        <v>3080</v>
      </c>
      <c r="B1934" t="s">
        <v>3081</v>
      </c>
      <c r="C1934" t="s">
        <v>2938</v>
      </c>
      <c r="D1934">
        <v>34047930</v>
      </c>
      <c r="E1934">
        <v>12.6</v>
      </c>
      <c r="F1934">
        <v>4.2</v>
      </c>
    </row>
    <row r="1935" spans="1:6" x14ac:dyDescent="0.3">
      <c r="A1935" t="s">
        <v>3082</v>
      </c>
      <c r="B1935" t="s">
        <v>1824</v>
      </c>
      <c r="C1935" t="s">
        <v>2938</v>
      </c>
      <c r="D1935">
        <v>34057654</v>
      </c>
      <c r="E1935">
        <v>27.13</v>
      </c>
      <c r="F1935">
        <v>7.11</v>
      </c>
    </row>
    <row r="1936" spans="1:6" x14ac:dyDescent="0.3">
      <c r="A1936" t="s">
        <v>990</v>
      </c>
      <c r="B1936" t="s">
        <v>1259</v>
      </c>
      <c r="C1936" t="s">
        <v>991</v>
      </c>
      <c r="D1936">
        <v>34084435</v>
      </c>
      <c r="E1936">
        <v>14.44</v>
      </c>
      <c r="F1936">
        <v>6.86</v>
      </c>
    </row>
    <row r="1937" spans="1:6" x14ac:dyDescent="0.3">
      <c r="A1937" t="s">
        <v>3083</v>
      </c>
      <c r="B1937" t="s">
        <v>3084</v>
      </c>
      <c r="C1937" t="s">
        <v>3085</v>
      </c>
      <c r="D1937">
        <v>34085027</v>
      </c>
      <c r="E1937">
        <v>5.77</v>
      </c>
      <c r="F1937">
        <v>7.7</v>
      </c>
    </row>
    <row r="1938" spans="1:6" x14ac:dyDescent="0.3">
      <c r="A1938" t="s">
        <v>3086</v>
      </c>
      <c r="B1938" t="s">
        <v>1259</v>
      </c>
      <c r="C1938" t="s">
        <v>2810</v>
      </c>
      <c r="D1938">
        <v>34096481</v>
      </c>
      <c r="E1938">
        <v>8.15</v>
      </c>
      <c r="F1938">
        <v>4.83</v>
      </c>
    </row>
    <row r="1939" spans="1:6" x14ac:dyDescent="0.3">
      <c r="A1939" t="s">
        <v>3087</v>
      </c>
      <c r="B1939" t="s">
        <v>3088</v>
      </c>
      <c r="C1939" t="s">
        <v>3030</v>
      </c>
      <c r="D1939">
        <v>34122149</v>
      </c>
      <c r="E1939">
        <v>5.75</v>
      </c>
      <c r="F1939">
        <v>3.29</v>
      </c>
    </row>
    <row r="1940" spans="1:6" x14ac:dyDescent="0.3">
      <c r="A1940" t="s">
        <v>3089</v>
      </c>
      <c r="B1940" t="s">
        <v>3090</v>
      </c>
      <c r="C1940" t="s">
        <v>2878</v>
      </c>
      <c r="D1940">
        <v>34138415</v>
      </c>
      <c r="E1940">
        <v>8.8800000000000008</v>
      </c>
      <c r="F1940">
        <v>4.5</v>
      </c>
    </row>
    <row r="1941" spans="1:6" x14ac:dyDescent="0.3">
      <c r="A1941" t="s">
        <v>3091</v>
      </c>
      <c r="B1941" t="s">
        <v>2776</v>
      </c>
      <c r="C1941" t="s">
        <v>3092</v>
      </c>
      <c r="D1941">
        <v>34141421</v>
      </c>
      <c r="E1941">
        <v>13.67</v>
      </c>
      <c r="F1941">
        <v>7</v>
      </c>
    </row>
    <row r="1942" spans="1:6" x14ac:dyDescent="0.3">
      <c r="A1942" t="s">
        <v>3093</v>
      </c>
      <c r="B1942" t="s">
        <v>1996</v>
      </c>
      <c r="C1942" t="s">
        <v>2662</v>
      </c>
      <c r="D1942">
        <v>34185865</v>
      </c>
      <c r="E1942">
        <v>2.12</v>
      </c>
      <c r="F1942">
        <v>6.11</v>
      </c>
    </row>
    <row r="1943" spans="1:6" x14ac:dyDescent="0.3">
      <c r="A1943" t="s">
        <v>3094</v>
      </c>
      <c r="B1943" t="s">
        <v>2892</v>
      </c>
      <c r="C1943" t="s">
        <v>1467</v>
      </c>
      <c r="D1943">
        <v>34188710</v>
      </c>
      <c r="E1943">
        <v>16.5</v>
      </c>
      <c r="F1943">
        <v>5.5</v>
      </c>
    </row>
    <row r="1944" spans="1:6" x14ac:dyDescent="0.3">
      <c r="A1944" t="s">
        <v>3095</v>
      </c>
      <c r="B1944" t="s">
        <v>3096</v>
      </c>
      <c r="C1944" t="s">
        <v>1079</v>
      </c>
      <c r="D1944">
        <v>34194279</v>
      </c>
      <c r="E1944">
        <v>16.07</v>
      </c>
      <c r="F1944">
        <v>6.6</v>
      </c>
    </row>
    <row r="1945" spans="1:6" x14ac:dyDescent="0.3">
      <c r="A1945" t="s">
        <v>3097</v>
      </c>
      <c r="B1945" t="s">
        <v>3098</v>
      </c>
      <c r="C1945" t="s">
        <v>2834</v>
      </c>
      <c r="D1945">
        <v>34208442</v>
      </c>
      <c r="E1945">
        <v>12.61</v>
      </c>
      <c r="F1945">
        <v>5.43</v>
      </c>
    </row>
    <row r="1946" spans="1:6" x14ac:dyDescent="0.3">
      <c r="A1946" t="s">
        <v>3099</v>
      </c>
      <c r="B1946" t="s">
        <v>1259</v>
      </c>
      <c r="C1946" t="s">
        <v>3100</v>
      </c>
      <c r="D1946">
        <v>34210481</v>
      </c>
      <c r="E1946">
        <v>7.2</v>
      </c>
      <c r="F1946">
        <v>6.18</v>
      </c>
    </row>
    <row r="1947" spans="1:6" x14ac:dyDescent="0.3">
      <c r="A1947" t="s">
        <v>1971</v>
      </c>
      <c r="B1947" t="s">
        <v>2559</v>
      </c>
      <c r="C1947" t="s">
        <v>1972</v>
      </c>
      <c r="D1947">
        <v>34211041</v>
      </c>
      <c r="E1947">
        <v>10.119999999999999</v>
      </c>
      <c r="F1947">
        <v>5.47</v>
      </c>
    </row>
    <row r="1948" spans="1:6" x14ac:dyDescent="0.3">
      <c r="A1948" t="s">
        <v>3101</v>
      </c>
      <c r="B1948" t="s">
        <v>3102</v>
      </c>
      <c r="C1948" t="s">
        <v>1062</v>
      </c>
      <c r="D1948">
        <v>34227274</v>
      </c>
      <c r="E1948">
        <v>7.2</v>
      </c>
      <c r="F1948">
        <v>8</v>
      </c>
    </row>
    <row r="1949" spans="1:6" x14ac:dyDescent="0.3">
      <c r="A1949" t="s">
        <v>3103</v>
      </c>
      <c r="B1949" t="s">
        <v>2457</v>
      </c>
      <c r="C1949" t="s">
        <v>3104</v>
      </c>
      <c r="D1949">
        <v>34228460</v>
      </c>
      <c r="E1949">
        <v>9.4499999999999993</v>
      </c>
      <c r="F1949">
        <v>7.8</v>
      </c>
    </row>
    <row r="1950" spans="1:6" x14ac:dyDescent="0.3">
      <c r="A1950" t="s">
        <v>3105</v>
      </c>
      <c r="B1950" t="s">
        <v>3106</v>
      </c>
      <c r="C1950" t="s">
        <v>3107</v>
      </c>
      <c r="D1950">
        <v>34261959</v>
      </c>
      <c r="E1950">
        <v>12.38</v>
      </c>
      <c r="F1950">
        <v>6.79</v>
      </c>
    </row>
    <row r="1951" spans="1:6" x14ac:dyDescent="0.3">
      <c r="A1951" t="s">
        <v>3108</v>
      </c>
      <c r="B1951" t="s">
        <v>3109</v>
      </c>
      <c r="C1951" t="s">
        <v>3110</v>
      </c>
      <c r="D1951">
        <v>34275766</v>
      </c>
      <c r="E1951">
        <v>5.69</v>
      </c>
      <c r="F1951">
        <v>3.86</v>
      </c>
    </row>
    <row r="1952" spans="1:6" x14ac:dyDescent="0.3">
      <c r="A1952" t="s">
        <v>3111</v>
      </c>
      <c r="B1952" t="s">
        <v>2199</v>
      </c>
      <c r="C1952" t="s">
        <v>3112</v>
      </c>
      <c r="D1952">
        <v>34288763</v>
      </c>
      <c r="E1952">
        <v>14</v>
      </c>
      <c r="F1952">
        <v>4.75</v>
      </c>
    </row>
    <row r="1953" spans="1:6" x14ac:dyDescent="0.3">
      <c r="A1953" t="s">
        <v>3113</v>
      </c>
      <c r="B1953" t="s">
        <v>3114</v>
      </c>
      <c r="C1953" t="s">
        <v>3030</v>
      </c>
      <c r="D1953">
        <v>34292957</v>
      </c>
      <c r="E1953">
        <v>5.6</v>
      </c>
      <c r="F1953">
        <v>4</v>
      </c>
    </row>
    <row r="1954" spans="1:6" x14ac:dyDescent="0.3">
      <c r="A1954" t="s">
        <v>3115</v>
      </c>
      <c r="B1954" t="s">
        <v>2565</v>
      </c>
      <c r="C1954" t="s">
        <v>3116</v>
      </c>
      <c r="D1954">
        <v>34318505</v>
      </c>
      <c r="E1954">
        <v>5.34</v>
      </c>
      <c r="F1954">
        <v>6.5</v>
      </c>
    </row>
    <row r="1955" spans="1:6" x14ac:dyDescent="0.3">
      <c r="A1955" t="s">
        <v>3117</v>
      </c>
      <c r="B1955" t="s">
        <v>2596</v>
      </c>
      <c r="C1955" t="s">
        <v>3118</v>
      </c>
      <c r="D1955">
        <v>34330374</v>
      </c>
      <c r="E1955">
        <v>4.87</v>
      </c>
      <c r="F1955">
        <v>6.54</v>
      </c>
    </row>
    <row r="1956" spans="1:6" x14ac:dyDescent="0.3">
      <c r="A1956" t="s">
        <v>3119</v>
      </c>
      <c r="B1956" t="s">
        <v>3120</v>
      </c>
      <c r="C1956" t="s">
        <v>2810</v>
      </c>
      <c r="D1956">
        <v>34330526</v>
      </c>
      <c r="E1956">
        <v>8.93</v>
      </c>
      <c r="F1956">
        <v>5.58</v>
      </c>
    </row>
    <row r="1957" spans="1:6" x14ac:dyDescent="0.3">
      <c r="A1957" t="s">
        <v>3121</v>
      </c>
      <c r="B1957" t="s">
        <v>3122</v>
      </c>
      <c r="C1957" t="s">
        <v>3123</v>
      </c>
      <c r="D1957">
        <v>34330608</v>
      </c>
      <c r="E1957">
        <v>11.5</v>
      </c>
      <c r="F1957">
        <v>6.2</v>
      </c>
    </row>
    <row r="1958" spans="1:6" x14ac:dyDescent="0.3">
      <c r="A1958" t="s">
        <v>3124</v>
      </c>
      <c r="B1958" t="s">
        <v>3125</v>
      </c>
      <c r="C1958" t="s">
        <v>3126</v>
      </c>
      <c r="D1958">
        <v>34347784</v>
      </c>
      <c r="E1958">
        <v>11.09</v>
      </c>
      <c r="F1958">
        <v>6.95</v>
      </c>
    </row>
    <row r="1959" spans="1:6" x14ac:dyDescent="0.3">
      <c r="A1959" t="s">
        <v>3127</v>
      </c>
      <c r="B1959" t="s">
        <v>3128</v>
      </c>
      <c r="C1959" t="s">
        <v>2456</v>
      </c>
      <c r="D1959">
        <v>34359386</v>
      </c>
      <c r="E1959">
        <v>3.75</v>
      </c>
      <c r="F1959">
        <v>6.5</v>
      </c>
    </row>
    <row r="1960" spans="1:6" x14ac:dyDescent="0.3">
      <c r="A1960" t="s">
        <v>3129</v>
      </c>
      <c r="B1960" t="s">
        <v>1758</v>
      </c>
      <c r="C1960" t="s">
        <v>3130</v>
      </c>
      <c r="D1960">
        <v>34379100</v>
      </c>
      <c r="E1960">
        <v>21.76</v>
      </c>
      <c r="F1960">
        <v>5.43</v>
      </c>
    </row>
    <row r="1961" spans="1:6" x14ac:dyDescent="0.3">
      <c r="A1961" t="s">
        <v>3131</v>
      </c>
      <c r="B1961" t="s">
        <v>3132</v>
      </c>
      <c r="C1961" t="s">
        <v>2549</v>
      </c>
      <c r="D1961">
        <v>34386347</v>
      </c>
      <c r="E1961">
        <v>18.62</v>
      </c>
      <c r="F1961">
        <v>6.16</v>
      </c>
    </row>
    <row r="1962" spans="1:6" x14ac:dyDescent="0.3">
      <c r="A1962" t="s">
        <v>3133</v>
      </c>
      <c r="B1962" t="s">
        <v>1996</v>
      </c>
      <c r="C1962" t="s">
        <v>3134</v>
      </c>
      <c r="D1962">
        <v>34399199</v>
      </c>
      <c r="E1962">
        <v>3.74</v>
      </c>
      <c r="F1962">
        <v>6</v>
      </c>
    </row>
    <row r="1963" spans="1:6" x14ac:dyDescent="0.3">
      <c r="A1963" t="s">
        <v>3135</v>
      </c>
      <c r="B1963" t="s">
        <v>2843</v>
      </c>
      <c r="C1963" t="s">
        <v>3136</v>
      </c>
      <c r="D1963">
        <v>34406145</v>
      </c>
      <c r="E1963">
        <v>8</v>
      </c>
      <c r="F1963">
        <v>5.67</v>
      </c>
    </row>
    <row r="1964" spans="1:6" x14ac:dyDescent="0.3">
      <c r="A1964" t="s">
        <v>3137</v>
      </c>
      <c r="B1964" t="s">
        <v>2659</v>
      </c>
      <c r="C1964" t="s">
        <v>2507</v>
      </c>
      <c r="D1964">
        <v>34413420</v>
      </c>
      <c r="E1964">
        <v>5.83</v>
      </c>
      <c r="F1964">
        <v>6.2</v>
      </c>
    </row>
    <row r="1965" spans="1:6" x14ac:dyDescent="0.3">
      <c r="A1965" t="s">
        <v>475</v>
      </c>
      <c r="B1965" t="s">
        <v>3084</v>
      </c>
      <c r="C1965" t="s">
        <v>2623</v>
      </c>
      <c r="D1965">
        <v>34451389</v>
      </c>
      <c r="E1965">
        <v>7.22</v>
      </c>
      <c r="F1965">
        <v>4.57</v>
      </c>
    </row>
    <row r="1966" spans="1:6" x14ac:dyDescent="0.3">
      <c r="A1966" t="s">
        <v>3138</v>
      </c>
      <c r="B1966" t="s">
        <v>2960</v>
      </c>
      <c r="C1966" t="s">
        <v>3139</v>
      </c>
      <c r="D1966">
        <v>34457360</v>
      </c>
      <c r="E1966">
        <v>7.77</v>
      </c>
      <c r="F1966">
        <v>7.89</v>
      </c>
    </row>
    <row r="1967" spans="1:6" x14ac:dyDescent="0.3">
      <c r="A1967" t="s">
        <v>3140</v>
      </c>
      <c r="B1967" t="s">
        <v>1415</v>
      </c>
      <c r="C1967" t="s">
        <v>832</v>
      </c>
      <c r="D1967">
        <v>34489220</v>
      </c>
      <c r="E1967">
        <v>28</v>
      </c>
      <c r="F1967">
        <v>0</v>
      </c>
    </row>
    <row r="1968" spans="1:6" x14ac:dyDescent="0.3">
      <c r="A1968" t="s">
        <v>3141</v>
      </c>
      <c r="B1968" t="s">
        <v>3142</v>
      </c>
      <c r="C1968" t="s">
        <v>2948</v>
      </c>
      <c r="D1968">
        <v>34492530</v>
      </c>
      <c r="E1968">
        <v>3.3</v>
      </c>
      <c r="F1968">
        <v>6.31</v>
      </c>
    </row>
    <row r="1969" spans="1:6" x14ac:dyDescent="0.3">
      <c r="A1969" t="s">
        <v>3143</v>
      </c>
      <c r="B1969" t="s">
        <v>3144</v>
      </c>
      <c r="C1969" t="s">
        <v>2711</v>
      </c>
      <c r="D1969">
        <v>34536134</v>
      </c>
      <c r="E1969">
        <v>14.82</v>
      </c>
      <c r="F1969">
        <v>7.22</v>
      </c>
    </row>
    <row r="1970" spans="1:6" x14ac:dyDescent="0.3">
      <c r="A1970" t="s">
        <v>3145</v>
      </c>
      <c r="B1970" t="s">
        <v>985</v>
      </c>
      <c r="C1970" t="s">
        <v>2254</v>
      </c>
      <c r="D1970">
        <v>34549603</v>
      </c>
      <c r="E1970">
        <v>11</v>
      </c>
      <c r="F1970">
        <v>8.8000000000000007</v>
      </c>
    </row>
    <row r="1971" spans="1:6" x14ac:dyDescent="0.3">
      <c r="A1971" t="s">
        <v>3146</v>
      </c>
      <c r="B1971" t="s">
        <v>1691</v>
      </c>
      <c r="C1971" t="s">
        <v>3147</v>
      </c>
      <c r="D1971">
        <v>34554962</v>
      </c>
      <c r="E1971">
        <v>6</v>
      </c>
      <c r="F1971">
        <v>5</v>
      </c>
    </row>
    <row r="1972" spans="1:6" x14ac:dyDescent="0.3">
      <c r="A1972" t="s">
        <v>3148</v>
      </c>
      <c r="B1972" t="s">
        <v>2433</v>
      </c>
      <c r="C1972" t="s">
        <v>3149</v>
      </c>
      <c r="D1972">
        <v>34569397</v>
      </c>
      <c r="E1972">
        <v>8.33</v>
      </c>
      <c r="F1972">
        <v>6.35</v>
      </c>
    </row>
    <row r="1973" spans="1:6" x14ac:dyDescent="0.3">
      <c r="A1973" t="s">
        <v>3150</v>
      </c>
      <c r="B1973" t="s">
        <v>2614</v>
      </c>
      <c r="C1973" t="s">
        <v>3151</v>
      </c>
      <c r="D1973">
        <v>34585270</v>
      </c>
      <c r="E1973">
        <v>9.2799999999999994</v>
      </c>
      <c r="F1973">
        <v>6.12</v>
      </c>
    </row>
    <row r="1974" spans="1:6" x14ac:dyDescent="0.3">
      <c r="A1974" t="s">
        <v>3152</v>
      </c>
      <c r="B1974" t="s">
        <v>277</v>
      </c>
      <c r="C1974" t="s">
        <v>3153</v>
      </c>
      <c r="D1974">
        <v>34601521</v>
      </c>
      <c r="E1974">
        <v>15.81</v>
      </c>
      <c r="F1974">
        <v>6.82</v>
      </c>
    </row>
    <row r="1975" spans="1:6" x14ac:dyDescent="0.3">
      <c r="A1975" t="s">
        <v>3154</v>
      </c>
      <c r="B1975" t="s">
        <v>1576</v>
      </c>
      <c r="C1975" t="s">
        <v>3155</v>
      </c>
      <c r="D1975">
        <v>34607585</v>
      </c>
      <c r="E1975">
        <v>2.0299999999999998</v>
      </c>
      <c r="F1975">
        <v>6.75</v>
      </c>
    </row>
    <row r="1976" spans="1:6" x14ac:dyDescent="0.3">
      <c r="A1976" t="s">
        <v>3156</v>
      </c>
      <c r="B1976" t="s">
        <v>3157</v>
      </c>
      <c r="C1976" t="s">
        <v>1059</v>
      </c>
      <c r="D1976">
        <v>34616261</v>
      </c>
      <c r="E1976">
        <v>4.18</v>
      </c>
      <c r="F1976">
        <v>4.79</v>
      </c>
    </row>
    <row r="1977" spans="1:6" x14ac:dyDescent="0.3">
      <c r="A1977" t="s">
        <v>3158</v>
      </c>
      <c r="B1977" t="s">
        <v>3159</v>
      </c>
      <c r="C1977" t="s">
        <v>3160</v>
      </c>
      <c r="D1977">
        <v>34676526</v>
      </c>
      <c r="E1977">
        <v>8.6</v>
      </c>
      <c r="F1977">
        <v>6.25</v>
      </c>
    </row>
    <row r="1978" spans="1:6" x14ac:dyDescent="0.3">
      <c r="A1978" t="s">
        <v>3161</v>
      </c>
      <c r="B1978" t="s">
        <v>3162</v>
      </c>
      <c r="C1978" t="s">
        <v>3023</v>
      </c>
      <c r="D1978">
        <v>34702285</v>
      </c>
      <c r="E1978">
        <v>8.5</v>
      </c>
      <c r="F1978">
        <v>7.25</v>
      </c>
    </row>
    <row r="1979" spans="1:6" x14ac:dyDescent="0.3">
      <c r="A1979" t="s">
        <v>2988</v>
      </c>
      <c r="B1979" t="s">
        <v>3163</v>
      </c>
      <c r="C1979" t="s">
        <v>3164</v>
      </c>
      <c r="D1979">
        <v>34710081</v>
      </c>
      <c r="E1979">
        <v>12.25</v>
      </c>
      <c r="F1979">
        <v>7</v>
      </c>
    </row>
    <row r="1980" spans="1:6" x14ac:dyDescent="0.3">
      <c r="A1980" t="s">
        <v>3165</v>
      </c>
      <c r="B1980" t="s">
        <v>3166</v>
      </c>
      <c r="C1980" t="s">
        <v>3100</v>
      </c>
      <c r="D1980">
        <v>34712448</v>
      </c>
      <c r="E1980">
        <v>6</v>
      </c>
      <c r="F1980">
        <v>3</v>
      </c>
    </row>
    <row r="1981" spans="1:6" x14ac:dyDescent="0.3">
      <c r="A1981" t="s">
        <v>3167</v>
      </c>
      <c r="B1981" t="s">
        <v>1605</v>
      </c>
      <c r="C1981" t="s">
        <v>3030</v>
      </c>
      <c r="D1981">
        <v>34715086</v>
      </c>
      <c r="E1981">
        <v>9.67</v>
      </c>
      <c r="F1981">
        <v>7.67</v>
      </c>
    </row>
    <row r="1982" spans="1:6" x14ac:dyDescent="0.3">
      <c r="A1982" t="s">
        <v>3168</v>
      </c>
      <c r="B1982" t="s">
        <v>3169</v>
      </c>
      <c r="C1982" t="s">
        <v>2942</v>
      </c>
      <c r="D1982">
        <v>34717331</v>
      </c>
      <c r="E1982">
        <v>7.18</v>
      </c>
      <c r="F1982">
        <v>4.33</v>
      </c>
    </row>
    <row r="1983" spans="1:6" x14ac:dyDescent="0.3">
      <c r="A1983" t="s">
        <v>3170</v>
      </c>
      <c r="B1983" t="s">
        <v>1276</v>
      </c>
      <c r="C1983" t="s">
        <v>3171</v>
      </c>
      <c r="D1983">
        <v>34778278</v>
      </c>
      <c r="E1983">
        <v>6.11</v>
      </c>
      <c r="F1983">
        <v>6.86</v>
      </c>
    </row>
    <row r="1984" spans="1:6" x14ac:dyDescent="0.3">
      <c r="A1984" t="s">
        <v>3172</v>
      </c>
      <c r="B1984" t="s">
        <v>1385</v>
      </c>
      <c r="C1984" t="s">
        <v>3173</v>
      </c>
      <c r="D1984">
        <v>34778479</v>
      </c>
      <c r="E1984">
        <v>2.74</v>
      </c>
      <c r="F1984">
        <v>6.1</v>
      </c>
    </row>
    <row r="1985" spans="1:6" x14ac:dyDescent="0.3">
      <c r="A1985" t="s">
        <v>3174</v>
      </c>
      <c r="B1985" t="s">
        <v>2614</v>
      </c>
      <c r="C1985" t="s">
        <v>3175</v>
      </c>
      <c r="D1985">
        <v>34799345</v>
      </c>
      <c r="E1985">
        <v>7.87</v>
      </c>
      <c r="F1985">
        <v>6.32</v>
      </c>
    </row>
    <row r="1986" spans="1:6" x14ac:dyDescent="0.3">
      <c r="A1986" t="s">
        <v>3176</v>
      </c>
      <c r="B1986" t="s">
        <v>2053</v>
      </c>
      <c r="C1986" t="s">
        <v>2965</v>
      </c>
      <c r="D1986">
        <v>34803081</v>
      </c>
      <c r="E1986">
        <v>17.100000000000001</v>
      </c>
      <c r="F1986">
        <v>6.75</v>
      </c>
    </row>
    <row r="1987" spans="1:6" x14ac:dyDescent="0.3">
      <c r="A1987" t="s">
        <v>3177</v>
      </c>
      <c r="B1987" t="s">
        <v>3178</v>
      </c>
      <c r="C1987" t="s">
        <v>1062</v>
      </c>
      <c r="D1987">
        <v>34874590</v>
      </c>
      <c r="E1987">
        <v>15.18</v>
      </c>
      <c r="F1987">
        <v>7.09</v>
      </c>
    </row>
    <row r="1988" spans="1:6" x14ac:dyDescent="0.3">
      <c r="A1988" t="s">
        <v>3179</v>
      </c>
      <c r="B1988" t="s">
        <v>1147</v>
      </c>
      <c r="C1988" t="s">
        <v>3110</v>
      </c>
      <c r="D1988">
        <v>34907693</v>
      </c>
      <c r="E1988">
        <v>6.13</v>
      </c>
      <c r="F1988">
        <v>7.55</v>
      </c>
    </row>
    <row r="1989" spans="1:6" x14ac:dyDescent="0.3">
      <c r="A1989" t="s">
        <v>3180</v>
      </c>
      <c r="B1989" t="s">
        <v>3181</v>
      </c>
      <c r="C1989" t="s">
        <v>3182</v>
      </c>
      <c r="D1989">
        <v>34912147</v>
      </c>
      <c r="E1989">
        <v>4.8600000000000003</v>
      </c>
      <c r="F1989">
        <v>5.54</v>
      </c>
    </row>
    <row r="1990" spans="1:6" x14ac:dyDescent="0.3">
      <c r="A1990" t="s">
        <v>3183</v>
      </c>
      <c r="B1990" t="s">
        <v>2609</v>
      </c>
      <c r="C1990" t="s">
        <v>3184</v>
      </c>
      <c r="D1990">
        <v>34918883</v>
      </c>
      <c r="E1990">
        <v>15.15</v>
      </c>
      <c r="F1990">
        <v>6.63</v>
      </c>
    </row>
    <row r="1991" spans="1:6" x14ac:dyDescent="0.3">
      <c r="A1991" t="s">
        <v>3185</v>
      </c>
      <c r="B1991" t="s">
        <v>3186</v>
      </c>
      <c r="C1991" t="s">
        <v>3187</v>
      </c>
      <c r="D1991">
        <v>34923683</v>
      </c>
      <c r="E1991">
        <v>6.5</v>
      </c>
      <c r="F1991">
        <v>6</v>
      </c>
    </row>
    <row r="1992" spans="1:6" x14ac:dyDescent="0.3">
      <c r="A1992" t="s">
        <v>3188</v>
      </c>
      <c r="B1992" t="s">
        <v>3189</v>
      </c>
      <c r="C1992" t="s">
        <v>3190</v>
      </c>
      <c r="D1992">
        <v>34932302</v>
      </c>
      <c r="E1992">
        <v>7.92</v>
      </c>
      <c r="F1992">
        <v>5.69</v>
      </c>
    </row>
    <row r="1993" spans="1:6" x14ac:dyDescent="0.3">
      <c r="A1993" t="s">
        <v>3191</v>
      </c>
      <c r="B1993" t="s">
        <v>2433</v>
      </c>
      <c r="C1993" t="s">
        <v>2038</v>
      </c>
      <c r="D1993">
        <v>34988917</v>
      </c>
      <c r="E1993">
        <v>15.09</v>
      </c>
      <c r="F1993">
        <v>6.25</v>
      </c>
    </row>
    <row r="1994" spans="1:6" x14ac:dyDescent="0.3">
      <c r="A1994" t="s">
        <v>3192</v>
      </c>
      <c r="B1994" t="s">
        <v>3012</v>
      </c>
      <c r="C1994" t="s">
        <v>3193</v>
      </c>
      <c r="D1994">
        <v>34996293</v>
      </c>
      <c r="E1994">
        <v>9</v>
      </c>
      <c r="F1994">
        <v>4.33</v>
      </c>
    </row>
    <row r="1995" spans="1:6" x14ac:dyDescent="0.3">
      <c r="A1995" t="s">
        <v>3194</v>
      </c>
      <c r="B1995" t="s">
        <v>1533</v>
      </c>
      <c r="C1995" t="s">
        <v>813</v>
      </c>
      <c r="D1995">
        <v>35011787</v>
      </c>
      <c r="E1995">
        <v>5.03</v>
      </c>
      <c r="F1995">
        <v>6.18</v>
      </c>
    </row>
    <row r="1996" spans="1:6" x14ac:dyDescent="0.3">
      <c r="A1996" t="s">
        <v>3195</v>
      </c>
      <c r="B1996" t="s">
        <v>1230</v>
      </c>
      <c r="C1996" t="s">
        <v>3196</v>
      </c>
      <c r="D1996">
        <v>35012863</v>
      </c>
      <c r="E1996">
        <v>7.38</v>
      </c>
      <c r="F1996">
        <v>5.85</v>
      </c>
    </row>
    <row r="1997" spans="1:6" x14ac:dyDescent="0.3">
      <c r="A1997" t="s">
        <v>3197</v>
      </c>
      <c r="B1997" t="s">
        <v>1003</v>
      </c>
      <c r="C1997" t="s">
        <v>3198</v>
      </c>
      <c r="D1997">
        <v>35058624</v>
      </c>
      <c r="E1997">
        <v>3.07</v>
      </c>
      <c r="F1997">
        <v>6.33</v>
      </c>
    </row>
    <row r="1998" spans="1:6" x14ac:dyDescent="0.3">
      <c r="A1998" t="s">
        <v>3199</v>
      </c>
      <c r="B1998" t="s">
        <v>3200</v>
      </c>
      <c r="C1998" t="s">
        <v>3201</v>
      </c>
      <c r="D1998">
        <v>35100657</v>
      </c>
      <c r="E1998">
        <v>5.89</v>
      </c>
      <c r="F1998">
        <v>6.33</v>
      </c>
    </row>
    <row r="1999" spans="1:6" x14ac:dyDescent="0.3">
      <c r="A1999" t="s">
        <v>3202</v>
      </c>
      <c r="B1999" t="s">
        <v>3203</v>
      </c>
      <c r="C1999" t="s">
        <v>3204</v>
      </c>
      <c r="D1999">
        <v>35106742</v>
      </c>
      <c r="E1999">
        <v>18.170000000000002</v>
      </c>
      <c r="F1999">
        <v>6.6</v>
      </c>
    </row>
    <row r="2000" spans="1:6" x14ac:dyDescent="0.3">
      <c r="A2000" t="s">
        <v>3205</v>
      </c>
      <c r="B2000" t="s">
        <v>3206</v>
      </c>
      <c r="C2000" t="s">
        <v>8</v>
      </c>
      <c r="D2000">
        <v>35112531</v>
      </c>
      <c r="E2000">
        <v>23.5</v>
      </c>
      <c r="F2000">
        <v>5.67</v>
      </c>
    </row>
    <row r="2001" spans="1:6" x14ac:dyDescent="0.3">
      <c r="A2001" t="s">
        <v>3207</v>
      </c>
      <c r="B2001" t="s">
        <v>1394</v>
      </c>
      <c r="C2001" t="s">
        <v>3208</v>
      </c>
      <c r="D2001">
        <v>35119291</v>
      </c>
      <c r="E2001">
        <v>8.01</v>
      </c>
      <c r="F2001">
        <v>6.2</v>
      </c>
    </row>
    <row r="2002" spans="1:6" x14ac:dyDescent="0.3">
      <c r="A2002" t="s">
        <v>3209</v>
      </c>
      <c r="B2002" t="s">
        <v>3210</v>
      </c>
      <c r="C2002" t="s">
        <v>1954</v>
      </c>
      <c r="D2002">
        <v>35126825</v>
      </c>
      <c r="E2002">
        <v>14.68</v>
      </c>
      <c r="F2002">
        <v>5.19</v>
      </c>
    </row>
    <row r="2003" spans="1:6" x14ac:dyDescent="0.3">
      <c r="A2003" t="s">
        <v>3211</v>
      </c>
      <c r="B2003" t="s">
        <v>3212</v>
      </c>
      <c r="C2003" t="s">
        <v>1001</v>
      </c>
      <c r="D2003">
        <v>35150663</v>
      </c>
      <c r="E2003">
        <v>8.25</v>
      </c>
      <c r="F2003">
        <v>7</v>
      </c>
    </row>
    <row r="2004" spans="1:6" x14ac:dyDescent="0.3">
      <c r="A2004" t="s">
        <v>3213</v>
      </c>
      <c r="B2004" t="s">
        <v>2843</v>
      </c>
      <c r="C2004" t="s">
        <v>898</v>
      </c>
      <c r="D2004">
        <v>35155397</v>
      </c>
      <c r="E2004">
        <v>6</v>
      </c>
      <c r="F2004">
        <v>5.4</v>
      </c>
    </row>
    <row r="2005" spans="1:6" x14ac:dyDescent="0.3">
      <c r="A2005" t="s">
        <v>3214</v>
      </c>
      <c r="B2005" t="s">
        <v>3215</v>
      </c>
      <c r="C2005" t="s">
        <v>977</v>
      </c>
      <c r="D2005">
        <v>35165235</v>
      </c>
      <c r="E2005">
        <v>5.38</v>
      </c>
      <c r="F2005">
        <v>5.86</v>
      </c>
    </row>
    <row r="2006" spans="1:6" x14ac:dyDescent="0.3">
      <c r="A2006" t="s">
        <v>3216</v>
      </c>
      <c r="B2006" t="s">
        <v>3217</v>
      </c>
      <c r="C2006" t="s">
        <v>3218</v>
      </c>
      <c r="D2006">
        <v>35167945</v>
      </c>
      <c r="E2006">
        <v>2.8</v>
      </c>
      <c r="F2006">
        <v>5.71</v>
      </c>
    </row>
    <row r="2007" spans="1:6" x14ac:dyDescent="0.3">
      <c r="A2007" t="s">
        <v>3219</v>
      </c>
      <c r="B2007" t="s">
        <v>325</v>
      </c>
      <c r="C2007" t="s">
        <v>3220</v>
      </c>
      <c r="D2007">
        <v>35188305</v>
      </c>
      <c r="E2007">
        <v>12.5</v>
      </c>
      <c r="F2007">
        <v>8.5</v>
      </c>
    </row>
    <row r="2008" spans="1:6" x14ac:dyDescent="0.3">
      <c r="A2008" t="s">
        <v>3221</v>
      </c>
      <c r="B2008" t="s">
        <v>3222</v>
      </c>
      <c r="C2008" t="s">
        <v>3223</v>
      </c>
      <c r="D2008">
        <v>35197358</v>
      </c>
      <c r="E2008">
        <v>7.33</v>
      </c>
      <c r="F2008">
        <v>7</v>
      </c>
    </row>
    <row r="2009" spans="1:6" x14ac:dyDescent="0.3">
      <c r="A2009" t="s">
        <v>3224</v>
      </c>
      <c r="B2009" t="s">
        <v>3225</v>
      </c>
      <c r="C2009" t="s">
        <v>2855</v>
      </c>
      <c r="D2009">
        <v>35202538</v>
      </c>
      <c r="E2009">
        <v>4.57</v>
      </c>
      <c r="F2009">
        <v>4.2699999999999996</v>
      </c>
    </row>
    <row r="2010" spans="1:6" x14ac:dyDescent="0.3">
      <c r="A2010" t="s">
        <v>3226</v>
      </c>
      <c r="B2010" t="s">
        <v>3227</v>
      </c>
      <c r="C2010" t="s">
        <v>3228</v>
      </c>
      <c r="D2010">
        <v>35233399</v>
      </c>
      <c r="E2010">
        <v>9.51</v>
      </c>
      <c r="F2010">
        <v>6.18</v>
      </c>
    </row>
    <row r="2011" spans="1:6" x14ac:dyDescent="0.3">
      <c r="A2011" t="s">
        <v>3229</v>
      </c>
      <c r="B2011" t="s">
        <v>3049</v>
      </c>
      <c r="C2011" t="s">
        <v>365</v>
      </c>
      <c r="D2011">
        <v>35244096</v>
      </c>
      <c r="E2011">
        <v>7</v>
      </c>
      <c r="F2011">
        <v>3</v>
      </c>
    </row>
    <row r="2012" spans="1:6" x14ac:dyDescent="0.3">
      <c r="A2012" t="s">
        <v>3230</v>
      </c>
      <c r="B2012" t="s">
        <v>3231</v>
      </c>
      <c r="C2012" t="s">
        <v>1026</v>
      </c>
      <c r="D2012">
        <v>35251959</v>
      </c>
      <c r="E2012">
        <v>4.5999999999999996</v>
      </c>
      <c r="F2012">
        <v>4.43</v>
      </c>
    </row>
    <row r="2013" spans="1:6" x14ac:dyDescent="0.3">
      <c r="A2013" t="s">
        <v>3232</v>
      </c>
      <c r="B2013" t="s">
        <v>3233</v>
      </c>
      <c r="C2013" t="s">
        <v>3234</v>
      </c>
      <c r="D2013">
        <v>35286896</v>
      </c>
      <c r="E2013">
        <v>5.65</v>
      </c>
      <c r="F2013">
        <v>5.5</v>
      </c>
    </row>
    <row r="2014" spans="1:6" x14ac:dyDescent="0.3">
      <c r="A2014" t="s">
        <v>3235</v>
      </c>
      <c r="B2014" t="s">
        <v>2133</v>
      </c>
      <c r="C2014" t="s">
        <v>3236</v>
      </c>
      <c r="D2014">
        <v>35305816</v>
      </c>
      <c r="E2014">
        <v>4.96</v>
      </c>
      <c r="F2014">
        <v>6.65</v>
      </c>
    </row>
    <row r="2015" spans="1:6" x14ac:dyDescent="0.3">
      <c r="A2015" t="s">
        <v>3237</v>
      </c>
      <c r="B2015" t="s">
        <v>3238</v>
      </c>
      <c r="C2015" t="s">
        <v>3030</v>
      </c>
      <c r="D2015">
        <v>35335759</v>
      </c>
      <c r="E2015">
        <v>1.1200000000000001</v>
      </c>
      <c r="F2015">
        <v>6.18</v>
      </c>
    </row>
    <row r="2016" spans="1:6" x14ac:dyDescent="0.3">
      <c r="A2016" t="s">
        <v>3239</v>
      </c>
      <c r="B2016" t="s">
        <v>1477</v>
      </c>
      <c r="C2016" t="s">
        <v>3149</v>
      </c>
      <c r="D2016">
        <v>35378937</v>
      </c>
      <c r="E2016">
        <v>17.23</v>
      </c>
      <c r="F2016">
        <v>6.61</v>
      </c>
    </row>
    <row r="2017" spans="1:6" x14ac:dyDescent="0.3">
      <c r="A2017" t="s">
        <v>3240</v>
      </c>
      <c r="B2017" t="s">
        <v>3241</v>
      </c>
      <c r="C2017" t="s">
        <v>2855</v>
      </c>
      <c r="D2017">
        <v>35382748</v>
      </c>
      <c r="E2017">
        <v>3.84</v>
      </c>
      <c r="F2017">
        <v>5.17</v>
      </c>
    </row>
    <row r="2018" spans="1:6" x14ac:dyDescent="0.3">
      <c r="A2018" t="s">
        <v>3242</v>
      </c>
      <c r="B2018" t="s">
        <v>3243</v>
      </c>
      <c r="C2018" t="s">
        <v>3244</v>
      </c>
      <c r="D2018">
        <v>35412901</v>
      </c>
      <c r="E2018">
        <v>10</v>
      </c>
      <c r="F2018">
        <v>6.4</v>
      </c>
    </row>
    <row r="2019" spans="1:6" x14ac:dyDescent="0.3">
      <c r="A2019" t="s">
        <v>3245</v>
      </c>
      <c r="B2019" t="s">
        <v>2989</v>
      </c>
      <c r="C2019" t="s">
        <v>1430</v>
      </c>
      <c r="D2019">
        <v>35413982</v>
      </c>
      <c r="E2019">
        <v>13.15</v>
      </c>
      <c r="F2019">
        <v>6.2</v>
      </c>
    </row>
    <row r="2020" spans="1:6" x14ac:dyDescent="0.3">
      <c r="A2020" t="s">
        <v>3246</v>
      </c>
      <c r="B2020" t="s">
        <v>2930</v>
      </c>
      <c r="C2020" t="s">
        <v>3247</v>
      </c>
      <c r="D2020">
        <v>35418014</v>
      </c>
      <c r="E2020">
        <v>7.78</v>
      </c>
      <c r="F2020">
        <v>5.88</v>
      </c>
    </row>
    <row r="2021" spans="1:6" x14ac:dyDescent="0.3">
      <c r="A2021" t="s">
        <v>3248</v>
      </c>
      <c r="B2021" t="s">
        <v>3070</v>
      </c>
      <c r="C2021" t="s">
        <v>3201</v>
      </c>
      <c r="D2021">
        <v>35438380</v>
      </c>
      <c r="E2021">
        <v>8</v>
      </c>
      <c r="F2021">
        <v>7.1</v>
      </c>
    </row>
    <row r="2022" spans="1:6" x14ac:dyDescent="0.3">
      <c r="A2022" t="s">
        <v>3249</v>
      </c>
      <c r="B2022" t="s">
        <v>1589</v>
      </c>
      <c r="C2022" t="s">
        <v>3250</v>
      </c>
      <c r="D2022">
        <v>35446873</v>
      </c>
      <c r="E2022">
        <v>13.91</v>
      </c>
      <c r="F2022">
        <v>6.71</v>
      </c>
    </row>
    <row r="2023" spans="1:6" x14ac:dyDescent="0.3">
      <c r="A2023" t="s">
        <v>3251</v>
      </c>
      <c r="B2023" t="s">
        <v>1477</v>
      </c>
      <c r="C2023" t="s">
        <v>2530</v>
      </c>
      <c r="D2023">
        <v>35448603</v>
      </c>
      <c r="E2023">
        <v>24.99</v>
      </c>
      <c r="F2023">
        <v>7.91</v>
      </c>
    </row>
    <row r="2024" spans="1:6" x14ac:dyDescent="0.3">
      <c r="A2024" t="s">
        <v>3252</v>
      </c>
      <c r="B2024" t="s">
        <v>2756</v>
      </c>
      <c r="C2024" t="s">
        <v>3253</v>
      </c>
      <c r="D2024">
        <v>35472709</v>
      </c>
      <c r="E2024">
        <v>4.7699999999999996</v>
      </c>
      <c r="F2024">
        <v>5.62</v>
      </c>
    </row>
    <row r="2025" spans="1:6" x14ac:dyDescent="0.3">
      <c r="A2025" t="s">
        <v>3254</v>
      </c>
      <c r="B2025" t="s">
        <v>3255</v>
      </c>
      <c r="C2025" t="s">
        <v>3042</v>
      </c>
      <c r="D2025">
        <v>35478496</v>
      </c>
      <c r="E2025">
        <v>7.14</v>
      </c>
      <c r="F2025">
        <v>6.33</v>
      </c>
    </row>
    <row r="2026" spans="1:6" x14ac:dyDescent="0.3">
      <c r="A2026" t="s">
        <v>3256</v>
      </c>
      <c r="B2026" t="s">
        <v>2827</v>
      </c>
      <c r="C2026" t="s">
        <v>237</v>
      </c>
      <c r="D2026">
        <v>35514804</v>
      </c>
      <c r="E2026">
        <v>3.2</v>
      </c>
      <c r="F2026">
        <v>5.83</v>
      </c>
    </row>
    <row r="2027" spans="1:6" x14ac:dyDescent="0.3">
      <c r="A2027" t="s">
        <v>3257</v>
      </c>
      <c r="B2027" t="s">
        <v>3258</v>
      </c>
      <c r="C2027" t="s">
        <v>1647</v>
      </c>
      <c r="D2027">
        <v>35575829</v>
      </c>
      <c r="E2027">
        <v>14.38</v>
      </c>
      <c r="F2027">
        <v>7.4</v>
      </c>
    </row>
    <row r="2028" spans="1:6" x14ac:dyDescent="0.3">
      <c r="A2028" t="s">
        <v>3259</v>
      </c>
      <c r="B2028" t="s">
        <v>2423</v>
      </c>
      <c r="C2028" t="s">
        <v>17</v>
      </c>
      <c r="D2028">
        <v>35579890</v>
      </c>
      <c r="E2028">
        <v>23.3</v>
      </c>
      <c r="F2028">
        <v>4.67</v>
      </c>
    </row>
    <row r="2029" spans="1:6" x14ac:dyDescent="0.3">
      <c r="A2029" t="s">
        <v>3260</v>
      </c>
      <c r="B2029" t="s">
        <v>3261</v>
      </c>
      <c r="C2029" t="s">
        <v>3262</v>
      </c>
      <c r="D2029">
        <v>35584104</v>
      </c>
      <c r="E2029">
        <v>9.8000000000000007</v>
      </c>
      <c r="F2029">
        <v>8.25</v>
      </c>
    </row>
    <row r="2030" spans="1:6" x14ac:dyDescent="0.3">
      <c r="A2030" t="s">
        <v>3263</v>
      </c>
      <c r="B2030" t="s">
        <v>2462</v>
      </c>
      <c r="C2030" t="s">
        <v>3264</v>
      </c>
      <c r="D2030">
        <v>35607923</v>
      </c>
      <c r="E2030">
        <v>4.5999999999999996</v>
      </c>
      <c r="F2030">
        <v>5.75</v>
      </c>
    </row>
    <row r="2031" spans="1:6" x14ac:dyDescent="0.3">
      <c r="A2031" t="s">
        <v>3265</v>
      </c>
      <c r="B2031" t="s">
        <v>1227</v>
      </c>
      <c r="C2031" t="s">
        <v>3266</v>
      </c>
      <c r="D2031">
        <v>35610305</v>
      </c>
      <c r="E2031">
        <v>15.7</v>
      </c>
      <c r="F2031">
        <v>7.44</v>
      </c>
    </row>
    <row r="2032" spans="1:6" x14ac:dyDescent="0.3">
      <c r="A2032" t="s">
        <v>3267</v>
      </c>
      <c r="B2032" t="s">
        <v>2253</v>
      </c>
      <c r="C2032">
        <v>1077</v>
      </c>
      <c r="D2032">
        <v>35612203</v>
      </c>
      <c r="E2032">
        <v>19</v>
      </c>
      <c r="F2032">
        <v>0</v>
      </c>
    </row>
    <row r="2033" spans="1:6" x14ac:dyDescent="0.3">
      <c r="A2033" t="s">
        <v>3268</v>
      </c>
      <c r="B2033" t="s">
        <v>1276</v>
      </c>
      <c r="C2033" t="s">
        <v>2383</v>
      </c>
      <c r="D2033">
        <v>35625156</v>
      </c>
      <c r="E2033">
        <v>6</v>
      </c>
      <c r="F2033">
        <v>7.43</v>
      </c>
    </row>
    <row r="2034" spans="1:6" x14ac:dyDescent="0.3">
      <c r="A2034" t="s">
        <v>3269</v>
      </c>
      <c r="B2034" t="s">
        <v>3084</v>
      </c>
      <c r="C2034" t="s">
        <v>2526</v>
      </c>
      <c r="D2034">
        <v>35628576</v>
      </c>
      <c r="E2034">
        <v>2.34</v>
      </c>
      <c r="F2034">
        <v>6.13</v>
      </c>
    </row>
    <row r="2035" spans="1:6" x14ac:dyDescent="0.3">
      <c r="A2035" t="s">
        <v>3270</v>
      </c>
      <c r="B2035" t="s">
        <v>2916</v>
      </c>
      <c r="C2035" t="s">
        <v>3271</v>
      </c>
      <c r="D2035">
        <v>35633225</v>
      </c>
      <c r="E2035">
        <v>10</v>
      </c>
      <c r="F2035">
        <v>7</v>
      </c>
    </row>
    <row r="2036" spans="1:6" x14ac:dyDescent="0.3">
      <c r="A2036" t="s">
        <v>3272</v>
      </c>
      <c r="B2036" t="s">
        <v>2837</v>
      </c>
      <c r="C2036" t="s">
        <v>3110</v>
      </c>
      <c r="D2036">
        <v>35644712</v>
      </c>
      <c r="E2036">
        <v>13.6</v>
      </c>
      <c r="F2036">
        <v>4.8899999999999997</v>
      </c>
    </row>
    <row r="2037" spans="1:6" x14ac:dyDescent="0.3">
      <c r="A2037" t="s">
        <v>3273</v>
      </c>
      <c r="B2037" t="s">
        <v>3274</v>
      </c>
      <c r="C2037" t="s">
        <v>859</v>
      </c>
      <c r="D2037">
        <v>35645234</v>
      </c>
      <c r="E2037">
        <v>16.329999999999998</v>
      </c>
      <c r="F2037">
        <v>4.4400000000000004</v>
      </c>
    </row>
    <row r="2038" spans="1:6" x14ac:dyDescent="0.3">
      <c r="A2038" t="s">
        <v>3275</v>
      </c>
      <c r="B2038" t="s">
        <v>1477</v>
      </c>
      <c r="C2038" t="s">
        <v>2979</v>
      </c>
      <c r="D2038">
        <v>35669648</v>
      </c>
      <c r="E2038">
        <v>6.44</v>
      </c>
      <c r="F2038">
        <v>6.24</v>
      </c>
    </row>
    <row r="2039" spans="1:6" x14ac:dyDescent="0.3">
      <c r="A2039" t="s">
        <v>3276</v>
      </c>
      <c r="B2039" t="s">
        <v>3277</v>
      </c>
      <c r="C2039" t="s">
        <v>3278</v>
      </c>
      <c r="D2039">
        <v>35679680</v>
      </c>
      <c r="E2039">
        <v>6</v>
      </c>
      <c r="F2039">
        <v>1.67</v>
      </c>
    </row>
    <row r="2040" spans="1:6" x14ac:dyDescent="0.3">
      <c r="A2040" t="s">
        <v>3279</v>
      </c>
      <c r="B2040" t="s">
        <v>3280</v>
      </c>
      <c r="C2040" t="s">
        <v>1875</v>
      </c>
      <c r="D2040">
        <v>35680614</v>
      </c>
      <c r="E2040">
        <v>21.95</v>
      </c>
      <c r="F2040">
        <v>5.5</v>
      </c>
    </row>
    <row r="2041" spans="1:6" x14ac:dyDescent="0.3">
      <c r="A2041" t="s">
        <v>3281</v>
      </c>
      <c r="B2041" t="s">
        <v>2614</v>
      </c>
      <c r="C2041" t="s">
        <v>2192</v>
      </c>
      <c r="D2041">
        <v>35738539</v>
      </c>
      <c r="E2041">
        <v>25.67</v>
      </c>
      <c r="F2041">
        <v>3.56</v>
      </c>
    </row>
    <row r="2042" spans="1:6" x14ac:dyDescent="0.3">
      <c r="A2042" t="s">
        <v>3282</v>
      </c>
      <c r="B2042" t="s">
        <v>3283</v>
      </c>
      <c r="C2042" t="s">
        <v>878</v>
      </c>
      <c r="D2042">
        <v>35745468</v>
      </c>
      <c r="E2042">
        <v>9.5</v>
      </c>
      <c r="F2042">
        <v>6.59</v>
      </c>
    </row>
    <row r="2043" spans="1:6" x14ac:dyDescent="0.3">
      <c r="A2043" t="s">
        <v>3284</v>
      </c>
      <c r="B2043" t="s">
        <v>3285</v>
      </c>
      <c r="C2043" t="s">
        <v>3286</v>
      </c>
      <c r="D2043">
        <v>35780783</v>
      </c>
      <c r="E2043">
        <v>16</v>
      </c>
      <c r="F2043">
        <v>4</v>
      </c>
    </row>
    <row r="2044" spans="1:6" x14ac:dyDescent="0.3">
      <c r="A2044" t="s">
        <v>3287</v>
      </c>
      <c r="B2044" t="s">
        <v>2466</v>
      </c>
      <c r="C2044" t="s">
        <v>859</v>
      </c>
      <c r="D2044">
        <v>35784834</v>
      </c>
      <c r="E2044">
        <v>18.600000000000001</v>
      </c>
      <c r="F2044">
        <v>4.4000000000000004</v>
      </c>
    </row>
    <row r="2045" spans="1:6" x14ac:dyDescent="0.3">
      <c r="A2045" t="s">
        <v>3288</v>
      </c>
      <c r="B2045" t="s">
        <v>2539</v>
      </c>
      <c r="C2045" t="s">
        <v>1129</v>
      </c>
      <c r="D2045">
        <v>35814213</v>
      </c>
      <c r="E2045">
        <v>13.69</v>
      </c>
      <c r="F2045">
        <v>6.67</v>
      </c>
    </row>
    <row r="2046" spans="1:6" x14ac:dyDescent="0.3">
      <c r="A2046" t="s">
        <v>3289</v>
      </c>
      <c r="B2046" t="s">
        <v>3290</v>
      </c>
      <c r="C2046" t="s">
        <v>3291</v>
      </c>
      <c r="D2046">
        <v>35835760</v>
      </c>
      <c r="E2046">
        <v>13</v>
      </c>
      <c r="F2046">
        <v>4.92</v>
      </c>
    </row>
    <row r="2047" spans="1:6" x14ac:dyDescent="0.3">
      <c r="A2047" t="s">
        <v>3292</v>
      </c>
      <c r="B2047" t="s">
        <v>1259</v>
      </c>
      <c r="C2047" t="s">
        <v>3266</v>
      </c>
      <c r="D2047">
        <v>35842238</v>
      </c>
      <c r="E2047">
        <v>13.45</v>
      </c>
      <c r="F2047">
        <v>7.64</v>
      </c>
    </row>
    <row r="2048" spans="1:6" x14ac:dyDescent="0.3">
      <c r="A2048" t="s">
        <v>3293</v>
      </c>
      <c r="B2048" t="s">
        <v>1996</v>
      </c>
      <c r="C2048" t="s">
        <v>3220</v>
      </c>
      <c r="D2048">
        <v>35847801</v>
      </c>
      <c r="E2048">
        <v>3.79</v>
      </c>
      <c r="F2048">
        <v>6.45</v>
      </c>
    </row>
    <row r="2049" spans="1:6" x14ac:dyDescent="0.3">
      <c r="A2049" t="s">
        <v>2627</v>
      </c>
      <c r="B2049" t="s">
        <v>2433</v>
      </c>
      <c r="C2049" t="s">
        <v>2627</v>
      </c>
      <c r="D2049">
        <v>35890421</v>
      </c>
      <c r="E2049">
        <v>7.33</v>
      </c>
      <c r="F2049">
        <v>7</v>
      </c>
    </row>
    <row r="2050" spans="1:6" x14ac:dyDescent="0.3">
      <c r="A2050" t="s">
        <v>3294</v>
      </c>
      <c r="B2050" t="s">
        <v>1443</v>
      </c>
      <c r="C2050" t="s">
        <v>2688</v>
      </c>
      <c r="D2050">
        <v>35964943</v>
      </c>
      <c r="E2050">
        <v>4.83</v>
      </c>
      <c r="F2050">
        <v>6.25</v>
      </c>
    </row>
    <row r="2051" spans="1:6" x14ac:dyDescent="0.3">
      <c r="A2051" t="s">
        <v>3295</v>
      </c>
      <c r="B2051" t="s">
        <v>3296</v>
      </c>
      <c r="C2051" t="s">
        <v>3297</v>
      </c>
      <c r="D2051">
        <v>36024781</v>
      </c>
      <c r="E2051">
        <v>9.6</v>
      </c>
      <c r="F2051">
        <v>7</v>
      </c>
    </row>
    <row r="2052" spans="1:6" x14ac:dyDescent="0.3">
      <c r="A2052" t="s">
        <v>3298</v>
      </c>
      <c r="B2052" t="s">
        <v>3041</v>
      </c>
      <c r="C2052" t="s">
        <v>1549</v>
      </c>
      <c r="D2052">
        <v>36040247</v>
      </c>
      <c r="E2052">
        <v>11.5</v>
      </c>
      <c r="F2052">
        <v>6.33</v>
      </c>
    </row>
    <row r="2053" spans="1:6" x14ac:dyDescent="0.3">
      <c r="A2053" t="s">
        <v>3299</v>
      </c>
      <c r="B2053" t="s">
        <v>1996</v>
      </c>
      <c r="C2053" t="s">
        <v>2291</v>
      </c>
      <c r="D2053">
        <v>36059015</v>
      </c>
      <c r="E2053">
        <v>15.67</v>
      </c>
      <c r="F2053">
        <v>4.67</v>
      </c>
    </row>
    <row r="2054" spans="1:6" x14ac:dyDescent="0.3">
      <c r="A2054" t="s">
        <v>3300</v>
      </c>
      <c r="B2054" t="s">
        <v>2272</v>
      </c>
      <c r="C2054" t="s">
        <v>3030</v>
      </c>
      <c r="D2054">
        <v>36082383</v>
      </c>
      <c r="E2054">
        <v>11.68</v>
      </c>
      <c r="F2054">
        <v>6</v>
      </c>
    </row>
    <row r="2055" spans="1:6" x14ac:dyDescent="0.3">
      <c r="A2055" t="s">
        <v>3301</v>
      </c>
      <c r="B2055" t="s">
        <v>1265</v>
      </c>
      <c r="C2055" t="s">
        <v>2142</v>
      </c>
      <c r="D2055">
        <v>36089851</v>
      </c>
      <c r="E2055">
        <v>19.239999999999998</v>
      </c>
      <c r="F2055">
        <v>7.84</v>
      </c>
    </row>
    <row r="2056" spans="1:6" x14ac:dyDescent="0.3">
      <c r="A2056" t="s">
        <v>3302</v>
      </c>
      <c r="B2056" t="s">
        <v>3303</v>
      </c>
      <c r="C2056" t="s">
        <v>2092</v>
      </c>
      <c r="D2056">
        <v>36099108</v>
      </c>
      <c r="E2056">
        <v>17.73</v>
      </c>
      <c r="F2056">
        <v>6.59</v>
      </c>
    </row>
    <row r="2057" spans="1:6" x14ac:dyDescent="0.3">
      <c r="A2057" t="s">
        <v>3304</v>
      </c>
      <c r="B2057" t="s">
        <v>2843</v>
      </c>
      <c r="C2057" t="s">
        <v>3305</v>
      </c>
      <c r="D2057">
        <v>36105735</v>
      </c>
      <c r="E2057">
        <v>10.33</v>
      </c>
      <c r="F2057">
        <v>7.5</v>
      </c>
    </row>
    <row r="2058" spans="1:6" x14ac:dyDescent="0.3">
      <c r="A2058" t="s">
        <v>3306</v>
      </c>
      <c r="B2058" t="s">
        <v>1068</v>
      </c>
      <c r="C2058" t="s">
        <v>2323</v>
      </c>
      <c r="D2058">
        <v>36107975</v>
      </c>
      <c r="E2058">
        <v>26</v>
      </c>
      <c r="F2058">
        <v>5.46</v>
      </c>
    </row>
    <row r="2059" spans="1:6" x14ac:dyDescent="0.3">
      <c r="A2059" t="s">
        <v>3307</v>
      </c>
      <c r="B2059" t="s">
        <v>3308</v>
      </c>
      <c r="C2059" t="s">
        <v>3309</v>
      </c>
      <c r="D2059">
        <v>36111538</v>
      </c>
      <c r="E2059">
        <v>7</v>
      </c>
      <c r="F2059">
        <v>5.75</v>
      </c>
    </row>
    <row r="2060" spans="1:6" x14ac:dyDescent="0.3">
      <c r="A2060" t="s">
        <v>3310</v>
      </c>
      <c r="B2060" t="s">
        <v>3311</v>
      </c>
      <c r="C2060" t="s">
        <v>2924</v>
      </c>
      <c r="D2060">
        <v>36142794</v>
      </c>
      <c r="E2060">
        <v>8.44</v>
      </c>
      <c r="F2060">
        <v>4.1100000000000003</v>
      </c>
    </row>
    <row r="2061" spans="1:6" x14ac:dyDescent="0.3">
      <c r="A2061" t="s">
        <v>3312</v>
      </c>
      <c r="B2061" t="s">
        <v>1110</v>
      </c>
      <c r="C2061" t="s">
        <v>1386</v>
      </c>
      <c r="D2061">
        <v>36155309</v>
      </c>
      <c r="E2061">
        <v>22.14</v>
      </c>
      <c r="F2061">
        <v>6.63</v>
      </c>
    </row>
    <row r="2062" spans="1:6" x14ac:dyDescent="0.3">
      <c r="A2062" t="s">
        <v>3313</v>
      </c>
      <c r="B2062" t="s">
        <v>3063</v>
      </c>
      <c r="C2062" t="s">
        <v>3314</v>
      </c>
      <c r="D2062">
        <v>36175056</v>
      </c>
      <c r="E2062">
        <v>11.5</v>
      </c>
      <c r="F2062">
        <v>5.67</v>
      </c>
    </row>
    <row r="2063" spans="1:6" x14ac:dyDescent="0.3">
      <c r="A2063" t="s">
        <v>3315</v>
      </c>
      <c r="B2063" t="s">
        <v>2783</v>
      </c>
      <c r="C2063" t="s">
        <v>3316</v>
      </c>
      <c r="D2063">
        <v>36177219</v>
      </c>
      <c r="E2063">
        <v>17.600000000000001</v>
      </c>
      <c r="F2063">
        <v>6</v>
      </c>
    </row>
    <row r="2064" spans="1:6" x14ac:dyDescent="0.3">
      <c r="A2064" t="s">
        <v>3317</v>
      </c>
      <c r="B2064" t="s">
        <v>3098</v>
      </c>
      <c r="C2064" t="s">
        <v>3318</v>
      </c>
      <c r="D2064">
        <v>36182907</v>
      </c>
      <c r="E2064">
        <v>5.8</v>
      </c>
      <c r="F2064">
        <v>6.25</v>
      </c>
    </row>
    <row r="2065" spans="1:6" x14ac:dyDescent="0.3">
      <c r="A2065" t="s">
        <v>3319</v>
      </c>
      <c r="B2065" t="s">
        <v>2433</v>
      </c>
      <c r="C2065" t="s">
        <v>2436</v>
      </c>
      <c r="D2065">
        <v>36184348</v>
      </c>
      <c r="E2065">
        <v>7.56</v>
      </c>
      <c r="F2065">
        <v>5.68</v>
      </c>
    </row>
    <row r="2066" spans="1:6" x14ac:dyDescent="0.3">
      <c r="A2066" t="s">
        <v>3320</v>
      </c>
      <c r="B2066" t="s">
        <v>2960</v>
      </c>
      <c r="C2066" t="s">
        <v>3321</v>
      </c>
      <c r="D2066">
        <v>36202025</v>
      </c>
      <c r="E2066">
        <v>8.99</v>
      </c>
      <c r="F2066">
        <v>3.25</v>
      </c>
    </row>
    <row r="2067" spans="1:6" x14ac:dyDescent="0.3">
      <c r="A2067" t="s">
        <v>3322</v>
      </c>
      <c r="B2067" t="s">
        <v>3323</v>
      </c>
      <c r="C2067" t="s">
        <v>3324</v>
      </c>
      <c r="D2067">
        <v>36222318</v>
      </c>
      <c r="E2067">
        <v>9.0299999999999994</v>
      </c>
      <c r="F2067">
        <v>5.29</v>
      </c>
    </row>
    <row r="2068" spans="1:6" x14ac:dyDescent="0.3">
      <c r="A2068" t="s">
        <v>3325</v>
      </c>
      <c r="B2068" t="s">
        <v>3326</v>
      </c>
      <c r="C2068" t="s">
        <v>3327</v>
      </c>
      <c r="D2068">
        <v>36226561</v>
      </c>
      <c r="E2068">
        <v>13.33</v>
      </c>
      <c r="F2068">
        <v>6</v>
      </c>
    </row>
    <row r="2069" spans="1:6" x14ac:dyDescent="0.3">
      <c r="A2069" t="s">
        <v>3328</v>
      </c>
      <c r="B2069" t="s">
        <v>3329</v>
      </c>
      <c r="C2069" t="s">
        <v>3201</v>
      </c>
      <c r="D2069">
        <v>36227266</v>
      </c>
      <c r="E2069">
        <v>14.91</v>
      </c>
      <c r="F2069">
        <v>7.44</v>
      </c>
    </row>
    <row r="2070" spans="1:6" x14ac:dyDescent="0.3">
      <c r="A2070" t="s">
        <v>3330</v>
      </c>
      <c r="B2070" t="s">
        <v>91</v>
      </c>
      <c r="C2070" t="s">
        <v>2602</v>
      </c>
      <c r="D2070">
        <v>36246124</v>
      </c>
      <c r="E2070">
        <v>5.84</v>
      </c>
      <c r="F2070">
        <v>5.13</v>
      </c>
    </row>
    <row r="2071" spans="1:6" x14ac:dyDescent="0.3">
      <c r="A2071" t="s">
        <v>3331</v>
      </c>
      <c r="B2071" t="s">
        <v>3034</v>
      </c>
      <c r="C2071" t="s">
        <v>3332</v>
      </c>
      <c r="D2071">
        <v>36250233</v>
      </c>
      <c r="E2071">
        <v>13.63</v>
      </c>
      <c r="F2071">
        <v>6.21</v>
      </c>
    </row>
    <row r="2072" spans="1:6" x14ac:dyDescent="0.3">
      <c r="A2072" t="s">
        <v>3333</v>
      </c>
      <c r="B2072" t="s">
        <v>277</v>
      </c>
      <c r="C2072" t="s">
        <v>3334</v>
      </c>
      <c r="D2072">
        <v>36257454</v>
      </c>
      <c r="E2072">
        <v>11.05</v>
      </c>
      <c r="F2072">
        <v>6.16</v>
      </c>
    </row>
    <row r="2073" spans="1:6" x14ac:dyDescent="0.3">
      <c r="A2073" t="s">
        <v>3335</v>
      </c>
      <c r="B2073" t="s">
        <v>3336</v>
      </c>
      <c r="C2073" t="s">
        <v>3130</v>
      </c>
      <c r="D2073">
        <v>36281998</v>
      </c>
      <c r="E2073">
        <v>7.67</v>
      </c>
      <c r="F2073">
        <v>6.5</v>
      </c>
    </row>
    <row r="2074" spans="1:6" x14ac:dyDescent="0.3">
      <c r="A2074" t="s">
        <v>3337</v>
      </c>
      <c r="B2074" t="s">
        <v>1661</v>
      </c>
      <c r="C2074" t="s">
        <v>3338</v>
      </c>
      <c r="D2074">
        <v>36328455</v>
      </c>
      <c r="E2074">
        <v>16.75</v>
      </c>
      <c r="F2074">
        <v>7</v>
      </c>
    </row>
    <row r="2075" spans="1:6" x14ac:dyDescent="0.3">
      <c r="A2075" t="s">
        <v>3339</v>
      </c>
      <c r="B2075" t="s">
        <v>2433</v>
      </c>
      <c r="C2075" t="s">
        <v>2682</v>
      </c>
      <c r="D2075">
        <v>36329434</v>
      </c>
      <c r="E2075">
        <v>28.95</v>
      </c>
      <c r="F2075">
        <v>6.67</v>
      </c>
    </row>
    <row r="2076" spans="1:6" x14ac:dyDescent="0.3">
      <c r="A2076" t="s">
        <v>3340</v>
      </c>
      <c r="B2076" t="s">
        <v>3341</v>
      </c>
      <c r="C2076" t="s">
        <v>3342</v>
      </c>
      <c r="D2076">
        <v>36337187</v>
      </c>
      <c r="E2076">
        <v>6.25</v>
      </c>
      <c r="F2076">
        <v>3.67</v>
      </c>
    </row>
    <row r="2077" spans="1:6" x14ac:dyDescent="0.3">
      <c r="A2077" t="s">
        <v>3343</v>
      </c>
      <c r="B2077" t="s">
        <v>2559</v>
      </c>
      <c r="C2077" t="s">
        <v>3344</v>
      </c>
      <c r="D2077">
        <v>36346514</v>
      </c>
      <c r="E2077">
        <v>6.23</v>
      </c>
      <c r="F2077">
        <v>6.08</v>
      </c>
    </row>
    <row r="2078" spans="1:6" x14ac:dyDescent="0.3">
      <c r="A2078" t="s">
        <v>3345</v>
      </c>
      <c r="B2078" t="s">
        <v>3346</v>
      </c>
      <c r="C2078" t="s">
        <v>2970</v>
      </c>
      <c r="D2078">
        <v>36354706</v>
      </c>
      <c r="E2078">
        <v>4.3600000000000003</v>
      </c>
      <c r="F2078">
        <v>6.32</v>
      </c>
    </row>
    <row r="2079" spans="1:6" x14ac:dyDescent="0.3">
      <c r="A2079" t="s">
        <v>3347</v>
      </c>
      <c r="B2079" t="s">
        <v>3348</v>
      </c>
      <c r="C2079" t="s">
        <v>3349</v>
      </c>
      <c r="D2079">
        <v>36367495</v>
      </c>
      <c r="E2079">
        <v>18</v>
      </c>
      <c r="F2079">
        <v>6.67</v>
      </c>
    </row>
    <row r="2080" spans="1:6" x14ac:dyDescent="0.3">
      <c r="A2080" t="s">
        <v>3350</v>
      </c>
      <c r="B2080" t="s">
        <v>3283</v>
      </c>
      <c r="C2080" t="s">
        <v>3351</v>
      </c>
      <c r="D2080">
        <v>36377333</v>
      </c>
      <c r="E2080">
        <v>4.88</v>
      </c>
      <c r="F2080">
        <v>6.3</v>
      </c>
    </row>
    <row r="2081" spans="1:6" x14ac:dyDescent="0.3">
      <c r="A2081" t="s">
        <v>3352</v>
      </c>
      <c r="B2081" t="s">
        <v>1996</v>
      </c>
      <c r="C2081" t="s">
        <v>1139</v>
      </c>
      <c r="D2081">
        <v>36385132</v>
      </c>
      <c r="E2081">
        <v>2.88</v>
      </c>
      <c r="F2081">
        <v>6.37</v>
      </c>
    </row>
    <row r="2082" spans="1:6" x14ac:dyDescent="0.3">
      <c r="A2082" t="s">
        <v>3353</v>
      </c>
      <c r="B2082" t="s">
        <v>3181</v>
      </c>
      <c r="C2082" t="s">
        <v>2454</v>
      </c>
      <c r="D2082">
        <v>36421514</v>
      </c>
      <c r="E2082">
        <v>3.55</v>
      </c>
      <c r="F2082">
        <v>7.02</v>
      </c>
    </row>
    <row r="2083" spans="1:6" x14ac:dyDescent="0.3">
      <c r="A2083" t="s">
        <v>3354</v>
      </c>
      <c r="B2083" t="s">
        <v>3125</v>
      </c>
      <c r="C2083" t="s">
        <v>3355</v>
      </c>
      <c r="D2083">
        <v>36424822</v>
      </c>
      <c r="E2083">
        <v>10.59</v>
      </c>
      <c r="F2083">
        <v>7.56</v>
      </c>
    </row>
    <row r="2084" spans="1:6" x14ac:dyDescent="0.3">
      <c r="A2084" t="s">
        <v>3356</v>
      </c>
      <c r="B2084" t="s">
        <v>2614</v>
      </c>
      <c r="C2084" t="s">
        <v>3357</v>
      </c>
      <c r="D2084">
        <v>36441965</v>
      </c>
      <c r="E2084">
        <v>14.52</v>
      </c>
      <c r="F2084">
        <v>5.88</v>
      </c>
    </row>
    <row r="2085" spans="1:6" x14ac:dyDescent="0.3">
      <c r="A2085" t="s">
        <v>3358</v>
      </c>
      <c r="B2085" t="s">
        <v>1156</v>
      </c>
      <c r="C2085" t="s">
        <v>12</v>
      </c>
      <c r="D2085">
        <v>36449129</v>
      </c>
      <c r="E2085">
        <v>21.79</v>
      </c>
      <c r="F2085">
        <v>6.72</v>
      </c>
    </row>
    <row r="2086" spans="1:6" x14ac:dyDescent="0.3">
      <c r="A2086" t="s">
        <v>3359</v>
      </c>
      <c r="B2086" t="s">
        <v>2756</v>
      </c>
      <c r="C2086" t="s">
        <v>893</v>
      </c>
      <c r="D2086">
        <v>36473087</v>
      </c>
      <c r="E2086">
        <v>3.72</v>
      </c>
      <c r="F2086">
        <v>5.53</v>
      </c>
    </row>
    <row r="2087" spans="1:6" x14ac:dyDescent="0.3">
      <c r="A2087" t="s">
        <v>3360</v>
      </c>
      <c r="B2087" t="s">
        <v>1259</v>
      </c>
      <c r="C2087" t="s">
        <v>3361</v>
      </c>
      <c r="D2087">
        <v>36497931</v>
      </c>
      <c r="E2087">
        <v>7.33</v>
      </c>
      <c r="F2087">
        <v>7.33</v>
      </c>
    </row>
    <row r="2088" spans="1:6" x14ac:dyDescent="0.3">
      <c r="A2088" t="s">
        <v>3362</v>
      </c>
      <c r="B2088" t="s">
        <v>1083</v>
      </c>
      <c r="C2088" t="s">
        <v>3363</v>
      </c>
      <c r="D2088">
        <v>36509294</v>
      </c>
      <c r="E2088">
        <v>13.53</v>
      </c>
      <c r="F2088">
        <v>7.2</v>
      </c>
    </row>
    <row r="2089" spans="1:6" x14ac:dyDescent="0.3">
      <c r="A2089" t="s">
        <v>3364</v>
      </c>
      <c r="B2089" t="s">
        <v>900</v>
      </c>
      <c r="C2089" t="s">
        <v>2523</v>
      </c>
      <c r="D2089">
        <v>36521897</v>
      </c>
      <c r="E2089">
        <v>11.83</v>
      </c>
      <c r="F2089">
        <v>7.67</v>
      </c>
    </row>
    <row r="2090" spans="1:6" x14ac:dyDescent="0.3">
      <c r="A2090" t="s">
        <v>3365</v>
      </c>
      <c r="B2090" t="s">
        <v>463</v>
      </c>
      <c r="C2090" t="s">
        <v>1689</v>
      </c>
      <c r="D2090">
        <v>36522386</v>
      </c>
      <c r="E2090">
        <v>19.32</v>
      </c>
      <c r="F2090">
        <v>3.64</v>
      </c>
    </row>
    <row r="2091" spans="1:6" x14ac:dyDescent="0.3">
      <c r="A2091" t="s">
        <v>3366</v>
      </c>
      <c r="B2091" t="s">
        <v>3283</v>
      </c>
      <c r="C2091" t="s">
        <v>3367</v>
      </c>
      <c r="D2091">
        <v>36547543</v>
      </c>
      <c r="E2091">
        <v>8</v>
      </c>
      <c r="F2091">
        <v>4</v>
      </c>
    </row>
    <row r="2092" spans="1:6" x14ac:dyDescent="0.3">
      <c r="A2092" t="s">
        <v>3368</v>
      </c>
      <c r="B2092" t="s">
        <v>3231</v>
      </c>
      <c r="C2092" t="s">
        <v>1111</v>
      </c>
      <c r="D2092">
        <v>36553838</v>
      </c>
      <c r="E2092">
        <v>11.4</v>
      </c>
      <c r="F2092">
        <v>7.5</v>
      </c>
    </row>
    <row r="2093" spans="1:6" x14ac:dyDescent="0.3">
      <c r="A2093" t="s">
        <v>3369</v>
      </c>
      <c r="B2093" t="s">
        <v>2899</v>
      </c>
      <c r="C2093" t="s">
        <v>3369</v>
      </c>
      <c r="D2093">
        <v>36574438</v>
      </c>
      <c r="E2093">
        <v>12.5</v>
      </c>
      <c r="F2093">
        <v>6.4</v>
      </c>
    </row>
    <row r="2094" spans="1:6" x14ac:dyDescent="0.3">
      <c r="A2094" t="s">
        <v>3370</v>
      </c>
      <c r="B2094" t="s">
        <v>2791</v>
      </c>
      <c r="C2094" t="s">
        <v>3371</v>
      </c>
      <c r="D2094">
        <v>36631191</v>
      </c>
      <c r="E2094">
        <v>9.14</v>
      </c>
      <c r="F2094">
        <v>7.17</v>
      </c>
    </row>
    <row r="2095" spans="1:6" x14ac:dyDescent="0.3">
      <c r="A2095" t="s">
        <v>3372</v>
      </c>
      <c r="B2095" t="s">
        <v>3010</v>
      </c>
      <c r="C2095" t="s">
        <v>2494</v>
      </c>
      <c r="D2095">
        <v>36639728</v>
      </c>
      <c r="E2095">
        <v>10.44</v>
      </c>
      <c r="F2095">
        <v>7.13</v>
      </c>
    </row>
    <row r="2096" spans="1:6" x14ac:dyDescent="0.3">
      <c r="A2096" t="s">
        <v>3373</v>
      </c>
      <c r="B2096" t="s">
        <v>2387</v>
      </c>
      <c r="C2096" t="s">
        <v>3220</v>
      </c>
      <c r="D2096">
        <v>36644784</v>
      </c>
      <c r="E2096">
        <v>2.93</v>
      </c>
      <c r="F2096">
        <v>6.26</v>
      </c>
    </row>
    <row r="2097" spans="1:6" x14ac:dyDescent="0.3">
      <c r="A2097" t="s">
        <v>3374</v>
      </c>
      <c r="B2097" t="s">
        <v>796</v>
      </c>
      <c r="C2097" t="s">
        <v>3375</v>
      </c>
      <c r="D2097">
        <v>36667269</v>
      </c>
      <c r="E2097">
        <v>15.28</v>
      </c>
      <c r="F2097">
        <v>7.14</v>
      </c>
    </row>
    <row r="2098" spans="1:6" x14ac:dyDescent="0.3">
      <c r="A2098" t="s">
        <v>3376</v>
      </c>
      <c r="B2098" t="s">
        <v>3377</v>
      </c>
      <c r="C2098" t="s">
        <v>949</v>
      </c>
      <c r="D2098">
        <v>36670741</v>
      </c>
      <c r="E2098">
        <v>1.83</v>
      </c>
      <c r="F2098">
        <v>6.08</v>
      </c>
    </row>
    <row r="2099" spans="1:6" x14ac:dyDescent="0.3">
      <c r="A2099" t="s">
        <v>3378</v>
      </c>
      <c r="B2099" t="s">
        <v>2738</v>
      </c>
      <c r="C2099" t="s">
        <v>1467</v>
      </c>
      <c r="D2099">
        <v>36691889</v>
      </c>
      <c r="E2099">
        <v>7.25</v>
      </c>
      <c r="F2099">
        <v>4</v>
      </c>
    </row>
    <row r="2100" spans="1:6" x14ac:dyDescent="0.3">
      <c r="A2100" t="s">
        <v>3379</v>
      </c>
      <c r="B2100" t="s">
        <v>3380</v>
      </c>
      <c r="C2100" t="s">
        <v>3381</v>
      </c>
      <c r="D2100">
        <v>36715603</v>
      </c>
      <c r="E2100">
        <v>7.6</v>
      </c>
      <c r="F2100">
        <v>4.25</v>
      </c>
    </row>
    <row r="2101" spans="1:6" x14ac:dyDescent="0.3">
      <c r="A2101" t="s">
        <v>3382</v>
      </c>
      <c r="B2101" t="s">
        <v>1663</v>
      </c>
      <c r="C2101" t="s">
        <v>1070</v>
      </c>
      <c r="D2101">
        <v>36720175</v>
      </c>
      <c r="E2101">
        <v>20</v>
      </c>
      <c r="F2101">
        <v>5.67</v>
      </c>
    </row>
    <row r="2102" spans="1:6" x14ac:dyDescent="0.3">
      <c r="A2102" t="s">
        <v>3383</v>
      </c>
      <c r="B2102" t="s">
        <v>3384</v>
      </c>
      <c r="C2102" t="s">
        <v>2507</v>
      </c>
      <c r="D2102">
        <v>36720561</v>
      </c>
      <c r="E2102">
        <v>13.7</v>
      </c>
      <c r="F2102">
        <v>5.4</v>
      </c>
    </row>
    <row r="2103" spans="1:6" x14ac:dyDescent="0.3">
      <c r="A2103" t="s">
        <v>3385</v>
      </c>
      <c r="B2103" t="s">
        <v>3386</v>
      </c>
      <c r="C2103" t="s">
        <v>3387</v>
      </c>
      <c r="D2103">
        <v>36723231</v>
      </c>
      <c r="E2103">
        <v>10</v>
      </c>
      <c r="F2103">
        <v>7.33</v>
      </c>
    </row>
    <row r="2104" spans="1:6" x14ac:dyDescent="0.3">
      <c r="A2104" t="s">
        <v>3388</v>
      </c>
      <c r="B2104" t="s">
        <v>1394</v>
      </c>
      <c r="C2104" t="s">
        <v>3389</v>
      </c>
      <c r="D2104">
        <v>36745142</v>
      </c>
      <c r="E2104">
        <v>9.7200000000000006</v>
      </c>
      <c r="F2104">
        <v>5.41</v>
      </c>
    </row>
    <row r="2105" spans="1:6" x14ac:dyDescent="0.3">
      <c r="A2105" t="s">
        <v>3390</v>
      </c>
      <c r="B2105" t="s">
        <v>2519</v>
      </c>
      <c r="C2105" t="s">
        <v>3391</v>
      </c>
      <c r="D2105">
        <v>36748147</v>
      </c>
      <c r="E2105">
        <v>3.13</v>
      </c>
      <c r="F2105">
        <v>6.94</v>
      </c>
    </row>
    <row r="2106" spans="1:6" x14ac:dyDescent="0.3">
      <c r="A2106" t="s">
        <v>3392</v>
      </c>
      <c r="B2106" t="s">
        <v>1589</v>
      </c>
      <c r="C2106" t="s">
        <v>3393</v>
      </c>
      <c r="D2106">
        <v>36752799</v>
      </c>
      <c r="E2106">
        <v>3.26</v>
      </c>
      <c r="F2106">
        <v>6.2</v>
      </c>
    </row>
    <row r="2107" spans="1:6" x14ac:dyDescent="0.3">
      <c r="A2107" t="s">
        <v>3394</v>
      </c>
      <c r="B2107" t="s">
        <v>1666</v>
      </c>
      <c r="C2107" t="s">
        <v>1537</v>
      </c>
      <c r="D2107">
        <v>36798206</v>
      </c>
      <c r="E2107">
        <v>12.67</v>
      </c>
      <c r="F2107">
        <v>8.33</v>
      </c>
    </row>
    <row r="2108" spans="1:6" x14ac:dyDescent="0.3">
      <c r="A2108" t="s">
        <v>3395</v>
      </c>
      <c r="B2108" t="s">
        <v>2166</v>
      </c>
      <c r="C2108" t="s">
        <v>704</v>
      </c>
      <c r="D2108">
        <v>36818945</v>
      </c>
      <c r="E2108">
        <v>20</v>
      </c>
      <c r="F2108">
        <v>5.75</v>
      </c>
    </row>
    <row r="2109" spans="1:6" x14ac:dyDescent="0.3">
      <c r="A2109" t="s">
        <v>3396</v>
      </c>
      <c r="B2109" t="s">
        <v>3397</v>
      </c>
      <c r="C2109" t="s">
        <v>1039</v>
      </c>
      <c r="D2109">
        <v>36831819</v>
      </c>
      <c r="E2109">
        <v>16.98</v>
      </c>
      <c r="F2109">
        <v>6</v>
      </c>
    </row>
    <row r="2110" spans="1:6" x14ac:dyDescent="0.3">
      <c r="A2110" t="s">
        <v>3398</v>
      </c>
      <c r="B2110" t="s">
        <v>2053</v>
      </c>
      <c r="C2110" t="s">
        <v>2781</v>
      </c>
      <c r="D2110">
        <v>36834813</v>
      </c>
      <c r="E2110">
        <v>17.899999999999999</v>
      </c>
      <c r="F2110">
        <v>6.98</v>
      </c>
    </row>
    <row r="2111" spans="1:6" x14ac:dyDescent="0.3">
      <c r="A2111" t="s">
        <v>3399</v>
      </c>
      <c r="B2111" t="s">
        <v>3400</v>
      </c>
      <c r="C2111" t="s">
        <v>3401</v>
      </c>
      <c r="D2111">
        <v>36854959</v>
      </c>
      <c r="E2111">
        <v>7</v>
      </c>
      <c r="F2111">
        <v>1.4</v>
      </c>
    </row>
    <row r="2112" spans="1:6" x14ac:dyDescent="0.3">
      <c r="A2112" t="s">
        <v>3402</v>
      </c>
      <c r="B2112" t="s">
        <v>3283</v>
      </c>
      <c r="C2112" t="s">
        <v>2310</v>
      </c>
      <c r="D2112">
        <v>36869984</v>
      </c>
      <c r="E2112">
        <v>11.97</v>
      </c>
      <c r="F2112">
        <v>6.67</v>
      </c>
    </row>
    <row r="2113" spans="1:6" x14ac:dyDescent="0.3">
      <c r="A2113" t="s">
        <v>3403</v>
      </c>
      <c r="B2113" t="s">
        <v>2423</v>
      </c>
      <c r="C2113" t="s">
        <v>89</v>
      </c>
      <c r="D2113">
        <v>36875204</v>
      </c>
      <c r="E2113">
        <v>26.87</v>
      </c>
      <c r="F2113">
        <v>3.86</v>
      </c>
    </row>
    <row r="2114" spans="1:6" x14ac:dyDescent="0.3">
      <c r="A2114" t="s">
        <v>3404</v>
      </c>
      <c r="B2114" t="s">
        <v>3405</v>
      </c>
      <c r="C2114" t="s">
        <v>3361</v>
      </c>
      <c r="D2114">
        <v>36879868</v>
      </c>
      <c r="E2114">
        <v>3.4</v>
      </c>
      <c r="F2114">
        <v>5.3</v>
      </c>
    </row>
    <row r="2115" spans="1:6" x14ac:dyDescent="0.3">
      <c r="A2115" t="s">
        <v>3406</v>
      </c>
      <c r="B2115" t="s">
        <v>3407</v>
      </c>
      <c r="C2115" t="s">
        <v>1051</v>
      </c>
      <c r="D2115">
        <v>36886759</v>
      </c>
      <c r="E2115">
        <v>25.89</v>
      </c>
      <c r="F2115">
        <v>4.13</v>
      </c>
    </row>
    <row r="2116" spans="1:6" x14ac:dyDescent="0.3">
      <c r="A2116" t="s">
        <v>3408</v>
      </c>
      <c r="B2116" t="s">
        <v>3212</v>
      </c>
      <c r="C2116" t="s">
        <v>3409</v>
      </c>
      <c r="D2116">
        <v>36888058</v>
      </c>
      <c r="E2116">
        <v>9</v>
      </c>
      <c r="F2116">
        <v>5</v>
      </c>
    </row>
    <row r="2117" spans="1:6" x14ac:dyDescent="0.3">
      <c r="A2117" t="s">
        <v>3410</v>
      </c>
      <c r="B2117" t="s">
        <v>3411</v>
      </c>
      <c r="C2117" t="s">
        <v>3412</v>
      </c>
      <c r="D2117">
        <v>36906509</v>
      </c>
      <c r="E2117">
        <v>12.88</v>
      </c>
      <c r="F2117">
        <v>6.11</v>
      </c>
    </row>
    <row r="2118" spans="1:6" x14ac:dyDescent="0.3">
      <c r="A2118" t="s">
        <v>3413</v>
      </c>
      <c r="B2118" t="s">
        <v>2539</v>
      </c>
      <c r="C2118" t="s">
        <v>977</v>
      </c>
      <c r="D2118">
        <v>36966088</v>
      </c>
      <c r="E2118">
        <v>6.82</v>
      </c>
      <c r="F2118">
        <v>5.87</v>
      </c>
    </row>
    <row r="2119" spans="1:6" x14ac:dyDescent="0.3">
      <c r="A2119" t="s">
        <v>3414</v>
      </c>
      <c r="B2119" t="s">
        <v>1693</v>
      </c>
      <c r="C2119" t="s">
        <v>3415</v>
      </c>
      <c r="D2119">
        <v>37011750</v>
      </c>
      <c r="E2119">
        <v>17.03</v>
      </c>
      <c r="F2119">
        <v>7.94</v>
      </c>
    </row>
    <row r="2120" spans="1:6" x14ac:dyDescent="0.3">
      <c r="A2120" t="s">
        <v>3416</v>
      </c>
      <c r="B2120" t="s">
        <v>2032</v>
      </c>
      <c r="C2120" t="s">
        <v>3417</v>
      </c>
      <c r="D2120">
        <v>37040027</v>
      </c>
      <c r="E2120">
        <v>12.84</v>
      </c>
      <c r="F2120">
        <v>6.13</v>
      </c>
    </row>
    <row r="2121" spans="1:6" x14ac:dyDescent="0.3">
      <c r="A2121" t="s">
        <v>3418</v>
      </c>
      <c r="B2121" t="s">
        <v>1794</v>
      </c>
      <c r="C2121" t="s">
        <v>2349</v>
      </c>
      <c r="D2121">
        <v>37062734</v>
      </c>
      <c r="E2121">
        <v>6.77</v>
      </c>
      <c r="F2121">
        <v>6.69</v>
      </c>
    </row>
    <row r="2122" spans="1:6" x14ac:dyDescent="0.3">
      <c r="A2122" t="s">
        <v>3419</v>
      </c>
      <c r="B2122" t="s">
        <v>3420</v>
      </c>
      <c r="C2122" t="s">
        <v>718</v>
      </c>
      <c r="D2122">
        <v>37101643</v>
      </c>
      <c r="E2122">
        <v>15.36</v>
      </c>
      <c r="F2122">
        <v>5.57</v>
      </c>
    </row>
    <row r="2123" spans="1:6" x14ac:dyDescent="0.3">
      <c r="A2123" t="s">
        <v>3421</v>
      </c>
      <c r="B2123" t="s">
        <v>3422</v>
      </c>
      <c r="C2123" t="s">
        <v>3421</v>
      </c>
      <c r="D2123">
        <v>37108756</v>
      </c>
      <c r="E2123">
        <v>18</v>
      </c>
      <c r="F2123">
        <v>2.5</v>
      </c>
    </row>
    <row r="2124" spans="1:6" x14ac:dyDescent="0.3">
      <c r="A2124" t="s">
        <v>3423</v>
      </c>
      <c r="B2124" t="s">
        <v>3034</v>
      </c>
      <c r="C2124" t="s">
        <v>3297</v>
      </c>
      <c r="D2124">
        <v>37122155</v>
      </c>
      <c r="E2124">
        <v>12.5</v>
      </c>
      <c r="F2124">
        <v>3</v>
      </c>
    </row>
    <row r="2125" spans="1:6" x14ac:dyDescent="0.3">
      <c r="A2125" t="s">
        <v>3424</v>
      </c>
      <c r="B2125" t="s">
        <v>1513</v>
      </c>
      <c r="C2125" t="s">
        <v>3220</v>
      </c>
      <c r="D2125">
        <v>37154410</v>
      </c>
      <c r="E2125">
        <v>15.19</v>
      </c>
      <c r="F2125">
        <v>6</v>
      </c>
    </row>
    <row r="2126" spans="1:6" x14ac:dyDescent="0.3">
      <c r="A2126" t="s">
        <v>3425</v>
      </c>
      <c r="B2126" t="s">
        <v>3070</v>
      </c>
      <c r="C2126" t="s">
        <v>3387</v>
      </c>
      <c r="D2126">
        <v>37177215</v>
      </c>
      <c r="E2126">
        <v>7.2</v>
      </c>
      <c r="F2126">
        <v>5</v>
      </c>
    </row>
    <row r="2127" spans="1:6" x14ac:dyDescent="0.3">
      <c r="A2127" t="s">
        <v>3426</v>
      </c>
      <c r="B2127" t="s">
        <v>3427</v>
      </c>
      <c r="C2127" t="s">
        <v>3428</v>
      </c>
      <c r="D2127">
        <v>37207257</v>
      </c>
      <c r="E2127">
        <v>15.33</v>
      </c>
      <c r="F2127">
        <v>7.5</v>
      </c>
    </row>
    <row r="2128" spans="1:6" x14ac:dyDescent="0.3">
      <c r="A2128" t="s">
        <v>3429</v>
      </c>
      <c r="B2128" t="s">
        <v>1589</v>
      </c>
      <c r="C2128" t="s">
        <v>2060</v>
      </c>
      <c r="D2128">
        <v>37218505</v>
      </c>
      <c r="E2128">
        <v>11.01</v>
      </c>
      <c r="F2128">
        <v>6.4</v>
      </c>
    </row>
    <row r="2129" spans="1:6" x14ac:dyDescent="0.3">
      <c r="A2129" t="s">
        <v>3430</v>
      </c>
      <c r="B2129" t="s">
        <v>3431</v>
      </c>
      <c r="C2129" t="s">
        <v>3039</v>
      </c>
      <c r="D2129">
        <v>37220191</v>
      </c>
      <c r="E2129">
        <v>3.12</v>
      </c>
      <c r="F2129">
        <v>7.46</v>
      </c>
    </row>
    <row r="2130" spans="1:6" x14ac:dyDescent="0.3">
      <c r="A2130" t="s">
        <v>3432</v>
      </c>
      <c r="B2130" t="s">
        <v>2433</v>
      </c>
      <c r="C2130" t="s">
        <v>3391</v>
      </c>
      <c r="D2130">
        <v>37226858</v>
      </c>
      <c r="E2130">
        <v>4.8</v>
      </c>
      <c r="F2130">
        <v>6.59</v>
      </c>
    </row>
    <row r="2131" spans="1:6" x14ac:dyDescent="0.3">
      <c r="A2131" t="s">
        <v>3433</v>
      </c>
      <c r="B2131" t="s">
        <v>1265</v>
      </c>
      <c r="C2131" t="s">
        <v>799</v>
      </c>
      <c r="D2131">
        <v>37255449</v>
      </c>
      <c r="E2131">
        <v>28.96</v>
      </c>
      <c r="F2131">
        <v>8.43</v>
      </c>
    </row>
    <row r="2132" spans="1:6" x14ac:dyDescent="0.3">
      <c r="A2132" t="s">
        <v>3434</v>
      </c>
      <c r="B2132" t="s">
        <v>2228</v>
      </c>
      <c r="C2132" t="s">
        <v>2965</v>
      </c>
      <c r="D2132">
        <v>37259527</v>
      </c>
      <c r="E2132">
        <v>17.75</v>
      </c>
      <c r="F2132">
        <v>7.46</v>
      </c>
    </row>
    <row r="2133" spans="1:6" x14ac:dyDescent="0.3">
      <c r="A2133" t="s">
        <v>3435</v>
      </c>
      <c r="B2133" t="s">
        <v>3436</v>
      </c>
      <c r="C2133" t="s">
        <v>2607</v>
      </c>
      <c r="D2133">
        <v>37273353</v>
      </c>
      <c r="E2133">
        <v>7.75</v>
      </c>
      <c r="F2133">
        <v>3.33</v>
      </c>
    </row>
    <row r="2134" spans="1:6" x14ac:dyDescent="0.3">
      <c r="A2134" t="s">
        <v>3437</v>
      </c>
      <c r="B2134" t="s">
        <v>91</v>
      </c>
      <c r="C2134" t="s">
        <v>3438</v>
      </c>
      <c r="D2134">
        <v>37275563</v>
      </c>
      <c r="E2134">
        <v>18.25</v>
      </c>
      <c r="F2134">
        <v>2.19</v>
      </c>
    </row>
    <row r="2135" spans="1:6" x14ac:dyDescent="0.3">
      <c r="A2135" t="s">
        <v>3439</v>
      </c>
      <c r="B2135" t="s">
        <v>3440</v>
      </c>
      <c r="C2135" t="s">
        <v>3441</v>
      </c>
      <c r="D2135">
        <v>37284333</v>
      </c>
      <c r="E2135">
        <v>4.83</v>
      </c>
      <c r="F2135">
        <v>4.67</v>
      </c>
    </row>
    <row r="2136" spans="1:6" x14ac:dyDescent="0.3">
      <c r="A2136" t="s">
        <v>3442</v>
      </c>
      <c r="B2136" t="s">
        <v>2534</v>
      </c>
      <c r="C2136" t="s">
        <v>3443</v>
      </c>
      <c r="D2136">
        <v>37322710</v>
      </c>
      <c r="E2136">
        <v>7</v>
      </c>
      <c r="F2136">
        <v>4.5</v>
      </c>
    </row>
    <row r="2137" spans="1:6" x14ac:dyDescent="0.3">
      <c r="A2137" t="s">
        <v>3444</v>
      </c>
      <c r="B2137" t="s">
        <v>412</v>
      </c>
      <c r="C2137" t="s">
        <v>987</v>
      </c>
      <c r="D2137">
        <v>37361518</v>
      </c>
      <c r="E2137">
        <v>27.67</v>
      </c>
      <c r="F2137">
        <v>8</v>
      </c>
    </row>
    <row r="2138" spans="1:6" x14ac:dyDescent="0.3">
      <c r="A2138" t="s">
        <v>3445</v>
      </c>
      <c r="B2138" t="s">
        <v>1230</v>
      </c>
      <c r="C2138" t="s">
        <v>3446</v>
      </c>
      <c r="D2138">
        <v>37386305</v>
      </c>
      <c r="E2138">
        <v>9.09</v>
      </c>
      <c r="F2138">
        <v>7.64</v>
      </c>
    </row>
    <row r="2139" spans="1:6" x14ac:dyDescent="0.3">
      <c r="A2139" t="s">
        <v>3447</v>
      </c>
      <c r="B2139" t="s">
        <v>3051</v>
      </c>
      <c r="C2139" t="s">
        <v>3448</v>
      </c>
      <c r="D2139">
        <v>37386862</v>
      </c>
      <c r="E2139">
        <v>7.36</v>
      </c>
      <c r="F2139">
        <v>7.5</v>
      </c>
    </row>
    <row r="2140" spans="1:6" x14ac:dyDescent="0.3">
      <c r="A2140" t="s">
        <v>3449</v>
      </c>
      <c r="B2140" t="s">
        <v>3450</v>
      </c>
      <c r="C2140" t="s">
        <v>2963</v>
      </c>
      <c r="D2140">
        <v>37393598</v>
      </c>
      <c r="E2140">
        <v>9.1999999999999993</v>
      </c>
      <c r="F2140">
        <v>8.1300000000000008</v>
      </c>
    </row>
    <row r="2141" spans="1:6" x14ac:dyDescent="0.3">
      <c r="A2141" t="s">
        <v>3451</v>
      </c>
      <c r="B2141" t="s">
        <v>3452</v>
      </c>
      <c r="C2141" t="s">
        <v>2679</v>
      </c>
      <c r="D2141">
        <v>37395427</v>
      </c>
      <c r="E2141">
        <v>15.07</v>
      </c>
      <c r="F2141">
        <v>5.23</v>
      </c>
    </row>
    <row r="2142" spans="1:6" x14ac:dyDescent="0.3">
      <c r="A2142" t="s">
        <v>3453</v>
      </c>
      <c r="B2142" t="s">
        <v>1950</v>
      </c>
      <c r="C2142" t="s">
        <v>847</v>
      </c>
      <c r="D2142">
        <v>37398911</v>
      </c>
      <c r="E2142">
        <v>28.91</v>
      </c>
      <c r="F2142">
        <v>7.13</v>
      </c>
    </row>
    <row r="2143" spans="1:6" x14ac:dyDescent="0.3">
      <c r="A2143" t="s">
        <v>3454</v>
      </c>
      <c r="B2143" t="s">
        <v>3041</v>
      </c>
      <c r="C2143" t="s">
        <v>3253</v>
      </c>
      <c r="D2143">
        <v>37406396</v>
      </c>
      <c r="E2143">
        <v>10.27</v>
      </c>
      <c r="F2143">
        <v>7.18</v>
      </c>
    </row>
    <row r="2144" spans="1:6" x14ac:dyDescent="0.3">
      <c r="A2144" t="s">
        <v>3455</v>
      </c>
      <c r="B2144" t="s">
        <v>2843</v>
      </c>
      <c r="C2144" t="s">
        <v>707</v>
      </c>
      <c r="D2144">
        <v>37452351</v>
      </c>
      <c r="E2144">
        <v>6</v>
      </c>
      <c r="F2144">
        <v>5.57</v>
      </c>
    </row>
    <row r="2145" spans="1:6" x14ac:dyDescent="0.3">
      <c r="A2145" t="s">
        <v>3456</v>
      </c>
      <c r="B2145" t="s">
        <v>463</v>
      </c>
      <c r="C2145" t="s">
        <v>3190</v>
      </c>
      <c r="D2145">
        <v>37456092</v>
      </c>
      <c r="E2145">
        <v>28.63</v>
      </c>
      <c r="F2145">
        <v>6.32</v>
      </c>
    </row>
    <row r="2146" spans="1:6" x14ac:dyDescent="0.3">
      <c r="A2146" t="s">
        <v>3457</v>
      </c>
      <c r="B2146" t="s">
        <v>1996</v>
      </c>
      <c r="C2146" t="s">
        <v>3401</v>
      </c>
      <c r="D2146">
        <v>37533859</v>
      </c>
      <c r="E2146">
        <v>4.71</v>
      </c>
      <c r="F2146">
        <v>5.34</v>
      </c>
    </row>
    <row r="2147" spans="1:6" x14ac:dyDescent="0.3">
      <c r="A2147" t="s">
        <v>3458</v>
      </c>
      <c r="B2147" t="s">
        <v>3459</v>
      </c>
      <c r="C2147" t="s">
        <v>3460</v>
      </c>
      <c r="D2147">
        <v>37540097</v>
      </c>
      <c r="E2147">
        <v>4.12</v>
      </c>
      <c r="F2147">
        <v>4.5999999999999996</v>
      </c>
    </row>
    <row r="2148" spans="1:6" x14ac:dyDescent="0.3">
      <c r="A2148" t="s">
        <v>3461</v>
      </c>
      <c r="B2148" t="s">
        <v>3311</v>
      </c>
      <c r="C2148" t="s">
        <v>3462</v>
      </c>
      <c r="D2148">
        <v>37542663</v>
      </c>
      <c r="E2148">
        <v>7</v>
      </c>
      <c r="F2148">
        <v>6.5</v>
      </c>
    </row>
    <row r="2149" spans="1:6" x14ac:dyDescent="0.3">
      <c r="A2149" t="s">
        <v>3463</v>
      </c>
      <c r="B2149" t="s">
        <v>1792</v>
      </c>
      <c r="C2149" t="s">
        <v>3464</v>
      </c>
      <c r="D2149">
        <v>37553284</v>
      </c>
      <c r="E2149">
        <v>15.34</v>
      </c>
      <c r="F2149">
        <v>7.8</v>
      </c>
    </row>
    <row r="2150" spans="1:6" x14ac:dyDescent="0.3">
      <c r="A2150" t="s">
        <v>3465</v>
      </c>
      <c r="B2150" t="s">
        <v>3466</v>
      </c>
      <c r="C2150" t="s">
        <v>3467</v>
      </c>
      <c r="D2150">
        <v>37564595</v>
      </c>
      <c r="E2150">
        <v>8</v>
      </c>
      <c r="F2150">
        <v>6.25</v>
      </c>
    </row>
    <row r="2151" spans="1:6" x14ac:dyDescent="0.3">
      <c r="A2151" t="s">
        <v>3468</v>
      </c>
      <c r="B2151" t="s">
        <v>3469</v>
      </c>
      <c r="C2151" t="s">
        <v>3470</v>
      </c>
      <c r="D2151">
        <v>37586936</v>
      </c>
      <c r="E2151">
        <v>7.71</v>
      </c>
      <c r="F2151">
        <v>6.29</v>
      </c>
    </row>
    <row r="2152" spans="1:6" x14ac:dyDescent="0.3">
      <c r="A2152" t="s">
        <v>3471</v>
      </c>
      <c r="B2152" t="s">
        <v>3472</v>
      </c>
      <c r="C2152" t="s">
        <v>3473</v>
      </c>
      <c r="D2152">
        <v>37612759</v>
      </c>
      <c r="E2152">
        <v>4.25</v>
      </c>
      <c r="F2152">
        <v>4.5</v>
      </c>
    </row>
    <row r="2153" spans="1:6" x14ac:dyDescent="0.3">
      <c r="A2153" t="s">
        <v>3474</v>
      </c>
      <c r="B2153" t="s">
        <v>3336</v>
      </c>
      <c r="C2153" t="s">
        <v>2810</v>
      </c>
      <c r="D2153">
        <v>37617449</v>
      </c>
      <c r="E2153">
        <v>2.16</v>
      </c>
      <c r="F2153">
        <v>6.35</v>
      </c>
    </row>
    <row r="2154" spans="1:6" x14ac:dyDescent="0.3">
      <c r="A2154" t="s">
        <v>3190</v>
      </c>
      <c r="B2154" t="s">
        <v>3475</v>
      </c>
      <c r="C2154" t="s">
        <v>3190</v>
      </c>
      <c r="D2154">
        <v>37635239</v>
      </c>
      <c r="E2154">
        <v>9.4</v>
      </c>
      <c r="F2154">
        <v>7.11</v>
      </c>
    </row>
    <row r="2155" spans="1:6" x14ac:dyDescent="0.3">
      <c r="A2155" t="s">
        <v>3476</v>
      </c>
      <c r="B2155" t="s">
        <v>3012</v>
      </c>
      <c r="C2155" t="s">
        <v>3220</v>
      </c>
      <c r="D2155">
        <v>37655167</v>
      </c>
      <c r="E2155">
        <v>16.18</v>
      </c>
      <c r="F2155">
        <v>6.4</v>
      </c>
    </row>
    <row r="2156" spans="1:6" x14ac:dyDescent="0.3">
      <c r="A2156" t="s">
        <v>3477</v>
      </c>
      <c r="B2156" t="s">
        <v>1010</v>
      </c>
      <c r="C2156" t="s">
        <v>3478</v>
      </c>
      <c r="D2156">
        <v>37669046</v>
      </c>
      <c r="E2156">
        <v>19.940000000000001</v>
      </c>
      <c r="F2156">
        <v>5.9</v>
      </c>
    </row>
    <row r="2157" spans="1:6" x14ac:dyDescent="0.3">
      <c r="A2157" t="s">
        <v>3479</v>
      </c>
      <c r="B2157" t="s">
        <v>3098</v>
      </c>
      <c r="C2157" t="s">
        <v>3480</v>
      </c>
      <c r="D2157">
        <v>37669331</v>
      </c>
      <c r="E2157">
        <v>5.1100000000000003</v>
      </c>
      <c r="F2157">
        <v>6</v>
      </c>
    </row>
    <row r="2158" spans="1:6" x14ac:dyDescent="0.3">
      <c r="A2158" t="s">
        <v>3481</v>
      </c>
      <c r="B2158" t="s">
        <v>3482</v>
      </c>
      <c r="C2158" t="s">
        <v>3483</v>
      </c>
      <c r="D2158">
        <v>37703821</v>
      </c>
      <c r="E2158">
        <v>7</v>
      </c>
      <c r="F2158">
        <v>5</v>
      </c>
    </row>
    <row r="2159" spans="1:6" x14ac:dyDescent="0.3">
      <c r="A2159" t="s">
        <v>3484</v>
      </c>
      <c r="B2159" t="s">
        <v>1842</v>
      </c>
      <c r="C2159" t="s">
        <v>2603</v>
      </c>
      <c r="D2159">
        <v>37721320</v>
      </c>
      <c r="E2159">
        <v>7.25</v>
      </c>
      <c r="F2159">
        <v>5.67</v>
      </c>
    </row>
    <row r="2160" spans="1:6" x14ac:dyDescent="0.3">
      <c r="A2160" t="s">
        <v>3485</v>
      </c>
      <c r="B2160" t="s">
        <v>3486</v>
      </c>
      <c r="C2160" t="s">
        <v>3487</v>
      </c>
      <c r="D2160">
        <v>37722417</v>
      </c>
      <c r="E2160">
        <v>5.47</v>
      </c>
      <c r="F2160">
        <v>6.57</v>
      </c>
    </row>
    <row r="2161" spans="1:6" x14ac:dyDescent="0.3">
      <c r="A2161" t="s">
        <v>3488</v>
      </c>
      <c r="B2161" t="s">
        <v>2916</v>
      </c>
      <c r="C2161" t="s">
        <v>3039</v>
      </c>
      <c r="D2161">
        <v>37741763</v>
      </c>
      <c r="E2161">
        <v>17.5</v>
      </c>
      <c r="F2161">
        <v>3.6</v>
      </c>
    </row>
    <row r="2162" spans="1:6" x14ac:dyDescent="0.3">
      <c r="A2162" t="s">
        <v>3489</v>
      </c>
      <c r="B2162" t="s">
        <v>1196</v>
      </c>
      <c r="C2162" t="s">
        <v>3490</v>
      </c>
      <c r="D2162">
        <v>37745103</v>
      </c>
      <c r="E2162">
        <v>7.75</v>
      </c>
      <c r="F2162">
        <v>6</v>
      </c>
    </row>
    <row r="2163" spans="1:6" x14ac:dyDescent="0.3">
      <c r="A2163" t="s">
        <v>3491</v>
      </c>
      <c r="B2163" t="s">
        <v>3037</v>
      </c>
      <c r="C2163" t="s">
        <v>2189</v>
      </c>
      <c r="D2163">
        <v>37792861</v>
      </c>
      <c r="E2163">
        <v>28.97</v>
      </c>
      <c r="F2163">
        <v>7.67</v>
      </c>
    </row>
    <row r="2164" spans="1:6" x14ac:dyDescent="0.3">
      <c r="A2164" t="s">
        <v>3492</v>
      </c>
      <c r="B2164" t="s">
        <v>3493</v>
      </c>
      <c r="C2164" t="s">
        <v>3278</v>
      </c>
      <c r="D2164">
        <v>37816477</v>
      </c>
      <c r="E2164">
        <v>10.67</v>
      </c>
      <c r="F2164">
        <v>6.5</v>
      </c>
    </row>
    <row r="2165" spans="1:6" x14ac:dyDescent="0.3">
      <c r="A2165" t="s">
        <v>3494</v>
      </c>
      <c r="B2165" t="s">
        <v>3495</v>
      </c>
      <c r="C2165" t="s">
        <v>3496</v>
      </c>
      <c r="D2165">
        <v>37830694</v>
      </c>
      <c r="E2165">
        <v>7</v>
      </c>
      <c r="F2165">
        <v>4</v>
      </c>
    </row>
    <row r="2166" spans="1:6" x14ac:dyDescent="0.3">
      <c r="A2166" t="s">
        <v>3497</v>
      </c>
      <c r="B2166" t="s">
        <v>1513</v>
      </c>
      <c r="C2166" t="s">
        <v>2950</v>
      </c>
      <c r="D2166">
        <v>37835518</v>
      </c>
      <c r="E2166">
        <v>11</v>
      </c>
      <c r="F2166">
        <v>6</v>
      </c>
    </row>
    <row r="2167" spans="1:6" x14ac:dyDescent="0.3">
      <c r="A2167" t="s">
        <v>3498</v>
      </c>
      <c r="B2167" t="s">
        <v>2756</v>
      </c>
      <c r="C2167" t="s">
        <v>3499</v>
      </c>
      <c r="D2167">
        <v>37842055</v>
      </c>
      <c r="E2167">
        <v>3.93</v>
      </c>
      <c r="F2167">
        <v>5.45</v>
      </c>
    </row>
    <row r="2168" spans="1:6" x14ac:dyDescent="0.3">
      <c r="A2168" t="s">
        <v>3500</v>
      </c>
      <c r="B2168" t="s">
        <v>1986</v>
      </c>
      <c r="C2168" t="s">
        <v>1904</v>
      </c>
      <c r="D2168">
        <v>37849820</v>
      </c>
      <c r="E2168">
        <v>7.27</v>
      </c>
      <c r="F2168">
        <v>5.29</v>
      </c>
    </row>
    <row r="2169" spans="1:6" x14ac:dyDescent="0.3">
      <c r="A2169" t="s">
        <v>3501</v>
      </c>
      <c r="B2169" t="s">
        <v>3283</v>
      </c>
      <c r="C2169" t="s">
        <v>1577</v>
      </c>
      <c r="D2169">
        <v>37887838</v>
      </c>
      <c r="E2169">
        <v>19.760000000000002</v>
      </c>
      <c r="F2169">
        <v>5</v>
      </c>
    </row>
    <row r="2170" spans="1:6" x14ac:dyDescent="0.3">
      <c r="A2170" t="s">
        <v>3502</v>
      </c>
      <c r="B2170" t="s">
        <v>3503</v>
      </c>
      <c r="C2170" t="s">
        <v>2494</v>
      </c>
      <c r="D2170">
        <v>37887910</v>
      </c>
      <c r="E2170">
        <v>8.69</v>
      </c>
      <c r="F2170">
        <v>7.36</v>
      </c>
    </row>
    <row r="2171" spans="1:6" x14ac:dyDescent="0.3">
      <c r="A2171" t="s">
        <v>3504</v>
      </c>
      <c r="B2171" t="s">
        <v>2433</v>
      </c>
      <c r="C2171" t="s">
        <v>3013</v>
      </c>
      <c r="D2171">
        <v>37889982</v>
      </c>
      <c r="E2171">
        <v>10.18</v>
      </c>
      <c r="F2171">
        <v>7.37</v>
      </c>
    </row>
    <row r="2172" spans="1:6" x14ac:dyDescent="0.3">
      <c r="A2172" t="s">
        <v>3505</v>
      </c>
      <c r="B2172" t="s">
        <v>3506</v>
      </c>
      <c r="C2172" t="s">
        <v>2282</v>
      </c>
      <c r="D2172">
        <v>37915591</v>
      </c>
      <c r="E2172">
        <v>10.73</v>
      </c>
      <c r="F2172">
        <v>8.07</v>
      </c>
    </row>
    <row r="2173" spans="1:6" x14ac:dyDescent="0.3">
      <c r="A2173" t="s">
        <v>3507</v>
      </c>
      <c r="B2173" t="s">
        <v>3348</v>
      </c>
      <c r="C2173" t="s">
        <v>3508</v>
      </c>
      <c r="D2173">
        <v>37915833</v>
      </c>
      <c r="E2173">
        <v>9.17</v>
      </c>
      <c r="F2173">
        <v>7.2</v>
      </c>
    </row>
    <row r="2174" spans="1:6" x14ac:dyDescent="0.3">
      <c r="A2174" t="s">
        <v>3509</v>
      </c>
      <c r="B2174" t="s">
        <v>2423</v>
      </c>
      <c r="C2174" t="s">
        <v>3510</v>
      </c>
      <c r="D2174">
        <v>37924850</v>
      </c>
      <c r="E2174">
        <v>16.329999999999998</v>
      </c>
      <c r="F2174">
        <v>7.67</v>
      </c>
    </row>
    <row r="2175" spans="1:6" x14ac:dyDescent="0.3">
      <c r="A2175" t="s">
        <v>3511</v>
      </c>
      <c r="B2175" t="s">
        <v>3512</v>
      </c>
      <c r="C2175" t="s">
        <v>2510</v>
      </c>
      <c r="D2175">
        <v>37974870</v>
      </c>
      <c r="E2175">
        <v>9.25</v>
      </c>
      <c r="F2175">
        <v>7.5</v>
      </c>
    </row>
    <row r="2176" spans="1:6" x14ac:dyDescent="0.3">
      <c r="A2176" t="s">
        <v>3513</v>
      </c>
      <c r="B2176" t="s">
        <v>3514</v>
      </c>
      <c r="C2176" t="s">
        <v>3515</v>
      </c>
      <c r="D2176">
        <v>38005686</v>
      </c>
      <c r="E2176">
        <v>14.58</v>
      </c>
      <c r="F2176">
        <v>5.88</v>
      </c>
    </row>
    <row r="2177" spans="1:6" x14ac:dyDescent="0.3">
      <c r="A2177" t="s">
        <v>3516</v>
      </c>
      <c r="B2177" t="s">
        <v>3517</v>
      </c>
      <c r="C2177" t="s">
        <v>3518</v>
      </c>
      <c r="D2177">
        <v>38012707</v>
      </c>
      <c r="E2177">
        <v>13</v>
      </c>
      <c r="F2177">
        <v>2.33</v>
      </c>
    </row>
    <row r="2178" spans="1:6" x14ac:dyDescent="0.3">
      <c r="A2178" t="s">
        <v>3519</v>
      </c>
      <c r="B2178" t="s">
        <v>900</v>
      </c>
      <c r="C2178" t="s">
        <v>3520</v>
      </c>
      <c r="D2178">
        <v>38038529</v>
      </c>
      <c r="E2178">
        <v>11.38</v>
      </c>
      <c r="F2178">
        <v>5.33</v>
      </c>
    </row>
    <row r="2179" spans="1:6" x14ac:dyDescent="0.3">
      <c r="A2179" t="s">
        <v>3521</v>
      </c>
      <c r="B2179" t="s">
        <v>1141</v>
      </c>
      <c r="C2179" t="s">
        <v>2711</v>
      </c>
      <c r="D2179">
        <v>38047229</v>
      </c>
      <c r="E2179">
        <v>21.98</v>
      </c>
      <c r="F2179">
        <v>5.71</v>
      </c>
    </row>
    <row r="2180" spans="1:6" x14ac:dyDescent="0.3">
      <c r="A2180" t="s">
        <v>3522</v>
      </c>
      <c r="B2180" t="s">
        <v>1996</v>
      </c>
      <c r="C2180" t="s">
        <v>3523</v>
      </c>
      <c r="D2180">
        <v>38074822</v>
      </c>
      <c r="E2180">
        <v>3.12</v>
      </c>
      <c r="F2180">
        <v>6.04</v>
      </c>
    </row>
    <row r="2181" spans="1:6" x14ac:dyDescent="0.3">
      <c r="A2181" t="s">
        <v>3524</v>
      </c>
      <c r="B2181" t="s">
        <v>3159</v>
      </c>
      <c r="C2181" t="s">
        <v>1944</v>
      </c>
      <c r="D2181">
        <v>38125008</v>
      </c>
      <c r="E2181">
        <v>4.67</v>
      </c>
      <c r="F2181">
        <v>6.4</v>
      </c>
    </row>
    <row r="2182" spans="1:6" x14ac:dyDescent="0.3">
      <c r="A2182" t="s">
        <v>3525</v>
      </c>
      <c r="B2182" t="s">
        <v>2638</v>
      </c>
      <c r="C2182" t="s">
        <v>1801</v>
      </c>
      <c r="D2182">
        <v>38142097</v>
      </c>
      <c r="E2182">
        <v>23.5</v>
      </c>
      <c r="F2182">
        <v>9.5</v>
      </c>
    </row>
    <row r="2183" spans="1:6" x14ac:dyDescent="0.3">
      <c r="A2183" t="s">
        <v>3526</v>
      </c>
      <c r="B2183" t="s">
        <v>2897</v>
      </c>
      <c r="C2183" t="s">
        <v>9</v>
      </c>
      <c r="D2183">
        <v>38150633</v>
      </c>
      <c r="E2183">
        <v>8.0399999999999991</v>
      </c>
      <c r="F2183">
        <v>5.86</v>
      </c>
    </row>
    <row r="2184" spans="1:6" x14ac:dyDescent="0.3">
      <c r="A2184" t="s">
        <v>3527</v>
      </c>
      <c r="B2184" t="s">
        <v>91</v>
      </c>
      <c r="C2184" t="s">
        <v>3220</v>
      </c>
      <c r="D2184">
        <v>38166456</v>
      </c>
      <c r="E2184">
        <v>5.75</v>
      </c>
      <c r="F2184">
        <v>4.75</v>
      </c>
    </row>
    <row r="2185" spans="1:6" x14ac:dyDescent="0.3">
      <c r="A2185" t="s">
        <v>3528</v>
      </c>
      <c r="B2185" t="s">
        <v>3482</v>
      </c>
      <c r="C2185" t="s">
        <v>3529</v>
      </c>
      <c r="D2185">
        <v>38192633</v>
      </c>
      <c r="E2185">
        <v>3.82</v>
      </c>
      <c r="F2185">
        <v>6</v>
      </c>
    </row>
    <row r="2186" spans="1:6" x14ac:dyDescent="0.3">
      <c r="A2186" t="s">
        <v>102</v>
      </c>
      <c r="B2186" t="s">
        <v>2843</v>
      </c>
      <c r="C2186" t="s">
        <v>349</v>
      </c>
      <c r="D2186">
        <v>38227798</v>
      </c>
      <c r="E2186">
        <v>6</v>
      </c>
      <c r="F2186">
        <v>7</v>
      </c>
    </row>
    <row r="2187" spans="1:6" x14ac:dyDescent="0.3">
      <c r="A2187" t="s">
        <v>3530</v>
      </c>
      <c r="B2187" t="s">
        <v>3452</v>
      </c>
      <c r="C2187" t="s">
        <v>3531</v>
      </c>
      <c r="D2187">
        <v>38228604</v>
      </c>
      <c r="E2187">
        <v>16.8</v>
      </c>
      <c r="F2187">
        <v>5</v>
      </c>
    </row>
    <row r="2188" spans="1:6" x14ac:dyDescent="0.3">
      <c r="A2188" t="s">
        <v>3532</v>
      </c>
      <c r="B2188" t="s">
        <v>3200</v>
      </c>
      <c r="C2188" t="s">
        <v>2711</v>
      </c>
      <c r="D2188">
        <v>38234257</v>
      </c>
      <c r="E2188">
        <v>25.5</v>
      </c>
      <c r="F2188">
        <v>8</v>
      </c>
    </row>
    <row r="2189" spans="1:6" x14ac:dyDescent="0.3">
      <c r="A2189" t="s">
        <v>3533</v>
      </c>
      <c r="B2189" t="s">
        <v>342</v>
      </c>
      <c r="C2189" t="s">
        <v>736</v>
      </c>
      <c r="D2189">
        <v>38235367</v>
      </c>
      <c r="E2189">
        <v>27.16</v>
      </c>
      <c r="F2189">
        <v>5.67</v>
      </c>
    </row>
    <row r="2190" spans="1:6" x14ac:dyDescent="0.3">
      <c r="A2190" t="s">
        <v>3534</v>
      </c>
      <c r="B2190" t="s">
        <v>3283</v>
      </c>
      <c r="C2190" t="s">
        <v>3535</v>
      </c>
      <c r="D2190">
        <v>38266774</v>
      </c>
      <c r="E2190">
        <v>4.8899999999999997</v>
      </c>
      <c r="F2190">
        <v>6</v>
      </c>
    </row>
    <row r="2191" spans="1:6" x14ac:dyDescent="0.3">
      <c r="A2191" t="s">
        <v>2281</v>
      </c>
      <c r="B2191" t="s">
        <v>3323</v>
      </c>
      <c r="C2191" t="s">
        <v>3415</v>
      </c>
      <c r="D2191">
        <v>38276534</v>
      </c>
      <c r="E2191">
        <v>6.5</v>
      </c>
      <c r="F2191">
        <v>7</v>
      </c>
    </row>
    <row r="2192" spans="1:6" x14ac:dyDescent="0.3">
      <c r="A2192" t="s">
        <v>3536</v>
      </c>
      <c r="B2192" t="s">
        <v>2466</v>
      </c>
      <c r="C2192" t="s">
        <v>3201</v>
      </c>
      <c r="D2192">
        <v>38306937</v>
      </c>
      <c r="E2192">
        <v>16.86</v>
      </c>
      <c r="F2192">
        <v>4.95</v>
      </c>
    </row>
    <row r="2193" spans="1:6" x14ac:dyDescent="0.3">
      <c r="A2193" t="s">
        <v>3537</v>
      </c>
      <c r="B2193" t="s">
        <v>3538</v>
      </c>
      <c r="C2193" t="s">
        <v>1843</v>
      </c>
      <c r="D2193">
        <v>38313371</v>
      </c>
      <c r="E2193">
        <v>6.83</v>
      </c>
      <c r="F2193">
        <v>6.75</v>
      </c>
    </row>
    <row r="2194" spans="1:6" x14ac:dyDescent="0.3">
      <c r="A2194" t="s">
        <v>3539</v>
      </c>
      <c r="B2194" t="s">
        <v>1479</v>
      </c>
      <c r="C2194" t="s">
        <v>3015</v>
      </c>
      <c r="D2194">
        <v>38336313</v>
      </c>
      <c r="E2194">
        <v>5.44</v>
      </c>
      <c r="F2194">
        <v>6.67</v>
      </c>
    </row>
    <row r="2195" spans="1:6" x14ac:dyDescent="0.3">
      <c r="A2195" t="s">
        <v>3540</v>
      </c>
      <c r="B2195" t="s">
        <v>3541</v>
      </c>
      <c r="C2195" t="s">
        <v>771</v>
      </c>
      <c r="D2195">
        <v>38337454</v>
      </c>
      <c r="E2195">
        <v>7</v>
      </c>
      <c r="F2195">
        <v>4.25</v>
      </c>
    </row>
    <row r="2196" spans="1:6" x14ac:dyDescent="0.3">
      <c r="A2196" t="s">
        <v>3542</v>
      </c>
      <c r="B2196" t="s">
        <v>1986</v>
      </c>
      <c r="C2196" t="s">
        <v>813</v>
      </c>
      <c r="D2196">
        <v>38357498</v>
      </c>
      <c r="E2196">
        <v>6.62</v>
      </c>
      <c r="F2196">
        <v>5.78</v>
      </c>
    </row>
    <row r="2197" spans="1:6" x14ac:dyDescent="0.3">
      <c r="A2197" t="s">
        <v>3543</v>
      </c>
      <c r="B2197" t="s">
        <v>2433</v>
      </c>
      <c r="C2197" t="s">
        <v>3361</v>
      </c>
      <c r="D2197">
        <v>38398923</v>
      </c>
      <c r="E2197">
        <v>10.67</v>
      </c>
      <c r="F2197">
        <v>6.08</v>
      </c>
    </row>
    <row r="2198" spans="1:6" x14ac:dyDescent="0.3">
      <c r="A2198" t="s">
        <v>3544</v>
      </c>
      <c r="B2198" t="s">
        <v>3545</v>
      </c>
      <c r="C2198" t="s">
        <v>3546</v>
      </c>
      <c r="D2198">
        <v>38400960</v>
      </c>
      <c r="E2198">
        <v>12.17</v>
      </c>
      <c r="F2198">
        <v>7.8</v>
      </c>
    </row>
    <row r="2199" spans="1:6" x14ac:dyDescent="0.3">
      <c r="A2199" t="s">
        <v>3547</v>
      </c>
      <c r="B2199" t="s">
        <v>1559</v>
      </c>
      <c r="C2199" t="s">
        <v>3548</v>
      </c>
      <c r="D2199">
        <v>38427291</v>
      </c>
      <c r="E2199">
        <v>4.32</v>
      </c>
      <c r="F2199">
        <v>6.53</v>
      </c>
    </row>
    <row r="2200" spans="1:6" x14ac:dyDescent="0.3">
      <c r="A2200" t="s">
        <v>1086</v>
      </c>
      <c r="B2200" t="s">
        <v>1083</v>
      </c>
      <c r="C2200" t="s">
        <v>1087</v>
      </c>
      <c r="D2200">
        <v>38429635</v>
      </c>
      <c r="E2200">
        <v>9.48</v>
      </c>
      <c r="F2200">
        <v>6.37</v>
      </c>
    </row>
    <row r="2201" spans="1:6" x14ac:dyDescent="0.3">
      <c r="A2201" t="s">
        <v>3549</v>
      </c>
      <c r="B2201" t="s">
        <v>3550</v>
      </c>
      <c r="C2201" t="s">
        <v>3551</v>
      </c>
      <c r="D2201">
        <v>38445559</v>
      </c>
      <c r="E2201">
        <v>11.93</v>
      </c>
      <c r="F2201">
        <v>6.6</v>
      </c>
    </row>
    <row r="2202" spans="1:6" x14ac:dyDescent="0.3">
      <c r="A2202" t="s">
        <v>3552</v>
      </c>
      <c r="B2202" t="s">
        <v>3120</v>
      </c>
      <c r="C2202" t="s">
        <v>2816</v>
      </c>
      <c r="D2202">
        <v>38447311</v>
      </c>
      <c r="E2202">
        <v>8.06</v>
      </c>
      <c r="F2202">
        <v>7</v>
      </c>
    </row>
    <row r="2203" spans="1:6" x14ac:dyDescent="0.3">
      <c r="A2203" t="s">
        <v>3553</v>
      </c>
      <c r="B2203" t="s">
        <v>3554</v>
      </c>
      <c r="C2203" t="s">
        <v>3555</v>
      </c>
      <c r="D2203">
        <v>38472993</v>
      </c>
      <c r="E2203">
        <v>7.6</v>
      </c>
      <c r="F2203">
        <v>7.5</v>
      </c>
    </row>
    <row r="2204" spans="1:6" x14ac:dyDescent="0.3">
      <c r="A2204" t="s">
        <v>3556</v>
      </c>
      <c r="B2204" t="s">
        <v>2989</v>
      </c>
      <c r="C2204" t="s">
        <v>3557</v>
      </c>
      <c r="D2204">
        <v>38473049</v>
      </c>
      <c r="E2204">
        <v>12.17</v>
      </c>
      <c r="F2204">
        <v>6.3</v>
      </c>
    </row>
    <row r="2205" spans="1:6" x14ac:dyDescent="0.3">
      <c r="A2205" t="s">
        <v>3558</v>
      </c>
      <c r="B2205" t="s">
        <v>3559</v>
      </c>
      <c r="C2205" t="s">
        <v>2251</v>
      </c>
      <c r="D2205">
        <v>38486565</v>
      </c>
      <c r="E2205">
        <v>12.25</v>
      </c>
      <c r="F2205">
        <v>6.75</v>
      </c>
    </row>
    <row r="2206" spans="1:6" x14ac:dyDescent="0.3">
      <c r="A2206" t="s">
        <v>3560</v>
      </c>
      <c r="B2206" t="s">
        <v>2409</v>
      </c>
      <c r="C2206" t="s">
        <v>3030</v>
      </c>
      <c r="D2206">
        <v>38491012</v>
      </c>
      <c r="E2206">
        <v>19.329999999999998</v>
      </c>
      <c r="F2206">
        <v>5.5</v>
      </c>
    </row>
    <row r="2207" spans="1:6" x14ac:dyDescent="0.3">
      <c r="A2207" t="s">
        <v>3561</v>
      </c>
      <c r="B2207" t="s">
        <v>2462</v>
      </c>
      <c r="C2207" t="s">
        <v>874</v>
      </c>
      <c r="D2207">
        <v>38494820</v>
      </c>
      <c r="E2207">
        <v>8.86</v>
      </c>
      <c r="F2207">
        <v>6.33</v>
      </c>
    </row>
    <row r="2208" spans="1:6" x14ac:dyDescent="0.3">
      <c r="A2208" t="s">
        <v>3562</v>
      </c>
      <c r="B2208" t="s">
        <v>1589</v>
      </c>
      <c r="C2208" t="s">
        <v>3563</v>
      </c>
      <c r="D2208">
        <v>38514054</v>
      </c>
      <c r="E2208">
        <v>2.9</v>
      </c>
      <c r="F2208">
        <v>7.07</v>
      </c>
    </row>
    <row r="2209" spans="1:6" x14ac:dyDescent="0.3">
      <c r="A2209" t="s">
        <v>3564</v>
      </c>
      <c r="B2209" t="s">
        <v>2088</v>
      </c>
      <c r="C2209" t="s">
        <v>3565</v>
      </c>
      <c r="D2209">
        <v>38515466</v>
      </c>
      <c r="E2209">
        <v>5.22</v>
      </c>
      <c r="F2209">
        <v>5.38</v>
      </c>
    </row>
    <row r="2210" spans="1:6" x14ac:dyDescent="0.3">
      <c r="A2210" t="s">
        <v>3566</v>
      </c>
      <c r="B2210" t="s">
        <v>3567</v>
      </c>
      <c r="C2210" t="s">
        <v>3253</v>
      </c>
      <c r="D2210">
        <v>38520306</v>
      </c>
      <c r="E2210">
        <v>4.3600000000000003</v>
      </c>
      <c r="F2210">
        <v>5.23</v>
      </c>
    </row>
    <row r="2211" spans="1:6" x14ac:dyDescent="0.3">
      <c r="A2211" t="s">
        <v>3568</v>
      </c>
      <c r="B2211" t="s">
        <v>1513</v>
      </c>
      <c r="C2211" t="s">
        <v>2907</v>
      </c>
      <c r="D2211">
        <v>38520371</v>
      </c>
      <c r="E2211">
        <v>7.56</v>
      </c>
      <c r="F2211">
        <v>5.38</v>
      </c>
    </row>
    <row r="2212" spans="1:6" x14ac:dyDescent="0.3">
      <c r="A2212" t="s">
        <v>3569</v>
      </c>
      <c r="B2212" t="s">
        <v>3012</v>
      </c>
      <c r="C2212" t="s">
        <v>2972</v>
      </c>
      <c r="D2212">
        <v>38523317</v>
      </c>
      <c r="E2212">
        <v>6.07</v>
      </c>
      <c r="F2212">
        <v>6</v>
      </c>
    </row>
    <row r="2213" spans="1:6" x14ac:dyDescent="0.3">
      <c r="A2213" t="s">
        <v>3570</v>
      </c>
      <c r="B2213" t="s">
        <v>2756</v>
      </c>
      <c r="C2213" t="s">
        <v>3571</v>
      </c>
      <c r="D2213">
        <v>38549307</v>
      </c>
      <c r="E2213">
        <v>4.99</v>
      </c>
      <c r="F2213">
        <v>3.83</v>
      </c>
    </row>
    <row r="2214" spans="1:6" x14ac:dyDescent="0.3">
      <c r="A2214" t="s">
        <v>3572</v>
      </c>
      <c r="B2214" t="s">
        <v>3072</v>
      </c>
      <c r="C2214" t="s">
        <v>3573</v>
      </c>
      <c r="D2214">
        <v>38550757</v>
      </c>
      <c r="E2214">
        <v>21.84</v>
      </c>
      <c r="F2214">
        <v>7.1</v>
      </c>
    </row>
    <row r="2215" spans="1:6" x14ac:dyDescent="0.3">
      <c r="A2215" t="s">
        <v>3574</v>
      </c>
      <c r="B2215" t="s">
        <v>3575</v>
      </c>
      <c r="C2215" t="s">
        <v>3576</v>
      </c>
      <c r="D2215">
        <v>38554031</v>
      </c>
      <c r="E2215">
        <v>7</v>
      </c>
      <c r="F2215">
        <v>4.67</v>
      </c>
    </row>
    <row r="2216" spans="1:6" x14ac:dyDescent="0.3">
      <c r="A2216" t="s">
        <v>3577</v>
      </c>
      <c r="B2216" t="s">
        <v>3222</v>
      </c>
      <c r="C2216" t="s">
        <v>3578</v>
      </c>
      <c r="D2216">
        <v>38597310</v>
      </c>
      <c r="E2216">
        <v>5.6</v>
      </c>
      <c r="F2216">
        <v>4</v>
      </c>
    </row>
    <row r="2217" spans="1:6" x14ac:dyDescent="0.3">
      <c r="A2217" t="s">
        <v>3579</v>
      </c>
      <c r="B2217" t="s">
        <v>3580</v>
      </c>
      <c r="C2217" t="s">
        <v>1079</v>
      </c>
      <c r="D2217">
        <v>38607828</v>
      </c>
      <c r="E2217">
        <v>17.829999999999998</v>
      </c>
      <c r="F2217">
        <v>8</v>
      </c>
    </row>
    <row r="2218" spans="1:6" x14ac:dyDescent="0.3">
      <c r="A2218" t="s">
        <v>3581</v>
      </c>
      <c r="B2218" t="s">
        <v>3582</v>
      </c>
      <c r="C2218" t="s">
        <v>3583</v>
      </c>
      <c r="D2218">
        <v>38611794</v>
      </c>
      <c r="E2218">
        <v>9.34</v>
      </c>
      <c r="F2218">
        <v>8.35</v>
      </c>
    </row>
    <row r="2219" spans="1:6" x14ac:dyDescent="0.3">
      <c r="A2219" t="s">
        <v>3584</v>
      </c>
      <c r="B2219" t="s">
        <v>3585</v>
      </c>
      <c r="C2219" t="s">
        <v>3198</v>
      </c>
      <c r="D2219">
        <v>38624421</v>
      </c>
      <c r="E2219">
        <v>5.6</v>
      </c>
      <c r="F2219">
        <v>5.8</v>
      </c>
    </row>
    <row r="2220" spans="1:6" x14ac:dyDescent="0.3">
      <c r="A2220" t="s">
        <v>3586</v>
      </c>
      <c r="B2220" t="s">
        <v>2899</v>
      </c>
      <c r="C2220" t="s">
        <v>2282</v>
      </c>
      <c r="D2220">
        <v>38626107</v>
      </c>
      <c r="E2220">
        <v>27</v>
      </c>
      <c r="F2220">
        <v>8</v>
      </c>
    </row>
    <row r="2221" spans="1:6" x14ac:dyDescent="0.3">
      <c r="A2221" t="s">
        <v>3587</v>
      </c>
      <c r="B2221" t="s">
        <v>2555</v>
      </c>
      <c r="C2221" t="s">
        <v>882</v>
      </c>
      <c r="D2221">
        <v>38627341</v>
      </c>
      <c r="E2221">
        <v>8.51</v>
      </c>
      <c r="F2221">
        <v>7</v>
      </c>
    </row>
    <row r="2222" spans="1:6" x14ac:dyDescent="0.3">
      <c r="A2222" t="s">
        <v>3588</v>
      </c>
      <c r="B2222" t="s">
        <v>2609</v>
      </c>
      <c r="C2222" t="s">
        <v>3515</v>
      </c>
      <c r="D2222">
        <v>38637027</v>
      </c>
      <c r="E2222">
        <v>3.52</v>
      </c>
      <c r="F2222">
        <v>6.67</v>
      </c>
    </row>
    <row r="2223" spans="1:6" x14ac:dyDescent="0.3">
      <c r="A2223" t="s">
        <v>3589</v>
      </c>
      <c r="B2223" t="s">
        <v>1331</v>
      </c>
      <c r="C2223">
        <v>1077</v>
      </c>
      <c r="D2223">
        <v>38655495</v>
      </c>
      <c r="E2223">
        <v>31.96</v>
      </c>
      <c r="F2223">
        <v>6.72</v>
      </c>
    </row>
    <row r="2224" spans="1:6" x14ac:dyDescent="0.3">
      <c r="A2224" t="s">
        <v>3590</v>
      </c>
      <c r="B2224" t="s">
        <v>3591</v>
      </c>
      <c r="C2224" t="s">
        <v>3247</v>
      </c>
      <c r="D2224">
        <v>38674703</v>
      </c>
      <c r="E2224">
        <v>5.79</v>
      </c>
      <c r="F2224">
        <v>6.67</v>
      </c>
    </row>
    <row r="2225" spans="1:6" x14ac:dyDescent="0.3">
      <c r="A2225" t="s">
        <v>3592</v>
      </c>
      <c r="B2225" t="s">
        <v>3215</v>
      </c>
      <c r="C2225" t="s">
        <v>2851</v>
      </c>
      <c r="D2225">
        <v>38678843</v>
      </c>
      <c r="E2225">
        <v>5.75</v>
      </c>
      <c r="F2225">
        <v>5</v>
      </c>
    </row>
    <row r="2226" spans="1:6" x14ac:dyDescent="0.3">
      <c r="A2226" t="s">
        <v>3593</v>
      </c>
      <c r="B2226" t="s">
        <v>900</v>
      </c>
      <c r="C2226" t="s">
        <v>3594</v>
      </c>
      <c r="D2226">
        <v>38679651</v>
      </c>
      <c r="E2226">
        <v>11.72</v>
      </c>
      <c r="F2226">
        <v>5.93</v>
      </c>
    </row>
    <row r="2227" spans="1:6" x14ac:dyDescent="0.3">
      <c r="A2227" t="s">
        <v>3595</v>
      </c>
      <c r="B2227" t="s">
        <v>3596</v>
      </c>
      <c r="C2227" t="s">
        <v>3264</v>
      </c>
      <c r="D2227">
        <v>38688279</v>
      </c>
      <c r="E2227">
        <v>9.67</v>
      </c>
      <c r="F2227">
        <v>2.5</v>
      </c>
    </row>
    <row r="2228" spans="1:6" x14ac:dyDescent="0.3">
      <c r="A2228" t="s">
        <v>3597</v>
      </c>
      <c r="B2228" t="s">
        <v>3598</v>
      </c>
      <c r="C2228" t="s">
        <v>3599</v>
      </c>
      <c r="D2228">
        <v>38692449</v>
      </c>
      <c r="E2228">
        <v>7.64</v>
      </c>
      <c r="F2228">
        <v>7.2</v>
      </c>
    </row>
    <row r="2229" spans="1:6" x14ac:dyDescent="0.3">
      <c r="A2229" t="s">
        <v>3600</v>
      </c>
      <c r="B2229" t="s">
        <v>3329</v>
      </c>
      <c r="C2229" t="s">
        <v>3601</v>
      </c>
      <c r="D2229">
        <v>38693063</v>
      </c>
      <c r="E2229">
        <v>6.15</v>
      </c>
      <c r="F2229">
        <v>7.2</v>
      </c>
    </row>
    <row r="2230" spans="1:6" x14ac:dyDescent="0.3">
      <c r="A2230" t="s">
        <v>3602</v>
      </c>
      <c r="B2230" t="s">
        <v>1135</v>
      </c>
      <c r="C2230" t="s">
        <v>1747</v>
      </c>
      <c r="D2230">
        <v>38699394</v>
      </c>
      <c r="E2230">
        <v>11.64</v>
      </c>
      <c r="F2230">
        <v>8.4</v>
      </c>
    </row>
    <row r="2231" spans="1:6" x14ac:dyDescent="0.3">
      <c r="A2231" t="s">
        <v>3603</v>
      </c>
      <c r="B2231" t="s">
        <v>2362</v>
      </c>
      <c r="C2231" t="s">
        <v>3604</v>
      </c>
      <c r="D2231">
        <v>38699466</v>
      </c>
      <c r="E2231">
        <v>4.82</v>
      </c>
      <c r="F2231">
        <v>6.42</v>
      </c>
    </row>
    <row r="2232" spans="1:6" x14ac:dyDescent="0.3">
      <c r="A2232" t="s">
        <v>3605</v>
      </c>
      <c r="B2232" t="s">
        <v>3189</v>
      </c>
      <c r="C2232" t="s">
        <v>847</v>
      </c>
      <c r="D2232">
        <v>38700209</v>
      </c>
      <c r="E2232">
        <v>10.77</v>
      </c>
      <c r="F2232">
        <v>6.5</v>
      </c>
    </row>
    <row r="2233" spans="1:6" x14ac:dyDescent="0.3">
      <c r="A2233" t="s">
        <v>3606</v>
      </c>
      <c r="B2233" t="s">
        <v>3607</v>
      </c>
      <c r="C2233" t="s">
        <v>3608</v>
      </c>
      <c r="D2233">
        <v>38702774</v>
      </c>
      <c r="E2233">
        <v>8.33</v>
      </c>
      <c r="F2233">
        <v>4</v>
      </c>
    </row>
    <row r="2234" spans="1:6" x14ac:dyDescent="0.3">
      <c r="A2234" t="s">
        <v>2972</v>
      </c>
      <c r="B2234" t="s">
        <v>3609</v>
      </c>
      <c r="C2234" t="s">
        <v>2972</v>
      </c>
      <c r="D2234">
        <v>38706212</v>
      </c>
      <c r="E2234">
        <v>3</v>
      </c>
      <c r="F2234">
        <v>6.93</v>
      </c>
    </row>
    <row r="2235" spans="1:6" x14ac:dyDescent="0.3">
      <c r="A2235" t="s">
        <v>3610</v>
      </c>
      <c r="B2235" t="s">
        <v>3227</v>
      </c>
      <c r="C2235" t="s">
        <v>1719</v>
      </c>
      <c r="D2235">
        <v>38714869</v>
      </c>
      <c r="E2235">
        <v>7.24</v>
      </c>
      <c r="F2235">
        <v>7.46</v>
      </c>
    </row>
    <row r="2236" spans="1:6" x14ac:dyDescent="0.3">
      <c r="A2236" t="s">
        <v>3611</v>
      </c>
      <c r="B2236" t="s">
        <v>2791</v>
      </c>
      <c r="C2236" t="s">
        <v>3612</v>
      </c>
      <c r="D2236">
        <v>38735397</v>
      </c>
      <c r="E2236">
        <v>5.89</v>
      </c>
      <c r="F2236">
        <v>5.44</v>
      </c>
    </row>
    <row r="2237" spans="1:6" x14ac:dyDescent="0.3">
      <c r="A2237" t="s">
        <v>3613</v>
      </c>
      <c r="B2237" t="s">
        <v>3427</v>
      </c>
      <c r="C2237" t="s">
        <v>3614</v>
      </c>
      <c r="D2237">
        <v>38750950</v>
      </c>
      <c r="E2237">
        <v>16.77</v>
      </c>
      <c r="F2237">
        <v>8.5500000000000007</v>
      </c>
    </row>
    <row r="2238" spans="1:6" x14ac:dyDescent="0.3">
      <c r="A2238" t="s">
        <v>3615</v>
      </c>
      <c r="B2238" t="s">
        <v>2926</v>
      </c>
      <c r="C2238" t="s">
        <v>1274</v>
      </c>
      <c r="D2238">
        <v>38754426</v>
      </c>
      <c r="E2238">
        <v>27.99</v>
      </c>
      <c r="F2238">
        <v>8.66</v>
      </c>
    </row>
    <row r="2239" spans="1:6" x14ac:dyDescent="0.3">
      <c r="A2239" t="s">
        <v>3616</v>
      </c>
      <c r="B2239" t="s">
        <v>3051</v>
      </c>
      <c r="C2239" t="s">
        <v>379</v>
      </c>
      <c r="D2239">
        <v>38761927</v>
      </c>
      <c r="E2239">
        <v>19.739999999999998</v>
      </c>
      <c r="F2239">
        <v>5.14</v>
      </c>
    </row>
    <row r="2240" spans="1:6" x14ac:dyDescent="0.3">
      <c r="A2240" t="s">
        <v>3617</v>
      </c>
      <c r="B2240" t="s">
        <v>3618</v>
      </c>
      <c r="C2240" t="s">
        <v>1401</v>
      </c>
      <c r="D2240">
        <v>38765979</v>
      </c>
      <c r="E2240">
        <v>26.44</v>
      </c>
      <c r="F2240">
        <v>5.3</v>
      </c>
    </row>
    <row r="2241" spans="1:6" x14ac:dyDescent="0.3">
      <c r="A2241" t="s">
        <v>3619</v>
      </c>
      <c r="B2241" t="s">
        <v>3620</v>
      </c>
      <c r="C2241" t="s">
        <v>3621</v>
      </c>
      <c r="D2241">
        <v>38784522</v>
      </c>
      <c r="E2241">
        <v>19.5</v>
      </c>
      <c r="F2241">
        <v>3</v>
      </c>
    </row>
    <row r="2242" spans="1:6" x14ac:dyDescent="0.3">
      <c r="A2242" t="s">
        <v>3622</v>
      </c>
      <c r="B2242" t="s">
        <v>2837</v>
      </c>
      <c r="C2242" t="s">
        <v>9</v>
      </c>
      <c r="D2242">
        <v>38786978</v>
      </c>
      <c r="E2242">
        <v>11.57</v>
      </c>
      <c r="F2242">
        <v>3.6</v>
      </c>
    </row>
    <row r="2243" spans="1:6" x14ac:dyDescent="0.3">
      <c r="A2243" t="s">
        <v>3623</v>
      </c>
      <c r="B2243" t="s">
        <v>2199</v>
      </c>
      <c r="C2243" t="s">
        <v>175</v>
      </c>
      <c r="D2243">
        <v>38816851</v>
      </c>
      <c r="E2243">
        <v>13.27</v>
      </c>
      <c r="F2243">
        <v>6.56</v>
      </c>
    </row>
    <row r="2244" spans="1:6" x14ac:dyDescent="0.3">
      <c r="A2244" t="s">
        <v>3624</v>
      </c>
      <c r="B2244" t="s">
        <v>3084</v>
      </c>
      <c r="C2244" t="s">
        <v>3625</v>
      </c>
      <c r="D2244">
        <v>38870808</v>
      </c>
      <c r="E2244">
        <v>3.95</v>
      </c>
      <c r="F2244">
        <v>6.58</v>
      </c>
    </row>
    <row r="2245" spans="1:6" x14ac:dyDescent="0.3">
      <c r="A2245" t="s">
        <v>3626</v>
      </c>
      <c r="B2245" t="s">
        <v>3627</v>
      </c>
      <c r="C2245" t="s">
        <v>3628</v>
      </c>
      <c r="D2245">
        <v>38894661</v>
      </c>
      <c r="E2245">
        <v>14.84</v>
      </c>
      <c r="F2245">
        <v>7.06</v>
      </c>
    </row>
    <row r="2246" spans="1:6" x14ac:dyDescent="0.3">
      <c r="A2246" t="s">
        <v>3629</v>
      </c>
      <c r="B2246" t="s">
        <v>3283</v>
      </c>
      <c r="C2246" t="s">
        <v>3551</v>
      </c>
      <c r="D2246">
        <v>38919484</v>
      </c>
      <c r="E2246">
        <v>9.7100000000000009</v>
      </c>
      <c r="F2246">
        <v>5.48</v>
      </c>
    </row>
    <row r="2247" spans="1:6" x14ac:dyDescent="0.3">
      <c r="A2247" t="s">
        <v>3630</v>
      </c>
      <c r="B2247" t="s">
        <v>3631</v>
      </c>
      <c r="C2247" t="s">
        <v>2006</v>
      </c>
      <c r="D2247">
        <v>39012231</v>
      </c>
      <c r="E2247">
        <v>16.920000000000002</v>
      </c>
      <c r="F2247">
        <v>6.2</v>
      </c>
    </row>
    <row r="2248" spans="1:6" x14ac:dyDescent="0.3">
      <c r="A2248" t="s">
        <v>3632</v>
      </c>
      <c r="B2248" t="s">
        <v>1881</v>
      </c>
      <c r="C2248" t="s">
        <v>3632</v>
      </c>
      <c r="D2248">
        <v>39053058</v>
      </c>
      <c r="E2248">
        <v>6.07</v>
      </c>
      <c r="F2248">
        <v>5.83</v>
      </c>
    </row>
    <row r="2249" spans="1:6" x14ac:dyDescent="0.3">
      <c r="A2249" t="s">
        <v>3633</v>
      </c>
      <c r="B2249" t="s">
        <v>3634</v>
      </c>
      <c r="C2249" t="s">
        <v>3190</v>
      </c>
      <c r="D2249">
        <v>39067115</v>
      </c>
      <c r="E2249">
        <v>7</v>
      </c>
      <c r="F2249">
        <v>4.5999999999999996</v>
      </c>
    </row>
    <row r="2250" spans="1:6" x14ac:dyDescent="0.3">
      <c r="A2250" t="s">
        <v>3635</v>
      </c>
      <c r="B2250" t="s">
        <v>3636</v>
      </c>
      <c r="C2250" t="s">
        <v>2509</v>
      </c>
      <c r="D2250">
        <v>39070192</v>
      </c>
      <c r="E2250">
        <v>13</v>
      </c>
      <c r="F2250">
        <v>3.57</v>
      </c>
    </row>
    <row r="2251" spans="1:6" x14ac:dyDescent="0.3">
      <c r="A2251" t="s">
        <v>3637</v>
      </c>
      <c r="B2251" t="s">
        <v>2913</v>
      </c>
      <c r="C2251" t="s">
        <v>3638</v>
      </c>
      <c r="D2251">
        <v>39104607</v>
      </c>
      <c r="E2251">
        <v>3.26</v>
      </c>
      <c r="F2251">
        <v>5.46</v>
      </c>
    </row>
    <row r="2252" spans="1:6" x14ac:dyDescent="0.3">
      <c r="A2252" t="s">
        <v>3639</v>
      </c>
      <c r="B2252" t="s">
        <v>3640</v>
      </c>
      <c r="C2252" t="s">
        <v>3641</v>
      </c>
      <c r="D2252">
        <v>39106071</v>
      </c>
      <c r="E2252">
        <v>7.67</v>
      </c>
      <c r="F2252">
        <v>2</v>
      </c>
    </row>
    <row r="2253" spans="1:6" x14ac:dyDescent="0.3">
      <c r="A2253" t="s">
        <v>3642</v>
      </c>
      <c r="B2253" t="s">
        <v>3643</v>
      </c>
      <c r="C2253" t="s">
        <v>3644</v>
      </c>
      <c r="D2253">
        <v>39147829</v>
      </c>
      <c r="E2253">
        <v>6.63</v>
      </c>
      <c r="F2253">
        <v>5.6</v>
      </c>
    </row>
    <row r="2254" spans="1:6" x14ac:dyDescent="0.3">
      <c r="A2254" t="s">
        <v>3645</v>
      </c>
      <c r="B2254" t="s">
        <v>3311</v>
      </c>
      <c r="C2254" t="s">
        <v>2781</v>
      </c>
      <c r="D2254">
        <v>39150001</v>
      </c>
      <c r="E2254">
        <v>2.5</v>
      </c>
      <c r="F2254">
        <v>7.42</v>
      </c>
    </row>
    <row r="2255" spans="1:6" x14ac:dyDescent="0.3">
      <c r="A2255" t="s">
        <v>3646</v>
      </c>
      <c r="B2255" t="s">
        <v>3109</v>
      </c>
      <c r="C2255" t="s">
        <v>723</v>
      </c>
      <c r="D2255">
        <v>39230296</v>
      </c>
      <c r="E2255">
        <v>3.03</v>
      </c>
      <c r="F2255">
        <v>6.04</v>
      </c>
    </row>
    <row r="2256" spans="1:6" x14ac:dyDescent="0.3">
      <c r="A2256" t="s">
        <v>3647</v>
      </c>
      <c r="B2256" t="s">
        <v>2409</v>
      </c>
      <c r="C2256" t="s">
        <v>2310</v>
      </c>
      <c r="D2256">
        <v>39237764</v>
      </c>
      <c r="E2256">
        <v>14.17</v>
      </c>
      <c r="F2256">
        <v>6.62</v>
      </c>
    </row>
    <row r="2257" spans="1:6" x14ac:dyDescent="0.3">
      <c r="A2257" t="s">
        <v>3648</v>
      </c>
      <c r="B2257" t="s">
        <v>965</v>
      </c>
      <c r="C2257" t="s">
        <v>3649</v>
      </c>
      <c r="D2257">
        <v>39242117</v>
      </c>
      <c r="E2257">
        <v>21.23</v>
      </c>
      <c r="F2257">
        <v>6.22</v>
      </c>
    </row>
    <row r="2258" spans="1:6" x14ac:dyDescent="0.3">
      <c r="A2258" t="s">
        <v>2988</v>
      </c>
      <c r="B2258" t="s">
        <v>2193</v>
      </c>
      <c r="C2258" t="s">
        <v>3650</v>
      </c>
      <c r="D2258">
        <v>39266949</v>
      </c>
      <c r="E2258">
        <v>17.8</v>
      </c>
      <c r="F2258">
        <v>7.6</v>
      </c>
    </row>
    <row r="2259" spans="1:6" x14ac:dyDescent="0.3">
      <c r="A2259" t="s">
        <v>3651</v>
      </c>
      <c r="B2259" t="s">
        <v>1576</v>
      </c>
      <c r="C2259">
        <v>322</v>
      </c>
      <c r="D2259">
        <v>39359328</v>
      </c>
      <c r="E2259">
        <v>12.13</v>
      </c>
      <c r="F2259">
        <v>6.32</v>
      </c>
    </row>
    <row r="2260" spans="1:6" x14ac:dyDescent="0.3">
      <c r="A2260" t="s">
        <v>3652</v>
      </c>
      <c r="B2260" t="s">
        <v>91</v>
      </c>
      <c r="C2260" t="s">
        <v>3653</v>
      </c>
      <c r="D2260">
        <v>39387387</v>
      </c>
      <c r="E2260">
        <v>7.13</v>
      </c>
      <c r="F2260">
        <v>5.45</v>
      </c>
    </row>
    <row r="2261" spans="1:6" x14ac:dyDescent="0.3">
      <c r="A2261" t="s">
        <v>3654</v>
      </c>
      <c r="B2261" t="s">
        <v>2409</v>
      </c>
      <c r="C2261" t="s">
        <v>3655</v>
      </c>
      <c r="D2261">
        <v>39424706</v>
      </c>
      <c r="E2261">
        <v>12.6</v>
      </c>
      <c r="F2261">
        <v>6.8</v>
      </c>
    </row>
    <row r="2262" spans="1:6" x14ac:dyDescent="0.3">
      <c r="A2262" t="s">
        <v>3656</v>
      </c>
      <c r="B2262" t="s">
        <v>3051</v>
      </c>
      <c r="C2262" t="s">
        <v>2942</v>
      </c>
      <c r="D2262">
        <v>39441247</v>
      </c>
      <c r="E2262">
        <v>6.63</v>
      </c>
      <c r="F2262">
        <v>5.67</v>
      </c>
    </row>
    <row r="2263" spans="1:6" x14ac:dyDescent="0.3">
      <c r="A2263" t="s">
        <v>3657</v>
      </c>
      <c r="B2263" t="s">
        <v>2943</v>
      </c>
      <c r="C2263" t="s">
        <v>3658</v>
      </c>
      <c r="D2263">
        <v>39458641</v>
      </c>
      <c r="E2263">
        <v>21.12</v>
      </c>
      <c r="F2263">
        <v>6.8</v>
      </c>
    </row>
    <row r="2264" spans="1:6" x14ac:dyDescent="0.3">
      <c r="A2264" t="s">
        <v>3659</v>
      </c>
      <c r="B2264" t="s">
        <v>1003</v>
      </c>
      <c r="C2264" t="s">
        <v>3660</v>
      </c>
      <c r="D2264">
        <v>39495014</v>
      </c>
      <c r="E2264">
        <v>11.18</v>
      </c>
      <c r="F2264">
        <v>7.32</v>
      </c>
    </row>
    <row r="2265" spans="1:6" x14ac:dyDescent="0.3">
      <c r="A2265" t="s">
        <v>3661</v>
      </c>
      <c r="B2265" t="s">
        <v>3662</v>
      </c>
      <c r="C2265" t="s">
        <v>3663</v>
      </c>
      <c r="D2265">
        <v>39519875</v>
      </c>
      <c r="E2265">
        <v>16.329999999999998</v>
      </c>
      <c r="F2265">
        <v>7.33</v>
      </c>
    </row>
    <row r="2266" spans="1:6" x14ac:dyDescent="0.3">
      <c r="A2266" t="s">
        <v>3664</v>
      </c>
      <c r="B2266" t="s">
        <v>1666</v>
      </c>
      <c r="C2266" t="s">
        <v>3665</v>
      </c>
      <c r="D2266">
        <v>39544488</v>
      </c>
      <c r="E2266">
        <v>8.5</v>
      </c>
      <c r="F2266">
        <v>4.5999999999999996</v>
      </c>
    </row>
    <row r="2267" spans="1:6" x14ac:dyDescent="0.3">
      <c r="A2267" t="s">
        <v>3666</v>
      </c>
      <c r="B2267" t="s">
        <v>2910</v>
      </c>
      <c r="C2267" t="s">
        <v>2418</v>
      </c>
      <c r="D2267">
        <v>39599737</v>
      </c>
      <c r="E2267">
        <v>3.85</v>
      </c>
      <c r="F2267">
        <v>6.25</v>
      </c>
    </row>
    <row r="2268" spans="1:6" x14ac:dyDescent="0.3">
      <c r="A2268" t="s">
        <v>3667</v>
      </c>
      <c r="B2268" t="s">
        <v>3668</v>
      </c>
      <c r="C2268" t="s">
        <v>2110</v>
      </c>
      <c r="D2268">
        <v>39609872</v>
      </c>
      <c r="E2268">
        <v>6.57</v>
      </c>
      <c r="F2268">
        <v>8.14</v>
      </c>
    </row>
    <row r="2269" spans="1:6" x14ac:dyDescent="0.3">
      <c r="A2269" t="s">
        <v>3669</v>
      </c>
      <c r="B2269" t="s">
        <v>1589</v>
      </c>
      <c r="C2269" t="s">
        <v>1213</v>
      </c>
      <c r="D2269">
        <v>39641092</v>
      </c>
      <c r="E2269">
        <v>20.55</v>
      </c>
      <c r="F2269">
        <v>5.82</v>
      </c>
    </row>
    <row r="2270" spans="1:6" x14ac:dyDescent="0.3">
      <c r="A2270" t="s">
        <v>3670</v>
      </c>
      <c r="B2270" t="s">
        <v>2166</v>
      </c>
      <c r="C2270" t="s">
        <v>63</v>
      </c>
      <c r="D2270">
        <v>39691337</v>
      </c>
      <c r="E2270">
        <v>19.079999999999998</v>
      </c>
      <c r="F2270">
        <v>6.63</v>
      </c>
    </row>
    <row r="2271" spans="1:6" x14ac:dyDescent="0.3">
      <c r="A2271" t="s">
        <v>3671</v>
      </c>
      <c r="B2271" t="s">
        <v>1576</v>
      </c>
      <c r="C2271" t="s">
        <v>3672</v>
      </c>
      <c r="D2271">
        <v>39732335</v>
      </c>
      <c r="E2271">
        <v>11.23</v>
      </c>
      <c r="F2271">
        <v>6.64</v>
      </c>
    </row>
    <row r="2272" spans="1:6" x14ac:dyDescent="0.3">
      <c r="A2272" t="s">
        <v>3673</v>
      </c>
      <c r="B2272" t="s">
        <v>2722</v>
      </c>
      <c r="C2272" t="s">
        <v>3361</v>
      </c>
      <c r="D2272">
        <v>39744569</v>
      </c>
      <c r="E2272">
        <v>8</v>
      </c>
      <c r="F2272">
        <v>5</v>
      </c>
    </row>
    <row r="2273" spans="1:6" x14ac:dyDescent="0.3">
      <c r="A2273" t="s">
        <v>7</v>
      </c>
      <c r="B2273" t="s">
        <v>3674</v>
      </c>
      <c r="C2273" t="s">
        <v>3675</v>
      </c>
      <c r="D2273">
        <v>39769638</v>
      </c>
      <c r="E2273">
        <v>4.2</v>
      </c>
      <c r="F2273">
        <v>5.19</v>
      </c>
    </row>
    <row r="2274" spans="1:6" x14ac:dyDescent="0.3">
      <c r="A2274" t="s">
        <v>3676</v>
      </c>
      <c r="B2274" t="s">
        <v>3466</v>
      </c>
      <c r="C2274" t="s">
        <v>3677</v>
      </c>
      <c r="D2274">
        <v>39779147</v>
      </c>
      <c r="E2274">
        <v>7</v>
      </c>
      <c r="F2274">
        <v>4.75</v>
      </c>
    </row>
    <row r="2275" spans="1:6" x14ac:dyDescent="0.3">
      <c r="A2275" t="s">
        <v>3678</v>
      </c>
      <c r="B2275" t="s">
        <v>3679</v>
      </c>
      <c r="C2275" t="s">
        <v>2682</v>
      </c>
      <c r="D2275">
        <v>39788567</v>
      </c>
      <c r="E2275">
        <v>5.83</v>
      </c>
      <c r="F2275">
        <v>6.4</v>
      </c>
    </row>
    <row r="2276" spans="1:6" x14ac:dyDescent="0.3">
      <c r="A2276" t="s">
        <v>3680</v>
      </c>
      <c r="B2276" t="s">
        <v>3681</v>
      </c>
      <c r="C2276" t="s">
        <v>966</v>
      </c>
      <c r="D2276">
        <v>39832454</v>
      </c>
      <c r="E2276">
        <v>31.03</v>
      </c>
      <c r="F2276">
        <v>6.7</v>
      </c>
    </row>
    <row r="2277" spans="1:6" x14ac:dyDescent="0.3">
      <c r="A2277" t="s">
        <v>3682</v>
      </c>
      <c r="B2277" t="s">
        <v>3063</v>
      </c>
      <c r="C2277" t="s">
        <v>3632</v>
      </c>
      <c r="D2277">
        <v>39835355</v>
      </c>
      <c r="E2277">
        <v>8.4</v>
      </c>
      <c r="F2277">
        <v>3</v>
      </c>
    </row>
    <row r="2278" spans="1:6" x14ac:dyDescent="0.3">
      <c r="A2278" t="s">
        <v>3683</v>
      </c>
      <c r="B2278" t="s">
        <v>1996</v>
      </c>
      <c r="C2278" t="s">
        <v>3684</v>
      </c>
      <c r="D2278">
        <v>39961775</v>
      </c>
      <c r="E2278">
        <v>4.09</v>
      </c>
      <c r="F2278">
        <v>5.35</v>
      </c>
    </row>
    <row r="2279" spans="1:6" x14ac:dyDescent="0.3">
      <c r="A2279" t="s">
        <v>1344</v>
      </c>
      <c r="B2279" t="s">
        <v>3685</v>
      </c>
      <c r="C2279" t="s">
        <v>2994</v>
      </c>
      <c r="D2279">
        <v>39972227</v>
      </c>
      <c r="E2279">
        <v>6.25</v>
      </c>
      <c r="F2279">
        <v>6</v>
      </c>
    </row>
    <row r="2280" spans="1:6" x14ac:dyDescent="0.3">
      <c r="A2280" t="s">
        <v>3686</v>
      </c>
      <c r="B2280" t="s">
        <v>609</v>
      </c>
      <c r="C2280" t="s">
        <v>3687</v>
      </c>
      <c r="D2280">
        <v>39976494</v>
      </c>
      <c r="E2280">
        <v>22</v>
      </c>
      <c r="F2280">
        <v>5.23</v>
      </c>
    </row>
    <row r="2281" spans="1:6" x14ac:dyDescent="0.3">
      <c r="A2281" t="s">
        <v>3688</v>
      </c>
      <c r="B2281" t="s">
        <v>2433</v>
      </c>
      <c r="C2281" t="s">
        <v>2103</v>
      </c>
      <c r="D2281">
        <v>40014967</v>
      </c>
      <c r="E2281">
        <v>6.71</v>
      </c>
      <c r="F2281">
        <v>6</v>
      </c>
    </row>
    <row r="2282" spans="1:6" x14ac:dyDescent="0.3">
      <c r="A2282" t="s">
        <v>3689</v>
      </c>
      <c r="B2282" t="s">
        <v>3690</v>
      </c>
      <c r="C2282" t="s">
        <v>2979</v>
      </c>
      <c r="D2282">
        <v>40067143</v>
      </c>
      <c r="E2282">
        <v>11.8</v>
      </c>
      <c r="F2282">
        <v>6</v>
      </c>
    </row>
    <row r="2283" spans="1:6" x14ac:dyDescent="0.3">
      <c r="A2283" t="s">
        <v>3691</v>
      </c>
      <c r="B2283" t="s">
        <v>3692</v>
      </c>
      <c r="C2283" t="s">
        <v>3693</v>
      </c>
      <c r="D2283">
        <v>40079507</v>
      </c>
      <c r="E2283">
        <v>3.57</v>
      </c>
      <c r="F2283">
        <v>5.18</v>
      </c>
    </row>
    <row r="2284" spans="1:6" x14ac:dyDescent="0.3">
      <c r="A2284" t="s">
        <v>3694</v>
      </c>
      <c r="B2284" t="s">
        <v>3695</v>
      </c>
      <c r="C2284" t="s">
        <v>3696</v>
      </c>
      <c r="D2284">
        <v>40103114</v>
      </c>
      <c r="E2284">
        <v>3.29</v>
      </c>
      <c r="F2284">
        <v>6.06</v>
      </c>
    </row>
    <row r="2285" spans="1:6" x14ac:dyDescent="0.3">
      <c r="A2285" t="s">
        <v>3697</v>
      </c>
      <c r="B2285" t="s">
        <v>3698</v>
      </c>
      <c r="C2285" t="s">
        <v>3415</v>
      </c>
      <c r="D2285">
        <v>40109673</v>
      </c>
      <c r="E2285">
        <v>17</v>
      </c>
      <c r="F2285">
        <v>5</v>
      </c>
    </row>
    <row r="2286" spans="1:6" x14ac:dyDescent="0.3">
      <c r="A2286" t="s">
        <v>3699</v>
      </c>
      <c r="B2286" t="s">
        <v>1259</v>
      </c>
      <c r="C2286" t="s">
        <v>3393</v>
      </c>
      <c r="D2286">
        <v>40112171</v>
      </c>
      <c r="E2286">
        <v>11.13</v>
      </c>
      <c r="F2286">
        <v>6.63</v>
      </c>
    </row>
    <row r="2287" spans="1:6" x14ac:dyDescent="0.3">
      <c r="A2287" t="s">
        <v>3700</v>
      </c>
      <c r="B2287" t="s">
        <v>2133</v>
      </c>
      <c r="C2287" t="s">
        <v>3701</v>
      </c>
      <c r="D2287">
        <v>40125024</v>
      </c>
      <c r="E2287">
        <v>4.82</v>
      </c>
      <c r="F2287">
        <v>6.64</v>
      </c>
    </row>
    <row r="2288" spans="1:6" x14ac:dyDescent="0.3">
      <c r="A2288" t="s">
        <v>3702</v>
      </c>
      <c r="B2288" t="s">
        <v>3703</v>
      </c>
      <c r="C2288" t="s">
        <v>3190</v>
      </c>
      <c r="D2288">
        <v>40144191</v>
      </c>
      <c r="E2288">
        <v>16</v>
      </c>
      <c r="F2288">
        <v>4.67</v>
      </c>
    </row>
    <row r="2289" spans="1:6" x14ac:dyDescent="0.3">
      <c r="A2289" t="s">
        <v>3704</v>
      </c>
      <c r="B2289" t="s">
        <v>1826</v>
      </c>
      <c r="C2289" t="s">
        <v>2481</v>
      </c>
      <c r="D2289">
        <v>40202837</v>
      </c>
      <c r="E2289">
        <v>6.95</v>
      </c>
      <c r="F2289">
        <v>7.46</v>
      </c>
    </row>
    <row r="2290" spans="1:6" x14ac:dyDescent="0.3">
      <c r="A2290" t="s">
        <v>3705</v>
      </c>
      <c r="B2290" t="s">
        <v>1976</v>
      </c>
      <c r="C2290" t="s">
        <v>3706</v>
      </c>
      <c r="D2290">
        <v>40224045</v>
      </c>
      <c r="E2290">
        <v>2.62</v>
      </c>
      <c r="F2290">
        <v>6.33</v>
      </c>
    </row>
    <row r="2291" spans="1:6" x14ac:dyDescent="0.3">
      <c r="A2291" t="s">
        <v>3707</v>
      </c>
      <c r="B2291" t="s">
        <v>3708</v>
      </c>
      <c r="C2291" t="s">
        <v>3709</v>
      </c>
      <c r="D2291">
        <v>40232788</v>
      </c>
      <c r="E2291">
        <v>5</v>
      </c>
      <c r="F2291">
        <v>6.86</v>
      </c>
    </row>
    <row r="2292" spans="1:6" x14ac:dyDescent="0.3">
      <c r="A2292" t="s">
        <v>3710</v>
      </c>
      <c r="B2292" t="s">
        <v>3711</v>
      </c>
      <c r="C2292" t="s">
        <v>3264</v>
      </c>
      <c r="D2292">
        <v>40237452</v>
      </c>
      <c r="E2292">
        <v>3.86</v>
      </c>
      <c r="F2292">
        <v>5.54</v>
      </c>
    </row>
    <row r="2293" spans="1:6" x14ac:dyDescent="0.3">
      <c r="A2293" t="s">
        <v>3712</v>
      </c>
      <c r="B2293" t="s">
        <v>2018</v>
      </c>
      <c r="C2293" t="s">
        <v>3713</v>
      </c>
      <c r="D2293">
        <v>40238745</v>
      </c>
      <c r="E2293">
        <v>5.57</v>
      </c>
      <c r="F2293">
        <v>6.5</v>
      </c>
    </row>
    <row r="2294" spans="1:6" x14ac:dyDescent="0.3">
      <c r="A2294" t="s">
        <v>3714</v>
      </c>
      <c r="B2294" t="s">
        <v>3715</v>
      </c>
      <c r="C2294" t="s">
        <v>3551</v>
      </c>
      <c r="D2294">
        <v>40242557</v>
      </c>
      <c r="E2294">
        <v>7.05</v>
      </c>
      <c r="F2294">
        <v>7</v>
      </c>
    </row>
    <row r="2295" spans="1:6" x14ac:dyDescent="0.3">
      <c r="A2295" t="s">
        <v>3716</v>
      </c>
      <c r="B2295" t="s">
        <v>517</v>
      </c>
      <c r="C2295" t="s">
        <v>3717</v>
      </c>
      <c r="D2295">
        <v>40257022</v>
      </c>
      <c r="E2295">
        <v>3.81</v>
      </c>
      <c r="F2295">
        <v>5.69</v>
      </c>
    </row>
    <row r="2296" spans="1:6" x14ac:dyDescent="0.3">
      <c r="A2296" t="s">
        <v>3156</v>
      </c>
      <c r="B2296" t="s">
        <v>3206</v>
      </c>
      <c r="C2296" t="s">
        <v>813</v>
      </c>
      <c r="D2296">
        <v>40292513</v>
      </c>
      <c r="E2296">
        <v>31</v>
      </c>
      <c r="F2296">
        <v>6.17</v>
      </c>
    </row>
    <row r="2297" spans="1:6" x14ac:dyDescent="0.3">
      <c r="A2297" t="s">
        <v>3718</v>
      </c>
      <c r="B2297" t="s">
        <v>3719</v>
      </c>
      <c r="C2297" t="s">
        <v>2970</v>
      </c>
      <c r="D2297">
        <v>40299716</v>
      </c>
      <c r="E2297">
        <v>18.27</v>
      </c>
      <c r="F2297">
        <v>5.87</v>
      </c>
    </row>
    <row r="2298" spans="1:6" x14ac:dyDescent="0.3">
      <c r="A2298" t="s">
        <v>3720</v>
      </c>
      <c r="B2298" t="s">
        <v>3721</v>
      </c>
      <c r="C2298" t="s">
        <v>3722</v>
      </c>
      <c r="D2298">
        <v>40313947</v>
      </c>
      <c r="E2298">
        <v>10.57</v>
      </c>
      <c r="F2298">
        <v>7.5</v>
      </c>
    </row>
    <row r="2299" spans="1:6" x14ac:dyDescent="0.3">
      <c r="A2299" t="s">
        <v>3723</v>
      </c>
      <c r="B2299" t="s">
        <v>951</v>
      </c>
      <c r="C2299" t="s">
        <v>2688</v>
      </c>
      <c r="D2299">
        <v>40328796</v>
      </c>
      <c r="E2299">
        <v>16.809999999999999</v>
      </c>
      <c r="F2299">
        <v>7.1</v>
      </c>
    </row>
    <row r="2300" spans="1:6" x14ac:dyDescent="0.3">
      <c r="A2300" t="s">
        <v>3724</v>
      </c>
      <c r="B2300" t="s">
        <v>3051</v>
      </c>
      <c r="C2300" t="s">
        <v>3725</v>
      </c>
      <c r="D2300">
        <v>40344223</v>
      </c>
      <c r="E2300">
        <v>5.39</v>
      </c>
      <c r="F2300">
        <v>7.11</v>
      </c>
    </row>
    <row r="2301" spans="1:6" x14ac:dyDescent="0.3">
      <c r="A2301" t="s">
        <v>3726</v>
      </c>
      <c r="B2301" t="s">
        <v>2756</v>
      </c>
      <c r="C2301">
        <v>322</v>
      </c>
      <c r="D2301">
        <v>40367903</v>
      </c>
      <c r="E2301">
        <v>2.93</v>
      </c>
      <c r="F2301">
        <v>6.32</v>
      </c>
    </row>
    <row r="2302" spans="1:6" x14ac:dyDescent="0.3">
      <c r="A2302" t="s">
        <v>3727</v>
      </c>
      <c r="B2302" t="s">
        <v>1990</v>
      </c>
      <c r="C2302" t="s">
        <v>3728</v>
      </c>
      <c r="D2302">
        <v>40370070</v>
      </c>
      <c r="E2302">
        <v>3.28</v>
      </c>
      <c r="F2302">
        <v>5.81</v>
      </c>
    </row>
    <row r="2303" spans="1:6" x14ac:dyDescent="0.3">
      <c r="A2303" t="s">
        <v>3729</v>
      </c>
      <c r="B2303" t="s">
        <v>3730</v>
      </c>
      <c r="C2303" t="s">
        <v>3731</v>
      </c>
      <c r="D2303">
        <v>40460600</v>
      </c>
      <c r="E2303">
        <v>19.11</v>
      </c>
      <c r="F2303">
        <v>5.43</v>
      </c>
    </row>
    <row r="2304" spans="1:6" x14ac:dyDescent="0.3">
      <c r="A2304" t="s">
        <v>3732</v>
      </c>
      <c r="B2304" t="s">
        <v>2534</v>
      </c>
      <c r="C2304" t="s">
        <v>3733</v>
      </c>
      <c r="D2304">
        <v>40463389</v>
      </c>
      <c r="E2304">
        <v>5.75</v>
      </c>
      <c r="F2304">
        <v>4.33</v>
      </c>
    </row>
    <row r="2305" spans="1:6" x14ac:dyDescent="0.3">
      <c r="A2305" t="s">
        <v>3734</v>
      </c>
      <c r="B2305" t="s">
        <v>3735</v>
      </c>
      <c r="C2305" t="s">
        <v>3190</v>
      </c>
      <c r="D2305">
        <v>40489579</v>
      </c>
      <c r="E2305">
        <v>7.91</v>
      </c>
      <c r="F2305">
        <v>7.33</v>
      </c>
    </row>
    <row r="2306" spans="1:6" x14ac:dyDescent="0.3">
      <c r="A2306" t="s">
        <v>3736</v>
      </c>
      <c r="B2306" t="s">
        <v>2771</v>
      </c>
      <c r="C2306" t="s">
        <v>1087</v>
      </c>
      <c r="D2306">
        <v>40524017</v>
      </c>
      <c r="E2306">
        <v>19.5</v>
      </c>
      <c r="F2306">
        <v>7.5</v>
      </c>
    </row>
    <row r="2307" spans="1:6" x14ac:dyDescent="0.3">
      <c r="A2307" t="s">
        <v>3737</v>
      </c>
      <c r="B2307" t="s">
        <v>2954</v>
      </c>
      <c r="C2307" t="s">
        <v>3085</v>
      </c>
      <c r="D2307">
        <v>40533187</v>
      </c>
      <c r="E2307">
        <v>11</v>
      </c>
      <c r="F2307">
        <v>8.33</v>
      </c>
    </row>
    <row r="2308" spans="1:6" x14ac:dyDescent="0.3">
      <c r="A2308" t="s">
        <v>3738</v>
      </c>
      <c r="B2308" t="s">
        <v>3739</v>
      </c>
      <c r="C2308" t="s">
        <v>2679</v>
      </c>
      <c r="D2308">
        <v>40543252</v>
      </c>
      <c r="E2308">
        <v>10.78</v>
      </c>
      <c r="F2308">
        <v>7.89</v>
      </c>
    </row>
    <row r="2309" spans="1:6" x14ac:dyDescent="0.3">
      <c r="A2309" t="s">
        <v>3740</v>
      </c>
      <c r="B2309" t="s">
        <v>3741</v>
      </c>
      <c r="C2309" t="s">
        <v>3499</v>
      </c>
      <c r="D2309">
        <v>40638943</v>
      </c>
      <c r="E2309">
        <v>10</v>
      </c>
      <c r="F2309">
        <v>6.5</v>
      </c>
    </row>
    <row r="2310" spans="1:6" x14ac:dyDescent="0.3">
      <c r="A2310" t="s">
        <v>3742</v>
      </c>
      <c r="B2310" t="s">
        <v>3743</v>
      </c>
      <c r="C2310" t="s">
        <v>3744</v>
      </c>
      <c r="D2310">
        <v>40656500</v>
      </c>
      <c r="E2310">
        <v>15.29</v>
      </c>
      <c r="F2310">
        <v>8</v>
      </c>
    </row>
    <row r="2311" spans="1:6" x14ac:dyDescent="0.3">
      <c r="A2311" t="s">
        <v>3745</v>
      </c>
      <c r="B2311" t="s">
        <v>3746</v>
      </c>
      <c r="C2311" t="s">
        <v>966</v>
      </c>
      <c r="D2311">
        <v>40658359</v>
      </c>
      <c r="E2311">
        <v>5</v>
      </c>
      <c r="F2311">
        <v>7.71</v>
      </c>
    </row>
    <row r="2312" spans="1:6" x14ac:dyDescent="0.3">
      <c r="A2312" t="s">
        <v>3747</v>
      </c>
      <c r="B2312" t="s">
        <v>3212</v>
      </c>
      <c r="C2312" t="s">
        <v>874</v>
      </c>
      <c r="D2312">
        <v>40673110</v>
      </c>
      <c r="E2312">
        <v>7.33</v>
      </c>
      <c r="F2312">
        <v>3.5</v>
      </c>
    </row>
    <row r="2313" spans="1:6" x14ac:dyDescent="0.3">
      <c r="A2313" t="s">
        <v>3748</v>
      </c>
      <c r="B2313" t="s">
        <v>3749</v>
      </c>
      <c r="C2313" t="s">
        <v>3722</v>
      </c>
      <c r="D2313">
        <v>40682480</v>
      </c>
      <c r="E2313">
        <v>15.46</v>
      </c>
      <c r="F2313">
        <v>8.31</v>
      </c>
    </row>
    <row r="2314" spans="1:6" x14ac:dyDescent="0.3">
      <c r="A2314" t="s">
        <v>3750</v>
      </c>
      <c r="B2314" t="s">
        <v>2837</v>
      </c>
      <c r="C2314" t="s">
        <v>3190</v>
      </c>
      <c r="D2314">
        <v>40728161</v>
      </c>
      <c r="E2314">
        <v>14.4</v>
      </c>
      <c r="F2314">
        <v>4.33</v>
      </c>
    </row>
    <row r="2315" spans="1:6" x14ac:dyDescent="0.3">
      <c r="A2315" t="s">
        <v>3751</v>
      </c>
      <c r="B2315" t="s">
        <v>2360</v>
      </c>
      <c r="C2315" t="s">
        <v>3002</v>
      </c>
      <c r="D2315">
        <v>40736894</v>
      </c>
      <c r="E2315">
        <v>18.670000000000002</v>
      </c>
      <c r="F2315">
        <v>5</v>
      </c>
    </row>
    <row r="2316" spans="1:6" x14ac:dyDescent="0.3">
      <c r="A2316" t="s">
        <v>3752</v>
      </c>
      <c r="B2316" t="s">
        <v>3051</v>
      </c>
      <c r="C2316" t="s">
        <v>3753</v>
      </c>
      <c r="D2316">
        <v>40752788</v>
      </c>
      <c r="E2316">
        <v>6.11</v>
      </c>
      <c r="F2316">
        <v>6.14</v>
      </c>
    </row>
    <row r="2317" spans="1:6" x14ac:dyDescent="0.3">
      <c r="A2317" t="s">
        <v>3754</v>
      </c>
      <c r="B2317" t="s">
        <v>3755</v>
      </c>
      <c r="C2317" t="s">
        <v>2352</v>
      </c>
      <c r="D2317">
        <v>40820868</v>
      </c>
      <c r="E2317">
        <v>5.74</v>
      </c>
      <c r="F2317">
        <v>7.85</v>
      </c>
    </row>
    <row r="2318" spans="1:6" x14ac:dyDescent="0.3">
      <c r="A2318" t="s">
        <v>3756</v>
      </c>
      <c r="B2318" t="s">
        <v>3051</v>
      </c>
      <c r="C2318" t="s">
        <v>3757</v>
      </c>
      <c r="D2318">
        <v>40824000</v>
      </c>
      <c r="E2318">
        <v>8.5</v>
      </c>
      <c r="F2318">
        <v>4.5</v>
      </c>
    </row>
    <row r="2319" spans="1:6" x14ac:dyDescent="0.3">
      <c r="A2319" t="s">
        <v>3758</v>
      </c>
      <c r="B2319" t="s">
        <v>91</v>
      </c>
      <c r="C2319" t="s">
        <v>3759</v>
      </c>
      <c r="D2319">
        <v>40855980</v>
      </c>
      <c r="E2319">
        <v>8.3000000000000007</v>
      </c>
      <c r="F2319">
        <v>6.9</v>
      </c>
    </row>
    <row r="2320" spans="1:6" x14ac:dyDescent="0.3">
      <c r="A2320" t="s">
        <v>3760</v>
      </c>
      <c r="B2320" t="s">
        <v>2930</v>
      </c>
      <c r="C2320" t="s">
        <v>3761</v>
      </c>
      <c r="D2320">
        <v>40860010</v>
      </c>
      <c r="E2320">
        <v>3.91</v>
      </c>
      <c r="F2320">
        <v>7.03</v>
      </c>
    </row>
    <row r="2321" spans="1:6" x14ac:dyDescent="0.3">
      <c r="A2321" t="s">
        <v>3762</v>
      </c>
      <c r="B2321" t="s">
        <v>3763</v>
      </c>
      <c r="C2321" t="s">
        <v>3706</v>
      </c>
      <c r="D2321">
        <v>40882205</v>
      </c>
      <c r="E2321">
        <v>8.2200000000000006</v>
      </c>
      <c r="F2321">
        <v>5.71</v>
      </c>
    </row>
    <row r="2322" spans="1:6" x14ac:dyDescent="0.3">
      <c r="A2322" t="s">
        <v>3764</v>
      </c>
      <c r="B2322" t="s">
        <v>3106</v>
      </c>
      <c r="C2322" t="s">
        <v>3644</v>
      </c>
      <c r="D2322">
        <v>40895189</v>
      </c>
      <c r="E2322">
        <v>21.67</v>
      </c>
      <c r="F2322">
        <v>6.83</v>
      </c>
    </row>
    <row r="2323" spans="1:6" x14ac:dyDescent="0.3">
      <c r="A2323" t="s">
        <v>3765</v>
      </c>
      <c r="B2323" t="s">
        <v>2534</v>
      </c>
      <c r="C2323" t="s">
        <v>365</v>
      </c>
      <c r="D2323">
        <v>40902405</v>
      </c>
      <c r="E2323">
        <v>22.83</v>
      </c>
      <c r="F2323">
        <v>5.5</v>
      </c>
    </row>
    <row r="2324" spans="1:6" x14ac:dyDescent="0.3">
      <c r="A2324" t="s">
        <v>3766</v>
      </c>
      <c r="B2324" t="s">
        <v>3767</v>
      </c>
      <c r="C2324" t="s">
        <v>2414</v>
      </c>
      <c r="D2324">
        <v>40907026</v>
      </c>
      <c r="E2324">
        <v>2.81</v>
      </c>
      <c r="F2324">
        <v>5.6</v>
      </c>
    </row>
    <row r="2325" spans="1:6" x14ac:dyDescent="0.3">
      <c r="A2325" t="s">
        <v>3768</v>
      </c>
      <c r="B2325" t="s">
        <v>3582</v>
      </c>
      <c r="C2325" t="s">
        <v>3769</v>
      </c>
      <c r="D2325">
        <v>40926753</v>
      </c>
      <c r="E2325">
        <v>9.4</v>
      </c>
      <c r="F2325">
        <v>6.5</v>
      </c>
    </row>
    <row r="2326" spans="1:6" x14ac:dyDescent="0.3">
      <c r="A2326" t="s">
        <v>3770</v>
      </c>
      <c r="B2326" t="s">
        <v>2609</v>
      </c>
      <c r="C2326" t="s">
        <v>3771</v>
      </c>
      <c r="D2326">
        <v>40945673</v>
      </c>
      <c r="E2326">
        <v>13</v>
      </c>
      <c r="F2326">
        <v>6.29</v>
      </c>
    </row>
    <row r="2327" spans="1:6" x14ac:dyDescent="0.3">
      <c r="A2327" t="s">
        <v>3772</v>
      </c>
      <c r="B2327" t="s">
        <v>1962</v>
      </c>
      <c r="C2327" t="s">
        <v>3725</v>
      </c>
      <c r="D2327">
        <v>41007125</v>
      </c>
      <c r="E2327">
        <v>4.0999999999999996</v>
      </c>
      <c r="F2327">
        <v>6.59</v>
      </c>
    </row>
    <row r="2328" spans="1:6" x14ac:dyDescent="0.3">
      <c r="A2328" t="s">
        <v>3773</v>
      </c>
      <c r="B2328" t="s">
        <v>3774</v>
      </c>
      <c r="C2328" t="s">
        <v>3483</v>
      </c>
      <c r="D2328">
        <v>41037190</v>
      </c>
      <c r="E2328">
        <v>7</v>
      </c>
      <c r="F2328">
        <v>2.33</v>
      </c>
    </row>
    <row r="2329" spans="1:6" x14ac:dyDescent="0.3">
      <c r="A2329" t="s">
        <v>3775</v>
      </c>
      <c r="B2329" t="s">
        <v>3012</v>
      </c>
      <c r="C2329" t="s">
        <v>704</v>
      </c>
      <c r="D2329">
        <v>41038290</v>
      </c>
      <c r="E2329">
        <v>3.91</v>
      </c>
      <c r="F2329">
        <v>7.08</v>
      </c>
    </row>
    <row r="2330" spans="1:6" x14ac:dyDescent="0.3">
      <c r="A2330" t="s">
        <v>3776</v>
      </c>
      <c r="B2330" t="s">
        <v>1589</v>
      </c>
      <c r="C2330" t="s">
        <v>1034</v>
      </c>
      <c r="D2330">
        <v>41058711</v>
      </c>
      <c r="E2330">
        <v>28</v>
      </c>
      <c r="F2330">
        <v>6</v>
      </c>
    </row>
    <row r="2331" spans="1:6" x14ac:dyDescent="0.3">
      <c r="A2331" t="s">
        <v>1086</v>
      </c>
      <c r="B2331" t="s">
        <v>3377</v>
      </c>
      <c r="C2331" t="s">
        <v>896</v>
      </c>
      <c r="D2331">
        <v>41112534</v>
      </c>
      <c r="E2331">
        <v>8.81</v>
      </c>
      <c r="F2331">
        <v>4.5</v>
      </c>
    </row>
    <row r="2332" spans="1:6" x14ac:dyDescent="0.3">
      <c r="A2332" t="s">
        <v>3777</v>
      </c>
      <c r="B2332" t="s">
        <v>3778</v>
      </c>
      <c r="C2332" t="s">
        <v>3013</v>
      </c>
      <c r="D2332">
        <v>41123779</v>
      </c>
      <c r="E2332">
        <v>15.72</v>
      </c>
      <c r="F2332">
        <v>7.29</v>
      </c>
    </row>
    <row r="2333" spans="1:6" x14ac:dyDescent="0.3">
      <c r="A2333" t="s">
        <v>3779</v>
      </c>
      <c r="B2333" t="s">
        <v>3780</v>
      </c>
      <c r="C2333" t="s">
        <v>1658</v>
      </c>
      <c r="D2333">
        <v>41149984</v>
      </c>
      <c r="E2333">
        <v>25.99</v>
      </c>
      <c r="F2333">
        <v>6</v>
      </c>
    </row>
    <row r="2334" spans="1:6" x14ac:dyDescent="0.3">
      <c r="A2334" t="s">
        <v>3781</v>
      </c>
      <c r="B2334" t="s">
        <v>3782</v>
      </c>
      <c r="C2334" t="s">
        <v>3783</v>
      </c>
      <c r="D2334">
        <v>41157094</v>
      </c>
      <c r="E2334">
        <v>3.79</v>
      </c>
      <c r="F2334">
        <v>5.86</v>
      </c>
    </row>
    <row r="2335" spans="1:6" x14ac:dyDescent="0.3">
      <c r="A2335" t="s">
        <v>3784</v>
      </c>
      <c r="B2335" t="s">
        <v>3685</v>
      </c>
      <c r="C2335" t="s">
        <v>2682</v>
      </c>
      <c r="D2335">
        <v>41166197</v>
      </c>
      <c r="E2335">
        <v>8.4</v>
      </c>
      <c r="F2335">
        <v>4.8</v>
      </c>
    </row>
    <row r="2336" spans="1:6" x14ac:dyDescent="0.3">
      <c r="A2336" t="s">
        <v>3785</v>
      </c>
      <c r="B2336" t="s">
        <v>2672</v>
      </c>
      <c r="C2336" t="s">
        <v>3786</v>
      </c>
      <c r="D2336">
        <v>41189327</v>
      </c>
      <c r="E2336">
        <v>6.17</v>
      </c>
      <c r="F2336">
        <v>7.2</v>
      </c>
    </row>
    <row r="2337" spans="1:6" x14ac:dyDescent="0.3">
      <c r="A2337" t="s">
        <v>3787</v>
      </c>
      <c r="B2337" t="s">
        <v>1230</v>
      </c>
      <c r="C2337" t="s">
        <v>65</v>
      </c>
      <c r="D2337">
        <v>41268707</v>
      </c>
      <c r="E2337">
        <v>2.87</v>
      </c>
      <c r="F2337">
        <v>7.09</v>
      </c>
    </row>
    <row r="2338" spans="1:6" x14ac:dyDescent="0.3">
      <c r="A2338" t="s">
        <v>3788</v>
      </c>
      <c r="B2338" t="s">
        <v>3142</v>
      </c>
      <c r="C2338" t="s">
        <v>3789</v>
      </c>
      <c r="D2338">
        <v>41287705</v>
      </c>
      <c r="E2338">
        <v>3.19</v>
      </c>
      <c r="F2338">
        <v>6.14</v>
      </c>
    </row>
    <row r="2339" spans="1:6" x14ac:dyDescent="0.3">
      <c r="A2339" t="s">
        <v>3790</v>
      </c>
      <c r="B2339" t="s">
        <v>3063</v>
      </c>
      <c r="C2339" t="s">
        <v>3757</v>
      </c>
      <c r="D2339">
        <v>41288234</v>
      </c>
      <c r="E2339">
        <v>6.33</v>
      </c>
      <c r="F2339">
        <v>6</v>
      </c>
    </row>
    <row r="2340" spans="1:6" x14ac:dyDescent="0.3">
      <c r="A2340" t="s">
        <v>3791</v>
      </c>
      <c r="B2340" t="s">
        <v>3538</v>
      </c>
      <c r="C2340" t="s">
        <v>3039</v>
      </c>
      <c r="D2340">
        <v>41293157</v>
      </c>
      <c r="E2340">
        <v>26</v>
      </c>
      <c r="F2340">
        <v>6</v>
      </c>
    </row>
    <row r="2341" spans="1:6" x14ac:dyDescent="0.3">
      <c r="A2341" t="s">
        <v>3792</v>
      </c>
      <c r="B2341" t="s">
        <v>1227</v>
      </c>
      <c r="C2341" t="s">
        <v>2924</v>
      </c>
      <c r="D2341">
        <v>41308635</v>
      </c>
      <c r="E2341">
        <v>7.79</v>
      </c>
      <c r="F2341">
        <v>7.06</v>
      </c>
    </row>
    <row r="2342" spans="1:6" x14ac:dyDescent="0.3">
      <c r="A2342" t="s">
        <v>3793</v>
      </c>
      <c r="B2342" t="s">
        <v>2501</v>
      </c>
      <c r="C2342" t="s">
        <v>2972</v>
      </c>
      <c r="D2342">
        <v>41352267</v>
      </c>
      <c r="E2342">
        <v>19.25</v>
      </c>
      <c r="F2342">
        <v>6.5</v>
      </c>
    </row>
    <row r="2343" spans="1:6" x14ac:dyDescent="0.3">
      <c r="A2343" t="s">
        <v>3794</v>
      </c>
      <c r="B2343" t="s">
        <v>3795</v>
      </c>
      <c r="C2343" t="s">
        <v>966</v>
      </c>
      <c r="D2343">
        <v>41382788</v>
      </c>
      <c r="E2343">
        <v>7</v>
      </c>
      <c r="F2343">
        <v>5.25</v>
      </c>
    </row>
    <row r="2344" spans="1:6" x14ac:dyDescent="0.3">
      <c r="A2344" t="s">
        <v>3796</v>
      </c>
      <c r="B2344" t="s">
        <v>2166</v>
      </c>
      <c r="C2344" t="s">
        <v>2458</v>
      </c>
      <c r="D2344">
        <v>41409797</v>
      </c>
      <c r="E2344">
        <v>18.34</v>
      </c>
      <c r="F2344">
        <v>7.25</v>
      </c>
    </row>
    <row r="2345" spans="1:6" x14ac:dyDescent="0.3">
      <c r="A2345" t="s">
        <v>3797</v>
      </c>
      <c r="B2345" t="s">
        <v>3159</v>
      </c>
      <c r="C2345" t="s">
        <v>3247</v>
      </c>
      <c r="D2345">
        <v>41418832</v>
      </c>
      <c r="E2345">
        <v>5.0199999999999996</v>
      </c>
      <c r="F2345">
        <v>6.2</v>
      </c>
    </row>
    <row r="2346" spans="1:6" x14ac:dyDescent="0.3">
      <c r="A2346" t="s">
        <v>3798</v>
      </c>
      <c r="B2346" t="s">
        <v>2837</v>
      </c>
      <c r="C2346" t="s">
        <v>3757</v>
      </c>
      <c r="D2346">
        <v>41419150</v>
      </c>
      <c r="E2346">
        <v>7.5</v>
      </c>
      <c r="F2346">
        <v>5.33</v>
      </c>
    </row>
    <row r="2347" spans="1:6" x14ac:dyDescent="0.3">
      <c r="A2347" t="s">
        <v>3799</v>
      </c>
      <c r="B2347" t="s">
        <v>3800</v>
      </c>
      <c r="C2347" t="s">
        <v>3801</v>
      </c>
      <c r="D2347">
        <v>41504931</v>
      </c>
      <c r="E2347">
        <v>5.17</v>
      </c>
      <c r="F2347">
        <v>7.15</v>
      </c>
    </row>
    <row r="2348" spans="1:6" x14ac:dyDescent="0.3">
      <c r="A2348" t="s">
        <v>3802</v>
      </c>
      <c r="B2348" t="s">
        <v>3803</v>
      </c>
      <c r="C2348" t="s">
        <v>3696</v>
      </c>
      <c r="D2348">
        <v>41544739</v>
      </c>
      <c r="E2348">
        <v>4.29</v>
      </c>
      <c r="F2348">
        <v>4.21</v>
      </c>
    </row>
    <row r="2349" spans="1:6" x14ac:dyDescent="0.3">
      <c r="A2349" t="s">
        <v>3804</v>
      </c>
      <c r="B2349" t="s">
        <v>3805</v>
      </c>
      <c r="C2349" t="s">
        <v>3806</v>
      </c>
      <c r="D2349">
        <v>41583143</v>
      </c>
      <c r="E2349">
        <v>4.63</v>
      </c>
      <c r="F2349">
        <v>6.29</v>
      </c>
    </row>
    <row r="2350" spans="1:6" x14ac:dyDescent="0.3">
      <c r="A2350" t="s">
        <v>3807</v>
      </c>
      <c r="B2350" t="s">
        <v>1736</v>
      </c>
      <c r="C2350" t="s">
        <v>3576</v>
      </c>
      <c r="D2350">
        <v>41594507</v>
      </c>
      <c r="E2350">
        <v>25</v>
      </c>
      <c r="F2350">
        <v>8.5</v>
      </c>
    </row>
    <row r="2351" spans="1:6" x14ac:dyDescent="0.3">
      <c r="A2351" t="s">
        <v>3808</v>
      </c>
      <c r="B2351" t="s">
        <v>3809</v>
      </c>
      <c r="C2351" t="s">
        <v>3573</v>
      </c>
      <c r="D2351">
        <v>41627488</v>
      </c>
      <c r="E2351">
        <v>7</v>
      </c>
      <c r="F2351">
        <v>3.25</v>
      </c>
    </row>
    <row r="2352" spans="1:6" x14ac:dyDescent="0.3">
      <c r="A2352" t="s">
        <v>3810</v>
      </c>
      <c r="B2352" t="s">
        <v>3609</v>
      </c>
      <c r="C2352" t="s">
        <v>505</v>
      </c>
      <c r="D2352">
        <v>41629206</v>
      </c>
      <c r="E2352">
        <v>4.7</v>
      </c>
      <c r="F2352">
        <v>7.09</v>
      </c>
    </row>
    <row r="2353" spans="1:6" x14ac:dyDescent="0.3">
      <c r="A2353" t="s">
        <v>3811</v>
      </c>
      <c r="B2353" t="s">
        <v>3812</v>
      </c>
      <c r="C2353" t="s">
        <v>3813</v>
      </c>
      <c r="D2353">
        <v>41739176</v>
      </c>
      <c r="E2353" t="s">
        <v>3814</v>
      </c>
      <c r="F2353" t="s">
        <v>3814</v>
      </c>
    </row>
    <row r="2354" spans="1:6" x14ac:dyDescent="0.3">
      <c r="A2354" t="s">
        <v>3815</v>
      </c>
      <c r="B2354" t="s">
        <v>1824</v>
      </c>
      <c r="C2354" t="s">
        <v>3816</v>
      </c>
      <c r="D2354">
        <v>41753055</v>
      </c>
      <c r="E2354">
        <v>15</v>
      </c>
      <c r="F2354">
        <v>6.67</v>
      </c>
    </row>
    <row r="2355" spans="1:6" x14ac:dyDescent="0.3">
      <c r="A2355" t="s">
        <v>2281</v>
      </c>
      <c r="B2355" t="s">
        <v>2501</v>
      </c>
      <c r="C2355" t="s">
        <v>3817</v>
      </c>
      <c r="D2355">
        <v>41800255</v>
      </c>
      <c r="E2355">
        <v>17</v>
      </c>
      <c r="F2355">
        <v>7</v>
      </c>
    </row>
    <row r="2356" spans="1:6" x14ac:dyDescent="0.3">
      <c r="A2356" t="s">
        <v>3818</v>
      </c>
      <c r="B2356" t="s">
        <v>984</v>
      </c>
      <c r="C2356" t="s">
        <v>1579</v>
      </c>
      <c r="D2356">
        <v>41832323</v>
      </c>
      <c r="E2356">
        <v>20.75</v>
      </c>
      <c r="F2356">
        <v>5.14</v>
      </c>
    </row>
    <row r="2357" spans="1:6" x14ac:dyDescent="0.3">
      <c r="A2357" t="s">
        <v>3819</v>
      </c>
      <c r="B2357" t="s">
        <v>3820</v>
      </c>
      <c r="C2357" t="s">
        <v>3821</v>
      </c>
      <c r="D2357">
        <v>41854308</v>
      </c>
      <c r="E2357">
        <v>18.88</v>
      </c>
      <c r="F2357">
        <v>6.11</v>
      </c>
    </row>
    <row r="2358" spans="1:6" x14ac:dyDescent="0.3">
      <c r="A2358" t="s">
        <v>3822</v>
      </c>
      <c r="B2358" t="s">
        <v>3823</v>
      </c>
      <c r="C2358" t="s">
        <v>2020</v>
      </c>
      <c r="D2358">
        <v>41879338</v>
      </c>
      <c r="E2358">
        <v>7.33</v>
      </c>
      <c r="F2358">
        <v>5</v>
      </c>
    </row>
    <row r="2359" spans="1:6" x14ac:dyDescent="0.3">
      <c r="A2359" t="s">
        <v>3824</v>
      </c>
      <c r="B2359" t="s">
        <v>463</v>
      </c>
      <c r="C2359" t="s">
        <v>3825</v>
      </c>
      <c r="D2359">
        <v>41893726</v>
      </c>
      <c r="E2359">
        <v>10.029999999999999</v>
      </c>
      <c r="F2359">
        <v>4.04</v>
      </c>
    </row>
    <row r="2360" spans="1:6" x14ac:dyDescent="0.3">
      <c r="A2360" t="s">
        <v>3826</v>
      </c>
      <c r="B2360" t="s">
        <v>3827</v>
      </c>
      <c r="C2360" t="s">
        <v>2443</v>
      </c>
      <c r="D2360">
        <v>41901072</v>
      </c>
      <c r="E2360">
        <v>4.8</v>
      </c>
      <c r="F2360">
        <v>5.75</v>
      </c>
    </row>
    <row r="2361" spans="1:6" x14ac:dyDescent="0.3">
      <c r="A2361" t="s">
        <v>3828</v>
      </c>
      <c r="B2361" t="s">
        <v>3767</v>
      </c>
      <c r="C2361" t="s">
        <v>3042</v>
      </c>
      <c r="D2361">
        <v>42019446</v>
      </c>
      <c r="E2361">
        <v>5.92</v>
      </c>
      <c r="F2361">
        <v>7.2</v>
      </c>
    </row>
    <row r="2362" spans="1:6" x14ac:dyDescent="0.3">
      <c r="A2362" t="s">
        <v>3829</v>
      </c>
      <c r="B2362" t="s">
        <v>3830</v>
      </c>
      <c r="C2362" t="s">
        <v>2135</v>
      </c>
      <c r="D2362">
        <v>42020476</v>
      </c>
      <c r="E2362">
        <v>3.13</v>
      </c>
      <c r="F2362">
        <v>6.38</v>
      </c>
    </row>
    <row r="2363" spans="1:6" x14ac:dyDescent="0.3">
      <c r="A2363" t="s">
        <v>3831</v>
      </c>
      <c r="B2363" t="s">
        <v>3832</v>
      </c>
      <c r="C2363" t="s">
        <v>2834</v>
      </c>
      <c r="D2363">
        <v>42094512</v>
      </c>
      <c r="E2363">
        <v>13.09</v>
      </c>
      <c r="F2363">
        <v>6.43</v>
      </c>
    </row>
    <row r="2364" spans="1:6" x14ac:dyDescent="0.3">
      <c r="A2364" t="s">
        <v>3833</v>
      </c>
      <c r="B2364" t="s">
        <v>3834</v>
      </c>
      <c r="C2364" t="s">
        <v>2323</v>
      </c>
      <c r="D2364">
        <v>42096240</v>
      </c>
      <c r="E2364">
        <v>16.170000000000002</v>
      </c>
      <c r="F2364">
        <v>4.79</v>
      </c>
    </row>
    <row r="2365" spans="1:6" x14ac:dyDescent="0.3">
      <c r="A2365" t="s">
        <v>3835</v>
      </c>
      <c r="B2365" t="s">
        <v>3836</v>
      </c>
      <c r="C2365" t="s">
        <v>3837</v>
      </c>
      <c r="D2365">
        <v>42113507</v>
      </c>
      <c r="E2365">
        <v>16.89</v>
      </c>
      <c r="F2365">
        <v>5.5</v>
      </c>
    </row>
    <row r="2366" spans="1:6" x14ac:dyDescent="0.3">
      <c r="A2366" t="s">
        <v>3838</v>
      </c>
      <c r="B2366" t="s">
        <v>3072</v>
      </c>
      <c r="C2366" t="s">
        <v>3839</v>
      </c>
      <c r="D2366">
        <v>42117203</v>
      </c>
      <c r="E2366">
        <v>31.15</v>
      </c>
      <c r="F2366">
        <v>4.9400000000000004</v>
      </c>
    </row>
    <row r="2367" spans="1:6" x14ac:dyDescent="0.3">
      <c r="A2367" t="s">
        <v>3840</v>
      </c>
      <c r="B2367" t="s">
        <v>3841</v>
      </c>
      <c r="C2367" t="s">
        <v>3842</v>
      </c>
      <c r="D2367">
        <v>42199324</v>
      </c>
      <c r="E2367">
        <v>3.37</v>
      </c>
      <c r="F2367">
        <v>5.76</v>
      </c>
    </row>
    <row r="2368" spans="1:6" x14ac:dyDescent="0.3">
      <c r="A2368" t="s">
        <v>3843</v>
      </c>
      <c r="B2368" t="s">
        <v>2166</v>
      </c>
      <c r="C2368" t="s">
        <v>3844</v>
      </c>
      <c r="D2368">
        <v>42200414</v>
      </c>
      <c r="E2368">
        <v>13.13</v>
      </c>
      <c r="F2368">
        <v>6.48</v>
      </c>
    </row>
    <row r="2369" spans="1:6" x14ac:dyDescent="0.3">
      <c r="A2369" t="s">
        <v>3845</v>
      </c>
      <c r="B2369" t="s">
        <v>3846</v>
      </c>
      <c r="C2369" t="s">
        <v>3757</v>
      </c>
      <c r="D2369">
        <v>42208264</v>
      </c>
      <c r="E2369">
        <v>14.8</v>
      </c>
      <c r="F2369">
        <v>6.79</v>
      </c>
    </row>
    <row r="2370" spans="1:6" x14ac:dyDescent="0.3">
      <c r="A2370" t="s">
        <v>3847</v>
      </c>
      <c r="B2370" t="s">
        <v>3848</v>
      </c>
      <c r="C2370" t="s">
        <v>2507</v>
      </c>
      <c r="D2370">
        <v>42214580</v>
      </c>
      <c r="E2370">
        <v>19.059999999999999</v>
      </c>
      <c r="F2370">
        <v>6.1</v>
      </c>
    </row>
    <row r="2371" spans="1:6" x14ac:dyDescent="0.3">
      <c r="A2371" t="s">
        <v>3849</v>
      </c>
      <c r="B2371" t="s">
        <v>3850</v>
      </c>
      <c r="C2371" t="s">
        <v>3706</v>
      </c>
      <c r="D2371">
        <v>42230590</v>
      </c>
      <c r="E2371">
        <v>12.6</v>
      </c>
      <c r="F2371">
        <v>2.75</v>
      </c>
    </row>
    <row r="2372" spans="1:6" x14ac:dyDescent="0.3">
      <c r="A2372" t="s">
        <v>2785</v>
      </c>
      <c r="B2372" t="s">
        <v>3851</v>
      </c>
      <c r="C2372" t="s">
        <v>3852</v>
      </c>
      <c r="D2372">
        <v>42242421</v>
      </c>
      <c r="E2372">
        <v>8.98</v>
      </c>
      <c r="F2372">
        <v>4.4400000000000004</v>
      </c>
    </row>
    <row r="2373" spans="1:6" x14ac:dyDescent="0.3">
      <c r="A2373" t="s">
        <v>3853</v>
      </c>
      <c r="B2373" t="s">
        <v>3125</v>
      </c>
      <c r="C2373" t="s">
        <v>3854</v>
      </c>
      <c r="D2373">
        <v>42315135</v>
      </c>
      <c r="E2373">
        <v>9.81</v>
      </c>
      <c r="F2373">
        <v>6.79</v>
      </c>
    </row>
    <row r="2374" spans="1:6" x14ac:dyDescent="0.3">
      <c r="A2374" t="s">
        <v>3855</v>
      </c>
      <c r="B2374" t="s">
        <v>2989</v>
      </c>
      <c r="C2374" t="s">
        <v>1269</v>
      </c>
      <c r="D2374">
        <v>42402609</v>
      </c>
      <c r="E2374">
        <v>10.5</v>
      </c>
      <c r="F2374">
        <v>5.83</v>
      </c>
    </row>
    <row r="2375" spans="1:6" x14ac:dyDescent="0.3">
      <c r="A2375" t="s">
        <v>3856</v>
      </c>
      <c r="B2375" t="s">
        <v>951</v>
      </c>
      <c r="C2375" t="s">
        <v>820</v>
      </c>
      <c r="D2375">
        <v>42403591</v>
      </c>
      <c r="E2375">
        <v>3.86</v>
      </c>
      <c r="F2375">
        <v>5.94</v>
      </c>
    </row>
    <row r="2376" spans="1:6" x14ac:dyDescent="0.3">
      <c r="A2376" t="s">
        <v>3857</v>
      </c>
      <c r="B2376" t="s">
        <v>2903</v>
      </c>
      <c r="C2376" t="s">
        <v>3858</v>
      </c>
      <c r="D2376">
        <v>42472944</v>
      </c>
      <c r="E2376">
        <v>13.71</v>
      </c>
      <c r="F2376">
        <v>8</v>
      </c>
    </row>
    <row r="2377" spans="1:6" x14ac:dyDescent="0.3">
      <c r="A2377" t="s">
        <v>3859</v>
      </c>
      <c r="B2377" t="s">
        <v>3860</v>
      </c>
      <c r="C2377" t="s">
        <v>3499</v>
      </c>
      <c r="D2377">
        <v>42516660</v>
      </c>
      <c r="E2377">
        <v>4.74</v>
      </c>
      <c r="F2377">
        <v>5.43</v>
      </c>
    </row>
    <row r="2378" spans="1:6" x14ac:dyDescent="0.3">
      <c r="A2378" t="s">
        <v>3861</v>
      </c>
      <c r="B2378" t="s">
        <v>3862</v>
      </c>
      <c r="C2378" t="s">
        <v>3349</v>
      </c>
      <c r="D2378">
        <v>42534267</v>
      </c>
      <c r="E2378">
        <v>8.67</v>
      </c>
      <c r="F2378">
        <v>4</v>
      </c>
    </row>
    <row r="2379" spans="1:6" x14ac:dyDescent="0.3">
      <c r="A2379" t="s">
        <v>3863</v>
      </c>
      <c r="B2379" t="s">
        <v>3864</v>
      </c>
      <c r="C2379" t="s">
        <v>3612</v>
      </c>
      <c r="D2379">
        <v>42566186</v>
      </c>
      <c r="E2379">
        <v>3.93</v>
      </c>
      <c r="F2379">
        <v>3.09</v>
      </c>
    </row>
    <row r="2380" spans="1:6" x14ac:dyDescent="0.3">
      <c r="A2380" t="s">
        <v>3865</v>
      </c>
      <c r="B2380" t="s">
        <v>1554</v>
      </c>
      <c r="C2380" t="s">
        <v>782</v>
      </c>
      <c r="D2380">
        <v>42584142</v>
      </c>
      <c r="E2380">
        <v>32</v>
      </c>
      <c r="F2380">
        <v>6</v>
      </c>
    </row>
    <row r="2381" spans="1:6" x14ac:dyDescent="0.3">
      <c r="A2381" t="s">
        <v>3866</v>
      </c>
      <c r="B2381" t="s">
        <v>1576</v>
      </c>
      <c r="C2381" t="s">
        <v>3867</v>
      </c>
      <c r="D2381">
        <v>42629936</v>
      </c>
      <c r="E2381">
        <v>6.98</v>
      </c>
      <c r="F2381">
        <v>6.86</v>
      </c>
    </row>
    <row r="2382" spans="1:6" x14ac:dyDescent="0.3">
      <c r="A2382" t="s">
        <v>3868</v>
      </c>
      <c r="B2382" t="s">
        <v>1996</v>
      </c>
      <c r="C2382" t="s">
        <v>845</v>
      </c>
      <c r="D2382">
        <v>42631377</v>
      </c>
      <c r="E2382">
        <v>28.81</v>
      </c>
      <c r="F2382">
        <v>6.63</v>
      </c>
    </row>
    <row r="2383" spans="1:6" x14ac:dyDescent="0.3">
      <c r="A2383" t="s">
        <v>3869</v>
      </c>
      <c r="B2383" t="s">
        <v>3870</v>
      </c>
      <c r="C2383" t="s">
        <v>3126</v>
      </c>
      <c r="D2383">
        <v>42664144</v>
      </c>
      <c r="E2383">
        <v>24.14</v>
      </c>
      <c r="F2383">
        <v>6.86</v>
      </c>
    </row>
    <row r="2384" spans="1:6" x14ac:dyDescent="0.3">
      <c r="A2384" t="s">
        <v>3871</v>
      </c>
      <c r="B2384" t="s">
        <v>3238</v>
      </c>
      <c r="C2384" t="s">
        <v>3253</v>
      </c>
      <c r="D2384">
        <v>42669786</v>
      </c>
      <c r="E2384">
        <v>6.33</v>
      </c>
      <c r="F2384">
        <v>3.5</v>
      </c>
    </row>
    <row r="2385" spans="1:6" x14ac:dyDescent="0.3">
      <c r="A2385" t="s">
        <v>3872</v>
      </c>
      <c r="B2385" t="s">
        <v>3873</v>
      </c>
      <c r="C2385" t="s">
        <v>3874</v>
      </c>
      <c r="D2385">
        <v>42739489</v>
      </c>
      <c r="E2385">
        <v>3</v>
      </c>
      <c r="F2385">
        <v>5.86</v>
      </c>
    </row>
    <row r="2386" spans="1:6" x14ac:dyDescent="0.3">
      <c r="A2386" t="s">
        <v>3875</v>
      </c>
      <c r="B2386" t="s">
        <v>1842</v>
      </c>
      <c r="C2386" t="s">
        <v>2112</v>
      </c>
      <c r="D2386">
        <v>42756194</v>
      </c>
      <c r="E2386">
        <v>6.67</v>
      </c>
      <c r="F2386">
        <v>7.4</v>
      </c>
    </row>
    <row r="2387" spans="1:6" x14ac:dyDescent="0.3">
      <c r="A2387" t="s">
        <v>3876</v>
      </c>
      <c r="B2387" t="s">
        <v>3041</v>
      </c>
      <c r="C2387" t="s">
        <v>3877</v>
      </c>
      <c r="D2387">
        <v>42767166</v>
      </c>
      <c r="E2387">
        <v>4.5199999999999996</v>
      </c>
      <c r="F2387">
        <v>5.76</v>
      </c>
    </row>
    <row r="2388" spans="1:6" x14ac:dyDescent="0.3">
      <c r="A2388" t="s">
        <v>3878</v>
      </c>
      <c r="B2388" t="s">
        <v>22</v>
      </c>
      <c r="C2388" t="s">
        <v>771</v>
      </c>
      <c r="D2388">
        <v>42783187</v>
      </c>
      <c r="E2388">
        <v>15</v>
      </c>
      <c r="F2388">
        <v>6.33</v>
      </c>
    </row>
    <row r="2389" spans="1:6" x14ac:dyDescent="0.3">
      <c r="A2389" t="s">
        <v>3879</v>
      </c>
      <c r="B2389" t="s">
        <v>3880</v>
      </c>
      <c r="C2389" t="s">
        <v>3578</v>
      </c>
      <c r="D2389">
        <v>42843501</v>
      </c>
      <c r="E2389">
        <v>7.25</v>
      </c>
      <c r="F2389">
        <v>5</v>
      </c>
    </row>
    <row r="2390" spans="1:6" x14ac:dyDescent="0.3">
      <c r="A2390" t="s">
        <v>3881</v>
      </c>
      <c r="B2390" t="s">
        <v>2843</v>
      </c>
      <c r="C2390" t="s">
        <v>1062</v>
      </c>
      <c r="D2390">
        <v>42871591</v>
      </c>
      <c r="E2390">
        <v>15.61</v>
      </c>
      <c r="F2390">
        <v>6.22</v>
      </c>
    </row>
    <row r="2391" spans="1:6" x14ac:dyDescent="0.3">
      <c r="A2391" t="s">
        <v>3882</v>
      </c>
      <c r="B2391" t="s">
        <v>91</v>
      </c>
      <c r="C2391" t="s">
        <v>2454</v>
      </c>
      <c r="D2391">
        <v>42882539</v>
      </c>
      <c r="E2391">
        <v>14.86</v>
      </c>
      <c r="F2391">
        <v>4.8</v>
      </c>
    </row>
    <row r="2392" spans="1:6" x14ac:dyDescent="0.3">
      <c r="A2392" t="s">
        <v>3883</v>
      </c>
      <c r="B2392" t="s">
        <v>3054</v>
      </c>
      <c r="C2392" t="s">
        <v>3884</v>
      </c>
      <c r="D2392">
        <v>42884355</v>
      </c>
      <c r="E2392">
        <v>3.82</v>
      </c>
      <c r="F2392">
        <v>5</v>
      </c>
    </row>
    <row r="2393" spans="1:6" x14ac:dyDescent="0.3">
      <c r="A2393" t="s">
        <v>3885</v>
      </c>
      <c r="B2393" t="s">
        <v>3397</v>
      </c>
      <c r="C2393" t="s">
        <v>3116</v>
      </c>
      <c r="D2393">
        <v>42952581</v>
      </c>
      <c r="E2393">
        <v>11.78</v>
      </c>
      <c r="F2393">
        <v>5.86</v>
      </c>
    </row>
    <row r="2394" spans="1:6" x14ac:dyDescent="0.3">
      <c r="A2394" t="s">
        <v>508</v>
      </c>
      <c r="B2394" t="s">
        <v>2539</v>
      </c>
      <c r="C2394" t="s">
        <v>992</v>
      </c>
      <c r="D2394">
        <v>42960394</v>
      </c>
      <c r="E2394">
        <v>3.91</v>
      </c>
      <c r="F2394">
        <v>6.74</v>
      </c>
    </row>
    <row r="2395" spans="1:6" x14ac:dyDescent="0.3">
      <c r="A2395" t="s">
        <v>3886</v>
      </c>
      <c r="B2395" t="s">
        <v>3795</v>
      </c>
      <c r="C2395" t="s">
        <v>3887</v>
      </c>
      <c r="D2395">
        <v>42966802</v>
      </c>
      <c r="E2395">
        <v>6</v>
      </c>
      <c r="F2395">
        <v>4</v>
      </c>
    </row>
    <row r="2396" spans="1:6" x14ac:dyDescent="0.3">
      <c r="A2396" t="s">
        <v>3888</v>
      </c>
      <c r="B2396" t="s">
        <v>1996</v>
      </c>
      <c r="C2396" t="s">
        <v>2657</v>
      </c>
      <c r="D2396">
        <v>42980861</v>
      </c>
      <c r="E2396">
        <v>18.88</v>
      </c>
      <c r="F2396">
        <v>7.71</v>
      </c>
    </row>
    <row r="2397" spans="1:6" x14ac:dyDescent="0.3">
      <c r="A2397" t="s">
        <v>3889</v>
      </c>
      <c r="B2397" t="s">
        <v>3890</v>
      </c>
      <c r="C2397" t="s">
        <v>3891</v>
      </c>
      <c r="D2397">
        <v>42983285</v>
      </c>
      <c r="E2397">
        <v>3.03</v>
      </c>
      <c r="F2397">
        <v>7.3</v>
      </c>
    </row>
    <row r="2398" spans="1:6" x14ac:dyDescent="0.3">
      <c r="A2398" t="s">
        <v>3892</v>
      </c>
      <c r="B2398" t="s">
        <v>1589</v>
      </c>
      <c r="C2398" t="s">
        <v>3893</v>
      </c>
      <c r="D2398">
        <v>42995371</v>
      </c>
      <c r="E2398">
        <v>1.94</v>
      </c>
      <c r="F2398">
        <v>7</v>
      </c>
    </row>
    <row r="2399" spans="1:6" x14ac:dyDescent="0.3">
      <c r="A2399" t="s">
        <v>3894</v>
      </c>
      <c r="B2399" t="s">
        <v>3895</v>
      </c>
      <c r="C2399" t="s">
        <v>727</v>
      </c>
      <c r="D2399">
        <v>43001774</v>
      </c>
      <c r="E2399">
        <v>19.670000000000002</v>
      </c>
      <c r="F2399">
        <v>6.43</v>
      </c>
    </row>
    <row r="2400" spans="1:6" x14ac:dyDescent="0.3">
      <c r="A2400" t="s">
        <v>3896</v>
      </c>
      <c r="B2400" t="s">
        <v>3897</v>
      </c>
      <c r="C2400" t="s">
        <v>3381</v>
      </c>
      <c r="D2400">
        <v>43002201</v>
      </c>
      <c r="E2400">
        <v>10.6</v>
      </c>
      <c r="F2400">
        <v>4.3</v>
      </c>
    </row>
    <row r="2401" spans="1:6" x14ac:dyDescent="0.3">
      <c r="A2401" t="s">
        <v>3898</v>
      </c>
      <c r="B2401" t="s">
        <v>49</v>
      </c>
      <c r="C2401" t="s">
        <v>3899</v>
      </c>
      <c r="D2401">
        <v>43008397</v>
      </c>
      <c r="E2401">
        <v>17.100000000000001</v>
      </c>
      <c r="F2401">
        <v>7.94</v>
      </c>
    </row>
    <row r="2402" spans="1:6" x14ac:dyDescent="0.3">
      <c r="A2402" t="s">
        <v>3900</v>
      </c>
      <c r="B2402" t="s">
        <v>3051</v>
      </c>
      <c r="C2402" t="s">
        <v>3901</v>
      </c>
      <c r="D2402">
        <v>43010906</v>
      </c>
      <c r="E2402">
        <v>8.1</v>
      </c>
      <c r="F2402">
        <v>6.02</v>
      </c>
    </row>
    <row r="2403" spans="1:6" x14ac:dyDescent="0.3">
      <c r="A2403" t="s">
        <v>3902</v>
      </c>
      <c r="B2403" t="s">
        <v>3903</v>
      </c>
      <c r="C2403" t="s">
        <v>3904</v>
      </c>
      <c r="D2403">
        <v>43052533</v>
      </c>
      <c r="E2403">
        <v>6.94</v>
      </c>
      <c r="F2403">
        <v>6</v>
      </c>
    </row>
    <row r="2404" spans="1:6" x14ac:dyDescent="0.3">
      <c r="A2404" t="s">
        <v>3905</v>
      </c>
      <c r="B2404" t="s">
        <v>3906</v>
      </c>
      <c r="C2404" t="s">
        <v>3361</v>
      </c>
      <c r="D2404">
        <v>43053917</v>
      </c>
      <c r="E2404">
        <v>3.88</v>
      </c>
      <c r="F2404">
        <v>6.47</v>
      </c>
    </row>
    <row r="2405" spans="1:6" x14ac:dyDescent="0.3">
      <c r="A2405" t="s">
        <v>3907</v>
      </c>
      <c r="B2405" t="s">
        <v>3800</v>
      </c>
      <c r="C2405" t="s">
        <v>3663</v>
      </c>
      <c r="D2405">
        <v>43106353</v>
      </c>
      <c r="E2405">
        <v>18.77</v>
      </c>
      <c r="F2405">
        <v>7.64</v>
      </c>
    </row>
    <row r="2406" spans="1:6" x14ac:dyDescent="0.3">
      <c r="A2406" t="s">
        <v>3908</v>
      </c>
      <c r="B2406" t="s">
        <v>3909</v>
      </c>
      <c r="C2406" t="s">
        <v>3910</v>
      </c>
      <c r="D2406">
        <v>43110109</v>
      </c>
      <c r="E2406">
        <v>7.47</v>
      </c>
      <c r="F2406">
        <v>5.94</v>
      </c>
    </row>
    <row r="2407" spans="1:6" x14ac:dyDescent="0.3">
      <c r="A2407" t="s">
        <v>3911</v>
      </c>
      <c r="B2407" t="s">
        <v>3912</v>
      </c>
      <c r="C2407" t="s">
        <v>3401</v>
      </c>
      <c r="D2407">
        <v>43111149</v>
      </c>
      <c r="E2407">
        <v>7.86</v>
      </c>
      <c r="F2407">
        <v>5.43</v>
      </c>
    </row>
    <row r="2408" spans="1:6" x14ac:dyDescent="0.3">
      <c r="A2408" t="s">
        <v>3913</v>
      </c>
      <c r="B2408" t="s">
        <v>3037</v>
      </c>
      <c r="C2408" t="s">
        <v>593</v>
      </c>
      <c r="D2408">
        <v>43118149</v>
      </c>
      <c r="E2408">
        <v>16.2</v>
      </c>
      <c r="F2408">
        <v>7.75</v>
      </c>
    </row>
    <row r="2409" spans="1:6" x14ac:dyDescent="0.3">
      <c r="A2409" t="s">
        <v>3914</v>
      </c>
      <c r="B2409" t="s">
        <v>3915</v>
      </c>
      <c r="C2409" t="s">
        <v>3916</v>
      </c>
      <c r="D2409">
        <v>43120057</v>
      </c>
      <c r="E2409">
        <v>6.4</v>
      </c>
      <c r="F2409">
        <v>6</v>
      </c>
    </row>
    <row r="2410" spans="1:6" x14ac:dyDescent="0.3">
      <c r="A2410" t="s">
        <v>3917</v>
      </c>
      <c r="B2410" t="s">
        <v>3685</v>
      </c>
      <c r="C2410" t="s">
        <v>3391</v>
      </c>
      <c r="D2410">
        <v>43141404</v>
      </c>
      <c r="E2410">
        <v>3.91</v>
      </c>
      <c r="F2410">
        <v>4.8600000000000003</v>
      </c>
    </row>
    <row r="2411" spans="1:6" x14ac:dyDescent="0.3">
      <c r="A2411" t="s">
        <v>3918</v>
      </c>
      <c r="B2411" t="s">
        <v>3580</v>
      </c>
      <c r="C2411" t="s">
        <v>2285</v>
      </c>
      <c r="D2411">
        <v>43143309</v>
      </c>
      <c r="E2411">
        <v>8</v>
      </c>
      <c r="F2411">
        <v>8.33</v>
      </c>
    </row>
    <row r="2412" spans="1:6" x14ac:dyDescent="0.3">
      <c r="A2412" t="s">
        <v>3919</v>
      </c>
      <c r="B2412" t="s">
        <v>3920</v>
      </c>
      <c r="C2412" t="s">
        <v>3921</v>
      </c>
      <c r="D2412">
        <v>43214204</v>
      </c>
      <c r="E2412">
        <v>26</v>
      </c>
      <c r="F2412">
        <v>2.2000000000000002</v>
      </c>
    </row>
    <row r="2413" spans="1:6" x14ac:dyDescent="0.3">
      <c r="A2413" t="s">
        <v>3922</v>
      </c>
      <c r="B2413" t="s">
        <v>3923</v>
      </c>
      <c r="C2413" t="s">
        <v>1801</v>
      </c>
      <c r="D2413">
        <v>43223873</v>
      </c>
      <c r="E2413">
        <v>20</v>
      </c>
      <c r="F2413">
        <v>8</v>
      </c>
    </row>
    <row r="2414" spans="1:6" x14ac:dyDescent="0.3">
      <c r="A2414" t="s">
        <v>3924</v>
      </c>
      <c r="B2414" t="s">
        <v>2433</v>
      </c>
      <c r="C2414" t="s">
        <v>3925</v>
      </c>
      <c r="D2414">
        <v>43242525</v>
      </c>
      <c r="E2414">
        <v>8.25</v>
      </c>
      <c r="F2414">
        <v>8.14</v>
      </c>
    </row>
    <row r="2415" spans="1:6" x14ac:dyDescent="0.3">
      <c r="A2415" t="s">
        <v>3926</v>
      </c>
      <c r="B2415" t="s">
        <v>2756</v>
      </c>
      <c r="C2415" t="s">
        <v>3927</v>
      </c>
      <c r="D2415">
        <v>43276194</v>
      </c>
      <c r="E2415">
        <v>1.92</v>
      </c>
      <c r="F2415">
        <v>6.71</v>
      </c>
    </row>
    <row r="2416" spans="1:6" x14ac:dyDescent="0.3">
      <c r="A2416" t="s">
        <v>3928</v>
      </c>
      <c r="B2416" t="s">
        <v>3928</v>
      </c>
      <c r="C2416" t="s">
        <v>3417</v>
      </c>
      <c r="D2416">
        <v>43343568</v>
      </c>
      <c r="E2416">
        <v>2.68</v>
      </c>
      <c r="F2416">
        <v>5.94</v>
      </c>
    </row>
    <row r="2417" spans="1:6" x14ac:dyDescent="0.3">
      <c r="A2417" t="s">
        <v>3929</v>
      </c>
      <c r="B2417" t="s">
        <v>1984</v>
      </c>
      <c r="C2417" t="s">
        <v>2883</v>
      </c>
      <c r="D2417">
        <v>43357575</v>
      </c>
      <c r="E2417">
        <v>24.67</v>
      </c>
      <c r="F2417">
        <v>1</v>
      </c>
    </row>
    <row r="2418" spans="1:6" x14ac:dyDescent="0.3">
      <c r="A2418" t="s">
        <v>3930</v>
      </c>
      <c r="B2418" t="s">
        <v>3469</v>
      </c>
      <c r="C2418" t="s">
        <v>878</v>
      </c>
      <c r="D2418">
        <v>43367103</v>
      </c>
      <c r="E2418">
        <v>3.17</v>
      </c>
      <c r="F2418">
        <v>6.23</v>
      </c>
    </row>
    <row r="2419" spans="1:6" x14ac:dyDescent="0.3">
      <c r="A2419" t="s">
        <v>3931</v>
      </c>
      <c r="B2419" t="s">
        <v>3495</v>
      </c>
      <c r="C2419" t="s">
        <v>3028</v>
      </c>
      <c r="D2419">
        <v>43373968</v>
      </c>
      <c r="E2419">
        <v>6.91</v>
      </c>
      <c r="F2419">
        <v>4.67</v>
      </c>
    </row>
    <row r="2420" spans="1:6" x14ac:dyDescent="0.3">
      <c r="A2420" t="s">
        <v>3932</v>
      </c>
      <c r="B2420" t="s">
        <v>3933</v>
      </c>
      <c r="C2420" t="s">
        <v>3934</v>
      </c>
      <c r="D2420">
        <v>43415745</v>
      </c>
      <c r="E2420">
        <v>8.75</v>
      </c>
      <c r="F2420">
        <v>5</v>
      </c>
    </row>
    <row r="2421" spans="1:6" x14ac:dyDescent="0.3">
      <c r="A2421" t="s">
        <v>3935</v>
      </c>
      <c r="B2421" t="s">
        <v>2843</v>
      </c>
      <c r="C2421" t="s">
        <v>3936</v>
      </c>
      <c r="D2421">
        <v>43505182</v>
      </c>
      <c r="E2421">
        <v>2.96</v>
      </c>
      <c r="F2421">
        <v>6.29</v>
      </c>
    </row>
    <row r="2422" spans="1:6" x14ac:dyDescent="0.3">
      <c r="A2422" t="s">
        <v>3937</v>
      </c>
      <c r="B2422" t="s">
        <v>2433</v>
      </c>
      <c r="C2422" t="s">
        <v>3938</v>
      </c>
      <c r="D2422">
        <v>43510481</v>
      </c>
      <c r="E2422">
        <v>15.36</v>
      </c>
      <c r="F2422">
        <v>6.47</v>
      </c>
    </row>
    <row r="2423" spans="1:6" x14ac:dyDescent="0.3">
      <c r="A2423" t="s">
        <v>3939</v>
      </c>
      <c r="B2423" t="s">
        <v>2342</v>
      </c>
      <c r="C2423" t="s">
        <v>3187</v>
      </c>
      <c r="D2423">
        <v>43638852</v>
      </c>
      <c r="E2423">
        <v>22.5</v>
      </c>
      <c r="F2423">
        <v>5.9</v>
      </c>
    </row>
    <row r="2424" spans="1:6" x14ac:dyDescent="0.3">
      <c r="A2424" t="s">
        <v>3940</v>
      </c>
      <c r="B2424" t="s">
        <v>3941</v>
      </c>
      <c r="C2424" t="s">
        <v>1101</v>
      </c>
      <c r="D2424">
        <v>43643175</v>
      </c>
      <c r="E2424">
        <v>4.72</v>
      </c>
      <c r="F2424">
        <v>6.19</v>
      </c>
    </row>
    <row r="2425" spans="1:6" x14ac:dyDescent="0.3">
      <c r="A2425" t="s">
        <v>3942</v>
      </c>
      <c r="B2425" t="s">
        <v>3941</v>
      </c>
      <c r="C2425" t="s">
        <v>1329</v>
      </c>
      <c r="D2425">
        <v>43646211</v>
      </c>
      <c r="E2425">
        <v>11.02</v>
      </c>
      <c r="F2425">
        <v>7.08</v>
      </c>
    </row>
    <row r="2426" spans="1:6" x14ac:dyDescent="0.3">
      <c r="A2426" t="s">
        <v>1541</v>
      </c>
      <c r="B2426" t="s">
        <v>3941</v>
      </c>
      <c r="C2426" t="s">
        <v>1062</v>
      </c>
      <c r="D2426">
        <v>43646218</v>
      </c>
      <c r="E2426">
        <v>16.04</v>
      </c>
      <c r="F2426">
        <v>6.13</v>
      </c>
    </row>
    <row r="2427" spans="1:6" x14ac:dyDescent="0.3">
      <c r="A2427" t="s">
        <v>3943</v>
      </c>
      <c r="B2427" t="s">
        <v>3944</v>
      </c>
      <c r="C2427" t="s">
        <v>736</v>
      </c>
      <c r="D2427">
        <v>43663013</v>
      </c>
      <c r="E2427">
        <v>3.71</v>
      </c>
      <c r="F2427">
        <v>4.76</v>
      </c>
    </row>
    <row r="2428" spans="1:6" x14ac:dyDescent="0.3">
      <c r="A2428" t="s">
        <v>3945</v>
      </c>
      <c r="B2428" t="s">
        <v>3946</v>
      </c>
      <c r="C2428" t="s">
        <v>3945</v>
      </c>
      <c r="D2428">
        <v>43735615</v>
      </c>
      <c r="E2428">
        <v>5.71</v>
      </c>
      <c r="F2428">
        <v>2.33</v>
      </c>
    </row>
    <row r="2429" spans="1:6" x14ac:dyDescent="0.3">
      <c r="A2429" t="s">
        <v>3947</v>
      </c>
      <c r="B2429" t="s">
        <v>3948</v>
      </c>
      <c r="C2429" t="s">
        <v>3949</v>
      </c>
      <c r="D2429">
        <v>43744687</v>
      </c>
      <c r="E2429">
        <v>6</v>
      </c>
      <c r="F2429">
        <v>6.13</v>
      </c>
    </row>
    <row r="2430" spans="1:6" x14ac:dyDescent="0.3">
      <c r="A2430" t="s">
        <v>3950</v>
      </c>
      <c r="B2430" t="s">
        <v>3951</v>
      </c>
      <c r="C2430" t="s">
        <v>3952</v>
      </c>
      <c r="D2430">
        <v>43756414</v>
      </c>
      <c r="E2430">
        <v>12.25</v>
      </c>
      <c r="F2430">
        <v>5.5</v>
      </c>
    </row>
    <row r="2431" spans="1:6" x14ac:dyDescent="0.3">
      <c r="A2431" t="s">
        <v>3953</v>
      </c>
      <c r="B2431" t="s">
        <v>3212</v>
      </c>
      <c r="C2431" t="s">
        <v>1263</v>
      </c>
      <c r="D2431">
        <v>43761609</v>
      </c>
      <c r="E2431">
        <v>2.71</v>
      </c>
      <c r="F2431">
        <v>6.9</v>
      </c>
    </row>
    <row r="2432" spans="1:6" x14ac:dyDescent="0.3">
      <c r="A2432" t="s">
        <v>3954</v>
      </c>
      <c r="B2432" t="s">
        <v>2837</v>
      </c>
      <c r="C2432" t="s">
        <v>6</v>
      </c>
      <c r="D2432">
        <v>43779021</v>
      </c>
      <c r="E2432">
        <v>9.8699999999999992</v>
      </c>
      <c r="F2432">
        <v>5.36</v>
      </c>
    </row>
    <row r="2433" spans="1:6" x14ac:dyDescent="0.3">
      <c r="A2433" t="s">
        <v>3955</v>
      </c>
      <c r="B2433" t="s">
        <v>3695</v>
      </c>
      <c r="C2433" t="s">
        <v>3508</v>
      </c>
      <c r="D2433">
        <v>43842149</v>
      </c>
      <c r="E2433">
        <v>3.77</v>
      </c>
      <c r="F2433">
        <v>6.77</v>
      </c>
    </row>
    <row r="2434" spans="1:6" x14ac:dyDescent="0.3">
      <c r="A2434" t="s">
        <v>1229</v>
      </c>
      <c r="B2434" t="s">
        <v>3956</v>
      </c>
      <c r="C2434" t="s">
        <v>1231</v>
      </c>
      <c r="D2434">
        <v>43891060</v>
      </c>
      <c r="E2434">
        <v>2.2999999999999998</v>
      </c>
      <c r="F2434">
        <v>5.86</v>
      </c>
    </row>
    <row r="2435" spans="1:6" x14ac:dyDescent="0.3">
      <c r="A2435" t="s">
        <v>3957</v>
      </c>
      <c r="B2435" t="s">
        <v>2783</v>
      </c>
      <c r="C2435" t="s">
        <v>3958</v>
      </c>
      <c r="D2435">
        <v>43945511</v>
      </c>
      <c r="E2435">
        <v>15.16</v>
      </c>
      <c r="F2435">
        <v>8.59</v>
      </c>
    </row>
    <row r="2436" spans="1:6" x14ac:dyDescent="0.3">
      <c r="A2436" t="s">
        <v>3959</v>
      </c>
      <c r="B2436" t="s">
        <v>2916</v>
      </c>
      <c r="C2436" t="s">
        <v>3960</v>
      </c>
      <c r="D2436">
        <v>43965119</v>
      </c>
      <c r="E2436">
        <v>5.59</v>
      </c>
      <c r="F2436">
        <v>7.59</v>
      </c>
    </row>
    <row r="2437" spans="1:6" x14ac:dyDescent="0.3">
      <c r="A2437" t="s">
        <v>3961</v>
      </c>
      <c r="B2437" t="s">
        <v>2423</v>
      </c>
      <c r="C2437" t="s">
        <v>3962</v>
      </c>
      <c r="D2437">
        <v>43967757</v>
      </c>
      <c r="E2437">
        <v>18.809999999999999</v>
      </c>
      <c r="F2437">
        <v>7.07</v>
      </c>
    </row>
    <row r="2438" spans="1:6" x14ac:dyDescent="0.3">
      <c r="A2438" t="s">
        <v>3963</v>
      </c>
      <c r="B2438" t="s">
        <v>2843</v>
      </c>
      <c r="C2438" t="s">
        <v>3964</v>
      </c>
      <c r="D2438">
        <v>44009927</v>
      </c>
      <c r="E2438">
        <v>5.17</v>
      </c>
      <c r="F2438">
        <v>5.6</v>
      </c>
    </row>
    <row r="2439" spans="1:6" x14ac:dyDescent="0.3">
      <c r="A2439" t="s">
        <v>3965</v>
      </c>
      <c r="B2439" t="s">
        <v>3966</v>
      </c>
      <c r="C2439" t="s">
        <v>3531</v>
      </c>
      <c r="D2439">
        <v>44022701</v>
      </c>
      <c r="E2439">
        <v>30</v>
      </c>
      <c r="F2439">
        <v>6.43</v>
      </c>
    </row>
    <row r="2440" spans="1:6" x14ac:dyDescent="0.3">
      <c r="A2440" t="s">
        <v>3967</v>
      </c>
      <c r="B2440" t="s">
        <v>2228</v>
      </c>
      <c r="C2440" t="s">
        <v>3968</v>
      </c>
      <c r="D2440">
        <v>44062068</v>
      </c>
      <c r="E2440">
        <v>12.93</v>
      </c>
      <c r="F2440">
        <v>7.42</v>
      </c>
    </row>
    <row r="2441" spans="1:6" x14ac:dyDescent="0.3">
      <c r="A2441" t="s">
        <v>3969</v>
      </c>
      <c r="B2441" t="s">
        <v>3231</v>
      </c>
      <c r="C2441" t="s">
        <v>1263</v>
      </c>
      <c r="D2441">
        <v>44125751</v>
      </c>
      <c r="E2441">
        <v>6.67</v>
      </c>
      <c r="F2441">
        <v>6</v>
      </c>
    </row>
    <row r="2442" spans="1:6" x14ac:dyDescent="0.3">
      <c r="A2442" t="s">
        <v>3849</v>
      </c>
      <c r="B2442" t="s">
        <v>3970</v>
      </c>
      <c r="C2442" t="s">
        <v>3706</v>
      </c>
      <c r="D2442">
        <v>44138457</v>
      </c>
      <c r="E2442">
        <v>7.36</v>
      </c>
      <c r="F2442">
        <v>6</v>
      </c>
    </row>
    <row r="2443" spans="1:6" x14ac:dyDescent="0.3">
      <c r="A2443" t="s">
        <v>3971</v>
      </c>
      <c r="B2443" t="s">
        <v>3311</v>
      </c>
      <c r="C2443" t="s">
        <v>3247</v>
      </c>
      <c r="D2443">
        <v>44169362</v>
      </c>
      <c r="E2443">
        <v>24.5</v>
      </c>
      <c r="F2443">
        <v>2.83</v>
      </c>
    </row>
    <row r="2444" spans="1:6" x14ac:dyDescent="0.3">
      <c r="A2444" t="s">
        <v>3972</v>
      </c>
      <c r="B2444" t="s">
        <v>3973</v>
      </c>
      <c r="C2444" t="s">
        <v>3972</v>
      </c>
      <c r="D2444">
        <v>44171878</v>
      </c>
      <c r="E2444">
        <v>8.56</v>
      </c>
      <c r="F2444">
        <v>3.88</v>
      </c>
    </row>
    <row r="2445" spans="1:6" x14ac:dyDescent="0.3">
      <c r="A2445" t="s">
        <v>3974</v>
      </c>
      <c r="B2445" t="s">
        <v>1865</v>
      </c>
      <c r="C2445" t="s">
        <v>1059</v>
      </c>
      <c r="D2445">
        <v>44186049</v>
      </c>
      <c r="E2445">
        <v>23.6</v>
      </c>
      <c r="F2445">
        <v>7.25</v>
      </c>
    </row>
    <row r="2446" spans="1:6" x14ac:dyDescent="0.3">
      <c r="A2446" t="s">
        <v>3975</v>
      </c>
      <c r="B2446" t="s">
        <v>3976</v>
      </c>
      <c r="C2446" t="s">
        <v>2698</v>
      </c>
      <c r="D2446">
        <v>44305290</v>
      </c>
      <c r="E2446">
        <v>3.71</v>
      </c>
      <c r="F2446">
        <v>5</v>
      </c>
    </row>
    <row r="2447" spans="1:6" x14ac:dyDescent="0.3">
      <c r="A2447" t="s">
        <v>3977</v>
      </c>
      <c r="B2447" t="s">
        <v>1589</v>
      </c>
      <c r="C2447" t="s">
        <v>3978</v>
      </c>
      <c r="D2447">
        <v>44319716</v>
      </c>
      <c r="E2447">
        <v>11.75</v>
      </c>
      <c r="F2447">
        <v>7.36</v>
      </c>
    </row>
    <row r="2448" spans="1:6" x14ac:dyDescent="0.3">
      <c r="A2448" t="s">
        <v>3979</v>
      </c>
      <c r="B2448" t="s">
        <v>2409</v>
      </c>
      <c r="C2448" t="s">
        <v>3980</v>
      </c>
      <c r="D2448">
        <v>44320573</v>
      </c>
      <c r="E2448">
        <v>9.3000000000000007</v>
      </c>
      <c r="F2448">
        <v>7</v>
      </c>
    </row>
    <row r="2449" spans="1:6" x14ac:dyDescent="0.3">
      <c r="A2449" t="s">
        <v>3981</v>
      </c>
      <c r="B2449" t="s">
        <v>3915</v>
      </c>
      <c r="C2449" t="s">
        <v>2310</v>
      </c>
      <c r="D2449">
        <v>44325129</v>
      </c>
      <c r="E2449">
        <v>2.61</v>
      </c>
      <c r="F2449">
        <v>5.5</v>
      </c>
    </row>
    <row r="2450" spans="1:6" x14ac:dyDescent="0.3">
      <c r="A2450" t="s">
        <v>3982</v>
      </c>
      <c r="B2450" t="s">
        <v>2756</v>
      </c>
      <c r="C2450" t="s">
        <v>3983</v>
      </c>
      <c r="D2450">
        <v>44379436</v>
      </c>
      <c r="E2450">
        <v>3.81</v>
      </c>
      <c r="F2450">
        <v>6.32</v>
      </c>
    </row>
    <row r="2451" spans="1:6" x14ac:dyDescent="0.3">
      <c r="A2451" t="s">
        <v>3984</v>
      </c>
      <c r="B2451" t="s">
        <v>3774</v>
      </c>
      <c r="C2451" t="s">
        <v>3696</v>
      </c>
      <c r="D2451">
        <v>44420385</v>
      </c>
      <c r="E2451">
        <v>7.5</v>
      </c>
      <c r="F2451">
        <v>5</v>
      </c>
    </row>
    <row r="2452" spans="1:6" x14ac:dyDescent="0.3">
      <c r="A2452" t="s">
        <v>3985</v>
      </c>
      <c r="B2452" t="s">
        <v>1479</v>
      </c>
      <c r="C2452" t="s">
        <v>2443</v>
      </c>
      <c r="D2452">
        <v>44472956</v>
      </c>
      <c r="E2452">
        <v>24</v>
      </c>
      <c r="F2452">
        <v>5.75</v>
      </c>
    </row>
    <row r="2453" spans="1:6" x14ac:dyDescent="0.3">
      <c r="A2453" t="s">
        <v>3986</v>
      </c>
      <c r="B2453" t="s">
        <v>3987</v>
      </c>
      <c r="C2453" t="s">
        <v>3988</v>
      </c>
      <c r="D2453">
        <v>44594234</v>
      </c>
      <c r="E2453">
        <v>5.0999999999999996</v>
      </c>
      <c r="F2453">
        <v>5</v>
      </c>
    </row>
    <row r="2454" spans="1:6" x14ac:dyDescent="0.3">
      <c r="A2454" t="s">
        <v>3728</v>
      </c>
      <c r="B2454" t="s">
        <v>1605</v>
      </c>
      <c r="C2454" t="s">
        <v>911</v>
      </c>
      <c r="D2454">
        <v>44610724</v>
      </c>
      <c r="E2454">
        <v>4.01</v>
      </c>
      <c r="F2454">
        <v>5.53</v>
      </c>
    </row>
    <row r="2455" spans="1:6" x14ac:dyDescent="0.3">
      <c r="A2455" t="s">
        <v>3989</v>
      </c>
      <c r="B2455" t="s">
        <v>3427</v>
      </c>
      <c r="C2455" t="s">
        <v>3990</v>
      </c>
      <c r="D2455">
        <v>44622039</v>
      </c>
      <c r="E2455">
        <v>10.25</v>
      </c>
      <c r="F2455">
        <v>7.5</v>
      </c>
    </row>
    <row r="2456" spans="1:6" x14ac:dyDescent="0.3">
      <c r="A2456" t="s">
        <v>3991</v>
      </c>
      <c r="B2456" t="s">
        <v>2462</v>
      </c>
      <c r="C2456" t="s">
        <v>3992</v>
      </c>
      <c r="D2456">
        <v>44622499</v>
      </c>
      <c r="E2456">
        <v>5.93</v>
      </c>
      <c r="F2456">
        <v>7.5</v>
      </c>
    </row>
    <row r="2457" spans="1:6" x14ac:dyDescent="0.3">
      <c r="A2457" t="s">
        <v>3993</v>
      </c>
      <c r="B2457" t="s">
        <v>3994</v>
      </c>
      <c r="C2457" t="s">
        <v>3995</v>
      </c>
      <c r="D2457">
        <v>44636618</v>
      </c>
      <c r="E2457">
        <v>2.88</v>
      </c>
      <c r="F2457">
        <v>6.19</v>
      </c>
    </row>
    <row r="2458" spans="1:6" x14ac:dyDescent="0.3">
      <c r="A2458" t="s">
        <v>3996</v>
      </c>
      <c r="B2458" t="s">
        <v>1634</v>
      </c>
      <c r="C2458" t="s">
        <v>3997</v>
      </c>
      <c r="D2458">
        <v>44686830</v>
      </c>
      <c r="E2458">
        <v>7.8</v>
      </c>
      <c r="F2458">
        <v>7.13</v>
      </c>
    </row>
    <row r="2459" spans="1:6" x14ac:dyDescent="0.3">
      <c r="A2459" t="s">
        <v>3998</v>
      </c>
      <c r="B2459" t="s">
        <v>2791</v>
      </c>
      <c r="C2459" t="s">
        <v>3999</v>
      </c>
      <c r="D2459">
        <v>44701954</v>
      </c>
      <c r="E2459">
        <v>16.559999999999999</v>
      </c>
      <c r="F2459">
        <v>6.89</v>
      </c>
    </row>
    <row r="2460" spans="1:6" x14ac:dyDescent="0.3">
      <c r="A2460" t="s">
        <v>4000</v>
      </c>
      <c r="B2460" t="s">
        <v>1265</v>
      </c>
      <c r="C2460" t="s">
        <v>4001</v>
      </c>
      <c r="D2460">
        <v>44706787</v>
      </c>
      <c r="E2460">
        <v>24.17</v>
      </c>
      <c r="F2460">
        <v>7.67</v>
      </c>
    </row>
    <row r="2461" spans="1:6" x14ac:dyDescent="0.3">
      <c r="A2461" t="s">
        <v>4002</v>
      </c>
      <c r="B2461" t="s">
        <v>1083</v>
      </c>
      <c r="C2461" t="s">
        <v>4003</v>
      </c>
      <c r="D2461">
        <v>44734648</v>
      </c>
      <c r="E2461">
        <v>20.04</v>
      </c>
      <c r="F2461">
        <v>7.1</v>
      </c>
    </row>
    <row r="2462" spans="1:6" x14ac:dyDescent="0.3">
      <c r="A2462" t="s">
        <v>4004</v>
      </c>
      <c r="B2462" t="s">
        <v>4005</v>
      </c>
      <c r="C2462" t="s">
        <v>3417</v>
      </c>
      <c r="D2462">
        <v>44758188</v>
      </c>
      <c r="E2462">
        <v>3.22</v>
      </c>
      <c r="F2462">
        <v>6.27</v>
      </c>
    </row>
    <row r="2463" spans="1:6" x14ac:dyDescent="0.3">
      <c r="A2463" t="s">
        <v>4006</v>
      </c>
      <c r="B2463" t="s">
        <v>3051</v>
      </c>
      <c r="C2463" t="s">
        <v>3744</v>
      </c>
      <c r="D2463">
        <v>44773500</v>
      </c>
      <c r="E2463">
        <v>27</v>
      </c>
      <c r="F2463">
        <v>7.17</v>
      </c>
    </row>
    <row r="2464" spans="1:6" x14ac:dyDescent="0.3">
      <c r="A2464" t="s">
        <v>4007</v>
      </c>
      <c r="B2464" t="s">
        <v>4008</v>
      </c>
      <c r="C2464" t="s">
        <v>2711</v>
      </c>
      <c r="D2464">
        <v>44788659</v>
      </c>
      <c r="E2464">
        <v>22.33</v>
      </c>
      <c r="F2464">
        <v>6.67</v>
      </c>
    </row>
    <row r="2465" spans="1:6" x14ac:dyDescent="0.3">
      <c r="A2465" t="s">
        <v>4009</v>
      </c>
      <c r="B2465" t="s">
        <v>4010</v>
      </c>
      <c r="C2465" t="s">
        <v>4011</v>
      </c>
      <c r="D2465">
        <v>44796159</v>
      </c>
      <c r="E2465">
        <v>12.8</v>
      </c>
      <c r="F2465">
        <v>3.75</v>
      </c>
    </row>
    <row r="2466" spans="1:6" x14ac:dyDescent="0.3">
      <c r="A2466" t="s">
        <v>4012</v>
      </c>
      <c r="B2466" t="s">
        <v>2433</v>
      </c>
      <c r="C2466" t="s">
        <v>3731</v>
      </c>
      <c r="D2466">
        <v>44802267</v>
      </c>
      <c r="E2466">
        <v>5.75</v>
      </c>
      <c r="F2466">
        <v>6.2</v>
      </c>
    </row>
    <row r="2467" spans="1:6" x14ac:dyDescent="0.3">
      <c r="A2467" t="s">
        <v>4013</v>
      </c>
      <c r="B2467" t="s">
        <v>1589</v>
      </c>
      <c r="C2467" t="s">
        <v>3731</v>
      </c>
      <c r="D2467">
        <v>44802631</v>
      </c>
      <c r="E2467">
        <v>4.33</v>
      </c>
      <c r="F2467">
        <v>5.9</v>
      </c>
    </row>
    <row r="2468" spans="1:6" x14ac:dyDescent="0.3">
      <c r="A2468" t="s">
        <v>4014</v>
      </c>
      <c r="B2468" t="s">
        <v>1127</v>
      </c>
      <c r="C2468" t="s">
        <v>4015</v>
      </c>
      <c r="D2468">
        <v>44830751</v>
      </c>
      <c r="E2468">
        <v>19.13</v>
      </c>
      <c r="F2468">
        <v>7.43</v>
      </c>
    </row>
    <row r="2469" spans="1:6" x14ac:dyDescent="0.3">
      <c r="A2469" t="s">
        <v>4016</v>
      </c>
      <c r="B2469" t="s">
        <v>3051</v>
      </c>
      <c r="C2469" t="s">
        <v>2020</v>
      </c>
      <c r="D2469">
        <v>44860762</v>
      </c>
      <c r="E2469">
        <v>26.71</v>
      </c>
      <c r="F2469">
        <v>7.56</v>
      </c>
    </row>
    <row r="2470" spans="1:6" x14ac:dyDescent="0.3">
      <c r="A2470" t="s">
        <v>4017</v>
      </c>
      <c r="B2470" t="s">
        <v>504</v>
      </c>
      <c r="C2470" t="s">
        <v>2970</v>
      </c>
      <c r="D2470">
        <v>44909717</v>
      </c>
      <c r="E2470">
        <v>6.5</v>
      </c>
      <c r="F2470">
        <v>5.2</v>
      </c>
    </row>
    <row r="2471" spans="1:6" x14ac:dyDescent="0.3">
      <c r="A2471" t="s">
        <v>4018</v>
      </c>
      <c r="B2471" t="s">
        <v>4019</v>
      </c>
      <c r="C2471" t="s">
        <v>2154</v>
      </c>
      <c r="D2471">
        <v>44916254</v>
      </c>
      <c r="E2471">
        <v>22.33</v>
      </c>
      <c r="F2471">
        <v>5.33</v>
      </c>
    </row>
    <row r="2472" spans="1:6" x14ac:dyDescent="0.3">
      <c r="A2472" t="s">
        <v>4020</v>
      </c>
      <c r="B2472" t="s">
        <v>3238</v>
      </c>
      <c r="C2472" t="s">
        <v>3030</v>
      </c>
      <c r="D2472">
        <v>44916955</v>
      </c>
      <c r="E2472">
        <v>5.0599999999999996</v>
      </c>
      <c r="F2472">
        <v>5.67</v>
      </c>
    </row>
    <row r="2473" spans="1:6" x14ac:dyDescent="0.3">
      <c r="A2473" t="s">
        <v>4021</v>
      </c>
      <c r="B2473" t="s">
        <v>3051</v>
      </c>
      <c r="C2473" t="s">
        <v>731</v>
      </c>
      <c r="D2473">
        <v>44926484</v>
      </c>
      <c r="E2473">
        <v>7.29</v>
      </c>
      <c r="F2473">
        <v>6</v>
      </c>
    </row>
    <row r="2474" spans="1:6" x14ac:dyDescent="0.3">
      <c r="A2474" t="s">
        <v>4022</v>
      </c>
      <c r="B2474" t="s">
        <v>2638</v>
      </c>
      <c r="C2474" t="s">
        <v>3551</v>
      </c>
      <c r="D2474">
        <v>44940413</v>
      </c>
      <c r="E2474">
        <v>9.8000000000000007</v>
      </c>
      <c r="F2474">
        <v>4.25</v>
      </c>
    </row>
    <row r="2475" spans="1:6" x14ac:dyDescent="0.3">
      <c r="A2475" t="s">
        <v>4023</v>
      </c>
      <c r="B2475" t="s">
        <v>4024</v>
      </c>
      <c r="C2475" t="s">
        <v>3531</v>
      </c>
      <c r="D2475">
        <v>44942295</v>
      </c>
      <c r="E2475">
        <v>19.850000000000001</v>
      </c>
      <c r="F2475">
        <v>5.56</v>
      </c>
    </row>
    <row r="2476" spans="1:6" x14ac:dyDescent="0.3">
      <c r="A2476" t="s">
        <v>4025</v>
      </c>
      <c r="B2476" t="s">
        <v>4026</v>
      </c>
      <c r="C2476" t="s">
        <v>2549</v>
      </c>
      <c r="D2476">
        <v>44950869</v>
      </c>
      <c r="E2476">
        <v>2.71</v>
      </c>
      <c r="F2476">
        <v>6</v>
      </c>
    </row>
    <row r="2477" spans="1:6" x14ac:dyDescent="0.3">
      <c r="A2477" t="s">
        <v>4027</v>
      </c>
      <c r="B2477" t="s">
        <v>2843</v>
      </c>
      <c r="C2477" t="s">
        <v>4028</v>
      </c>
      <c r="D2477">
        <v>45023719</v>
      </c>
      <c r="E2477">
        <v>19.190000000000001</v>
      </c>
      <c r="F2477">
        <v>6.22</v>
      </c>
    </row>
    <row r="2478" spans="1:6" x14ac:dyDescent="0.3">
      <c r="A2478" t="s">
        <v>4029</v>
      </c>
      <c r="B2478" t="s">
        <v>1259</v>
      </c>
      <c r="C2478" t="s">
        <v>4030</v>
      </c>
      <c r="D2478">
        <v>45057232</v>
      </c>
      <c r="E2478">
        <v>6.9</v>
      </c>
      <c r="F2478">
        <v>5</v>
      </c>
    </row>
    <row r="2479" spans="1:6" x14ac:dyDescent="0.3">
      <c r="A2479" t="s">
        <v>4031</v>
      </c>
      <c r="B2479" t="s">
        <v>4032</v>
      </c>
      <c r="C2479" t="s">
        <v>4033</v>
      </c>
      <c r="D2479">
        <v>45088185</v>
      </c>
      <c r="E2479">
        <v>9.52</v>
      </c>
      <c r="F2479">
        <v>6.29</v>
      </c>
    </row>
    <row r="2480" spans="1:6" x14ac:dyDescent="0.3">
      <c r="A2480" t="s">
        <v>4034</v>
      </c>
      <c r="B2480" t="s">
        <v>1996</v>
      </c>
      <c r="C2480" t="s">
        <v>1573</v>
      </c>
      <c r="D2480">
        <v>45091362</v>
      </c>
      <c r="E2480">
        <v>2.95</v>
      </c>
      <c r="F2480">
        <v>6.37</v>
      </c>
    </row>
    <row r="2481" spans="1:6" x14ac:dyDescent="0.3">
      <c r="A2481" t="s">
        <v>4035</v>
      </c>
      <c r="B2481" t="s">
        <v>2342</v>
      </c>
      <c r="C2481" t="s">
        <v>4036</v>
      </c>
      <c r="D2481">
        <v>45094581</v>
      </c>
      <c r="E2481">
        <v>27.85</v>
      </c>
      <c r="F2481">
        <v>7.65</v>
      </c>
    </row>
    <row r="2482" spans="1:6" x14ac:dyDescent="0.3">
      <c r="A2482" t="s">
        <v>4037</v>
      </c>
      <c r="B2482" t="s">
        <v>2555</v>
      </c>
      <c r="C2482" t="s">
        <v>736</v>
      </c>
      <c r="D2482">
        <v>45111047</v>
      </c>
      <c r="E2482">
        <v>16.91</v>
      </c>
      <c r="F2482">
        <v>8.39</v>
      </c>
    </row>
    <row r="2483" spans="1:6" x14ac:dyDescent="0.3">
      <c r="A2483" t="s">
        <v>4038</v>
      </c>
      <c r="B2483" t="s">
        <v>4039</v>
      </c>
      <c r="C2483" t="s">
        <v>1783</v>
      </c>
      <c r="D2483">
        <v>45120760</v>
      </c>
      <c r="E2483">
        <v>7.94</v>
      </c>
      <c r="F2483">
        <v>5.44</v>
      </c>
    </row>
    <row r="2484" spans="1:6" x14ac:dyDescent="0.3">
      <c r="A2484" t="s">
        <v>4040</v>
      </c>
      <c r="B2484" t="s">
        <v>1265</v>
      </c>
      <c r="C2484" t="s">
        <v>227</v>
      </c>
      <c r="D2484">
        <v>45176872</v>
      </c>
      <c r="E2484">
        <v>13.21</v>
      </c>
      <c r="F2484">
        <v>8.83</v>
      </c>
    </row>
    <row r="2485" spans="1:6" x14ac:dyDescent="0.3">
      <c r="A2485" t="s">
        <v>4041</v>
      </c>
      <c r="B2485" t="s">
        <v>3987</v>
      </c>
      <c r="C2485" t="s">
        <v>4042</v>
      </c>
      <c r="D2485">
        <v>45182394</v>
      </c>
      <c r="E2485">
        <v>2.95</v>
      </c>
      <c r="F2485">
        <v>6.2</v>
      </c>
    </row>
    <row r="2486" spans="1:6" x14ac:dyDescent="0.3">
      <c r="A2486" t="s">
        <v>4043</v>
      </c>
      <c r="B2486" t="s">
        <v>4044</v>
      </c>
      <c r="C2486" t="s">
        <v>4045</v>
      </c>
      <c r="D2486">
        <v>45220835</v>
      </c>
      <c r="E2486">
        <v>3.55</v>
      </c>
      <c r="F2486">
        <v>6.33</v>
      </c>
    </row>
    <row r="2487" spans="1:6" x14ac:dyDescent="0.3">
      <c r="A2487" t="s">
        <v>4046</v>
      </c>
      <c r="B2487" t="s">
        <v>2857</v>
      </c>
      <c r="C2487" t="s">
        <v>1850</v>
      </c>
      <c r="D2487">
        <v>45227603</v>
      </c>
      <c r="E2487">
        <v>3.1</v>
      </c>
      <c r="F2487">
        <v>5.33</v>
      </c>
    </row>
    <row r="2488" spans="1:6" x14ac:dyDescent="0.3">
      <c r="A2488" t="s">
        <v>4047</v>
      </c>
      <c r="B2488" t="s">
        <v>4048</v>
      </c>
      <c r="C2488" t="s">
        <v>836</v>
      </c>
      <c r="D2488">
        <v>45231312</v>
      </c>
      <c r="E2488">
        <v>5.96</v>
      </c>
      <c r="F2488">
        <v>7.43</v>
      </c>
    </row>
    <row r="2489" spans="1:6" x14ac:dyDescent="0.3">
      <c r="A2489" t="s">
        <v>4049</v>
      </c>
      <c r="B2489" t="s">
        <v>2228</v>
      </c>
      <c r="C2489" t="s">
        <v>2665</v>
      </c>
      <c r="D2489">
        <v>45239692</v>
      </c>
      <c r="E2489">
        <v>21</v>
      </c>
      <c r="F2489">
        <v>5.79</v>
      </c>
    </row>
    <row r="2490" spans="1:6" x14ac:dyDescent="0.3">
      <c r="A2490" t="s">
        <v>4050</v>
      </c>
      <c r="B2490" t="s">
        <v>4051</v>
      </c>
      <c r="C2490" t="s">
        <v>593</v>
      </c>
      <c r="D2490">
        <v>45244507</v>
      </c>
      <c r="E2490">
        <v>4.4000000000000004</v>
      </c>
      <c r="F2490">
        <v>6.56</v>
      </c>
    </row>
    <row r="2491" spans="1:6" x14ac:dyDescent="0.3">
      <c r="A2491" t="s">
        <v>4052</v>
      </c>
      <c r="B2491" t="s">
        <v>4053</v>
      </c>
      <c r="C2491" t="s">
        <v>3632</v>
      </c>
      <c r="D2491">
        <v>45248747</v>
      </c>
      <c r="E2491">
        <v>4.04</v>
      </c>
      <c r="F2491">
        <v>5.6</v>
      </c>
    </row>
    <row r="2492" spans="1:6" x14ac:dyDescent="0.3">
      <c r="A2492" t="s">
        <v>4054</v>
      </c>
      <c r="B2492" t="s">
        <v>4055</v>
      </c>
      <c r="C2492" t="s">
        <v>4056</v>
      </c>
      <c r="D2492">
        <v>45253476</v>
      </c>
      <c r="E2492">
        <v>5.71</v>
      </c>
      <c r="F2492">
        <v>8.17</v>
      </c>
    </row>
    <row r="2493" spans="1:6" x14ac:dyDescent="0.3">
      <c r="A2493" t="s">
        <v>4057</v>
      </c>
      <c r="B2493" t="s">
        <v>4058</v>
      </c>
      <c r="C2493" t="s">
        <v>4059</v>
      </c>
      <c r="D2493">
        <v>45297335</v>
      </c>
      <c r="E2493">
        <v>7.97</v>
      </c>
      <c r="F2493">
        <v>6.52</v>
      </c>
    </row>
    <row r="2494" spans="1:6" x14ac:dyDescent="0.3">
      <c r="A2494" t="s">
        <v>4060</v>
      </c>
      <c r="B2494" t="s">
        <v>3823</v>
      </c>
      <c r="C2494" t="s">
        <v>3460</v>
      </c>
      <c r="D2494">
        <v>45308844</v>
      </c>
      <c r="E2494">
        <v>3.19</v>
      </c>
      <c r="F2494">
        <v>5</v>
      </c>
    </row>
    <row r="2495" spans="1:6" x14ac:dyDescent="0.3">
      <c r="A2495" t="s">
        <v>4061</v>
      </c>
      <c r="B2495" t="s">
        <v>4062</v>
      </c>
      <c r="C2495" t="s">
        <v>3557</v>
      </c>
      <c r="D2495">
        <v>45319961</v>
      </c>
      <c r="E2495">
        <v>11.4</v>
      </c>
      <c r="F2495">
        <v>5.25</v>
      </c>
    </row>
    <row r="2496" spans="1:6" x14ac:dyDescent="0.3">
      <c r="A2496" t="s">
        <v>4063</v>
      </c>
      <c r="B2496" t="s">
        <v>3311</v>
      </c>
      <c r="C2496" t="s">
        <v>3134</v>
      </c>
      <c r="D2496">
        <v>45381038</v>
      </c>
      <c r="E2496">
        <v>2.72</v>
      </c>
      <c r="F2496">
        <v>6.58</v>
      </c>
    </row>
    <row r="2497" spans="1:6" x14ac:dyDescent="0.3">
      <c r="A2497" t="s">
        <v>4064</v>
      </c>
      <c r="B2497" t="s">
        <v>3640</v>
      </c>
      <c r="C2497" t="s">
        <v>4065</v>
      </c>
      <c r="D2497">
        <v>45401235</v>
      </c>
      <c r="E2497">
        <v>4.3600000000000003</v>
      </c>
      <c r="F2497">
        <v>4.6399999999999997</v>
      </c>
    </row>
    <row r="2498" spans="1:6" x14ac:dyDescent="0.3">
      <c r="A2498" t="s">
        <v>4066</v>
      </c>
      <c r="B2498" t="s">
        <v>2756</v>
      </c>
      <c r="C2498" t="s">
        <v>4067</v>
      </c>
      <c r="D2498">
        <v>45411361</v>
      </c>
      <c r="E2498">
        <v>25.82</v>
      </c>
      <c r="F2498">
        <v>6.55</v>
      </c>
    </row>
    <row r="2499" spans="1:6" x14ac:dyDescent="0.3">
      <c r="A2499" t="s">
        <v>4068</v>
      </c>
      <c r="B2499" t="s">
        <v>3692</v>
      </c>
      <c r="C2499" t="s">
        <v>4069</v>
      </c>
      <c r="D2499">
        <v>45432758</v>
      </c>
      <c r="E2499">
        <v>3.12</v>
      </c>
      <c r="F2499">
        <v>6.04</v>
      </c>
    </row>
    <row r="2500" spans="1:6" x14ac:dyDescent="0.3">
      <c r="A2500" t="s">
        <v>4070</v>
      </c>
      <c r="B2500" t="s">
        <v>4071</v>
      </c>
      <c r="C2500" t="s">
        <v>3551</v>
      </c>
      <c r="D2500">
        <v>45434627</v>
      </c>
      <c r="E2500">
        <v>4.57</v>
      </c>
      <c r="F2500">
        <v>5.67</v>
      </c>
    </row>
    <row r="2501" spans="1:6" x14ac:dyDescent="0.3">
      <c r="A2501" t="s">
        <v>4072</v>
      </c>
      <c r="B2501" t="s">
        <v>4073</v>
      </c>
      <c r="C2501" t="s">
        <v>3415</v>
      </c>
      <c r="D2501">
        <v>45452869</v>
      </c>
      <c r="E2501">
        <v>10.75</v>
      </c>
      <c r="F2501">
        <v>4.1399999999999997</v>
      </c>
    </row>
    <row r="2502" spans="1:6" x14ac:dyDescent="0.3">
      <c r="A2502" t="s">
        <v>4074</v>
      </c>
      <c r="B2502" t="s">
        <v>3767</v>
      </c>
      <c r="C2502" t="s">
        <v>2924</v>
      </c>
      <c r="D2502">
        <v>45469118</v>
      </c>
      <c r="E2502">
        <v>11.67</v>
      </c>
      <c r="F2502">
        <v>7</v>
      </c>
    </row>
    <row r="2503" spans="1:6" x14ac:dyDescent="0.3">
      <c r="A2503" t="s">
        <v>4075</v>
      </c>
      <c r="B2503" t="s">
        <v>4076</v>
      </c>
      <c r="C2503" t="s">
        <v>3015</v>
      </c>
      <c r="D2503">
        <v>45479009</v>
      </c>
      <c r="E2503">
        <v>9.61</v>
      </c>
      <c r="F2503">
        <v>7.42</v>
      </c>
    </row>
    <row r="2504" spans="1:6" x14ac:dyDescent="0.3">
      <c r="A2504" t="s">
        <v>4077</v>
      </c>
      <c r="B2504" t="s">
        <v>4078</v>
      </c>
      <c r="C2504" t="s">
        <v>3612</v>
      </c>
      <c r="D2504">
        <v>45501245</v>
      </c>
      <c r="E2504">
        <v>11</v>
      </c>
      <c r="F2504">
        <v>6.33</v>
      </c>
    </row>
    <row r="2505" spans="1:6" x14ac:dyDescent="0.3">
      <c r="A2505" t="s">
        <v>4079</v>
      </c>
      <c r="B2505" t="s">
        <v>4044</v>
      </c>
      <c r="C2505" t="s">
        <v>2494</v>
      </c>
      <c r="D2505">
        <v>45527865</v>
      </c>
      <c r="E2505">
        <v>11.81</v>
      </c>
      <c r="F2505">
        <v>7.25</v>
      </c>
    </row>
    <row r="2506" spans="1:6" x14ac:dyDescent="0.3">
      <c r="A2506" t="s">
        <v>3982</v>
      </c>
      <c r="B2506" t="s">
        <v>1068</v>
      </c>
      <c r="C2506" t="s">
        <v>3983</v>
      </c>
      <c r="D2506">
        <v>45528962</v>
      </c>
      <c r="E2506">
        <v>11.02</v>
      </c>
      <c r="F2506">
        <v>6.17</v>
      </c>
    </row>
    <row r="2507" spans="1:6" x14ac:dyDescent="0.3">
      <c r="A2507" t="s">
        <v>4080</v>
      </c>
      <c r="B2507" t="s">
        <v>1799</v>
      </c>
      <c r="C2507" t="s">
        <v>4081</v>
      </c>
      <c r="D2507">
        <v>45558320</v>
      </c>
      <c r="E2507">
        <v>12.57</v>
      </c>
      <c r="F2507">
        <v>7.47</v>
      </c>
    </row>
    <row r="2508" spans="1:6" x14ac:dyDescent="0.3">
      <c r="A2508" t="s">
        <v>4082</v>
      </c>
      <c r="B2508" t="s">
        <v>4083</v>
      </c>
      <c r="C2508" t="s">
        <v>1521</v>
      </c>
      <c r="D2508">
        <v>45597482</v>
      </c>
      <c r="E2508">
        <v>19.86</v>
      </c>
      <c r="F2508">
        <v>9.64</v>
      </c>
    </row>
    <row r="2509" spans="1:6" x14ac:dyDescent="0.3">
      <c r="A2509" t="s">
        <v>4084</v>
      </c>
      <c r="B2509" t="s">
        <v>3609</v>
      </c>
      <c r="C2509" t="s">
        <v>1909</v>
      </c>
      <c r="D2509">
        <v>45609031</v>
      </c>
      <c r="E2509">
        <v>4.12</v>
      </c>
      <c r="F2509">
        <v>4.92</v>
      </c>
    </row>
    <row r="2510" spans="1:6" x14ac:dyDescent="0.3">
      <c r="A2510" t="s">
        <v>4085</v>
      </c>
      <c r="B2510" t="s">
        <v>1576</v>
      </c>
      <c r="C2510" t="s">
        <v>3978</v>
      </c>
      <c r="D2510">
        <v>45622672</v>
      </c>
      <c r="E2510">
        <v>3.58</v>
      </c>
      <c r="F2510">
        <v>4.67</v>
      </c>
    </row>
    <row r="2511" spans="1:6" x14ac:dyDescent="0.3">
      <c r="A2511" t="s">
        <v>4086</v>
      </c>
      <c r="B2511" t="s">
        <v>2423</v>
      </c>
      <c r="C2511" t="s">
        <v>6</v>
      </c>
      <c r="D2511">
        <v>45626173</v>
      </c>
      <c r="E2511">
        <v>24.24</v>
      </c>
      <c r="F2511">
        <v>5</v>
      </c>
    </row>
    <row r="2512" spans="1:6" x14ac:dyDescent="0.3">
      <c r="A2512" t="s">
        <v>4087</v>
      </c>
      <c r="B2512" t="s">
        <v>4088</v>
      </c>
      <c r="C2512" t="s">
        <v>2568</v>
      </c>
      <c r="D2512">
        <v>45626348</v>
      </c>
      <c r="E2512">
        <v>10</v>
      </c>
      <c r="F2512">
        <v>4.25</v>
      </c>
    </row>
    <row r="2513" spans="1:6" x14ac:dyDescent="0.3">
      <c r="A2513" t="s">
        <v>4089</v>
      </c>
      <c r="B2513" t="s">
        <v>1691</v>
      </c>
      <c r="C2513" t="s">
        <v>3508</v>
      </c>
      <c r="D2513">
        <v>45650578</v>
      </c>
      <c r="E2513">
        <v>8.9</v>
      </c>
      <c r="F2513">
        <v>5.76</v>
      </c>
    </row>
    <row r="2514" spans="1:6" x14ac:dyDescent="0.3">
      <c r="A2514" t="s">
        <v>4090</v>
      </c>
      <c r="B2514" t="s">
        <v>4091</v>
      </c>
      <c r="C2514" t="s">
        <v>4092</v>
      </c>
      <c r="D2514">
        <v>45725134</v>
      </c>
      <c r="E2514">
        <v>8.25</v>
      </c>
      <c r="F2514">
        <v>6.67</v>
      </c>
    </row>
    <row r="2515" spans="1:6" x14ac:dyDescent="0.3">
      <c r="A2515" t="s">
        <v>4093</v>
      </c>
      <c r="B2515" t="s">
        <v>4071</v>
      </c>
      <c r="C2515" t="s">
        <v>4094</v>
      </c>
      <c r="D2515">
        <v>45798765</v>
      </c>
      <c r="E2515">
        <v>7</v>
      </c>
      <c r="F2515">
        <v>3.5</v>
      </c>
    </row>
    <row r="2516" spans="1:6" x14ac:dyDescent="0.3">
      <c r="A2516" t="s">
        <v>4095</v>
      </c>
      <c r="B2516" t="s">
        <v>2539</v>
      </c>
      <c r="C2516" t="s">
        <v>3448</v>
      </c>
      <c r="D2516">
        <v>45818014</v>
      </c>
      <c r="E2516">
        <v>22.17</v>
      </c>
      <c r="F2516">
        <v>6.5</v>
      </c>
    </row>
    <row r="2517" spans="1:6" x14ac:dyDescent="0.3">
      <c r="A2517" t="s">
        <v>4096</v>
      </c>
      <c r="B2517" t="s">
        <v>4097</v>
      </c>
      <c r="C2517" t="s">
        <v>769</v>
      </c>
      <c r="D2517">
        <v>45824825</v>
      </c>
      <c r="E2517">
        <v>5.38</v>
      </c>
      <c r="F2517">
        <v>6.71</v>
      </c>
    </row>
    <row r="2518" spans="1:6" x14ac:dyDescent="0.3">
      <c r="A2518" t="s">
        <v>4098</v>
      </c>
      <c r="B2518" t="s">
        <v>2250</v>
      </c>
      <c r="C2518" t="s">
        <v>1185</v>
      </c>
      <c r="D2518">
        <v>45866767</v>
      </c>
      <c r="E2518">
        <v>33</v>
      </c>
      <c r="F2518">
        <v>5.93</v>
      </c>
    </row>
    <row r="2519" spans="1:6" x14ac:dyDescent="0.3">
      <c r="A2519" t="s">
        <v>4099</v>
      </c>
      <c r="B2519" t="s">
        <v>4100</v>
      </c>
      <c r="C2519" t="s">
        <v>2434</v>
      </c>
      <c r="D2519">
        <v>45900455</v>
      </c>
      <c r="E2519">
        <v>3.73</v>
      </c>
      <c r="F2519">
        <v>6.07</v>
      </c>
    </row>
    <row r="2520" spans="1:6" x14ac:dyDescent="0.3">
      <c r="A2520" t="s">
        <v>4101</v>
      </c>
      <c r="B2520" t="s">
        <v>4102</v>
      </c>
      <c r="C2520" t="s">
        <v>4103</v>
      </c>
      <c r="D2520">
        <v>45932196</v>
      </c>
      <c r="E2520">
        <v>1.1299999999999999</v>
      </c>
      <c r="F2520">
        <v>5.1100000000000003</v>
      </c>
    </row>
    <row r="2521" spans="1:6" x14ac:dyDescent="0.3">
      <c r="A2521" t="s">
        <v>4104</v>
      </c>
      <c r="B2521" t="s">
        <v>3749</v>
      </c>
      <c r="C2521" t="s">
        <v>2958</v>
      </c>
      <c r="D2521">
        <v>45954010</v>
      </c>
      <c r="E2521">
        <v>7.67</v>
      </c>
      <c r="F2521">
        <v>7</v>
      </c>
    </row>
    <row r="2522" spans="1:6" x14ac:dyDescent="0.3">
      <c r="A2522" t="s">
        <v>4105</v>
      </c>
      <c r="B2522" t="s">
        <v>2756</v>
      </c>
      <c r="C2522" t="s">
        <v>4106</v>
      </c>
      <c r="D2522">
        <v>45955195</v>
      </c>
      <c r="E2522">
        <v>5.55</v>
      </c>
      <c r="F2522">
        <v>6.95</v>
      </c>
    </row>
    <row r="2523" spans="1:6" x14ac:dyDescent="0.3">
      <c r="A2523" t="s">
        <v>4107</v>
      </c>
      <c r="B2523" t="s">
        <v>3238</v>
      </c>
      <c r="C2523" t="s">
        <v>4108</v>
      </c>
      <c r="D2523">
        <v>45968533</v>
      </c>
      <c r="E2523">
        <v>3.85</v>
      </c>
      <c r="F2523">
        <v>5.88</v>
      </c>
    </row>
    <row r="2524" spans="1:6" x14ac:dyDescent="0.3">
      <c r="A2524" t="s">
        <v>4109</v>
      </c>
      <c r="B2524" t="s">
        <v>4110</v>
      </c>
      <c r="C2524" t="s">
        <v>4111</v>
      </c>
      <c r="D2524">
        <v>45970557</v>
      </c>
      <c r="E2524">
        <v>4.3</v>
      </c>
      <c r="F2524">
        <v>4.4000000000000004</v>
      </c>
    </row>
    <row r="2525" spans="1:6" x14ac:dyDescent="0.3">
      <c r="A2525" t="s">
        <v>4112</v>
      </c>
      <c r="B2525" t="s">
        <v>4113</v>
      </c>
      <c r="C2525" t="s">
        <v>2285</v>
      </c>
      <c r="D2525">
        <v>45981136</v>
      </c>
      <c r="E2525">
        <v>6</v>
      </c>
      <c r="F2525">
        <v>5.5</v>
      </c>
    </row>
    <row r="2526" spans="1:6" x14ac:dyDescent="0.3">
      <c r="A2526" t="s">
        <v>4114</v>
      </c>
      <c r="B2526" t="s">
        <v>4115</v>
      </c>
      <c r="C2526" t="s">
        <v>3557</v>
      </c>
      <c r="D2526">
        <v>46022381</v>
      </c>
      <c r="E2526">
        <v>7</v>
      </c>
      <c r="F2526">
        <v>5.25</v>
      </c>
    </row>
    <row r="2527" spans="1:6" x14ac:dyDescent="0.3">
      <c r="A2527" t="s">
        <v>4116</v>
      </c>
      <c r="B2527" t="s">
        <v>2960</v>
      </c>
      <c r="C2527" t="s">
        <v>4117</v>
      </c>
      <c r="D2527">
        <v>46060893</v>
      </c>
      <c r="E2527">
        <v>9.99</v>
      </c>
      <c r="F2527">
        <v>7.67</v>
      </c>
    </row>
    <row r="2528" spans="1:6" x14ac:dyDescent="0.3">
      <c r="A2528" t="s">
        <v>4118</v>
      </c>
      <c r="B2528" t="s">
        <v>2913</v>
      </c>
      <c r="C2528" t="s">
        <v>3801</v>
      </c>
      <c r="D2528">
        <v>46186252</v>
      </c>
      <c r="E2528">
        <v>15.67</v>
      </c>
      <c r="F2528">
        <v>6.7</v>
      </c>
    </row>
    <row r="2529" spans="1:6" x14ac:dyDescent="0.3">
      <c r="A2529" t="s">
        <v>4119</v>
      </c>
      <c r="B2529" t="s">
        <v>4120</v>
      </c>
      <c r="C2529" t="s">
        <v>2627</v>
      </c>
      <c r="D2529">
        <v>46199603</v>
      </c>
      <c r="E2529">
        <v>7.15</v>
      </c>
      <c r="F2529">
        <v>7.33</v>
      </c>
    </row>
    <row r="2530" spans="1:6" x14ac:dyDescent="0.3">
      <c r="A2530" t="s">
        <v>4121</v>
      </c>
      <c r="B2530" t="s">
        <v>609</v>
      </c>
      <c r="C2530" t="s">
        <v>3632</v>
      </c>
      <c r="D2530">
        <v>46220912</v>
      </c>
      <c r="E2530">
        <v>11.15</v>
      </c>
      <c r="F2530">
        <v>4.2699999999999996</v>
      </c>
    </row>
    <row r="2531" spans="1:6" x14ac:dyDescent="0.3">
      <c r="A2531" t="s">
        <v>4122</v>
      </c>
      <c r="B2531" t="s">
        <v>3200</v>
      </c>
      <c r="C2531" t="s">
        <v>3266</v>
      </c>
      <c r="D2531">
        <v>46239419</v>
      </c>
      <c r="E2531">
        <v>5.56</v>
      </c>
      <c r="F2531">
        <v>6.61</v>
      </c>
    </row>
    <row r="2532" spans="1:6" x14ac:dyDescent="0.3">
      <c r="A2532" t="s">
        <v>4123</v>
      </c>
      <c r="B2532" t="s">
        <v>4124</v>
      </c>
      <c r="C2532" t="s">
        <v>4125</v>
      </c>
      <c r="D2532">
        <v>46241189</v>
      </c>
      <c r="E2532">
        <v>2.87</v>
      </c>
      <c r="F2532">
        <v>6</v>
      </c>
    </row>
    <row r="2533" spans="1:6" x14ac:dyDescent="0.3">
      <c r="A2533" t="s">
        <v>4126</v>
      </c>
      <c r="B2533" t="s">
        <v>2166</v>
      </c>
      <c r="C2533" t="s">
        <v>1430</v>
      </c>
      <c r="D2533">
        <v>46249401</v>
      </c>
      <c r="E2533">
        <v>26.96</v>
      </c>
      <c r="F2533">
        <v>4</v>
      </c>
    </row>
    <row r="2534" spans="1:6" x14ac:dyDescent="0.3">
      <c r="A2534" t="s">
        <v>4127</v>
      </c>
      <c r="B2534" t="s">
        <v>4128</v>
      </c>
      <c r="C2534" t="s">
        <v>4129</v>
      </c>
      <c r="D2534">
        <v>46318087</v>
      </c>
      <c r="E2534">
        <v>20</v>
      </c>
      <c r="F2534">
        <v>6.44</v>
      </c>
    </row>
    <row r="2535" spans="1:6" x14ac:dyDescent="0.3">
      <c r="A2535" t="s">
        <v>4130</v>
      </c>
      <c r="B2535" t="s">
        <v>3909</v>
      </c>
      <c r="C2535" t="s">
        <v>4131</v>
      </c>
      <c r="D2535">
        <v>46342705</v>
      </c>
      <c r="E2535">
        <v>3.44</v>
      </c>
      <c r="F2535">
        <v>5.33</v>
      </c>
    </row>
    <row r="2536" spans="1:6" x14ac:dyDescent="0.3">
      <c r="A2536" t="s">
        <v>4132</v>
      </c>
      <c r="B2536" t="s">
        <v>4133</v>
      </c>
      <c r="C2536" t="s">
        <v>3964</v>
      </c>
      <c r="D2536">
        <v>46356521</v>
      </c>
      <c r="E2536">
        <v>7.14</v>
      </c>
      <c r="F2536">
        <v>7.31</v>
      </c>
    </row>
    <row r="2537" spans="1:6" x14ac:dyDescent="0.3">
      <c r="A2537" t="s">
        <v>4134</v>
      </c>
      <c r="B2537" t="s">
        <v>2612</v>
      </c>
      <c r="C2537" t="s">
        <v>3891</v>
      </c>
      <c r="D2537">
        <v>46413059</v>
      </c>
      <c r="E2537">
        <v>8.33</v>
      </c>
      <c r="F2537">
        <v>7</v>
      </c>
    </row>
    <row r="2538" spans="1:6" x14ac:dyDescent="0.3">
      <c r="A2538" t="s">
        <v>1661</v>
      </c>
      <c r="B2538" t="s">
        <v>3823</v>
      </c>
      <c r="C2538" t="s">
        <v>1113</v>
      </c>
      <c r="D2538">
        <v>46423900</v>
      </c>
      <c r="E2538">
        <v>1.92</v>
      </c>
      <c r="F2538">
        <v>6.39</v>
      </c>
    </row>
    <row r="2539" spans="1:6" x14ac:dyDescent="0.3">
      <c r="A2539" t="s">
        <v>4135</v>
      </c>
      <c r="B2539" t="s">
        <v>1863</v>
      </c>
      <c r="C2539" t="s">
        <v>4136</v>
      </c>
      <c r="D2539">
        <v>46439126</v>
      </c>
      <c r="E2539">
        <v>6</v>
      </c>
      <c r="F2539">
        <v>5.75</v>
      </c>
    </row>
    <row r="2540" spans="1:6" x14ac:dyDescent="0.3">
      <c r="A2540" t="s">
        <v>4137</v>
      </c>
      <c r="B2540" t="s">
        <v>4138</v>
      </c>
      <c r="C2540" t="s">
        <v>4139</v>
      </c>
      <c r="D2540">
        <v>46510793</v>
      </c>
      <c r="E2540">
        <v>22.67</v>
      </c>
      <c r="F2540">
        <v>4.8899999999999997</v>
      </c>
    </row>
    <row r="2541" spans="1:6" x14ac:dyDescent="0.3">
      <c r="A2541" t="s">
        <v>4140</v>
      </c>
      <c r="B2541" t="s">
        <v>2910</v>
      </c>
      <c r="C2541" t="s">
        <v>4141</v>
      </c>
      <c r="D2541">
        <v>46532396</v>
      </c>
      <c r="E2541">
        <v>7.18</v>
      </c>
      <c r="F2541">
        <v>6.5</v>
      </c>
    </row>
    <row r="2542" spans="1:6" x14ac:dyDescent="0.3">
      <c r="A2542" t="s">
        <v>4142</v>
      </c>
      <c r="B2542" t="s">
        <v>4143</v>
      </c>
      <c r="C2542" t="s">
        <v>4144</v>
      </c>
      <c r="D2542">
        <v>46564288</v>
      </c>
      <c r="E2542">
        <v>3.33</v>
      </c>
      <c r="F2542">
        <v>6.17</v>
      </c>
    </row>
    <row r="2543" spans="1:6" x14ac:dyDescent="0.3">
      <c r="A2543" t="s">
        <v>4145</v>
      </c>
      <c r="B2543" t="s">
        <v>4146</v>
      </c>
      <c r="C2543" t="s">
        <v>4147</v>
      </c>
      <c r="D2543">
        <v>46575191</v>
      </c>
      <c r="E2543">
        <v>5</v>
      </c>
      <c r="F2543">
        <v>6</v>
      </c>
    </row>
    <row r="2544" spans="1:6" x14ac:dyDescent="0.3">
      <c r="A2544" t="s">
        <v>4148</v>
      </c>
      <c r="B2544" t="s">
        <v>1589</v>
      </c>
      <c r="C2544" t="s">
        <v>3448</v>
      </c>
      <c r="D2544">
        <v>46593577</v>
      </c>
      <c r="E2544">
        <v>2.83</v>
      </c>
      <c r="F2544">
        <v>6.17</v>
      </c>
    </row>
    <row r="2545" spans="1:6" x14ac:dyDescent="0.3">
      <c r="A2545" t="s">
        <v>4149</v>
      </c>
      <c r="B2545" t="s">
        <v>4150</v>
      </c>
      <c r="C2545" t="s">
        <v>2293</v>
      </c>
      <c r="D2545">
        <v>46615912</v>
      </c>
      <c r="E2545">
        <v>1.34</v>
      </c>
      <c r="F2545">
        <v>6.23</v>
      </c>
    </row>
    <row r="2546" spans="1:6" x14ac:dyDescent="0.3">
      <c r="A2546" t="s">
        <v>4151</v>
      </c>
      <c r="B2546" t="s">
        <v>3774</v>
      </c>
      <c r="C2546" t="s">
        <v>4152</v>
      </c>
      <c r="D2546">
        <v>46617019</v>
      </c>
      <c r="E2546">
        <v>5.33</v>
      </c>
      <c r="F2546">
        <v>6.4</v>
      </c>
    </row>
    <row r="2547" spans="1:6" x14ac:dyDescent="0.3">
      <c r="A2547" t="s">
        <v>4153</v>
      </c>
      <c r="B2547" t="s">
        <v>4154</v>
      </c>
      <c r="C2547" t="s">
        <v>4155</v>
      </c>
      <c r="D2547">
        <v>46622016</v>
      </c>
      <c r="E2547">
        <v>4.71</v>
      </c>
      <c r="F2547">
        <v>3.75</v>
      </c>
    </row>
    <row r="2548" spans="1:6" x14ac:dyDescent="0.3">
      <c r="A2548" t="s">
        <v>4156</v>
      </c>
      <c r="B2548" t="s">
        <v>3098</v>
      </c>
      <c r="C2548" t="s">
        <v>4157</v>
      </c>
      <c r="D2548">
        <v>46649388</v>
      </c>
      <c r="E2548">
        <v>2.15</v>
      </c>
      <c r="F2548">
        <v>6.86</v>
      </c>
    </row>
    <row r="2549" spans="1:6" x14ac:dyDescent="0.3">
      <c r="A2549" t="s">
        <v>4158</v>
      </c>
      <c r="B2549" t="s">
        <v>4159</v>
      </c>
      <c r="C2549" t="s">
        <v>4160</v>
      </c>
      <c r="D2549">
        <v>46762365</v>
      </c>
      <c r="E2549">
        <v>5.17</v>
      </c>
      <c r="F2549">
        <v>5.6</v>
      </c>
    </row>
    <row r="2550" spans="1:6" x14ac:dyDescent="0.3">
      <c r="A2550" t="s">
        <v>4161</v>
      </c>
      <c r="B2550" t="s">
        <v>4162</v>
      </c>
      <c r="C2550" t="s">
        <v>3901</v>
      </c>
      <c r="D2550">
        <v>46763581</v>
      </c>
      <c r="E2550">
        <v>32</v>
      </c>
      <c r="F2550">
        <v>6.92</v>
      </c>
    </row>
    <row r="2551" spans="1:6" x14ac:dyDescent="0.3">
      <c r="A2551" t="s">
        <v>4163</v>
      </c>
      <c r="B2551" t="s">
        <v>1736</v>
      </c>
      <c r="C2551" t="s">
        <v>4164</v>
      </c>
      <c r="D2551">
        <v>46806264</v>
      </c>
      <c r="E2551">
        <v>17.600000000000001</v>
      </c>
      <c r="F2551">
        <v>6.88</v>
      </c>
    </row>
    <row r="2552" spans="1:6" x14ac:dyDescent="0.3">
      <c r="A2552" t="s">
        <v>4165</v>
      </c>
      <c r="B2552" t="s">
        <v>3848</v>
      </c>
      <c r="C2552" t="s">
        <v>4166</v>
      </c>
      <c r="D2552">
        <v>46806930</v>
      </c>
      <c r="E2552">
        <v>8.91</v>
      </c>
      <c r="F2552">
        <v>2.78</v>
      </c>
    </row>
    <row r="2553" spans="1:6" x14ac:dyDescent="0.3">
      <c r="A2553" t="s">
        <v>4167</v>
      </c>
      <c r="B2553" t="s">
        <v>4168</v>
      </c>
      <c r="C2553" t="s">
        <v>1081</v>
      </c>
      <c r="D2553">
        <v>46914025</v>
      </c>
      <c r="E2553">
        <v>1.75</v>
      </c>
      <c r="F2553">
        <v>6.93</v>
      </c>
    </row>
    <row r="2554" spans="1:6" x14ac:dyDescent="0.3">
      <c r="A2554" t="s">
        <v>4169</v>
      </c>
      <c r="B2554" t="s">
        <v>2756</v>
      </c>
      <c r="C2554" t="s">
        <v>4131</v>
      </c>
      <c r="D2554">
        <v>46917410</v>
      </c>
      <c r="E2554">
        <v>12.88</v>
      </c>
      <c r="F2554">
        <v>5.71</v>
      </c>
    </row>
    <row r="2555" spans="1:6" x14ac:dyDescent="0.3">
      <c r="A2555" t="s">
        <v>4170</v>
      </c>
      <c r="B2555" t="s">
        <v>4171</v>
      </c>
      <c r="C2555" t="s">
        <v>2280</v>
      </c>
      <c r="D2555">
        <v>46962904</v>
      </c>
      <c r="E2555">
        <v>2.77</v>
      </c>
      <c r="F2555">
        <v>5.96</v>
      </c>
    </row>
    <row r="2556" spans="1:6" x14ac:dyDescent="0.3">
      <c r="A2556" t="s">
        <v>4172</v>
      </c>
      <c r="B2556" t="s">
        <v>3380</v>
      </c>
      <c r="C2556" t="s">
        <v>4173</v>
      </c>
      <c r="D2556">
        <v>46980499</v>
      </c>
      <c r="E2556">
        <v>2.0099999999999998</v>
      </c>
      <c r="F2556">
        <v>6.79</v>
      </c>
    </row>
    <row r="2557" spans="1:6" x14ac:dyDescent="0.3">
      <c r="A2557" t="s">
        <v>4174</v>
      </c>
      <c r="B2557" t="s">
        <v>2837</v>
      </c>
      <c r="C2557" t="s">
        <v>4175</v>
      </c>
      <c r="D2557">
        <v>47027000</v>
      </c>
      <c r="E2557">
        <v>11.8</v>
      </c>
      <c r="F2557">
        <v>5.8</v>
      </c>
    </row>
    <row r="2558" spans="1:6" x14ac:dyDescent="0.3">
      <c r="A2558" t="s">
        <v>4176</v>
      </c>
      <c r="B2558" t="s">
        <v>4177</v>
      </c>
      <c r="C2558" t="s">
        <v>4178</v>
      </c>
      <c r="D2558">
        <v>47043002</v>
      </c>
      <c r="E2558">
        <v>28</v>
      </c>
      <c r="F2558">
        <v>6.4</v>
      </c>
    </row>
    <row r="2559" spans="1:6" x14ac:dyDescent="0.3">
      <c r="A2559" t="s">
        <v>4179</v>
      </c>
      <c r="B2559" t="s">
        <v>4053</v>
      </c>
      <c r="C2559" t="s">
        <v>4180</v>
      </c>
      <c r="D2559">
        <v>47045387</v>
      </c>
      <c r="E2559">
        <v>4.2699999999999996</v>
      </c>
      <c r="F2559">
        <v>5.6</v>
      </c>
    </row>
    <row r="2560" spans="1:6" x14ac:dyDescent="0.3">
      <c r="A2560" t="s">
        <v>4181</v>
      </c>
      <c r="B2560" t="s">
        <v>4048</v>
      </c>
      <c r="C2560" t="s">
        <v>780</v>
      </c>
      <c r="D2560">
        <v>47050886</v>
      </c>
      <c r="E2560">
        <v>4.07</v>
      </c>
      <c r="F2560">
        <v>6.86</v>
      </c>
    </row>
    <row r="2561" spans="1:6" x14ac:dyDescent="0.3">
      <c r="A2561" t="s">
        <v>4014</v>
      </c>
      <c r="B2561" t="s">
        <v>3323</v>
      </c>
      <c r="C2561" t="s">
        <v>4067</v>
      </c>
      <c r="D2561">
        <v>47094985</v>
      </c>
      <c r="E2561">
        <v>6.5</v>
      </c>
      <c r="F2561">
        <v>7</v>
      </c>
    </row>
    <row r="2562" spans="1:6" x14ac:dyDescent="0.3">
      <c r="A2562" t="s">
        <v>4182</v>
      </c>
      <c r="B2562" t="s">
        <v>3823</v>
      </c>
      <c r="C2562" t="s">
        <v>3867</v>
      </c>
      <c r="D2562">
        <v>47101329</v>
      </c>
      <c r="E2562">
        <v>2.0499999999999998</v>
      </c>
      <c r="F2562">
        <v>5.97</v>
      </c>
    </row>
    <row r="2563" spans="1:6" x14ac:dyDescent="0.3">
      <c r="A2563" t="s">
        <v>4183</v>
      </c>
      <c r="B2563" t="s">
        <v>4184</v>
      </c>
      <c r="C2563" t="s">
        <v>3983</v>
      </c>
      <c r="D2563">
        <v>47102145</v>
      </c>
      <c r="E2563">
        <v>6.83</v>
      </c>
      <c r="F2563">
        <v>3.75</v>
      </c>
    </row>
    <row r="2564" spans="1:6" x14ac:dyDescent="0.3">
      <c r="A2564" t="s">
        <v>4185</v>
      </c>
      <c r="B2564" t="s">
        <v>1693</v>
      </c>
      <c r="C2564" t="s">
        <v>4186</v>
      </c>
      <c r="D2564">
        <v>47109037</v>
      </c>
      <c r="E2564">
        <v>7.03</v>
      </c>
      <c r="F2564">
        <v>7.8</v>
      </c>
    </row>
    <row r="2565" spans="1:6" x14ac:dyDescent="0.3">
      <c r="A2565" t="s">
        <v>4187</v>
      </c>
      <c r="B2565" t="s">
        <v>4188</v>
      </c>
      <c r="C2565" t="s">
        <v>792</v>
      </c>
      <c r="D2565">
        <v>47115979</v>
      </c>
      <c r="E2565">
        <v>4.33</v>
      </c>
      <c r="F2565">
        <v>5.74</v>
      </c>
    </row>
    <row r="2566" spans="1:6" x14ac:dyDescent="0.3">
      <c r="A2566" t="s">
        <v>4189</v>
      </c>
      <c r="B2566" t="s">
        <v>3803</v>
      </c>
      <c r="C2566" t="s">
        <v>3375</v>
      </c>
      <c r="D2566">
        <v>47128131</v>
      </c>
      <c r="E2566">
        <v>5.58</v>
      </c>
      <c r="F2566">
        <v>5.78</v>
      </c>
    </row>
    <row r="2567" spans="1:6" x14ac:dyDescent="0.3">
      <c r="A2567" t="s">
        <v>3911</v>
      </c>
      <c r="B2567" t="s">
        <v>3580</v>
      </c>
      <c r="C2567" t="s">
        <v>782</v>
      </c>
      <c r="D2567">
        <v>47171509</v>
      </c>
      <c r="E2567">
        <v>28</v>
      </c>
      <c r="F2567">
        <v>7.67</v>
      </c>
    </row>
    <row r="2568" spans="1:6" x14ac:dyDescent="0.3">
      <c r="A2568" t="s">
        <v>4190</v>
      </c>
      <c r="B2568" t="s">
        <v>3051</v>
      </c>
      <c r="C2568" t="s">
        <v>3391</v>
      </c>
      <c r="D2568">
        <v>47186073</v>
      </c>
      <c r="E2568">
        <v>11.57</v>
      </c>
      <c r="F2568">
        <v>7</v>
      </c>
    </row>
    <row r="2569" spans="1:6" x14ac:dyDescent="0.3">
      <c r="A2569" t="s">
        <v>4191</v>
      </c>
      <c r="B2569" t="s">
        <v>3506</v>
      </c>
      <c r="C2569" t="s">
        <v>3266</v>
      </c>
      <c r="D2569">
        <v>47214600</v>
      </c>
      <c r="E2569">
        <v>11.5</v>
      </c>
      <c r="F2569">
        <v>7.33</v>
      </c>
    </row>
    <row r="2570" spans="1:6" x14ac:dyDescent="0.3">
      <c r="A2570" t="s">
        <v>4192</v>
      </c>
      <c r="B2570" t="s">
        <v>3041</v>
      </c>
      <c r="C2570" t="s">
        <v>4193</v>
      </c>
      <c r="D2570">
        <v>47221469</v>
      </c>
      <c r="E2570">
        <v>6.77</v>
      </c>
      <c r="F2570">
        <v>6.5</v>
      </c>
    </row>
    <row r="2571" spans="1:6" x14ac:dyDescent="0.3">
      <c r="A2571" t="s">
        <v>4194</v>
      </c>
      <c r="B2571" t="s">
        <v>3681</v>
      </c>
      <c r="C2571" t="s">
        <v>3891</v>
      </c>
      <c r="D2571">
        <v>47237400</v>
      </c>
      <c r="E2571">
        <v>29.62</v>
      </c>
      <c r="F2571">
        <v>5.7</v>
      </c>
    </row>
    <row r="2572" spans="1:6" x14ac:dyDescent="0.3">
      <c r="A2572" t="s">
        <v>4195</v>
      </c>
      <c r="B2572" t="s">
        <v>4196</v>
      </c>
      <c r="C2572" t="s">
        <v>1420</v>
      </c>
      <c r="D2572">
        <v>47239906</v>
      </c>
      <c r="E2572">
        <v>15.59</v>
      </c>
      <c r="F2572">
        <v>5.93</v>
      </c>
    </row>
    <row r="2573" spans="1:6" x14ac:dyDescent="0.3">
      <c r="A2573" t="s">
        <v>4197</v>
      </c>
      <c r="B2573" t="s">
        <v>1135</v>
      </c>
      <c r="C2573" t="s">
        <v>718</v>
      </c>
      <c r="D2573">
        <v>47246409</v>
      </c>
      <c r="E2573">
        <v>9.17</v>
      </c>
      <c r="F2573">
        <v>4.25</v>
      </c>
    </row>
    <row r="2574" spans="1:6" x14ac:dyDescent="0.3">
      <c r="A2574" t="s">
        <v>4198</v>
      </c>
      <c r="B2574" t="s">
        <v>4199</v>
      </c>
      <c r="C2574" t="s">
        <v>4200</v>
      </c>
      <c r="D2574">
        <v>47265752</v>
      </c>
      <c r="E2574">
        <v>4.5999999999999996</v>
      </c>
      <c r="F2574">
        <v>6.25</v>
      </c>
    </row>
    <row r="2575" spans="1:6" x14ac:dyDescent="0.3">
      <c r="A2575" t="s">
        <v>4201</v>
      </c>
      <c r="B2575" t="s">
        <v>4202</v>
      </c>
      <c r="C2575" t="s">
        <v>4203</v>
      </c>
      <c r="D2575">
        <v>47274509</v>
      </c>
      <c r="E2575">
        <v>11.4</v>
      </c>
      <c r="F2575">
        <v>5</v>
      </c>
    </row>
    <row r="2576" spans="1:6" x14ac:dyDescent="0.3">
      <c r="A2576" t="s">
        <v>4204</v>
      </c>
      <c r="B2576" t="s">
        <v>2539</v>
      </c>
      <c r="C2576" t="s">
        <v>4205</v>
      </c>
      <c r="D2576">
        <v>47281969</v>
      </c>
      <c r="E2576">
        <v>3.82</v>
      </c>
      <c r="F2576">
        <v>6</v>
      </c>
    </row>
    <row r="2577" spans="1:6" x14ac:dyDescent="0.3">
      <c r="A2577" t="s">
        <v>4206</v>
      </c>
      <c r="B2577" t="s">
        <v>3897</v>
      </c>
      <c r="C2577" t="s">
        <v>3529</v>
      </c>
      <c r="D2577">
        <v>47286090</v>
      </c>
      <c r="E2577">
        <v>9</v>
      </c>
      <c r="F2577">
        <v>6</v>
      </c>
    </row>
    <row r="2578" spans="1:6" x14ac:dyDescent="0.3">
      <c r="A2578" t="s">
        <v>4207</v>
      </c>
      <c r="B2578" t="s">
        <v>4208</v>
      </c>
      <c r="C2578" t="s">
        <v>1420</v>
      </c>
      <c r="D2578">
        <v>47295292</v>
      </c>
      <c r="E2578">
        <v>7.13</v>
      </c>
      <c r="F2578">
        <v>7.25</v>
      </c>
    </row>
    <row r="2579" spans="1:6" x14ac:dyDescent="0.3">
      <c r="A2579" t="s">
        <v>4209</v>
      </c>
      <c r="B2579" t="s">
        <v>3060</v>
      </c>
      <c r="C2579" t="s">
        <v>1269</v>
      </c>
      <c r="D2579">
        <v>47336306</v>
      </c>
      <c r="E2579">
        <v>9.2899999999999991</v>
      </c>
      <c r="F2579">
        <v>5.4</v>
      </c>
    </row>
    <row r="2580" spans="1:6" x14ac:dyDescent="0.3">
      <c r="A2580" t="s">
        <v>4210</v>
      </c>
      <c r="B2580" t="s">
        <v>2462</v>
      </c>
      <c r="C2580" t="s">
        <v>3381</v>
      </c>
      <c r="D2580">
        <v>47339027</v>
      </c>
      <c r="E2580">
        <v>4.62</v>
      </c>
      <c r="F2580">
        <v>5.9</v>
      </c>
    </row>
    <row r="2581" spans="1:6" x14ac:dyDescent="0.3">
      <c r="A2581" t="s">
        <v>4211</v>
      </c>
      <c r="B2581" t="s">
        <v>1996</v>
      </c>
      <c r="C2581" t="s">
        <v>4212</v>
      </c>
      <c r="D2581">
        <v>47348577</v>
      </c>
      <c r="E2581">
        <v>2.9</v>
      </c>
      <c r="F2581">
        <v>6.48</v>
      </c>
    </row>
    <row r="2582" spans="1:6" x14ac:dyDescent="0.3">
      <c r="A2582" t="s">
        <v>4213</v>
      </c>
      <c r="B2582" t="s">
        <v>4100</v>
      </c>
      <c r="C2582" t="s">
        <v>2285</v>
      </c>
      <c r="D2582">
        <v>47396627</v>
      </c>
      <c r="E2582">
        <v>8.25</v>
      </c>
      <c r="F2582">
        <v>3.33</v>
      </c>
    </row>
    <row r="2583" spans="1:6" x14ac:dyDescent="0.3">
      <c r="A2583" t="s">
        <v>4214</v>
      </c>
      <c r="B2583" t="s">
        <v>4215</v>
      </c>
      <c r="C2583" t="s">
        <v>4106</v>
      </c>
      <c r="D2583">
        <v>47396958</v>
      </c>
      <c r="E2583">
        <v>7.67</v>
      </c>
      <c r="F2583">
        <v>2.5</v>
      </c>
    </row>
    <row r="2584" spans="1:6" x14ac:dyDescent="0.3">
      <c r="A2584" t="s">
        <v>4216</v>
      </c>
      <c r="B2584" t="s">
        <v>3051</v>
      </c>
      <c r="C2584" t="s">
        <v>8</v>
      </c>
      <c r="D2584">
        <v>47446042</v>
      </c>
      <c r="E2584">
        <v>27.25</v>
      </c>
      <c r="F2584">
        <v>6.5</v>
      </c>
    </row>
    <row r="2585" spans="1:6" x14ac:dyDescent="0.3">
      <c r="A2585" t="s">
        <v>4217</v>
      </c>
      <c r="B2585" t="s">
        <v>4218</v>
      </c>
      <c r="C2585" t="s">
        <v>4219</v>
      </c>
      <c r="D2585">
        <v>47469402</v>
      </c>
      <c r="E2585">
        <v>5.7</v>
      </c>
      <c r="F2585">
        <v>6.78</v>
      </c>
    </row>
    <row r="2586" spans="1:6" x14ac:dyDescent="0.3">
      <c r="A2586" t="s">
        <v>4220</v>
      </c>
      <c r="B2586" t="s">
        <v>609</v>
      </c>
      <c r="C2586" t="s">
        <v>4131</v>
      </c>
      <c r="D2586">
        <v>47490086</v>
      </c>
      <c r="E2586">
        <v>4.8099999999999996</v>
      </c>
      <c r="F2586">
        <v>6</v>
      </c>
    </row>
    <row r="2587" spans="1:6" x14ac:dyDescent="0.3">
      <c r="A2587" t="s">
        <v>4221</v>
      </c>
      <c r="B2587" t="s">
        <v>3222</v>
      </c>
      <c r="C2587" t="s">
        <v>4222</v>
      </c>
      <c r="D2587">
        <v>47508950</v>
      </c>
      <c r="E2587">
        <v>2.72</v>
      </c>
      <c r="F2587">
        <v>5.8</v>
      </c>
    </row>
    <row r="2588" spans="1:6" x14ac:dyDescent="0.3">
      <c r="A2588" t="s">
        <v>4223</v>
      </c>
      <c r="B2588" t="s">
        <v>796</v>
      </c>
      <c r="C2588" t="s">
        <v>4224</v>
      </c>
      <c r="D2588">
        <v>47521977</v>
      </c>
      <c r="E2588">
        <v>16.18</v>
      </c>
      <c r="F2588">
        <v>6.66</v>
      </c>
    </row>
    <row r="2589" spans="1:6" x14ac:dyDescent="0.3">
      <c r="A2589" t="s">
        <v>4225</v>
      </c>
      <c r="B2589" t="s">
        <v>3041</v>
      </c>
      <c r="C2589" t="s">
        <v>4226</v>
      </c>
      <c r="D2589">
        <v>47545009</v>
      </c>
      <c r="E2589">
        <v>4</v>
      </c>
      <c r="F2589">
        <v>6.86</v>
      </c>
    </row>
    <row r="2590" spans="1:6" x14ac:dyDescent="0.3">
      <c r="A2590" t="s">
        <v>4227</v>
      </c>
      <c r="B2590" t="s">
        <v>1605</v>
      </c>
      <c r="C2590" t="s">
        <v>4228</v>
      </c>
      <c r="D2590">
        <v>47568611</v>
      </c>
      <c r="E2590">
        <v>5.67</v>
      </c>
      <c r="F2590">
        <v>6.8</v>
      </c>
    </row>
    <row r="2591" spans="1:6" x14ac:dyDescent="0.3">
      <c r="A2591" t="s">
        <v>1188</v>
      </c>
      <c r="B2591" t="s">
        <v>463</v>
      </c>
      <c r="C2591" t="s">
        <v>4229</v>
      </c>
      <c r="D2591">
        <v>47594736</v>
      </c>
      <c r="E2591">
        <v>3.65</v>
      </c>
      <c r="F2591">
        <v>6.57</v>
      </c>
    </row>
    <row r="2592" spans="1:6" x14ac:dyDescent="0.3">
      <c r="A2592" t="s">
        <v>4230</v>
      </c>
      <c r="B2592" t="s">
        <v>1890</v>
      </c>
      <c r="C2592" t="s">
        <v>2015</v>
      </c>
      <c r="D2592">
        <v>47595853</v>
      </c>
      <c r="E2592">
        <v>17.670000000000002</v>
      </c>
      <c r="F2592">
        <v>6.67</v>
      </c>
    </row>
    <row r="2593" spans="1:6" x14ac:dyDescent="0.3">
      <c r="A2593" t="s">
        <v>4231</v>
      </c>
      <c r="B2593" t="s">
        <v>2228</v>
      </c>
      <c r="C2593" t="s">
        <v>4232</v>
      </c>
      <c r="D2593">
        <v>47611766</v>
      </c>
      <c r="E2593">
        <v>9.82</v>
      </c>
      <c r="F2593">
        <v>6.49</v>
      </c>
    </row>
    <row r="2594" spans="1:6" x14ac:dyDescent="0.3">
      <c r="A2594" t="s">
        <v>4233</v>
      </c>
      <c r="B2594" t="s">
        <v>4234</v>
      </c>
      <c r="C2594" t="s">
        <v>4067</v>
      </c>
      <c r="D2594">
        <v>47615989</v>
      </c>
      <c r="E2594">
        <v>3.09</v>
      </c>
      <c r="F2594">
        <v>6.21</v>
      </c>
    </row>
    <row r="2595" spans="1:6" x14ac:dyDescent="0.3">
      <c r="A2595" t="s">
        <v>4235</v>
      </c>
      <c r="B2595" t="s">
        <v>2609</v>
      </c>
      <c r="C2595" t="s">
        <v>4236</v>
      </c>
      <c r="D2595">
        <v>47620786</v>
      </c>
      <c r="E2595">
        <v>15.55</v>
      </c>
      <c r="F2595">
        <v>7.11</v>
      </c>
    </row>
    <row r="2596" spans="1:6" x14ac:dyDescent="0.3">
      <c r="A2596" t="s">
        <v>4237</v>
      </c>
      <c r="B2596" t="s">
        <v>4238</v>
      </c>
      <c r="C2596" t="s">
        <v>3013</v>
      </c>
      <c r="D2596">
        <v>47664394</v>
      </c>
      <c r="E2596">
        <v>6.25</v>
      </c>
      <c r="F2596">
        <v>4</v>
      </c>
    </row>
    <row r="2597" spans="1:6" x14ac:dyDescent="0.3">
      <c r="A2597" t="s">
        <v>4239</v>
      </c>
      <c r="B2597" t="s">
        <v>3063</v>
      </c>
      <c r="C2597" t="s">
        <v>3949</v>
      </c>
      <c r="D2597">
        <v>47689818</v>
      </c>
      <c r="E2597">
        <v>8.5</v>
      </c>
      <c r="F2597">
        <v>6.63</v>
      </c>
    </row>
    <row r="2598" spans="1:6" x14ac:dyDescent="0.3">
      <c r="A2598" t="s">
        <v>1029</v>
      </c>
      <c r="B2598" t="s">
        <v>2433</v>
      </c>
      <c r="C2598" t="s">
        <v>1030</v>
      </c>
      <c r="D2598">
        <v>47700512</v>
      </c>
      <c r="E2598">
        <v>7.47</v>
      </c>
      <c r="F2598">
        <v>8.24</v>
      </c>
    </row>
    <row r="2599" spans="1:6" x14ac:dyDescent="0.3">
      <c r="A2599" t="s">
        <v>4240</v>
      </c>
      <c r="B2599" t="s">
        <v>3125</v>
      </c>
      <c r="C2599" t="s">
        <v>4241</v>
      </c>
      <c r="D2599">
        <v>47723128</v>
      </c>
      <c r="E2599">
        <v>13.01</v>
      </c>
      <c r="F2599">
        <v>8.32</v>
      </c>
    </row>
    <row r="2600" spans="1:6" x14ac:dyDescent="0.3">
      <c r="A2600" t="s">
        <v>4242</v>
      </c>
      <c r="B2600" t="s">
        <v>3823</v>
      </c>
      <c r="C2600" t="s">
        <v>4243</v>
      </c>
      <c r="D2600">
        <v>47744861</v>
      </c>
      <c r="E2600">
        <v>3.89</v>
      </c>
      <c r="F2600">
        <v>5.47</v>
      </c>
    </row>
    <row r="2601" spans="1:6" x14ac:dyDescent="0.3">
      <c r="A2601" t="s">
        <v>1445</v>
      </c>
      <c r="B2601" t="s">
        <v>2738</v>
      </c>
      <c r="C2601" t="s">
        <v>4244</v>
      </c>
      <c r="D2601">
        <v>47748375</v>
      </c>
      <c r="E2601">
        <v>3.69</v>
      </c>
      <c r="F2601">
        <v>6.72</v>
      </c>
    </row>
    <row r="2602" spans="1:6" x14ac:dyDescent="0.3">
      <c r="A2602" t="s">
        <v>4245</v>
      </c>
      <c r="B2602" t="s">
        <v>4246</v>
      </c>
      <c r="C2602" t="s">
        <v>4247</v>
      </c>
      <c r="D2602">
        <v>47762081</v>
      </c>
      <c r="E2602">
        <v>14.13</v>
      </c>
      <c r="F2602">
        <v>7.5</v>
      </c>
    </row>
    <row r="2603" spans="1:6" x14ac:dyDescent="0.3">
      <c r="A2603" t="s">
        <v>4248</v>
      </c>
      <c r="B2603" t="s">
        <v>1589</v>
      </c>
      <c r="C2603" t="s">
        <v>4249</v>
      </c>
      <c r="D2603">
        <v>47770907</v>
      </c>
      <c r="E2603">
        <v>2.2599999999999998</v>
      </c>
      <c r="F2603">
        <v>6.89</v>
      </c>
    </row>
    <row r="2604" spans="1:6" x14ac:dyDescent="0.3">
      <c r="A2604" t="s">
        <v>4250</v>
      </c>
      <c r="B2604" t="s">
        <v>3933</v>
      </c>
      <c r="C2604" t="s">
        <v>1101</v>
      </c>
      <c r="D2604">
        <v>47771988</v>
      </c>
      <c r="E2604">
        <v>5.25</v>
      </c>
      <c r="F2604">
        <v>6</v>
      </c>
    </row>
    <row r="2605" spans="1:6" x14ac:dyDescent="0.3">
      <c r="A2605" t="s">
        <v>4251</v>
      </c>
      <c r="B2605" t="s">
        <v>3627</v>
      </c>
      <c r="C2605" t="s">
        <v>4252</v>
      </c>
      <c r="D2605">
        <v>47775976</v>
      </c>
      <c r="E2605">
        <v>16.13</v>
      </c>
      <c r="F2605">
        <v>7.14</v>
      </c>
    </row>
    <row r="2606" spans="1:6" x14ac:dyDescent="0.3">
      <c r="A2606" t="s">
        <v>4253</v>
      </c>
      <c r="B2606" t="s">
        <v>3159</v>
      </c>
      <c r="C2606" t="s">
        <v>4254</v>
      </c>
      <c r="D2606">
        <v>47784910</v>
      </c>
      <c r="E2606">
        <v>16.190000000000001</v>
      </c>
      <c r="F2606">
        <v>5.58</v>
      </c>
    </row>
    <row r="2607" spans="1:6" x14ac:dyDescent="0.3">
      <c r="A2607" t="s">
        <v>4255</v>
      </c>
      <c r="B2607" t="s">
        <v>4256</v>
      </c>
      <c r="C2607" t="s">
        <v>2994</v>
      </c>
      <c r="D2607">
        <v>47797723</v>
      </c>
      <c r="E2607">
        <v>25</v>
      </c>
      <c r="F2607">
        <v>5.4</v>
      </c>
    </row>
    <row r="2608" spans="1:6" x14ac:dyDescent="0.3">
      <c r="A2608" t="s">
        <v>4257</v>
      </c>
      <c r="B2608" t="s">
        <v>4196</v>
      </c>
      <c r="C2608" t="s">
        <v>1188</v>
      </c>
      <c r="D2608">
        <v>47798865</v>
      </c>
      <c r="E2608">
        <v>11.33</v>
      </c>
      <c r="F2608">
        <v>6.67</v>
      </c>
    </row>
    <row r="2609" spans="1:6" x14ac:dyDescent="0.3">
      <c r="A2609" t="s">
        <v>4258</v>
      </c>
      <c r="B2609" t="s">
        <v>4259</v>
      </c>
      <c r="C2609" t="s">
        <v>3583</v>
      </c>
      <c r="D2609">
        <v>47805684</v>
      </c>
      <c r="E2609">
        <v>5.52</v>
      </c>
      <c r="F2609">
        <v>5.08</v>
      </c>
    </row>
    <row r="2610" spans="1:6" x14ac:dyDescent="0.3">
      <c r="A2610" t="s">
        <v>4260</v>
      </c>
      <c r="B2610" t="s">
        <v>4261</v>
      </c>
      <c r="C2610" t="s">
        <v>4262</v>
      </c>
      <c r="D2610">
        <v>47825466</v>
      </c>
      <c r="E2610">
        <v>9.31</v>
      </c>
      <c r="F2610">
        <v>5.6</v>
      </c>
    </row>
    <row r="2611" spans="1:6" x14ac:dyDescent="0.3">
      <c r="A2611" t="s">
        <v>4263</v>
      </c>
      <c r="B2611" t="s">
        <v>3580</v>
      </c>
      <c r="C2611" t="s">
        <v>2970</v>
      </c>
      <c r="D2611">
        <v>47839782</v>
      </c>
      <c r="E2611">
        <v>14.66</v>
      </c>
      <c r="F2611">
        <v>6.55</v>
      </c>
    </row>
    <row r="2612" spans="1:6" x14ac:dyDescent="0.3">
      <c r="A2612" t="s">
        <v>4264</v>
      </c>
      <c r="B2612" t="s">
        <v>2133</v>
      </c>
      <c r="C2612" t="s">
        <v>4265</v>
      </c>
      <c r="D2612">
        <v>47849218</v>
      </c>
      <c r="E2612">
        <v>2.96</v>
      </c>
      <c r="F2612">
        <v>7.56</v>
      </c>
    </row>
    <row r="2613" spans="1:6" x14ac:dyDescent="0.3">
      <c r="A2613" t="s">
        <v>4266</v>
      </c>
      <c r="B2613" t="s">
        <v>4267</v>
      </c>
      <c r="C2613" t="s">
        <v>4268</v>
      </c>
      <c r="D2613">
        <v>47853491</v>
      </c>
      <c r="E2613">
        <v>7.19</v>
      </c>
      <c r="F2613">
        <v>6.99</v>
      </c>
    </row>
    <row r="2614" spans="1:6" x14ac:dyDescent="0.3">
      <c r="A2614" t="s">
        <v>4269</v>
      </c>
      <c r="B2614" t="s">
        <v>2433</v>
      </c>
      <c r="C2614" t="s">
        <v>3309</v>
      </c>
      <c r="D2614">
        <v>47896521</v>
      </c>
      <c r="E2614">
        <v>5.88</v>
      </c>
      <c r="F2614">
        <v>6.67</v>
      </c>
    </row>
    <row r="2615" spans="1:6" x14ac:dyDescent="0.3">
      <c r="A2615" t="s">
        <v>4270</v>
      </c>
      <c r="B2615" t="s">
        <v>4271</v>
      </c>
      <c r="C2615" t="s">
        <v>1521</v>
      </c>
      <c r="D2615">
        <v>47931490</v>
      </c>
      <c r="E2615">
        <v>8.6</v>
      </c>
      <c r="F2615">
        <v>2</v>
      </c>
    </row>
    <row r="2616" spans="1:6" x14ac:dyDescent="0.3">
      <c r="A2616" t="s">
        <v>4272</v>
      </c>
      <c r="B2616" t="s">
        <v>3870</v>
      </c>
      <c r="C2616" t="s">
        <v>3369</v>
      </c>
      <c r="D2616">
        <v>47958117</v>
      </c>
      <c r="E2616">
        <v>18</v>
      </c>
      <c r="F2616">
        <v>6</v>
      </c>
    </row>
    <row r="2617" spans="1:6" x14ac:dyDescent="0.3">
      <c r="A2617" t="s">
        <v>4273</v>
      </c>
      <c r="B2617" t="s">
        <v>3212</v>
      </c>
      <c r="C2617" t="s">
        <v>4274</v>
      </c>
      <c r="D2617">
        <v>47961873</v>
      </c>
      <c r="E2617">
        <v>12.4</v>
      </c>
      <c r="F2617">
        <v>5</v>
      </c>
    </row>
    <row r="2618" spans="1:6" x14ac:dyDescent="0.3">
      <c r="A2618" t="s">
        <v>4275</v>
      </c>
      <c r="B2618" t="s">
        <v>4271</v>
      </c>
      <c r="C2618" t="s">
        <v>1944</v>
      </c>
      <c r="D2618">
        <v>47987351</v>
      </c>
      <c r="E2618">
        <v>14.3</v>
      </c>
      <c r="F2618">
        <v>8.33</v>
      </c>
    </row>
    <row r="2619" spans="1:6" x14ac:dyDescent="0.3">
      <c r="A2619" t="s">
        <v>4276</v>
      </c>
      <c r="B2619" t="s">
        <v>4277</v>
      </c>
      <c r="C2619" t="s">
        <v>4278</v>
      </c>
      <c r="D2619">
        <v>47994830</v>
      </c>
      <c r="E2619">
        <v>15.86</v>
      </c>
      <c r="F2619">
        <v>8</v>
      </c>
    </row>
    <row r="2620" spans="1:6" x14ac:dyDescent="0.3">
      <c r="A2620" t="s">
        <v>4279</v>
      </c>
      <c r="B2620" t="s">
        <v>4218</v>
      </c>
      <c r="C2620" t="s">
        <v>2507</v>
      </c>
      <c r="D2620">
        <v>47998429</v>
      </c>
      <c r="E2620">
        <v>12.5</v>
      </c>
      <c r="F2620">
        <v>7</v>
      </c>
    </row>
    <row r="2621" spans="1:6" x14ac:dyDescent="0.3">
      <c r="A2621" t="s">
        <v>4280</v>
      </c>
      <c r="B2621" t="s">
        <v>3820</v>
      </c>
      <c r="C2621" t="s">
        <v>4281</v>
      </c>
      <c r="D2621">
        <v>48008831</v>
      </c>
      <c r="E2621">
        <v>22.95</v>
      </c>
      <c r="F2621">
        <v>6.57</v>
      </c>
    </row>
    <row r="2622" spans="1:6" x14ac:dyDescent="0.3">
      <c r="A2622" t="s">
        <v>4282</v>
      </c>
      <c r="B2622" t="s">
        <v>2166</v>
      </c>
      <c r="C2622" t="s">
        <v>4283</v>
      </c>
      <c r="D2622">
        <v>48020496</v>
      </c>
      <c r="E2622">
        <v>21.6</v>
      </c>
      <c r="F2622">
        <v>6.66</v>
      </c>
    </row>
    <row r="2623" spans="1:6" x14ac:dyDescent="0.3">
      <c r="A2623" t="s">
        <v>4284</v>
      </c>
      <c r="B2623" t="s">
        <v>4285</v>
      </c>
      <c r="C2623" t="s">
        <v>2458</v>
      </c>
      <c r="D2623">
        <v>48058819</v>
      </c>
      <c r="E2623">
        <v>9.4</v>
      </c>
      <c r="F2623">
        <v>5.8</v>
      </c>
    </row>
    <row r="2624" spans="1:6" x14ac:dyDescent="0.3">
      <c r="A2624" t="s">
        <v>4286</v>
      </c>
      <c r="B2624" t="s">
        <v>2843</v>
      </c>
      <c r="C2624" t="s">
        <v>1545</v>
      </c>
      <c r="D2624">
        <v>48060535</v>
      </c>
      <c r="E2624">
        <v>7.77</v>
      </c>
      <c r="F2624">
        <v>5.86</v>
      </c>
    </row>
    <row r="2625" spans="1:6" x14ac:dyDescent="0.3">
      <c r="A2625" t="s">
        <v>4287</v>
      </c>
      <c r="B2625" t="s">
        <v>4256</v>
      </c>
      <c r="C2625" t="s">
        <v>3508</v>
      </c>
      <c r="D2625">
        <v>48073305</v>
      </c>
      <c r="E2625">
        <v>19.5</v>
      </c>
      <c r="F2625">
        <v>7.25</v>
      </c>
    </row>
    <row r="2626" spans="1:6" x14ac:dyDescent="0.3">
      <c r="A2626" t="s">
        <v>3723</v>
      </c>
      <c r="B2626" t="s">
        <v>2913</v>
      </c>
      <c r="C2626" t="s">
        <v>4288</v>
      </c>
      <c r="D2626">
        <v>48149517</v>
      </c>
      <c r="E2626">
        <v>4.34</v>
      </c>
      <c r="F2626">
        <v>6.43</v>
      </c>
    </row>
    <row r="2627" spans="1:6" x14ac:dyDescent="0.3">
      <c r="A2627" t="s">
        <v>4289</v>
      </c>
      <c r="B2627" t="s">
        <v>1110</v>
      </c>
      <c r="C2627" t="s">
        <v>3247</v>
      </c>
      <c r="D2627">
        <v>48156638</v>
      </c>
      <c r="E2627">
        <v>26.5</v>
      </c>
      <c r="F2627">
        <v>5.5</v>
      </c>
    </row>
    <row r="2628" spans="1:6" x14ac:dyDescent="0.3">
      <c r="A2628" t="s">
        <v>4290</v>
      </c>
      <c r="B2628" t="s">
        <v>3422</v>
      </c>
      <c r="C2628" t="s">
        <v>4291</v>
      </c>
      <c r="D2628">
        <v>48175126</v>
      </c>
      <c r="E2628">
        <v>23.77</v>
      </c>
      <c r="F2628">
        <v>7.98</v>
      </c>
    </row>
    <row r="2629" spans="1:6" x14ac:dyDescent="0.3">
      <c r="A2629" t="s">
        <v>4292</v>
      </c>
      <c r="B2629" t="s">
        <v>4293</v>
      </c>
      <c r="C2629" t="s">
        <v>4294</v>
      </c>
      <c r="D2629">
        <v>48194121</v>
      </c>
      <c r="E2629">
        <v>14.75</v>
      </c>
      <c r="F2629">
        <v>6.38</v>
      </c>
    </row>
    <row r="2630" spans="1:6" x14ac:dyDescent="0.3">
      <c r="A2630" t="s">
        <v>4295</v>
      </c>
      <c r="B2630" t="s">
        <v>2519</v>
      </c>
      <c r="C2630" t="s">
        <v>932</v>
      </c>
      <c r="D2630">
        <v>48199047</v>
      </c>
      <c r="E2630">
        <v>2.8</v>
      </c>
      <c r="F2630">
        <v>7</v>
      </c>
    </row>
    <row r="2631" spans="1:6" x14ac:dyDescent="0.3">
      <c r="A2631" t="s">
        <v>4296</v>
      </c>
      <c r="B2631" t="s">
        <v>3329</v>
      </c>
      <c r="C2631" t="s">
        <v>4297</v>
      </c>
      <c r="D2631">
        <v>48227651</v>
      </c>
      <c r="E2631">
        <v>8.2799999999999994</v>
      </c>
      <c r="F2631">
        <v>7.32</v>
      </c>
    </row>
    <row r="2632" spans="1:6" x14ac:dyDescent="0.3">
      <c r="A2632" t="s">
        <v>4298</v>
      </c>
      <c r="B2632" t="s">
        <v>4299</v>
      </c>
      <c r="C2632" t="s">
        <v>1954</v>
      </c>
      <c r="D2632">
        <v>48229256</v>
      </c>
      <c r="E2632">
        <v>22</v>
      </c>
      <c r="F2632">
        <v>8</v>
      </c>
    </row>
    <row r="2633" spans="1:6" x14ac:dyDescent="0.3">
      <c r="A2633" t="s">
        <v>4300</v>
      </c>
      <c r="B2633" t="s">
        <v>2032</v>
      </c>
      <c r="C2633" t="s">
        <v>3324</v>
      </c>
      <c r="D2633">
        <v>48244736</v>
      </c>
      <c r="E2633">
        <v>2.81</v>
      </c>
      <c r="F2633">
        <v>6.88</v>
      </c>
    </row>
    <row r="2634" spans="1:6" x14ac:dyDescent="0.3">
      <c r="A2634" t="s">
        <v>4301</v>
      </c>
      <c r="B2634" t="s">
        <v>4302</v>
      </c>
      <c r="C2634" t="s">
        <v>1012</v>
      </c>
      <c r="D2634">
        <v>48267315</v>
      </c>
      <c r="E2634">
        <v>32.5</v>
      </c>
      <c r="F2634">
        <v>6</v>
      </c>
    </row>
    <row r="2635" spans="1:6" x14ac:dyDescent="0.3">
      <c r="A2635" t="s">
        <v>4303</v>
      </c>
      <c r="B2635" t="s">
        <v>1265</v>
      </c>
      <c r="C2635" t="s">
        <v>1145</v>
      </c>
      <c r="D2635">
        <v>48272522</v>
      </c>
      <c r="E2635">
        <v>10.36</v>
      </c>
      <c r="F2635">
        <v>7.74</v>
      </c>
    </row>
    <row r="2636" spans="1:6" x14ac:dyDescent="0.3">
      <c r="A2636" t="s">
        <v>4304</v>
      </c>
      <c r="B2636" t="s">
        <v>4305</v>
      </c>
      <c r="C2636" t="s">
        <v>4306</v>
      </c>
      <c r="D2636">
        <v>48275252</v>
      </c>
      <c r="E2636">
        <v>1.04</v>
      </c>
      <c r="F2636">
        <v>6.27</v>
      </c>
    </row>
    <row r="2637" spans="1:6" x14ac:dyDescent="0.3">
      <c r="A2637" t="s">
        <v>4307</v>
      </c>
      <c r="B2637" t="s">
        <v>4308</v>
      </c>
      <c r="C2637" t="s">
        <v>950</v>
      </c>
      <c r="D2637">
        <v>48329084</v>
      </c>
      <c r="E2637">
        <v>27.05</v>
      </c>
      <c r="F2637">
        <v>3.83</v>
      </c>
    </row>
    <row r="2638" spans="1:6" x14ac:dyDescent="0.3">
      <c r="A2638" t="s">
        <v>4309</v>
      </c>
      <c r="B2638" t="s">
        <v>1587</v>
      </c>
      <c r="C2638" t="s">
        <v>4310</v>
      </c>
      <c r="D2638">
        <v>48353992</v>
      </c>
      <c r="E2638">
        <v>22.18</v>
      </c>
      <c r="F2638">
        <v>4.82</v>
      </c>
    </row>
    <row r="2639" spans="1:6" x14ac:dyDescent="0.3">
      <c r="A2639" t="s">
        <v>4311</v>
      </c>
      <c r="B2639" t="s">
        <v>4159</v>
      </c>
      <c r="C2639" t="s">
        <v>749</v>
      </c>
      <c r="D2639">
        <v>48359333</v>
      </c>
      <c r="E2639">
        <v>9.4</v>
      </c>
      <c r="F2639">
        <v>6</v>
      </c>
    </row>
    <row r="2640" spans="1:6" x14ac:dyDescent="0.3">
      <c r="A2640" t="s">
        <v>4312</v>
      </c>
      <c r="B2640" t="s">
        <v>2756</v>
      </c>
      <c r="C2640" t="s">
        <v>4313</v>
      </c>
      <c r="D2640">
        <v>48359768</v>
      </c>
      <c r="E2640">
        <v>3.84</v>
      </c>
      <c r="F2640">
        <v>5.93</v>
      </c>
    </row>
    <row r="2641" spans="1:6" x14ac:dyDescent="0.3">
      <c r="A2641" t="s">
        <v>4314</v>
      </c>
      <c r="B2641" t="s">
        <v>4110</v>
      </c>
      <c r="C2641" t="s">
        <v>3483</v>
      </c>
      <c r="D2641">
        <v>48382680</v>
      </c>
      <c r="E2641">
        <v>3</v>
      </c>
      <c r="F2641">
        <v>5.88</v>
      </c>
    </row>
    <row r="2642" spans="1:6" x14ac:dyDescent="0.3">
      <c r="A2642" t="s">
        <v>4315</v>
      </c>
      <c r="B2642" t="s">
        <v>1996</v>
      </c>
      <c r="C2642" t="s">
        <v>1638</v>
      </c>
      <c r="D2642">
        <v>48410878</v>
      </c>
      <c r="E2642">
        <v>3.04</v>
      </c>
      <c r="F2642">
        <v>6.59</v>
      </c>
    </row>
    <row r="2643" spans="1:6" x14ac:dyDescent="0.3">
      <c r="A2643" t="s">
        <v>4316</v>
      </c>
      <c r="B2643" t="s">
        <v>4317</v>
      </c>
      <c r="C2643" t="s">
        <v>1752</v>
      </c>
      <c r="D2643">
        <v>48435217</v>
      </c>
      <c r="E2643">
        <v>6.97</v>
      </c>
      <c r="F2643">
        <v>4.9800000000000004</v>
      </c>
    </row>
    <row r="2644" spans="1:6" x14ac:dyDescent="0.3">
      <c r="A2644" t="s">
        <v>4318</v>
      </c>
      <c r="B2644" t="s">
        <v>3848</v>
      </c>
      <c r="C2644" t="s">
        <v>2142</v>
      </c>
      <c r="D2644">
        <v>48447713</v>
      </c>
      <c r="E2644">
        <v>16.02</v>
      </c>
      <c r="F2644">
        <v>5.1100000000000003</v>
      </c>
    </row>
    <row r="2645" spans="1:6" x14ac:dyDescent="0.3">
      <c r="A2645" t="s">
        <v>4319</v>
      </c>
      <c r="B2645" t="s">
        <v>3580</v>
      </c>
      <c r="C2645" t="s">
        <v>3644</v>
      </c>
      <c r="D2645">
        <v>48454650</v>
      </c>
      <c r="E2645">
        <v>20.95</v>
      </c>
      <c r="F2645">
        <v>6.78</v>
      </c>
    </row>
    <row r="2646" spans="1:6" x14ac:dyDescent="0.3">
      <c r="A2646" t="s">
        <v>4320</v>
      </c>
      <c r="B2646" t="s">
        <v>3946</v>
      </c>
      <c r="C2646" t="s">
        <v>2787</v>
      </c>
      <c r="D2646">
        <v>48467331</v>
      </c>
      <c r="E2646">
        <v>5.65</v>
      </c>
      <c r="F2646">
        <v>4.42</v>
      </c>
    </row>
    <row r="2647" spans="1:6" x14ac:dyDescent="0.3">
      <c r="A2647" t="s">
        <v>4321</v>
      </c>
      <c r="B2647" t="s">
        <v>3311</v>
      </c>
      <c r="C2647" t="s">
        <v>2494</v>
      </c>
      <c r="D2647">
        <v>48480016</v>
      </c>
      <c r="E2647">
        <v>6.74</v>
      </c>
      <c r="F2647">
        <v>6.6</v>
      </c>
    </row>
    <row r="2648" spans="1:6" x14ac:dyDescent="0.3">
      <c r="A2648" t="s">
        <v>4322</v>
      </c>
      <c r="B2648" t="s">
        <v>3051</v>
      </c>
      <c r="C2648" t="s">
        <v>4323</v>
      </c>
      <c r="D2648">
        <v>48517555</v>
      </c>
      <c r="E2648">
        <v>5</v>
      </c>
      <c r="F2648">
        <v>6.75</v>
      </c>
    </row>
    <row r="2649" spans="1:6" x14ac:dyDescent="0.3">
      <c r="A2649" t="s">
        <v>4324</v>
      </c>
      <c r="B2649" t="s">
        <v>4120</v>
      </c>
      <c r="C2649" t="s">
        <v>3999</v>
      </c>
      <c r="D2649">
        <v>48538013</v>
      </c>
      <c r="E2649">
        <v>17.34</v>
      </c>
      <c r="F2649">
        <v>8.86</v>
      </c>
    </row>
    <row r="2650" spans="1:6" x14ac:dyDescent="0.3">
      <c r="A2650" t="s">
        <v>4325</v>
      </c>
      <c r="B2650" t="s">
        <v>4026</v>
      </c>
      <c r="C2650" t="s">
        <v>1185</v>
      </c>
      <c r="D2650">
        <v>48551000</v>
      </c>
      <c r="E2650">
        <v>5.6</v>
      </c>
      <c r="F2650">
        <v>3.67</v>
      </c>
    </row>
    <row r="2651" spans="1:6" x14ac:dyDescent="0.3">
      <c r="A2651" t="s">
        <v>4326</v>
      </c>
      <c r="B2651" t="s">
        <v>2433</v>
      </c>
      <c r="C2651" t="s">
        <v>1269</v>
      </c>
      <c r="D2651">
        <v>48570673</v>
      </c>
      <c r="E2651">
        <v>9.1999999999999993</v>
      </c>
      <c r="F2651">
        <v>7.67</v>
      </c>
    </row>
    <row r="2652" spans="1:6" x14ac:dyDescent="0.3">
      <c r="A2652" t="s">
        <v>4327</v>
      </c>
      <c r="B2652" t="s">
        <v>4328</v>
      </c>
      <c r="C2652" t="s">
        <v>4329</v>
      </c>
      <c r="D2652">
        <v>48577054</v>
      </c>
      <c r="E2652">
        <v>11.86</v>
      </c>
      <c r="F2652">
        <v>7</v>
      </c>
    </row>
    <row r="2653" spans="1:6" x14ac:dyDescent="0.3">
      <c r="A2653" t="s">
        <v>4330</v>
      </c>
      <c r="B2653" t="s">
        <v>3739</v>
      </c>
      <c r="C2653" t="s">
        <v>4331</v>
      </c>
      <c r="D2653">
        <v>48591102</v>
      </c>
      <c r="E2653">
        <v>25.5</v>
      </c>
      <c r="F2653">
        <v>5.5</v>
      </c>
    </row>
    <row r="2654" spans="1:6" x14ac:dyDescent="0.3">
      <c r="A2654" t="s">
        <v>4332</v>
      </c>
      <c r="B2654" t="s">
        <v>4333</v>
      </c>
      <c r="C2654" t="s">
        <v>3658</v>
      </c>
      <c r="D2654">
        <v>48598746</v>
      </c>
      <c r="E2654">
        <v>7.9</v>
      </c>
      <c r="F2654">
        <v>7.27</v>
      </c>
    </row>
    <row r="2655" spans="1:6" x14ac:dyDescent="0.3">
      <c r="A2655" t="s">
        <v>4334</v>
      </c>
      <c r="B2655" t="s">
        <v>4335</v>
      </c>
      <c r="C2655" t="s">
        <v>2332</v>
      </c>
      <c r="D2655">
        <v>48611372</v>
      </c>
      <c r="E2655">
        <v>4.6900000000000004</v>
      </c>
      <c r="F2655">
        <v>5.27</v>
      </c>
    </row>
    <row r="2656" spans="1:6" x14ac:dyDescent="0.3">
      <c r="A2656" t="s">
        <v>4336</v>
      </c>
      <c r="B2656" t="s">
        <v>3380</v>
      </c>
      <c r="C2656" t="s">
        <v>4337</v>
      </c>
      <c r="D2656">
        <v>48615212</v>
      </c>
      <c r="E2656">
        <v>11</v>
      </c>
      <c r="F2656">
        <v>5.5</v>
      </c>
    </row>
    <row r="2657" spans="1:6" x14ac:dyDescent="0.3">
      <c r="A2657" t="s">
        <v>4338</v>
      </c>
      <c r="B2657" t="s">
        <v>517</v>
      </c>
      <c r="C2657" t="s">
        <v>4339</v>
      </c>
      <c r="D2657">
        <v>48618693</v>
      </c>
      <c r="E2657">
        <v>8.85</v>
      </c>
      <c r="F2657">
        <v>7.44</v>
      </c>
    </row>
    <row r="2658" spans="1:6" x14ac:dyDescent="0.3">
      <c r="A2658" t="s">
        <v>4340</v>
      </c>
      <c r="B2658" t="s">
        <v>4341</v>
      </c>
      <c r="C2658" t="s">
        <v>2383</v>
      </c>
      <c r="D2658">
        <v>48634230</v>
      </c>
      <c r="E2658">
        <v>6.8</v>
      </c>
      <c r="F2658">
        <v>6.4</v>
      </c>
    </row>
    <row r="2659" spans="1:6" x14ac:dyDescent="0.3">
      <c r="A2659" t="s">
        <v>4342</v>
      </c>
      <c r="B2659" t="s">
        <v>4062</v>
      </c>
      <c r="C2659" t="s">
        <v>1185</v>
      </c>
      <c r="D2659">
        <v>48654465</v>
      </c>
      <c r="E2659">
        <v>10.57</v>
      </c>
      <c r="F2659">
        <v>6.25</v>
      </c>
    </row>
    <row r="2660" spans="1:6" x14ac:dyDescent="0.3">
      <c r="A2660" t="s">
        <v>4343</v>
      </c>
      <c r="B2660" t="s">
        <v>1147</v>
      </c>
      <c r="C2660" t="s">
        <v>4344</v>
      </c>
      <c r="D2660">
        <v>48657679</v>
      </c>
      <c r="E2660">
        <v>18.600000000000001</v>
      </c>
      <c r="F2660">
        <v>4.2</v>
      </c>
    </row>
    <row r="2661" spans="1:6" x14ac:dyDescent="0.3">
      <c r="A2661" t="s">
        <v>4345</v>
      </c>
      <c r="B2661" t="s">
        <v>1285</v>
      </c>
      <c r="C2661" t="s">
        <v>3160</v>
      </c>
      <c r="D2661">
        <v>48679353</v>
      </c>
      <c r="E2661">
        <v>26</v>
      </c>
      <c r="F2661">
        <v>7.7</v>
      </c>
    </row>
    <row r="2662" spans="1:6" x14ac:dyDescent="0.3">
      <c r="A2662" t="s">
        <v>4346</v>
      </c>
      <c r="B2662" t="s">
        <v>4347</v>
      </c>
      <c r="C2662" t="s">
        <v>4348</v>
      </c>
      <c r="D2662">
        <v>48687074</v>
      </c>
      <c r="E2662">
        <v>13</v>
      </c>
      <c r="F2662">
        <v>4.33</v>
      </c>
    </row>
    <row r="2663" spans="1:6" x14ac:dyDescent="0.3">
      <c r="A2663" t="s">
        <v>4349</v>
      </c>
      <c r="B2663" t="s">
        <v>4350</v>
      </c>
      <c r="C2663" t="s">
        <v>4351</v>
      </c>
      <c r="D2663">
        <v>48725138</v>
      </c>
      <c r="E2663">
        <v>6</v>
      </c>
      <c r="F2663">
        <v>7.75</v>
      </c>
    </row>
    <row r="2664" spans="1:6" x14ac:dyDescent="0.3">
      <c r="A2664" t="s">
        <v>4352</v>
      </c>
      <c r="B2664" t="s">
        <v>2999</v>
      </c>
      <c r="C2664" t="s">
        <v>2549</v>
      </c>
      <c r="D2664">
        <v>48735009</v>
      </c>
      <c r="E2664">
        <v>15.65</v>
      </c>
      <c r="F2664">
        <v>6.09</v>
      </c>
    </row>
    <row r="2665" spans="1:6" x14ac:dyDescent="0.3">
      <c r="A2665" t="s">
        <v>3192</v>
      </c>
      <c r="B2665" t="s">
        <v>1691</v>
      </c>
      <c r="C2665" t="s">
        <v>4003</v>
      </c>
      <c r="D2665">
        <v>48743596</v>
      </c>
      <c r="E2665">
        <v>7.09</v>
      </c>
      <c r="F2665">
        <v>6.6</v>
      </c>
    </row>
    <row r="2666" spans="1:6" x14ac:dyDescent="0.3">
      <c r="A2666" t="s">
        <v>4353</v>
      </c>
      <c r="B2666" t="s">
        <v>4354</v>
      </c>
      <c r="C2666" t="s">
        <v>227</v>
      </c>
      <c r="D2666">
        <v>48765988</v>
      </c>
      <c r="E2666">
        <v>21</v>
      </c>
      <c r="F2666">
        <v>5.55</v>
      </c>
    </row>
    <row r="2667" spans="1:6" x14ac:dyDescent="0.3">
      <c r="A2667" t="s">
        <v>4355</v>
      </c>
      <c r="B2667" t="s">
        <v>3550</v>
      </c>
      <c r="C2667" t="s">
        <v>4356</v>
      </c>
      <c r="D2667">
        <v>48802007</v>
      </c>
      <c r="E2667">
        <v>10</v>
      </c>
      <c r="F2667">
        <v>6.25</v>
      </c>
    </row>
    <row r="2668" spans="1:6" x14ac:dyDescent="0.3">
      <c r="A2668" t="s">
        <v>4357</v>
      </c>
      <c r="B2668" t="s">
        <v>2843</v>
      </c>
      <c r="C2668" t="s">
        <v>4358</v>
      </c>
      <c r="D2668">
        <v>48802147</v>
      </c>
      <c r="E2668">
        <v>2.15</v>
      </c>
      <c r="F2668">
        <v>6.47</v>
      </c>
    </row>
    <row r="2669" spans="1:6" x14ac:dyDescent="0.3">
      <c r="A2669" t="s">
        <v>4359</v>
      </c>
      <c r="B2669" t="s">
        <v>4024</v>
      </c>
      <c r="C2669" t="s">
        <v>3401</v>
      </c>
      <c r="D2669">
        <v>48808692</v>
      </c>
      <c r="E2669">
        <v>22.67</v>
      </c>
      <c r="F2669">
        <v>3</v>
      </c>
    </row>
    <row r="2670" spans="1:6" x14ac:dyDescent="0.3">
      <c r="A2670" t="s">
        <v>4360</v>
      </c>
      <c r="B2670" t="s">
        <v>3909</v>
      </c>
      <c r="C2670" t="s">
        <v>4361</v>
      </c>
      <c r="D2670">
        <v>48808992</v>
      </c>
      <c r="E2670">
        <v>1.8</v>
      </c>
      <c r="F2670">
        <v>7.23</v>
      </c>
    </row>
    <row r="2671" spans="1:6" x14ac:dyDescent="0.3">
      <c r="A2671" t="s">
        <v>4362</v>
      </c>
      <c r="B2671" t="s">
        <v>4115</v>
      </c>
      <c r="C2671" t="s">
        <v>4363</v>
      </c>
      <c r="D2671">
        <v>48816963</v>
      </c>
      <c r="E2671">
        <v>12.67</v>
      </c>
      <c r="F2671">
        <v>5.67</v>
      </c>
    </row>
    <row r="2672" spans="1:6" x14ac:dyDescent="0.3">
      <c r="A2672" t="s">
        <v>4364</v>
      </c>
      <c r="B2672" t="s">
        <v>3823</v>
      </c>
      <c r="C2672" t="s">
        <v>3725</v>
      </c>
      <c r="D2672">
        <v>48839135</v>
      </c>
      <c r="E2672">
        <v>1.17</v>
      </c>
      <c r="F2672">
        <v>5.54</v>
      </c>
    </row>
    <row r="2673" spans="1:6" x14ac:dyDescent="0.3">
      <c r="A2673" t="s">
        <v>4365</v>
      </c>
      <c r="B2673" t="s">
        <v>4366</v>
      </c>
      <c r="C2673" t="s">
        <v>4069</v>
      </c>
      <c r="D2673">
        <v>48843446</v>
      </c>
      <c r="E2673">
        <v>24.4</v>
      </c>
      <c r="F2673">
        <v>6.56</v>
      </c>
    </row>
    <row r="2674" spans="1:6" x14ac:dyDescent="0.3">
      <c r="A2674" t="s">
        <v>4367</v>
      </c>
      <c r="B2674" t="s">
        <v>1926</v>
      </c>
      <c r="C2674" t="s">
        <v>4205</v>
      </c>
      <c r="D2674">
        <v>48871881</v>
      </c>
      <c r="E2674">
        <v>14.01</v>
      </c>
      <c r="F2674">
        <v>7.63</v>
      </c>
    </row>
    <row r="2675" spans="1:6" x14ac:dyDescent="0.3">
      <c r="A2675" t="s">
        <v>4368</v>
      </c>
      <c r="B2675" t="s">
        <v>3051</v>
      </c>
      <c r="C2675" t="s">
        <v>950</v>
      </c>
      <c r="D2675">
        <v>48874861</v>
      </c>
      <c r="E2675">
        <v>2.25</v>
      </c>
      <c r="F2675">
        <v>6.93</v>
      </c>
    </row>
    <row r="2676" spans="1:6" x14ac:dyDescent="0.3">
      <c r="A2676" t="s">
        <v>4369</v>
      </c>
      <c r="B2676" t="s">
        <v>1265</v>
      </c>
      <c r="C2676" t="s">
        <v>4370</v>
      </c>
      <c r="D2676">
        <v>48885937</v>
      </c>
      <c r="E2676">
        <v>19.73</v>
      </c>
      <c r="F2676">
        <v>7.93</v>
      </c>
    </row>
    <row r="2677" spans="1:6" x14ac:dyDescent="0.3">
      <c r="A2677" t="s">
        <v>4371</v>
      </c>
      <c r="B2677" t="s">
        <v>3609</v>
      </c>
      <c r="C2677" t="s">
        <v>4372</v>
      </c>
      <c r="D2677">
        <v>48889314</v>
      </c>
      <c r="E2677">
        <v>3.17</v>
      </c>
      <c r="F2677">
        <v>5.09</v>
      </c>
    </row>
    <row r="2678" spans="1:6" x14ac:dyDescent="0.3">
      <c r="A2678" t="s">
        <v>4373</v>
      </c>
      <c r="B2678" t="s">
        <v>325</v>
      </c>
      <c r="C2678" t="s">
        <v>2739</v>
      </c>
      <c r="D2678">
        <v>48942548</v>
      </c>
      <c r="E2678">
        <v>30</v>
      </c>
      <c r="F2678">
        <v>7</v>
      </c>
    </row>
    <row r="2679" spans="1:6" x14ac:dyDescent="0.3">
      <c r="A2679" t="s">
        <v>4374</v>
      </c>
      <c r="B2679" t="s">
        <v>2433</v>
      </c>
      <c r="C2679" t="s">
        <v>1004</v>
      </c>
      <c r="D2679">
        <v>48948859</v>
      </c>
      <c r="E2679">
        <v>4.96</v>
      </c>
      <c r="F2679">
        <v>7.27</v>
      </c>
    </row>
    <row r="2680" spans="1:6" x14ac:dyDescent="0.3">
      <c r="A2680" t="s">
        <v>4375</v>
      </c>
      <c r="B2680" t="s">
        <v>4261</v>
      </c>
      <c r="C2680" t="s">
        <v>2192</v>
      </c>
      <c r="D2680">
        <v>48958801</v>
      </c>
      <c r="E2680">
        <v>6.93</v>
      </c>
      <c r="F2680">
        <v>6.38</v>
      </c>
    </row>
    <row r="2681" spans="1:6" x14ac:dyDescent="0.3">
      <c r="A2681" t="s">
        <v>4376</v>
      </c>
      <c r="B2681" t="s">
        <v>4377</v>
      </c>
      <c r="C2681" t="s">
        <v>3193</v>
      </c>
      <c r="D2681">
        <v>48970591</v>
      </c>
      <c r="E2681">
        <v>2.37</v>
      </c>
      <c r="F2681">
        <v>5.27</v>
      </c>
    </row>
    <row r="2682" spans="1:6" x14ac:dyDescent="0.3">
      <c r="A2682" t="s">
        <v>4378</v>
      </c>
      <c r="B2682" t="s">
        <v>3966</v>
      </c>
      <c r="C2682" t="s">
        <v>2323</v>
      </c>
      <c r="D2682">
        <v>48981134</v>
      </c>
      <c r="E2682">
        <v>26.2</v>
      </c>
      <c r="F2682">
        <v>7.3</v>
      </c>
    </row>
    <row r="2683" spans="1:6" x14ac:dyDescent="0.3">
      <c r="A2683" t="s">
        <v>4379</v>
      </c>
      <c r="B2683" t="s">
        <v>4380</v>
      </c>
      <c r="C2683" t="s">
        <v>4381</v>
      </c>
      <c r="D2683">
        <v>48993719</v>
      </c>
      <c r="E2683">
        <v>17.78</v>
      </c>
      <c r="F2683">
        <v>7.79</v>
      </c>
    </row>
    <row r="2684" spans="1:6" x14ac:dyDescent="0.3">
      <c r="A2684" t="s">
        <v>4382</v>
      </c>
      <c r="B2684" t="s">
        <v>4383</v>
      </c>
      <c r="C2684" t="s">
        <v>4384</v>
      </c>
      <c r="D2684">
        <v>49029138</v>
      </c>
      <c r="E2684">
        <v>19.82</v>
      </c>
      <c r="F2684">
        <v>6.25</v>
      </c>
    </row>
    <row r="2685" spans="1:6" x14ac:dyDescent="0.3">
      <c r="A2685" t="s">
        <v>4385</v>
      </c>
      <c r="B2685" t="s">
        <v>4100</v>
      </c>
      <c r="C2685" t="s">
        <v>1537</v>
      </c>
      <c r="D2685">
        <v>49061720</v>
      </c>
      <c r="E2685">
        <v>1.86</v>
      </c>
      <c r="F2685">
        <v>6.97</v>
      </c>
    </row>
    <row r="2686" spans="1:6" x14ac:dyDescent="0.3">
      <c r="A2686" t="s">
        <v>4386</v>
      </c>
      <c r="B2686" t="s">
        <v>4387</v>
      </c>
      <c r="C2686" t="s">
        <v>4388</v>
      </c>
      <c r="D2686">
        <v>49076266</v>
      </c>
      <c r="E2686">
        <v>5.44</v>
      </c>
      <c r="F2686">
        <v>5.57</v>
      </c>
    </row>
    <row r="2687" spans="1:6" x14ac:dyDescent="0.3">
      <c r="A2687" t="s">
        <v>4389</v>
      </c>
      <c r="B2687" t="s">
        <v>4390</v>
      </c>
      <c r="C2687" t="s">
        <v>4361</v>
      </c>
      <c r="D2687">
        <v>49108174</v>
      </c>
      <c r="E2687">
        <v>3.79</v>
      </c>
      <c r="F2687">
        <v>6</v>
      </c>
    </row>
    <row r="2688" spans="1:6" x14ac:dyDescent="0.3">
      <c r="A2688" t="s">
        <v>4391</v>
      </c>
      <c r="B2688" t="s">
        <v>4392</v>
      </c>
      <c r="C2688" t="s">
        <v>3891</v>
      </c>
      <c r="D2688">
        <v>49193223</v>
      </c>
      <c r="E2688">
        <v>13.75</v>
      </c>
      <c r="F2688">
        <v>7.58</v>
      </c>
    </row>
    <row r="2689" spans="1:6" x14ac:dyDescent="0.3">
      <c r="A2689" t="s">
        <v>4393</v>
      </c>
      <c r="B2689" t="s">
        <v>1996</v>
      </c>
      <c r="C2689" t="s">
        <v>3757</v>
      </c>
      <c r="D2689">
        <v>49217236</v>
      </c>
      <c r="E2689">
        <v>2.98</v>
      </c>
      <c r="F2689">
        <v>6.34</v>
      </c>
    </row>
    <row r="2690" spans="1:6" x14ac:dyDescent="0.3">
      <c r="A2690" t="s">
        <v>4394</v>
      </c>
      <c r="B2690" t="s">
        <v>4395</v>
      </c>
      <c r="C2690" t="s">
        <v>3190</v>
      </c>
      <c r="D2690">
        <v>49258171</v>
      </c>
      <c r="E2690">
        <v>24</v>
      </c>
      <c r="F2690">
        <v>0</v>
      </c>
    </row>
    <row r="2691" spans="1:6" x14ac:dyDescent="0.3">
      <c r="A2691" t="s">
        <v>4396</v>
      </c>
      <c r="B2691" t="s">
        <v>2450</v>
      </c>
      <c r="C2691" t="s">
        <v>2066</v>
      </c>
      <c r="D2691">
        <v>49291867</v>
      </c>
      <c r="E2691">
        <v>28</v>
      </c>
      <c r="F2691">
        <v>8.67</v>
      </c>
    </row>
    <row r="2692" spans="1:6" x14ac:dyDescent="0.3">
      <c r="A2692" t="s">
        <v>4397</v>
      </c>
      <c r="B2692" t="s">
        <v>3411</v>
      </c>
      <c r="C2692" t="s">
        <v>4398</v>
      </c>
      <c r="D2692">
        <v>49324716</v>
      </c>
      <c r="E2692">
        <v>8.7100000000000009</v>
      </c>
      <c r="F2692">
        <v>6.4</v>
      </c>
    </row>
    <row r="2693" spans="1:6" x14ac:dyDescent="0.3">
      <c r="A2693" t="s">
        <v>4399</v>
      </c>
      <c r="B2693" t="s">
        <v>3098</v>
      </c>
      <c r="C2693" t="s">
        <v>4400</v>
      </c>
      <c r="D2693">
        <v>49331455</v>
      </c>
      <c r="E2693">
        <v>2.0099999999999998</v>
      </c>
      <c r="F2693">
        <v>7.4</v>
      </c>
    </row>
    <row r="2694" spans="1:6" x14ac:dyDescent="0.3">
      <c r="A2694" t="s">
        <v>4401</v>
      </c>
      <c r="B2694" t="s">
        <v>4076</v>
      </c>
      <c r="C2694" t="s">
        <v>4402</v>
      </c>
      <c r="D2694">
        <v>49347491</v>
      </c>
      <c r="E2694">
        <v>6.28</v>
      </c>
      <c r="F2694">
        <v>7.14</v>
      </c>
    </row>
    <row r="2695" spans="1:6" x14ac:dyDescent="0.3">
      <c r="A2695" t="s">
        <v>4403</v>
      </c>
      <c r="B2695" t="s">
        <v>4044</v>
      </c>
      <c r="C2695" t="s">
        <v>4404</v>
      </c>
      <c r="D2695">
        <v>49408193</v>
      </c>
      <c r="E2695">
        <v>6.53</v>
      </c>
      <c r="F2695">
        <v>7.38</v>
      </c>
    </row>
    <row r="2696" spans="1:6" x14ac:dyDescent="0.3">
      <c r="A2696" t="s">
        <v>4405</v>
      </c>
      <c r="B2696" t="s">
        <v>2166</v>
      </c>
      <c r="C2696" t="s">
        <v>4406</v>
      </c>
      <c r="D2696">
        <v>49428328</v>
      </c>
      <c r="E2696">
        <v>23.67</v>
      </c>
      <c r="F2696">
        <v>4</v>
      </c>
    </row>
    <row r="2697" spans="1:6" x14ac:dyDescent="0.3">
      <c r="A2697" t="s">
        <v>4407</v>
      </c>
      <c r="B2697" t="s">
        <v>4408</v>
      </c>
      <c r="C2697" t="s">
        <v>2358</v>
      </c>
      <c r="D2697">
        <v>49435350</v>
      </c>
      <c r="E2697">
        <v>4</v>
      </c>
      <c r="F2697">
        <v>3.67</v>
      </c>
    </row>
    <row r="2698" spans="1:6" x14ac:dyDescent="0.3">
      <c r="A2698" t="s">
        <v>4409</v>
      </c>
      <c r="B2698" t="s">
        <v>2409</v>
      </c>
      <c r="C2698" t="s">
        <v>3250</v>
      </c>
      <c r="D2698">
        <v>49460062</v>
      </c>
      <c r="E2698">
        <v>13.51</v>
      </c>
      <c r="F2698">
        <v>5.54</v>
      </c>
    </row>
    <row r="2699" spans="1:6" x14ac:dyDescent="0.3">
      <c r="A2699" t="s">
        <v>4410</v>
      </c>
      <c r="B2699" t="s">
        <v>4347</v>
      </c>
      <c r="C2699" t="s">
        <v>4411</v>
      </c>
      <c r="D2699">
        <v>49470094</v>
      </c>
      <c r="E2699">
        <v>17.329999999999998</v>
      </c>
      <c r="F2699">
        <v>6.33</v>
      </c>
    </row>
    <row r="2700" spans="1:6" x14ac:dyDescent="0.3">
      <c r="A2700" t="s">
        <v>4412</v>
      </c>
      <c r="B2700" t="s">
        <v>4413</v>
      </c>
      <c r="C2700" t="s">
        <v>2690</v>
      </c>
      <c r="D2700">
        <v>49502658</v>
      </c>
      <c r="E2700">
        <v>8.6</v>
      </c>
      <c r="F2700">
        <v>6.5</v>
      </c>
    </row>
    <row r="2701" spans="1:6" x14ac:dyDescent="0.3">
      <c r="A2701" t="s">
        <v>4414</v>
      </c>
      <c r="B2701" t="s">
        <v>1794</v>
      </c>
      <c r="C2701" t="s">
        <v>707</v>
      </c>
      <c r="D2701">
        <v>49503750</v>
      </c>
      <c r="E2701">
        <v>12.11</v>
      </c>
      <c r="F2701">
        <v>7.2</v>
      </c>
    </row>
    <row r="2702" spans="1:6" x14ac:dyDescent="0.3">
      <c r="A2702" t="s">
        <v>4415</v>
      </c>
      <c r="B2702" t="s">
        <v>3803</v>
      </c>
      <c r="C2702" t="s">
        <v>4416</v>
      </c>
      <c r="D2702">
        <v>49540012</v>
      </c>
      <c r="E2702">
        <v>2.92</v>
      </c>
      <c r="F2702">
        <v>6.8</v>
      </c>
    </row>
    <row r="2703" spans="1:6" x14ac:dyDescent="0.3">
      <c r="A2703" t="s">
        <v>4417</v>
      </c>
      <c r="B2703" t="s">
        <v>4418</v>
      </c>
      <c r="C2703" t="s">
        <v>4419</v>
      </c>
      <c r="D2703">
        <v>49553202</v>
      </c>
      <c r="E2703">
        <v>5.67</v>
      </c>
      <c r="F2703">
        <v>5.5</v>
      </c>
    </row>
    <row r="2704" spans="1:6" x14ac:dyDescent="0.3">
      <c r="A2704" t="s">
        <v>4420</v>
      </c>
      <c r="B2704" t="s">
        <v>4421</v>
      </c>
      <c r="C2704" t="s">
        <v>2810</v>
      </c>
      <c r="D2704">
        <v>49554119</v>
      </c>
      <c r="E2704">
        <v>3.82</v>
      </c>
      <c r="F2704">
        <v>6</v>
      </c>
    </row>
    <row r="2705" spans="1:6" x14ac:dyDescent="0.3">
      <c r="A2705" t="s">
        <v>4422</v>
      </c>
      <c r="B2705" t="s">
        <v>1265</v>
      </c>
      <c r="C2705" t="s">
        <v>893</v>
      </c>
      <c r="D2705">
        <v>49576382</v>
      </c>
      <c r="E2705">
        <v>29.17</v>
      </c>
      <c r="F2705">
        <v>6.08</v>
      </c>
    </row>
    <row r="2706" spans="1:6" x14ac:dyDescent="0.3">
      <c r="A2706" t="s">
        <v>4423</v>
      </c>
      <c r="B2706" t="s">
        <v>900</v>
      </c>
      <c r="C2706" t="s">
        <v>4424</v>
      </c>
      <c r="D2706">
        <v>49588510</v>
      </c>
      <c r="E2706">
        <v>29</v>
      </c>
      <c r="F2706">
        <v>5.17</v>
      </c>
    </row>
    <row r="2707" spans="1:6" x14ac:dyDescent="0.3">
      <c r="A2707" t="s">
        <v>4425</v>
      </c>
      <c r="B2707" t="s">
        <v>3692</v>
      </c>
      <c r="C2707" t="s">
        <v>4003</v>
      </c>
      <c r="D2707">
        <v>49599664</v>
      </c>
      <c r="E2707">
        <v>6.82</v>
      </c>
      <c r="F2707">
        <v>6</v>
      </c>
    </row>
    <row r="2708" spans="1:6" x14ac:dyDescent="0.3">
      <c r="A2708" t="s">
        <v>4426</v>
      </c>
      <c r="B2708" t="s">
        <v>2899</v>
      </c>
      <c r="C2708" t="s">
        <v>820</v>
      </c>
      <c r="D2708">
        <v>49604635</v>
      </c>
      <c r="E2708">
        <v>8</v>
      </c>
      <c r="F2708">
        <v>5.67</v>
      </c>
    </row>
    <row r="2709" spans="1:6" x14ac:dyDescent="0.3">
      <c r="A2709" t="s">
        <v>4427</v>
      </c>
      <c r="B2709" t="s">
        <v>2756</v>
      </c>
      <c r="C2709" t="s">
        <v>4428</v>
      </c>
      <c r="D2709">
        <v>49633418</v>
      </c>
      <c r="E2709">
        <v>2.12</v>
      </c>
      <c r="F2709">
        <v>6.08</v>
      </c>
    </row>
    <row r="2710" spans="1:6" x14ac:dyDescent="0.3">
      <c r="A2710" t="s">
        <v>4429</v>
      </c>
      <c r="B2710" t="s">
        <v>2053</v>
      </c>
      <c r="C2710" t="s">
        <v>966</v>
      </c>
      <c r="D2710">
        <v>49642676</v>
      </c>
      <c r="E2710">
        <v>11.8</v>
      </c>
      <c r="F2710">
        <v>7.18</v>
      </c>
    </row>
    <row r="2711" spans="1:6" x14ac:dyDescent="0.3">
      <c r="A2711" t="s">
        <v>4430</v>
      </c>
      <c r="B2711" t="s">
        <v>3420</v>
      </c>
      <c r="C2711" t="s">
        <v>1145</v>
      </c>
      <c r="D2711">
        <v>49662103</v>
      </c>
      <c r="E2711">
        <v>16.440000000000001</v>
      </c>
      <c r="F2711">
        <v>8.5</v>
      </c>
    </row>
    <row r="2712" spans="1:6" x14ac:dyDescent="0.3">
      <c r="A2712" t="s">
        <v>4431</v>
      </c>
      <c r="B2712" t="s">
        <v>4432</v>
      </c>
      <c r="C2712" t="s">
        <v>3884</v>
      </c>
      <c r="D2712">
        <v>49673390</v>
      </c>
      <c r="E2712">
        <v>1.96</v>
      </c>
      <c r="F2712">
        <v>6.16</v>
      </c>
    </row>
    <row r="2713" spans="1:6" x14ac:dyDescent="0.3">
      <c r="A2713" t="s">
        <v>4433</v>
      </c>
      <c r="B2713" t="s">
        <v>4434</v>
      </c>
      <c r="C2713" t="s">
        <v>2494</v>
      </c>
      <c r="D2713">
        <v>49683687</v>
      </c>
      <c r="E2713">
        <v>3.1</v>
      </c>
      <c r="F2713">
        <v>5.9</v>
      </c>
    </row>
    <row r="2714" spans="1:6" x14ac:dyDescent="0.3">
      <c r="A2714" t="s">
        <v>4435</v>
      </c>
      <c r="B2714" t="s">
        <v>1265</v>
      </c>
      <c r="C2714" t="s">
        <v>3391</v>
      </c>
      <c r="D2714">
        <v>49755752</v>
      </c>
      <c r="E2714">
        <v>17.05</v>
      </c>
      <c r="F2714">
        <v>8.19</v>
      </c>
    </row>
    <row r="2715" spans="1:6" x14ac:dyDescent="0.3">
      <c r="A2715" t="s">
        <v>4436</v>
      </c>
      <c r="B2715" t="s">
        <v>3422</v>
      </c>
      <c r="C2715" t="s">
        <v>4437</v>
      </c>
      <c r="D2715">
        <v>49871383</v>
      </c>
      <c r="E2715">
        <v>19</v>
      </c>
      <c r="F2715">
        <v>7.83</v>
      </c>
    </row>
    <row r="2716" spans="1:6" x14ac:dyDescent="0.3">
      <c r="A2716" t="s">
        <v>4438</v>
      </c>
      <c r="B2716" t="s">
        <v>4439</v>
      </c>
      <c r="C2716" t="s">
        <v>3006</v>
      </c>
      <c r="D2716">
        <v>49895270</v>
      </c>
      <c r="E2716">
        <v>7.25</v>
      </c>
      <c r="F2716">
        <v>2.5</v>
      </c>
    </row>
    <row r="2717" spans="1:6" x14ac:dyDescent="0.3">
      <c r="A2717" t="s">
        <v>4440</v>
      </c>
      <c r="B2717" t="s">
        <v>4441</v>
      </c>
      <c r="C2717" t="s">
        <v>923</v>
      </c>
      <c r="D2717">
        <v>49896559</v>
      </c>
      <c r="E2717" t="s">
        <v>3814</v>
      </c>
      <c r="F2717" t="s">
        <v>3814</v>
      </c>
    </row>
    <row r="2718" spans="1:6" x14ac:dyDescent="0.3">
      <c r="A2718" t="s">
        <v>4442</v>
      </c>
      <c r="B2718" t="s">
        <v>2043</v>
      </c>
      <c r="C2718" t="s">
        <v>4443</v>
      </c>
      <c r="D2718">
        <v>49901047</v>
      </c>
      <c r="E2718">
        <v>1.94</v>
      </c>
      <c r="F2718">
        <v>6.16</v>
      </c>
    </row>
    <row r="2719" spans="1:6" x14ac:dyDescent="0.3">
      <c r="A2719" t="s">
        <v>4444</v>
      </c>
      <c r="B2719" t="s">
        <v>4445</v>
      </c>
      <c r="C2719" t="s">
        <v>2195</v>
      </c>
      <c r="D2719">
        <v>49903003</v>
      </c>
      <c r="E2719">
        <v>2.74</v>
      </c>
      <c r="F2719">
        <v>5.76</v>
      </c>
    </row>
    <row r="2720" spans="1:6" x14ac:dyDescent="0.3">
      <c r="A2720" t="s">
        <v>4446</v>
      </c>
      <c r="B2720" t="s">
        <v>4150</v>
      </c>
      <c r="C2720" t="s">
        <v>3949</v>
      </c>
      <c r="D2720">
        <v>49907453</v>
      </c>
      <c r="E2720">
        <v>7.67</v>
      </c>
      <c r="F2720">
        <v>6.6</v>
      </c>
    </row>
    <row r="2721" spans="1:6" x14ac:dyDescent="0.3">
      <c r="A2721" t="s">
        <v>4447</v>
      </c>
      <c r="B2721" t="s">
        <v>3181</v>
      </c>
      <c r="C2721" t="s">
        <v>3893</v>
      </c>
      <c r="D2721">
        <v>49913089</v>
      </c>
      <c r="E2721">
        <v>1.89</v>
      </c>
      <c r="F2721">
        <v>7.78</v>
      </c>
    </row>
    <row r="2722" spans="1:6" x14ac:dyDescent="0.3">
      <c r="A2722" t="s">
        <v>4448</v>
      </c>
      <c r="B2722" t="s">
        <v>4449</v>
      </c>
      <c r="C2722" t="s">
        <v>1386</v>
      </c>
      <c r="D2722">
        <v>49917941</v>
      </c>
      <c r="E2722">
        <v>15</v>
      </c>
      <c r="F2722">
        <v>6</v>
      </c>
    </row>
    <row r="2723" spans="1:6" x14ac:dyDescent="0.3">
      <c r="A2723" t="s">
        <v>4450</v>
      </c>
      <c r="B2723" t="s">
        <v>3803</v>
      </c>
      <c r="C2723" t="s">
        <v>4451</v>
      </c>
      <c r="D2723">
        <v>49931286</v>
      </c>
      <c r="E2723">
        <v>14.41</v>
      </c>
      <c r="F2723">
        <v>8.8000000000000007</v>
      </c>
    </row>
    <row r="2724" spans="1:6" x14ac:dyDescent="0.3">
      <c r="A2724" t="s">
        <v>4452</v>
      </c>
      <c r="B2724" t="s">
        <v>2565</v>
      </c>
      <c r="C2724" t="s">
        <v>4453</v>
      </c>
      <c r="D2724">
        <v>49941534</v>
      </c>
      <c r="E2724">
        <v>2.88</v>
      </c>
      <c r="F2724">
        <v>7.68</v>
      </c>
    </row>
    <row r="2725" spans="1:6" x14ac:dyDescent="0.3">
      <c r="A2725" t="s">
        <v>4454</v>
      </c>
      <c r="B2725" t="s">
        <v>4455</v>
      </c>
      <c r="C2725" t="s">
        <v>3415</v>
      </c>
      <c r="D2725">
        <v>49944567</v>
      </c>
      <c r="E2725">
        <v>17</v>
      </c>
      <c r="F2725">
        <v>6</v>
      </c>
    </row>
    <row r="2726" spans="1:6" x14ac:dyDescent="0.3">
      <c r="A2726" t="s">
        <v>4456</v>
      </c>
      <c r="B2726" t="s">
        <v>1899</v>
      </c>
      <c r="C2726" t="s">
        <v>741</v>
      </c>
      <c r="D2726">
        <v>49985348</v>
      </c>
      <c r="E2726">
        <v>9.56</v>
      </c>
      <c r="F2726">
        <v>3.75</v>
      </c>
    </row>
    <row r="2727" spans="1:6" x14ac:dyDescent="0.3">
      <c r="A2727" t="s">
        <v>4457</v>
      </c>
      <c r="B2727">
        <v>1374</v>
      </c>
      <c r="C2727" t="s">
        <v>4458</v>
      </c>
      <c r="D2727">
        <v>49994214</v>
      </c>
      <c r="E2727">
        <v>6.92</v>
      </c>
      <c r="F2727">
        <v>8.23</v>
      </c>
    </row>
    <row r="2728" spans="1:6" x14ac:dyDescent="0.3">
      <c r="A2728" t="s">
        <v>4459</v>
      </c>
      <c r="B2728" t="s">
        <v>4460</v>
      </c>
      <c r="C2728" t="s">
        <v>2860</v>
      </c>
      <c r="D2728">
        <v>49994762</v>
      </c>
      <c r="E2728">
        <v>12</v>
      </c>
      <c r="F2728">
        <v>6</v>
      </c>
    </row>
    <row r="2729" spans="1:6" x14ac:dyDescent="0.3">
      <c r="A2729" t="s">
        <v>4461</v>
      </c>
      <c r="B2729" t="s">
        <v>2460</v>
      </c>
      <c r="C2729" t="s">
        <v>2543</v>
      </c>
      <c r="D2729">
        <v>50000528</v>
      </c>
      <c r="E2729">
        <v>21.56</v>
      </c>
      <c r="F2729">
        <v>6.29</v>
      </c>
    </row>
    <row r="2730" spans="1:6" x14ac:dyDescent="0.3">
      <c r="A2730" t="s">
        <v>4462</v>
      </c>
      <c r="B2730" t="s">
        <v>3210</v>
      </c>
      <c r="C2730" t="s">
        <v>1972</v>
      </c>
      <c r="D2730">
        <v>50008168</v>
      </c>
      <c r="E2730">
        <v>21.63</v>
      </c>
      <c r="F2730">
        <v>6.57</v>
      </c>
    </row>
    <row r="2731" spans="1:6" x14ac:dyDescent="0.3">
      <c r="A2731" t="s">
        <v>4463</v>
      </c>
      <c r="B2731" t="s">
        <v>3598</v>
      </c>
      <c r="C2731" t="s">
        <v>4464</v>
      </c>
      <c r="D2731">
        <v>50020133</v>
      </c>
      <c r="E2731">
        <v>3.63</v>
      </c>
      <c r="F2731">
        <v>6.46</v>
      </c>
    </row>
    <row r="2732" spans="1:6" x14ac:dyDescent="0.3">
      <c r="A2732" t="s">
        <v>4465</v>
      </c>
      <c r="B2732" t="s">
        <v>3800</v>
      </c>
      <c r="C2732" t="s">
        <v>4466</v>
      </c>
      <c r="D2732">
        <v>50023776</v>
      </c>
      <c r="E2732">
        <v>3.94</v>
      </c>
      <c r="F2732">
        <v>7.65</v>
      </c>
    </row>
    <row r="2733" spans="1:6" x14ac:dyDescent="0.3">
      <c r="A2733" t="s">
        <v>4467</v>
      </c>
      <c r="B2733" t="s">
        <v>4468</v>
      </c>
      <c r="C2733" t="s">
        <v>4469</v>
      </c>
      <c r="D2733">
        <v>50026818</v>
      </c>
      <c r="E2733">
        <v>20.6</v>
      </c>
      <c r="F2733">
        <v>2.9</v>
      </c>
    </row>
    <row r="2734" spans="1:6" x14ac:dyDescent="0.3">
      <c r="A2734" t="s">
        <v>4470</v>
      </c>
      <c r="B2734" t="s">
        <v>4471</v>
      </c>
      <c r="C2734" t="s">
        <v>4155</v>
      </c>
      <c r="D2734">
        <v>50028708</v>
      </c>
      <c r="E2734">
        <v>6.4</v>
      </c>
      <c r="F2734">
        <v>6.33</v>
      </c>
    </row>
    <row r="2735" spans="1:6" x14ac:dyDescent="0.3">
      <c r="A2735" t="s">
        <v>4472</v>
      </c>
      <c r="B2735" t="s">
        <v>1990</v>
      </c>
      <c r="C2735" t="s">
        <v>4473</v>
      </c>
      <c r="D2735">
        <v>50040930</v>
      </c>
      <c r="E2735">
        <v>10.1</v>
      </c>
      <c r="F2735">
        <v>3</v>
      </c>
    </row>
    <row r="2736" spans="1:6" x14ac:dyDescent="0.3">
      <c r="A2736" t="s">
        <v>4474</v>
      </c>
      <c r="B2736" t="s">
        <v>2808</v>
      </c>
      <c r="C2736" t="s">
        <v>1537</v>
      </c>
      <c r="D2736">
        <v>50059157</v>
      </c>
      <c r="E2736">
        <v>3.66</v>
      </c>
      <c r="F2736">
        <v>6.44</v>
      </c>
    </row>
    <row r="2737" spans="1:6" x14ac:dyDescent="0.3">
      <c r="A2737" t="s">
        <v>3547</v>
      </c>
      <c r="B2737" t="s">
        <v>4475</v>
      </c>
      <c r="C2737" t="s">
        <v>2934</v>
      </c>
      <c r="D2737">
        <v>50060092</v>
      </c>
      <c r="E2737">
        <v>23</v>
      </c>
      <c r="F2737">
        <v>6</v>
      </c>
    </row>
    <row r="2738" spans="1:6" x14ac:dyDescent="0.3">
      <c r="A2738" t="s">
        <v>4476</v>
      </c>
      <c r="B2738" t="s">
        <v>4477</v>
      </c>
      <c r="C2738" t="s">
        <v>2049</v>
      </c>
      <c r="D2738">
        <v>50074797</v>
      </c>
      <c r="E2738">
        <v>5.35</v>
      </c>
      <c r="F2738">
        <v>7.08</v>
      </c>
    </row>
    <row r="2739" spans="1:6" x14ac:dyDescent="0.3">
      <c r="A2739" t="s">
        <v>4478</v>
      </c>
      <c r="B2739" t="s">
        <v>4479</v>
      </c>
      <c r="C2739" t="s">
        <v>3515</v>
      </c>
      <c r="D2739">
        <v>50111676</v>
      </c>
      <c r="E2739">
        <v>6.86</v>
      </c>
      <c r="F2739">
        <v>7</v>
      </c>
    </row>
    <row r="2740" spans="1:6" x14ac:dyDescent="0.3">
      <c r="A2740" t="s">
        <v>4480</v>
      </c>
      <c r="B2740" t="s">
        <v>1794</v>
      </c>
      <c r="C2740" t="s">
        <v>767</v>
      </c>
      <c r="D2740">
        <v>50160046</v>
      </c>
      <c r="E2740">
        <v>4.84</v>
      </c>
      <c r="F2740">
        <v>7.05</v>
      </c>
    </row>
    <row r="2741" spans="1:6" x14ac:dyDescent="0.3">
      <c r="A2741" t="s">
        <v>4481</v>
      </c>
      <c r="B2741" t="s">
        <v>2317</v>
      </c>
      <c r="C2741" t="s">
        <v>3355</v>
      </c>
      <c r="D2741">
        <v>50167853</v>
      </c>
      <c r="E2741">
        <v>22.5</v>
      </c>
      <c r="F2741">
        <v>4.29</v>
      </c>
    </row>
    <row r="2742" spans="1:6" x14ac:dyDescent="0.3">
      <c r="A2742" t="s">
        <v>4482</v>
      </c>
      <c r="B2742" t="s">
        <v>4483</v>
      </c>
      <c r="C2742" t="s">
        <v>4361</v>
      </c>
      <c r="D2742">
        <v>50188461</v>
      </c>
      <c r="E2742">
        <v>1.7</v>
      </c>
      <c r="F2742">
        <v>6.97</v>
      </c>
    </row>
    <row r="2743" spans="1:6" x14ac:dyDescent="0.3">
      <c r="A2743" t="s">
        <v>4484</v>
      </c>
      <c r="B2743" t="s">
        <v>4485</v>
      </c>
      <c r="C2743" t="s">
        <v>4486</v>
      </c>
      <c r="D2743">
        <v>50192572</v>
      </c>
      <c r="E2743">
        <v>3.64</v>
      </c>
      <c r="F2743">
        <v>5.6</v>
      </c>
    </row>
    <row r="2744" spans="1:6" x14ac:dyDescent="0.3">
      <c r="A2744" t="s">
        <v>4487</v>
      </c>
      <c r="B2744" t="s">
        <v>1736</v>
      </c>
      <c r="C2744" t="s">
        <v>4488</v>
      </c>
      <c r="D2744">
        <v>50202164</v>
      </c>
      <c r="E2744">
        <v>15.86</v>
      </c>
      <c r="F2744">
        <v>7.08</v>
      </c>
    </row>
    <row r="2745" spans="1:6" x14ac:dyDescent="0.3">
      <c r="A2745" t="s">
        <v>4489</v>
      </c>
      <c r="B2745" t="s">
        <v>1576</v>
      </c>
      <c r="C2745" t="s">
        <v>4489</v>
      </c>
      <c r="D2745">
        <v>50211341</v>
      </c>
      <c r="E2745">
        <v>6.02</v>
      </c>
      <c r="F2745">
        <v>7.6</v>
      </c>
    </row>
    <row r="2746" spans="1:6" x14ac:dyDescent="0.3">
      <c r="A2746" t="s">
        <v>4490</v>
      </c>
      <c r="B2746" t="s">
        <v>4395</v>
      </c>
      <c r="C2746" t="s">
        <v>4491</v>
      </c>
      <c r="D2746">
        <v>50216105</v>
      </c>
      <c r="E2746">
        <v>8</v>
      </c>
      <c r="F2746">
        <v>4</v>
      </c>
    </row>
    <row r="2747" spans="1:6" x14ac:dyDescent="0.3">
      <c r="A2747" t="s">
        <v>4492</v>
      </c>
      <c r="B2747" t="s">
        <v>4493</v>
      </c>
      <c r="C2747" t="s">
        <v>4494</v>
      </c>
      <c r="D2747">
        <v>50221863</v>
      </c>
      <c r="E2747">
        <v>18</v>
      </c>
      <c r="F2747">
        <v>4.5</v>
      </c>
    </row>
    <row r="2748" spans="1:6" x14ac:dyDescent="0.3">
      <c r="A2748" t="s">
        <v>4495</v>
      </c>
      <c r="B2748" t="s">
        <v>3206</v>
      </c>
      <c r="C2748" t="s">
        <v>1457</v>
      </c>
      <c r="D2748">
        <v>50226022</v>
      </c>
      <c r="E2748">
        <v>23.25</v>
      </c>
      <c r="F2748">
        <v>8.25</v>
      </c>
    </row>
    <row r="2749" spans="1:6" x14ac:dyDescent="0.3">
      <c r="A2749" t="s">
        <v>4496</v>
      </c>
      <c r="B2749" t="s">
        <v>4497</v>
      </c>
      <c r="C2749" t="s">
        <v>4498</v>
      </c>
      <c r="D2749">
        <v>50246576</v>
      </c>
      <c r="E2749">
        <v>9.86</v>
      </c>
      <c r="F2749">
        <v>5.75</v>
      </c>
    </row>
    <row r="2750" spans="1:6" x14ac:dyDescent="0.3">
      <c r="A2750" t="s">
        <v>4499</v>
      </c>
      <c r="B2750" t="s">
        <v>712</v>
      </c>
      <c r="C2750" t="s">
        <v>713</v>
      </c>
      <c r="D2750">
        <v>50258689</v>
      </c>
      <c r="E2750">
        <v>16.5</v>
      </c>
      <c r="F2750">
        <v>8.5</v>
      </c>
    </row>
    <row r="2751" spans="1:6" x14ac:dyDescent="0.3">
      <c r="A2751" t="s">
        <v>4045</v>
      </c>
      <c r="B2751" t="s">
        <v>3580</v>
      </c>
      <c r="C2751" t="s">
        <v>4045</v>
      </c>
      <c r="D2751">
        <v>50333567</v>
      </c>
      <c r="E2751">
        <v>29.08</v>
      </c>
      <c r="F2751">
        <v>6.36</v>
      </c>
    </row>
    <row r="2752" spans="1:6" x14ac:dyDescent="0.3">
      <c r="A2752" t="s">
        <v>4500</v>
      </c>
      <c r="B2752" t="s">
        <v>3238</v>
      </c>
      <c r="C2752" t="s">
        <v>4361</v>
      </c>
      <c r="D2752">
        <v>50335239</v>
      </c>
      <c r="E2752">
        <v>6.07</v>
      </c>
      <c r="F2752">
        <v>4.75</v>
      </c>
    </row>
    <row r="2753" spans="1:6" x14ac:dyDescent="0.3">
      <c r="A2753" t="s">
        <v>4501</v>
      </c>
      <c r="B2753" t="s">
        <v>3203</v>
      </c>
      <c r="C2753" t="s">
        <v>3968</v>
      </c>
      <c r="D2753">
        <v>50344385</v>
      </c>
      <c r="E2753">
        <v>2.31</v>
      </c>
      <c r="F2753">
        <v>6.3</v>
      </c>
    </row>
    <row r="2754" spans="1:6" x14ac:dyDescent="0.3">
      <c r="A2754" t="s">
        <v>4502</v>
      </c>
      <c r="B2754" t="s">
        <v>4503</v>
      </c>
      <c r="C2754" t="s">
        <v>4504</v>
      </c>
      <c r="D2754">
        <v>50353698</v>
      </c>
      <c r="E2754">
        <v>2.66</v>
      </c>
      <c r="F2754">
        <v>5.67</v>
      </c>
    </row>
    <row r="2755" spans="1:6" x14ac:dyDescent="0.3">
      <c r="A2755" t="s">
        <v>4505</v>
      </c>
      <c r="B2755" t="s">
        <v>1911</v>
      </c>
      <c r="C2755" t="s">
        <v>3641</v>
      </c>
      <c r="D2755">
        <v>50377123</v>
      </c>
      <c r="E2755">
        <v>4.33</v>
      </c>
      <c r="F2755">
        <v>4.83</v>
      </c>
    </row>
    <row r="2756" spans="1:6" x14ac:dyDescent="0.3">
      <c r="A2756" t="s">
        <v>4506</v>
      </c>
      <c r="B2756" t="s">
        <v>4507</v>
      </c>
      <c r="C2756" t="s">
        <v>3757</v>
      </c>
      <c r="D2756">
        <v>50395721</v>
      </c>
      <c r="E2756">
        <v>13.78</v>
      </c>
      <c r="F2756">
        <v>6.4</v>
      </c>
    </row>
    <row r="2757" spans="1:6" x14ac:dyDescent="0.3">
      <c r="A2757" t="s">
        <v>4508</v>
      </c>
      <c r="B2757" t="s">
        <v>3805</v>
      </c>
      <c r="C2757" t="s">
        <v>4069</v>
      </c>
      <c r="D2757">
        <v>50410522</v>
      </c>
      <c r="E2757">
        <v>9.26</v>
      </c>
      <c r="F2757">
        <v>7.14</v>
      </c>
    </row>
    <row r="2758" spans="1:6" x14ac:dyDescent="0.3">
      <c r="A2758" t="s">
        <v>4509</v>
      </c>
      <c r="B2758" t="s">
        <v>2409</v>
      </c>
      <c r="C2758" t="s">
        <v>2810</v>
      </c>
      <c r="D2758">
        <v>50465980</v>
      </c>
      <c r="E2758">
        <v>11</v>
      </c>
      <c r="F2758">
        <v>7</v>
      </c>
    </row>
    <row r="2759" spans="1:6" x14ac:dyDescent="0.3">
      <c r="A2759" t="s">
        <v>4510</v>
      </c>
      <c r="B2759" t="s">
        <v>4511</v>
      </c>
      <c r="C2759" t="s">
        <v>3706</v>
      </c>
      <c r="D2759">
        <v>50484103</v>
      </c>
      <c r="E2759">
        <v>6.33</v>
      </c>
      <c r="F2759">
        <v>4.75</v>
      </c>
    </row>
    <row r="2760" spans="1:6" x14ac:dyDescent="0.3">
      <c r="A2760" t="s">
        <v>4512</v>
      </c>
      <c r="B2760" t="s">
        <v>4413</v>
      </c>
      <c r="C2760" t="s">
        <v>4513</v>
      </c>
      <c r="D2760">
        <v>50504506</v>
      </c>
      <c r="E2760">
        <v>9</v>
      </c>
      <c r="F2760">
        <v>6.33</v>
      </c>
    </row>
    <row r="2761" spans="1:6" x14ac:dyDescent="0.3">
      <c r="A2761" t="s">
        <v>4514</v>
      </c>
      <c r="B2761" t="s">
        <v>4515</v>
      </c>
      <c r="C2761" t="s">
        <v>3877</v>
      </c>
      <c r="D2761">
        <v>50507144</v>
      </c>
      <c r="E2761">
        <v>16</v>
      </c>
      <c r="F2761">
        <v>5.33</v>
      </c>
    </row>
    <row r="2762" spans="1:6" x14ac:dyDescent="0.3">
      <c r="A2762" t="s">
        <v>4516</v>
      </c>
      <c r="B2762" t="s">
        <v>3215</v>
      </c>
      <c r="C2762" t="s">
        <v>4517</v>
      </c>
      <c r="D2762">
        <v>50509417</v>
      </c>
      <c r="E2762">
        <v>3.92</v>
      </c>
      <c r="F2762">
        <v>5.55</v>
      </c>
    </row>
    <row r="2763" spans="1:6" x14ac:dyDescent="0.3">
      <c r="A2763" t="s">
        <v>4518</v>
      </c>
      <c r="B2763" t="s">
        <v>2756</v>
      </c>
      <c r="C2763" t="s">
        <v>4519</v>
      </c>
      <c r="D2763">
        <v>50554435</v>
      </c>
      <c r="E2763">
        <v>2.87</v>
      </c>
      <c r="F2763">
        <v>6.33</v>
      </c>
    </row>
    <row r="2764" spans="1:6" x14ac:dyDescent="0.3">
      <c r="A2764" t="s">
        <v>4520</v>
      </c>
      <c r="B2764" t="s">
        <v>4521</v>
      </c>
      <c r="C2764" t="s">
        <v>2682</v>
      </c>
      <c r="D2764">
        <v>50558071</v>
      </c>
      <c r="E2764">
        <v>7.8</v>
      </c>
      <c r="F2764">
        <v>5.5</v>
      </c>
    </row>
    <row r="2765" spans="1:6" x14ac:dyDescent="0.3">
      <c r="A2765" t="s">
        <v>4522</v>
      </c>
      <c r="B2765" t="s">
        <v>4523</v>
      </c>
      <c r="C2765" t="s">
        <v>1177</v>
      </c>
      <c r="D2765">
        <v>50563448</v>
      </c>
      <c r="E2765">
        <v>2.69</v>
      </c>
      <c r="F2765">
        <v>7.42</v>
      </c>
    </row>
    <row r="2766" spans="1:6" x14ac:dyDescent="0.3">
      <c r="A2766" t="s">
        <v>4524</v>
      </c>
      <c r="B2766" t="s">
        <v>4525</v>
      </c>
      <c r="C2766" t="s">
        <v>1111</v>
      </c>
      <c r="D2766">
        <v>50611528</v>
      </c>
      <c r="E2766">
        <v>13.94</v>
      </c>
      <c r="F2766">
        <v>7.23</v>
      </c>
    </row>
    <row r="2767" spans="1:6" x14ac:dyDescent="0.3">
      <c r="A2767" t="s">
        <v>4526</v>
      </c>
      <c r="B2767" t="s">
        <v>3132</v>
      </c>
      <c r="C2767" t="s">
        <v>4527</v>
      </c>
      <c r="D2767">
        <v>50653467</v>
      </c>
      <c r="E2767">
        <v>16.43</v>
      </c>
      <c r="F2767">
        <v>6.38</v>
      </c>
    </row>
    <row r="2768" spans="1:6" x14ac:dyDescent="0.3">
      <c r="A2768" t="s">
        <v>4528</v>
      </c>
      <c r="B2768" t="s">
        <v>2447</v>
      </c>
      <c r="C2768" t="s">
        <v>4519</v>
      </c>
      <c r="D2768">
        <v>50653669</v>
      </c>
      <c r="E2768">
        <v>13.83</v>
      </c>
      <c r="F2768">
        <v>5.4</v>
      </c>
    </row>
    <row r="2769" spans="1:6" x14ac:dyDescent="0.3">
      <c r="A2769" t="s">
        <v>4529</v>
      </c>
      <c r="B2769" t="s">
        <v>1010</v>
      </c>
      <c r="C2769" t="s">
        <v>4530</v>
      </c>
      <c r="D2769">
        <v>50663150</v>
      </c>
      <c r="E2769">
        <v>8.4600000000000009</v>
      </c>
      <c r="F2769">
        <v>7.32</v>
      </c>
    </row>
    <row r="2770" spans="1:6" x14ac:dyDescent="0.3">
      <c r="A2770" t="s">
        <v>4531</v>
      </c>
      <c r="B2770" t="s">
        <v>4532</v>
      </c>
      <c r="C2770" t="s">
        <v>3039</v>
      </c>
      <c r="D2770">
        <v>50672705</v>
      </c>
      <c r="E2770">
        <v>20.68</v>
      </c>
      <c r="F2770">
        <v>5.38</v>
      </c>
    </row>
    <row r="2771" spans="1:6" x14ac:dyDescent="0.3">
      <c r="A2771" t="s">
        <v>4533</v>
      </c>
      <c r="B2771" t="s">
        <v>3976</v>
      </c>
      <c r="C2771" t="s">
        <v>4458</v>
      </c>
      <c r="D2771">
        <v>50725403</v>
      </c>
      <c r="E2771">
        <v>6.33</v>
      </c>
      <c r="F2771">
        <v>4.33</v>
      </c>
    </row>
    <row r="2772" spans="1:6" x14ac:dyDescent="0.3">
      <c r="A2772" t="s">
        <v>4534</v>
      </c>
      <c r="B2772" t="s">
        <v>2843</v>
      </c>
      <c r="C2772" t="s">
        <v>780</v>
      </c>
      <c r="D2772">
        <v>50785675</v>
      </c>
      <c r="E2772">
        <v>12.33</v>
      </c>
      <c r="F2772">
        <v>5.5</v>
      </c>
    </row>
    <row r="2773" spans="1:6" x14ac:dyDescent="0.3">
      <c r="A2773" t="s">
        <v>4535</v>
      </c>
      <c r="B2773" t="s">
        <v>4536</v>
      </c>
      <c r="C2773" t="s">
        <v>4537</v>
      </c>
      <c r="D2773">
        <v>50793014</v>
      </c>
      <c r="E2773">
        <v>8.5</v>
      </c>
      <c r="F2773">
        <v>5</v>
      </c>
    </row>
    <row r="2774" spans="1:6" x14ac:dyDescent="0.3">
      <c r="A2774" t="s">
        <v>4538</v>
      </c>
      <c r="B2774" t="s">
        <v>4154</v>
      </c>
      <c r="C2774" t="s">
        <v>2060</v>
      </c>
      <c r="D2774">
        <v>50833396</v>
      </c>
      <c r="E2774">
        <v>22.05</v>
      </c>
      <c r="F2774">
        <v>5.75</v>
      </c>
    </row>
    <row r="2775" spans="1:6" x14ac:dyDescent="0.3">
      <c r="A2775" t="s">
        <v>4539</v>
      </c>
      <c r="B2775" t="s">
        <v>4540</v>
      </c>
      <c r="C2775" t="s">
        <v>882</v>
      </c>
      <c r="D2775">
        <v>50835658</v>
      </c>
      <c r="E2775">
        <v>7</v>
      </c>
      <c r="F2775">
        <v>7.14</v>
      </c>
    </row>
    <row r="2776" spans="1:6" x14ac:dyDescent="0.3">
      <c r="A2776" t="s">
        <v>1503</v>
      </c>
      <c r="B2776" t="s">
        <v>4541</v>
      </c>
      <c r="C2776" t="s">
        <v>2323</v>
      </c>
      <c r="D2776">
        <v>50836353</v>
      </c>
      <c r="E2776">
        <v>7.2</v>
      </c>
      <c r="F2776">
        <v>3.6</v>
      </c>
    </row>
    <row r="2777" spans="1:6" x14ac:dyDescent="0.3">
      <c r="A2777" t="s">
        <v>4542</v>
      </c>
      <c r="B2777" t="s">
        <v>3909</v>
      </c>
      <c r="C2777" t="s">
        <v>4489</v>
      </c>
      <c r="D2777">
        <v>50850470</v>
      </c>
      <c r="E2777">
        <v>2.88</v>
      </c>
      <c r="F2777">
        <v>6.37</v>
      </c>
    </row>
    <row r="2778" spans="1:6" x14ac:dyDescent="0.3">
      <c r="A2778" t="s">
        <v>4543</v>
      </c>
      <c r="B2778" t="s">
        <v>4544</v>
      </c>
      <c r="C2778" t="s">
        <v>4545</v>
      </c>
      <c r="D2778">
        <v>50896446</v>
      </c>
      <c r="E2778">
        <v>2.75</v>
      </c>
      <c r="F2778">
        <v>6.71</v>
      </c>
    </row>
    <row r="2779" spans="1:6" x14ac:dyDescent="0.3">
      <c r="A2779" t="s">
        <v>4546</v>
      </c>
      <c r="B2779" t="s">
        <v>4547</v>
      </c>
      <c r="C2779" t="s">
        <v>2948</v>
      </c>
      <c r="D2779">
        <v>50902412</v>
      </c>
      <c r="E2779">
        <v>5.81</v>
      </c>
      <c r="F2779">
        <v>2.4</v>
      </c>
    </row>
    <row r="2780" spans="1:6" x14ac:dyDescent="0.3">
      <c r="A2780" t="s">
        <v>4548</v>
      </c>
      <c r="B2780" t="s">
        <v>4549</v>
      </c>
      <c r="C2780" t="s">
        <v>3030</v>
      </c>
      <c r="D2780">
        <v>50903192</v>
      </c>
      <c r="E2780">
        <v>14.43</v>
      </c>
      <c r="F2780">
        <v>3.88</v>
      </c>
    </row>
    <row r="2781" spans="1:6" x14ac:dyDescent="0.3">
      <c r="A2781" t="s">
        <v>4550</v>
      </c>
      <c r="B2781" t="s">
        <v>3472</v>
      </c>
      <c r="C2781" t="s">
        <v>4207</v>
      </c>
      <c r="D2781">
        <v>50998910</v>
      </c>
      <c r="E2781">
        <v>7.17</v>
      </c>
      <c r="F2781">
        <v>5</v>
      </c>
    </row>
    <row r="2782" spans="1:6" x14ac:dyDescent="0.3">
      <c r="A2782" t="s">
        <v>4551</v>
      </c>
      <c r="B2782" t="s">
        <v>4552</v>
      </c>
      <c r="C2782" t="s">
        <v>4045</v>
      </c>
      <c r="D2782">
        <v>51016269</v>
      </c>
      <c r="E2782">
        <v>7.07</v>
      </c>
      <c r="F2782">
        <v>4.5</v>
      </c>
    </row>
    <row r="2783" spans="1:6" x14ac:dyDescent="0.3">
      <c r="A2783" t="s">
        <v>4553</v>
      </c>
      <c r="B2783" t="s">
        <v>4554</v>
      </c>
      <c r="C2783" t="s">
        <v>3854</v>
      </c>
      <c r="D2783">
        <v>51042584</v>
      </c>
      <c r="E2783">
        <v>2.2400000000000002</v>
      </c>
      <c r="F2783">
        <v>6.14</v>
      </c>
    </row>
    <row r="2784" spans="1:6" x14ac:dyDescent="0.3">
      <c r="A2784" t="s">
        <v>4555</v>
      </c>
      <c r="B2784" t="s">
        <v>4010</v>
      </c>
      <c r="C2784" t="s">
        <v>1030</v>
      </c>
      <c r="D2784">
        <v>51048187</v>
      </c>
      <c r="E2784">
        <v>16</v>
      </c>
      <c r="F2784">
        <v>4.33</v>
      </c>
    </row>
    <row r="2785" spans="1:6" x14ac:dyDescent="0.3">
      <c r="A2785" t="s">
        <v>4556</v>
      </c>
      <c r="B2785" t="s">
        <v>2539</v>
      </c>
      <c r="C2785" t="s">
        <v>2851</v>
      </c>
      <c r="D2785">
        <v>51061438</v>
      </c>
      <c r="E2785">
        <v>6.36</v>
      </c>
      <c r="F2785">
        <v>5.2</v>
      </c>
    </row>
    <row r="2786" spans="1:6" x14ac:dyDescent="0.3">
      <c r="A2786" t="s">
        <v>4557</v>
      </c>
      <c r="B2786" t="s">
        <v>4354</v>
      </c>
      <c r="C2786" t="s">
        <v>1537</v>
      </c>
      <c r="D2786">
        <v>51076019</v>
      </c>
      <c r="E2786">
        <v>7.6</v>
      </c>
      <c r="F2786">
        <v>5.75</v>
      </c>
    </row>
    <row r="2787" spans="1:6" x14ac:dyDescent="0.3">
      <c r="A2787" t="s">
        <v>4558</v>
      </c>
      <c r="B2787" t="s">
        <v>4044</v>
      </c>
      <c r="C2787" t="s">
        <v>950</v>
      </c>
      <c r="D2787">
        <v>51079052</v>
      </c>
      <c r="E2787">
        <v>4.1900000000000004</v>
      </c>
      <c r="F2787">
        <v>4.42</v>
      </c>
    </row>
    <row r="2788" spans="1:6" x14ac:dyDescent="0.3">
      <c r="A2788" t="s">
        <v>4559</v>
      </c>
      <c r="B2788" t="s">
        <v>4159</v>
      </c>
      <c r="C2788" t="s">
        <v>3401</v>
      </c>
      <c r="D2788">
        <v>51119584</v>
      </c>
      <c r="E2788">
        <v>9.1999999999999993</v>
      </c>
      <c r="F2788">
        <v>6.25</v>
      </c>
    </row>
    <row r="2789" spans="1:6" x14ac:dyDescent="0.3">
      <c r="A2789" t="s">
        <v>4560</v>
      </c>
      <c r="B2789" t="s">
        <v>4561</v>
      </c>
      <c r="C2789" t="s">
        <v>4278</v>
      </c>
      <c r="D2789">
        <v>51143080</v>
      </c>
      <c r="E2789">
        <v>2.66</v>
      </c>
      <c r="F2789">
        <v>6.61</v>
      </c>
    </row>
    <row r="2790" spans="1:6" x14ac:dyDescent="0.3">
      <c r="A2790" t="s">
        <v>4562</v>
      </c>
      <c r="B2790" t="s">
        <v>4563</v>
      </c>
      <c r="C2790" t="s">
        <v>2192</v>
      </c>
      <c r="D2790">
        <v>51152003</v>
      </c>
      <c r="E2790">
        <v>8.75</v>
      </c>
      <c r="F2790">
        <v>7.83</v>
      </c>
    </row>
    <row r="2791" spans="1:6" x14ac:dyDescent="0.3">
      <c r="A2791" t="s">
        <v>4564</v>
      </c>
      <c r="B2791" t="s">
        <v>91</v>
      </c>
      <c r="C2791" t="s">
        <v>2507</v>
      </c>
      <c r="D2791">
        <v>51187405</v>
      </c>
      <c r="E2791">
        <v>5.38</v>
      </c>
      <c r="F2791">
        <v>5.17</v>
      </c>
    </row>
    <row r="2792" spans="1:6" x14ac:dyDescent="0.3">
      <c r="A2792" t="s">
        <v>4565</v>
      </c>
      <c r="B2792" t="s">
        <v>2843</v>
      </c>
      <c r="C2792" t="s">
        <v>4566</v>
      </c>
      <c r="D2792">
        <v>51189557</v>
      </c>
      <c r="E2792">
        <v>11.78</v>
      </c>
      <c r="F2792">
        <v>5</v>
      </c>
    </row>
    <row r="2793" spans="1:6" x14ac:dyDescent="0.3">
      <c r="A2793" t="s">
        <v>4567</v>
      </c>
      <c r="B2793" t="s">
        <v>4568</v>
      </c>
      <c r="C2793" t="s">
        <v>2627</v>
      </c>
      <c r="D2793">
        <v>51213758</v>
      </c>
      <c r="E2793">
        <v>15.5</v>
      </c>
      <c r="F2793">
        <v>6.67</v>
      </c>
    </row>
    <row r="2794" spans="1:6" x14ac:dyDescent="0.3">
      <c r="A2794" t="s">
        <v>4569</v>
      </c>
      <c r="B2794" t="s">
        <v>2460</v>
      </c>
      <c r="C2794" t="s">
        <v>4570</v>
      </c>
      <c r="D2794">
        <v>51243812</v>
      </c>
      <c r="E2794">
        <v>2.38</v>
      </c>
      <c r="F2794">
        <v>5.36</v>
      </c>
    </row>
    <row r="2795" spans="1:6" x14ac:dyDescent="0.3">
      <c r="A2795" t="s">
        <v>4571</v>
      </c>
      <c r="B2795" t="s">
        <v>4071</v>
      </c>
      <c r="C2795" t="s">
        <v>2496</v>
      </c>
      <c r="D2795">
        <v>51245569</v>
      </c>
      <c r="E2795">
        <v>5.2</v>
      </c>
      <c r="F2795">
        <v>3.75</v>
      </c>
    </row>
    <row r="2796" spans="1:6" x14ac:dyDescent="0.3">
      <c r="A2796" t="s">
        <v>4572</v>
      </c>
      <c r="B2796" t="s">
        <v>4171</v>
      </c>
      <c r="C2796" t="s">
        <v>4573</v>
      </c>
      <c r="D2796">
        <v>51270069</v>
      </c>
      <c r="E2796">
        <v>5.79</v>
      </c>
      <c r="F2796">
        <v>6.3</v>
      </c>
    </row>
    <row r="2797" spans="1:6" x14ac:dyDescent="0.3">
      <c r="A2797" t="s">
        <v>4574</v>
      </c>
      <c r="B2797" t="s">
        <v>4110</v>
      </c>
      <c r="C2797" t="s">
        <v>3999</v>
      </c>
      <c r="D2797">
        <v>51290600</v>
      </c>
      <c r="E2797">
        <v>3.04</v>
      </c>
      <c r="F2797">
        <v>6.95</v>
      </c>
    </row>
    <row r="2798" spans="1:6" x14ac:dyDescent="0.3">
      <c r="A2798" t="s">
        <v>4575</v>
      </c>
      <c r="B2798" t="s">
        <v>2199</v>
      </c>
      <c r="C2798" t="s">
        <v>4576</v>
      </c>
      <c r="D2798">
        <v>51311699</v>
      </c>
      <c r="E2798">
        <v>22.1</v>
      </c>
      <c r="F2798">
        <v>7.22</v>
      </c>
    </row>
    <row r="2799" spans="1:6" x14ac:dyDescent="0.3">
      <c r="A2799" t="s">
        <v>4577</v>
      </c>
      <c r="B2799" t="s">
        <v>4578</v>
      </c>
      <c r="C2799" t="s">
        <v>771</v>
      </c>
      <c r="D2799">
        <v>51338339</v>
      </c>
      <c r="E2799">
        <v>5.43</v>
      </c>
      <c r="F2799">
        <v>7.28</v>
      </c>
    </row>
    <row r="2800" spans="1:6" x14ac:dyDescent="0.3">
      <c r="A2800" t="s">
        <v>4579</v>
      </c>
      <c r="B2800" t="s">
        <v>4580</v>
      </c>
      <c r="C2800" t="s">
        <v>1495</v>
      </c>
      <c r="D2800">
        <v>51342384</v>
      </c>
      <c r="E2800">
        <v>9</v>
      </c>
      <c r="F2800">
        <v>5.96</v>
      </c>
    </row>
    <row r="2801" spans="1:6" x14ac:dyDescent="0.3">
      <c r="A2801" t="s">
        <v>4581</v>
      </c>
      <c r="B2801" t="s">
        <v>4582</v>
      </c>
      <c r="C2801" t="s">
        <v>4583</v>
      </c>
      <c r="D2801">
        <v>51393047</v>
      </c>
      <c r="E2801">
        <v>21.5</v>
      </c>
      <c r="F2801">
        <v>6.26</v>
      </c>
    </row>
    <row r="2802" spans="1:6" x14ac:dyDescent="0.3">
      <c r="A2802" t="s">
        <v>4584</v>
      </c>
      <c r="B2802" t="s">
        <v>3142</v>
      </c>
      <c r="C2802" t="s">
        <v>2463</v>
      </c>
      <c r="D2802">
        <v>51405408</v>
      </c>
      <c r="E2802">
        <v>3.39</v>
      </c>
      <c r="F2802">
        <v>5.9</v>
      </c>
    </row>
    <row r="2803" spans="1:6" x14ac:dyDescent="0.3">
      <c r="A2803" t="s">
        <v>4585</v>
      </c>
      <c r="B2803" t="s">
        <v>4586</v>
      </c>
      <c r="C2803" t="s">
        <v>4587</v>
      </c>
      <c r="D2803">
        <v>51445108</v>
      </c>
      <c r="E2803">
        <v>9.6300000000000008</v>
      </c>
      <c r="F2803">
        <v>7.85</v>
      </c>
    </row>
    <row r="2804" spans="1:6" x14ac:dyDescent="0.3">
      <c r="A2804" t="s">
        <v>4588</v>
      </c>
      <c r="B2804" t="s">
        <v>2756</v>
      </c>
      <c r="C2804" t="s">
        <v>4589</v>
      </c>
      <c r="D2804">
        <v>51450101</v>
      </c>
      <c r="E2804">
        <v>2.14</v>
      </c>
      <c r="F2804">
        <v>6.33</v>
      </c>
    </row>
    <row r="2805" spans="1:6" x14ac:dyDescent="0.3">
      <c r="A2805" t="s">
        <v>4590</v>
      </c>
      <c r="B2805" t="s">
        <v>3283</v>
      </c>
      <c r="C2805" t="s">
        <v>4591</v>
      </c>
      <c r="D2805">
        <v>51487328</v>
      </c>
      <c r="E2805">
        <v>7.4</v>
      </c>
      <c r="F2805">
        <v>3</v>
      </c>
    </row>
    <row r="2806" spans="1:6" x14ac:dyDescent="0.3">
      <c r="A2806" t="s">
        <v>4592</v>
      </c>
      <c r="B2806" t="s">
        <v>3212</v>
      </c>
      <c r="C2806" t="s">
        <v>4592</v>
      </c>
      <c r="D2806">
        <v>51489522</v>
      </c>
      <c r="E2806">
        <v>16.809999999999999</v>
      </c>
      <c r="F2806">
        <v>7.17</v>
      </c>
    </row>
    <row r="2807" spans="1:6" x14ac:dyDescent="0.3">
      <c r="A2807" t="s">
        <v>4593</v>
      </c>
      <c r="B2807" t="s">
        <v>2423</v>
      </c>
      <c r="C2807" t="s">
        <v>39</v>
      </c>
      <c r="D2807">
        <v>51556877</v>
      </c>
      <c r="E2807">
        <v>26.67</v>
      </c>
      <c r="F2807">
        <v>5</v>
      </c>
    </row>
    <row r="2808" spans="1:6" x14ac:dyDescent="0.3">
      <c r="A2808" t="s">
        <v>4594</v>
      </c>
      <c r="B2808" t="s">
        <v>49</v>
      </c>
      <c r="C2808" t="s">
        <v>2079</v>
      </c>
      <c r="D2808">
        <v>51566242</v>
      </c>
      <c r="E2808">
        <v>10.44</v>
      </c>
      <c r="F2808">
        <v>8.15</v>
      </c>
    </row>
    <row r="2809" spans="1:6" x14ac:dyDescent="0.3">
      <c r="A2809" t="s">
        <v>4595</v>
      </c>
      <c r="B2809" t="s">
        <v>4146</v>
      </c>
      <c r="C2809" t="s">
        <v>4219</v>
      </c>
      <c r="D2809">
        <v>51574316</v>
      </c>
      <c r="E2809">
        <v>7.5</v>
      </c>
      <c r="F2809">
        <v>6.5</v>
      </c>
    </row>
    <row r="2810" spans="1:6" x14ac:dyDescent="0.3">
      <c r="A2810" t="s">
        <v>4596</v>
      </c>
      <c r="B2810" t="s">
        <v>4044</v>
      </c>
      <c r="C2810" t="s">
        <v>4597</v>
      </c>
      <c r="D2810">
        <v>51579290</v>
      </c>
      <c r="E2810">
        <v>2.97</v>
      </c>
      <c r="F2810">
        <v>6.68</v>
      </c>
    </row>
    <row r="2811" spans="1:6" x14ac:dyDescent="0.3">
      <c r="A2811" t="s">
        <v>4598</v>
      </c>
      <c r="B2811" t="s">
        <v>2519</v>
      </c>
      <c r="C2811" t="s">
        <v>4599</v>
      </c>
      <c r="D2811">
        <v>51584312</v>
      </c>
      <c r="E2811">
        <v>29.3</v>
      </c>
      <c r="F2811">
        <v>4.7300000000000004</v>
      </c>
    </row>
    <row r="2812" spans="1:6" x14ac:dyDescent="0.3">
      <c r="A2812" t="s">
        <v>4600</v>
      </c>
      <c r="B2812" t="s">
        <v>4154</v>
      </c>
      <c r="C2812" t="s">
        <v>3854</v>
      </c>
      <c r="D2812">
        <v>51591342</v>
      </c>
      <c r="E2812">
        <v>14.71</v>
      </c>
      <c r="F2812">
        <v>4.67</v>
      </c>
    </row>
    <row r="2813" spans="1:6" x14ac:dyDescent="0.3">
      <c r="A2813" t="s">
        <v>4601</v>
      </c>
      <c r="B2813" t="s">
        <v>3051</v>
      </c>
      <c r="C2813" t="s">
        <v>1420</v>
      </c>
      <c r="D2813">
        <v>51597378</v>
      </c>
      <c r="E2813">
        <v>2.63</v>
      </c>
      <c r="F2813">
        <v>6.91</v>
      </c>
    </row>
    <row r="2814" spans="1:6" x14ac:dyDescent="0.3">
      <c r="A2814" t="s">
        <v>4602</v>
      </c>
      <c r="B2814" t="s">
        <v>1305</v>
      </c>
      <c r="C2814" t="s">
        <v>1747</v>
      </c>
      <c r="D2814">
        <v>51615481</v>
      </c>
      <c r="E2814">
        <v>12.5</v>
      </c>
      <c r="F2814">
        <v>7.25</v>
      </c>
    </row>
    <row r="2815" spans="1:6" x14ac:dyDescent="0.3">
      <c r="A2815" t="s">
        <v>4603</v>
      </c>
      <c r="B2815" t="s">
        <v>4604</v>
      </c>
      <c r="C2815" t="s">
        <v>2781</v>
      </c>
      <c r="D2815">
        <v>51616869</v>
      </c>
      <c r="E2815">
        <v>4.24</v>
      </c>
      <c r="F2815">
        <v>7.71</v>
      </c>
    </row>
    <row r="2816" spans="1:6" x14ac:dyDescent="0.3">
      <c r="A2816" t="s">
        <v>4605</v>
      </c>
      <c r="B2816" t="s">
        <v>4606</v>
      </c>
      <c r="C2816" t="s">
        <v>4466</v>
      </c>
      <c r="D2816">
        <v>51620281</v>
      </c>
      <c r="E2816">
        <v>4.9800000000000004</v>
      </c>
      <c r="F2816">
        <v>5.05</v>
      </c>
    </row>
    <row r="2817" spans="1:6" x14ac:dyDescent="0.3">
      <c r="A2817" t="s">
        <v>4607</v>
      </c>
      <c r="B2817" t="s">
        <v>3681</v>
      </c>
      <c r="C2817" t="s">
        <v>992</v>
      </c>
      <c r="D2817">
        <v>51657783</v>
      </c>
      <c r="E2817">
        <v>31.75</v>
      </c>
      <c r="F2817">
        <v>7.5</v>
      </c>
    </row>
    <row r="2818" spans="1:6" x14ac:dyDescent="0.3">
      <c r="A2818" t="s">
        <v>2681</v>
      </c>
      <c r="B2818" t="s">
        <v>4261</v>
      </c>
      <c r="C2818" t="s">
        <v>2681</v>
      </c>
      <c r="D2818">
        <v>51674992</v>
      </c>
      <c r="E2818">
        <v>6</v>
      </c>
      <c r="F2818">
        <v>4</v>
      </c>
    </row>
    <row r="2819" spans="1:6" x14ac:dyDescent="0.3">
      <c r="A2819" t="s">
        <v>4608</v>
      </c>
      <c r="B2819" t="s">
        <v>2987</v>
      </c>
      <c r="C2819" t="s">
        <v>4219</v>
      </c>
      <c r="D2819">
        <v>51705784</v>
      </c>
      <c r="E2819">
        <v>3.78</v>
      </c>
      <c r="F2819">
        <v>5.81</v>
      </c>
    </row>
    <row r="2820" spans="1:6" x14ac:dyDescent="0.3">
      <c r="A2820" t="s">
        <v>4609</v>
      </c>
      <c r="B2820" t="s">
        <v>2609</v>
      </c>
      <c r="C2820" t="s">
        <v>4610</v>
      </c>
      <c r="D2820">
        <v>51776115</v>
      </c>
      <c r="E2820">
        <v>8.32</v>
      </c>
      <c r="F2820">
        <v>6.83</v>
      </c>
    </row>
    <row r="2821" spans="1:6" x14ac:dyDescent="0.3">
      <c r="A2821" t="s">
        <v>4611</v>
      </c>
      <c r="B2821" t="s">
        <v>1227</v>
      </c>
      <c r="C2821" t="s">
        <v>893</v>
      </c>
      <c r="D2821">
        <v>51791710</v>
      </c>
      <c r="E2821">
        <v>26.9</v>
      </c>
      <c r="F2821">
        <v>6.33</v>
      </c>
    </row>
    <row r="2822" spans="1:6" x14ac:dyDescent="0.3">
      <c r="A2822" t="s">
        <v>4612</v>
      </c>
      <c r="B2822" t="s">
        <v>4613</v>
      </c>
      <c r="C2822" t="s">
        <v>1030</v>
      </c>
      <c r="D2822">
        <v>51837656</v>
      </c>
      <c r="E2822">
        <v>13.2</v>
      </c>
      <c r="F2822">
        <v>7</v>
      </c>
    </row>
    <row r="2823" spans="1:6" x14ac:dyDescent="0.3">
      <c r="A2823" t="s">
        <v>4614</v>
      </c>
      <c r="B2823" t="s">
        <v>4615</v>
      </c>
      <c r="C2823" t="s">
        <v>4616</v>
      </c>
      <c r="D2823">
        <v>51857399</v>
      </c>
      <c r="E2823">
        <v>3.08</v>
      </c>
      <c r="F2823">
        <v>6.22</v>
      </c>
    </row>
    <row r="2824" spans="1:6" x14ac:dyDescent="0.3">
      <c r="A2824" t="s">
        <v>4617</v>
      </c>
      <c r="B2824" t="s">
        <v>4618</v>
      </c>
      <c r="C2824" t="s">
        <v>3531</v>
      </c>
      <c r="D2824">
        <v>51865473</v>
      </c>
      <c r="E2824">
        <v>11.06</v>
      </c>
      <c r="F2824">
        <v>8</v>
      </c>
    </row>
    <row r="2825" spans="1:6" x14ac:dyDescent="0.3">
      <c r="A2825" t="s">
        <v>4619</v>
      </c>
      <c r="B2825" t="s">
        <v>3258</v>
      </c>
      <c r="C2825" t="s">
        <v>4069</v>
      </c>
      <c r="D2825">
        <v>51875825</v>
      </c>
      <c r="E2825">
        <v>4.95</v>
      </c>
      <c r="F2825">
        <v>8.2200000000000006</v>
      </c>
    </row>
    <row r="2826" spans="1:6" x14ac:dyDescent="0.3">
      <c r="A2826" t="s">
        <v>4620</v>
      </c>
      <c r="B2826" t="s">
        <v>3803</v>
      </c>
      <c r="C2826" t="s">
        <v>4621</v>
      </c>
      <c r="D2826">
        <v>51881109</v>
      </c>
      <c r="E2826">
        <v>2.91</v>
      </c>
      <c r="F2826">
        <v>7.22</v>
      </c>
    </row>
    <row r="2827" spans="1:6" x14ac:dyDescent="0.3">
      <c r="A2827" t="s">
        <v>4622</v>
      </c>
      <c r="B2827" t="s">
        <v>3906</v>
      </c>
      <c r="C2827" t="s">
        <v>956</v>
      </c>
      <c r="D2827">
        <v>51917172</v>
      </c>
      <c r="E2827">
        <v>3.66</v>
      </c>
      <c r="F2827">
        <v>6.71</v>
      </c>
    </row>
    <row r="2828" spans="1:6" x14ac:dyDescent="0.3">
      <c r="A2828" t="s">
        <v>4623</v>
      </c>
      <c r="B2828" t="s">
        <v>3782</v>
      </c>
      <c r="C2828" t="s">
        <v>3002</v>
      </c>
      <c r="D2828">
        <v>51962481</v>
      </c>
      <c r="E2828">
        <v>1.76</v>
      </c>
      <c r="F2828">
        <v>6.61</v>
      </c>
    </row>
    <row r="2829" spans="1:6" x14ac:dyDescent="0.3">
      <c r="A2829" t="s">
        <v>1568</v>
      </c>
      <c r="B2829" t="s">
        <v>2133</v>
      </c>
      <c r="C2829" t="s">
        <v>4624</v>
      </c>
      <c r="D2829">
        <v>51962726</v>
      </c>
      <c r="E2829">
        <v>6.83</v>
      </c>
      <c r="F2829">
        <v>6.94</v>
      </c>
    </row>
    <row r="2830" spans="1:6" x14ac:dyDescent="0.3">
      <c r="A2830" t="s">
        <v>4625</v>
      </c>
      <c r="B2830" t="s">
        <v>2709</v>
      </c>
      <c r="C2830" t="s">
        <v>4626</v>
      </c>
      <c r="D2830">
        <v>52009158</v>
      </c>
      <c r="E2830">
        <v>1.96</v>
      </c>
      <c r="F2830">
        <v>6.06</v>
      </c>
    </row>
    <row r="2831" spans="1:6" x14ac:dyDescent="0.3">
      <c r="A2831" t="s">
        <v>4627</v>
      </c>
      <c r="B2831" t="s">
        <v>2409</v>
      </c>
      <c r="C2831" t="s">
        <v>3949</v>
      </c>
      <c r="D2831">
        <v>52030023</v>
      </c>
      <c r="E2831">
        <v>12.14</v>
      </c>
      <c r="F2831">
        <v>7.57</v>
      </c>
    </row>
    <row r="2832" spans="1:6" x14ac:dyDescent="0.3">
      <c r="A2832" t="s">
        <v>4628</v>
      </c>
      <c r="B2832" t="s">
        <v>4076</v>
      </c>
      <c r="C2832" t="s">
        <v>1737</v>
      </c>
      <c r="D2832">
        <v>52048795</v>
      </c>
      <c r="E2832">
        <v>10.99</v>
      </c>
      <c r="F2832">
        <v>8.2899999999999991</v>
      </c>
    </row>
    <row r="2833" spans="1:6" x14ac:dyDescent="0.3">
      <c r="A2833" t="s">
        <v>4629</v>
      </c>
      <c r="B2833" t="s">
        <v>4630</v>
      </c>
      <c r="C2833" t="s">
        <v>820</v>
      </c>
      <c r="D2833">
        <v>52052193</v>
      </c>
      <c r="E2833">
        <v>7.4</v>
      </c>
      <c r="F2833">
        <v>7.5</v>
      </c>
    </row>
    <row r="2834" spans="1:6" x14ac:dyDescent="0.3">
      <c r="A2834" t="s">
        <v>4631</v>
      </c>
      <c r="B2834" t="s">
        <v>3380</v>
      </c>
      <c r="C2834" t="s">
        <v>950</v>
      </c>
      <c r="D2834">
        <v>52056792</v>
      </c>
      <c r="E2834">
        <v>3.61</v>
      </c>
      <c r="F2834">
        <v>8.06</v>
      </c>
    </row>
    <row r="2835" spans="1:6" x14ac:dyDescent="0.3">
      <c r="A2835" t="s">
        <v>4632</v>
      </c>
      <c r="B2835" t="s">
        <v>3895</v>
      </c>
      <c r="C2835" t="s">
        <v>4633</v>
      </c>
      <c r="D2835">
        <v>52113279</v>
      </c>
      <c r="E2835">
        <v>25.19</v>
      </c>
      <c r="F2835">
        <v>7.67</v>
      </c>
    </row>
    <row r="2836" spans="1:6" x14ac:dyDescent="0.3">
      <c r="A2836" t="s">
        <v>4634</v>
      </c>
      <c r="B2836" t="s">
        <v>4261</v>
      </c>
      <c r="C2836" t="s">
        <v>4635</v>
      </c>
      <c r="D2836">
        <v>52122745</v>
      </c>
      <c r="E2836">
        <v>9.17</v>
      </c>
      <c r="F2836">
        <v>6</v>
      </c>
    </row>
    <row r="2837" spans="1:6" x14ac:dyDescent="0.3">
      <c r="A2837" t="s">
        <v>4636</v>
      </c>
      <c r="B2837" t="s">
        <v>3809</v>
      </c>
      <c r="C2837" t="s">
        <v>3064</v>
      </c>
      <c r="D2837">
        <v>52147772</v>
      </c>
      <c r="E2837">
        <v>16.829999999999998</v>
      </c>
      <c r="F2837">
        <v>3.8</v>
      </c>
    </row>
    <row r="2838" spans="1:6" x14ac:dyDescent="0.3">
      <c r="A2838" t="s">
        <v>4637</v>
      </c>
      <c r="B2838" t="s">
        <v>4350</v>
      </c>
      <c r="C2838" t="s">
        <v>1030</v>
      </c>
      <c r="D2838">
        <v>52153801</v>
      </c>
      <c r="E2838">
        <v>3.01</v>
      </c>
      <c r="F2838">
        <v>6.23</v>
      </c>
    </row>
    <row r="2839" spans="1:6" x14ac:dyDescent="0.3">
      <c r="A2839" t="s">
        <v>4638</v>
      </c>
      <c r="B2839" t="s">
        <v>3261</v>
      </c>
      <c r="C2839" t="s">
        <v>4639</v>
      </c>
      <c r="D2839">
        <v>52167808</v>
      </c>
      <c r="E2839">
        <v>4</v>
      </c>
      <c r="F2839">
        <v>5.43</v>
      </c>
    </row>
    <row r="2840" spans="1:6" x14ac:dyDescent="0.3">
      <c r="A2840" t="s">
        <v>4640</v>
      </c>
      <c r="B2840" t="s">
        <v>3120</v>
      </c>
      <c r="C2840" t="s">
        <v>4641</v>
      </c>
      <c r="D2840">
        <v>52202324</v>
      </c>
      <c r="E2840">
        <v>16.05</v>
      </c>
      <c r="F2840">
        <v>5.6</v>
      </c>
    </row>
    <row r="2841" spans="1:6" x14ac:dyDescent="0.3">
      <c r="A2841" t="s">
        <v>4642</v>
      </c>
      <c r="B2841" t="s">
        <v>1110</v>
      </c>
      <c r="C2841" t="s">
        <v>2004</v>
      </c>
      <c r="D2841">
        <v>52210597</v>
      </c>
      <c r="E2841">
        <v>13.23</v>
      </c>
      <c r="F2841">
        <v>6.89</v>
      </c>
    </row>
    <row r="2842" spans="1:6" x14ac:dyDescent="0.3">
      <c r="A2842" t="s">
        <v>4643</v>
      </c>
      <c r="B2842" t="s">
        <v>2843</v>
      </c>
      <c r="C2842" t="s">
        <v>4644</v>
      </c>
      <c r="D2842">
        <v>52230449</v>
      </c>
      <c r="E2842">
        <v>2.62</v>
      </c>
      <c r="F2842">
        <v>6.8</v>
      </c>
    </row>
    <row r="2843" spans="1:6" x14ac:dyDescent="0.3">
      <c r="A2843" t="s">
        <v>4645</v>
      </c>
      <c r="B2843" t="s">
        <v>2433</v>
      </c>
      <c r="C2843" t="s">
        <v>2948</v>
      </c>
      <c r="D2843">
        <v>52238488</v>
      </c>
      <c r="E2843">
        <v>15.12</v>
      </c>
      <c r="F2843">
        <v>7.86</v>
      </c>
    </row>
    <row r="2844" spans="1:6" x14ac:dyDescent="0.3">
      <c r="A2844" t="s">
        <v>4646</v>
      </c>
      <c r="B2844" t="s">
        <v>3864</v>
      </c>
      <c r="C2844" t="s">
        <v>3571</v>
      </c>
      <c r="D2844">
        <v>52286988</v>
      </c>
      <c r="E2844">
        <v>10.029999999999999</v>
      </c>
      <c r="F2844">
        <v>7.89</v>
      </c>
    </row>
    <row r="2845" spans="1:6" x14ac:dyDescent="0.3">
      <c r="A2845" t="s">
        <v>4647</v>
      </c>
      <c r="B2845" t="s">
        <v>4648</v>
      </c>
      <c r="C2845" t="s">
        <v>925</v>
      </c>
      <c r="D2845">
        <v>52289646</v>
      </c>
      <c r="E2845">
        <v>20.74</v>
      </c>
      <c r="F2845">
        <v>6.53</v>
      </c>
    </row>
    <row r="2846" spans="1:6" x14ac:dyDescent="0.3">
      <c r="A2846" t="s">
        <v>4649</v>
      </c>
      <c r="B2846" t="s">
        <v>3466</v>
      </c>
      <c r="C2846" t="s">
        <v>4650</v>
      </c>
      <c r="D2846">
        <v>52294619</v>
      </c>
      <c r="E2846">
        <v>6.22</v>
      </c>
      <c r="F2846">
        <v>7.82</v>
      </c>
    </row>
    <row r="2847" spans="1:6" x14ac:dyDescent="0.3">
      <c r="A2847" t="s">
        <v>233</v>
      </c>
      <c r="B2847" t="s">
        <v>3820</v>
      </c>
      <c r="C2847" t="s">
        <v>4651</v>
      </c>
      <c r="D2847">
        <v>52303420</v>
      </c>
      <c r="E2847">
        <v>31.11</v>
      </c>
      <c r="F2847">
        <v>8.33</v>
      </c>
    </row>
    <row r="2848" spans="1:6" x14ac:dyDescent="0.3">
      <c r="A2848" t="s">
        <v>4652</v>
      </c>
      <c r="B2848" t="s">
        <v>1663</v>
      </c>
      <c r="C2848" t="s">
        <v>2189</v>
      </c>
      <c r="D2848">
        <v>52310333</v>
      </c>
      <c r="E2848">
        <v>32.840000000000003</v>
      </c>
      <c r="F2848">
        <v>6.56</v>
      </c>
    </row>
    <row r="2849" spans="1:6" x14ac:dyDescent="0.3">
      <c r="A2849" t="s">
        <v>4653</v>
      </c>
      <c r="B2849" t="s">
        <v>3830</v>
      </c>
      <c r="C2849" t="s">
        <v>4654</v>
      </c>
      <c r="D2849">
        <v>52356195</v>
      </c>
      <c r="E2849">
        <v>2.77</v>
      </c>
      <c r="F2849">
        <v>7.46</v>
      </c>
    </row>
    <row r="2850" spans="1:6" x14ac:dyDescent="0.3">
      <c r="A2850" t="s">
        <v>4655</v>
      </c>
      <c r="B2850" t="s">
        <v>4656</v>
      </c>
      <c r="C2850" t="s">
        <v>4657</v>
      </c>
      <c r="D2850">
        <v>52359389</v>
      </c>
      <c r="E2850">
        <v>6.2</v>
      </c>
      <c r="F2850">
        <v>8</v>
      </c>
    </row>
    <row r="2851" spans="1:6" x14ac:dyDescent="0.3">
      <c r="A2851" t="s">
        <v>4658</v>
      </c>
      <c r="B2851" t="s">
        <v>1110</v>
      </c>
      <c r="C2851" t="s">
        <v>3126</v>
      </c>
      <c r="D2851">
        <v>52374843</v>
      </c>
      <c r="E2851">
        <v>33.200000000000003</v>
      </c>
      <c r="F2851">
        <v>6.27</v>
      </c>
    </row>
    <row r="2852" spans="1:6" x14ac:dyDescent="0.3">
      <c r="A2852" t="s">
        <v>4659</v>
      </c>
      <c r="B2852" t="s">
        <v>4660</v>
      </c>
      <c r="C2852" t="s">
        <v>4659</v>
      </c>
      <c r="D2852">
        <v>52406735</v>
      </c>
      <c r="E2852">
        <v>6.14</v>
      </c>
      <c r="F2852">
        <v>4.83</v>
      </c>
    </row>
    <row r="2853" spans="1:6" x14ac:dyDescent="0.3">
      <c r="A2853" t="s">
        <v>4661</v>
      </c>
      <c r="B2853" t="s">
        <v>4662</v>
      </c>
      <c r="C2853" t="s">
        <v>4663</v>
      </c>
      <c r="D2853">
        <v>52448794</v>
      </c>
      <c r="E2853">
        <v>20.3</v>
      </c>
      <c r="F2853">
        <v>7.42</v>
      </c>
    </row>
    <row r="2854" spans="1:6" x14ac:dyDescent="0.3">
      <c r="A2854" t="s">
        <v>4664</v>
      </c>
      <c r="B2854" t="s">
        <v>2433</v>
      </c>
      <c r="C2854" t="s">
        <v>4665</v>
      </c>
      <c r="D2854">
        <v>52527538</v>
      </c>
      <c r="E2854">
        <v>21</v>
      </c>
      <c r="F2854">
        <v>6.56</v>
      </c>
    </row>
    <row r="2855" spans="1:6" x14ac:dyDescent="0.3">
      <c r="A2855" t="s">
        <v>4666</v>
      </c>
      <c r="B2855" t="s">
        <v>523</v>
      </c>
      <c r="C2855" t="s">
        <v>4667</v>
      </c>
      <c r="D2855">
        <v>52544286</v>
      </c>
      <c r="E2855">
        <v>5.58</v>
      </c>
      <c r="F2855">
        <v>7.33</v>
      </c>
    </row>
    <row r="2856" spans="1:6" x14ac:dyDescent="0.3">
      <c r="A2856" t="s">
        <v>4668</v>
      </c>
      <c r="B2856" t="s">
        <v>4669</v>
      </c>
      <c r="C2856" t="s">
        <v>4670</v>
      </c>
      <c r="D2856">
        <v>52578733</v>
      </c>
      <c r="E2856">
        <v>5.67</v>
      </c>
      <c r="F2856">
        <v>4.25</v>
      </c>
    </row>
    <row r="2857" spans="1:6" x14ac:dyDescent="0.3">
      <c r="A2857" t="s">
        <v>4671</v>
      </c>
      <c r="B2857" t="s">
        <v>4076</v>
      </c>
      <c r="C2857" t="s">
        <v>4672</v>
      </c>
      <c r="D2857">
        <v>52637454</v>
      </c>
      <c r="E2857">
        <v>6.36</v>
      </c>
      <c r="F2857">
        <v>6.04</v>
      </c>
    </row>
    <row r="2858" spans="1:6" x14ac:dyDescent="0.3">
      <c r="A2858" t="s">
        <v>4673</v>
      </c>
      <c r="B2858" t="s">
        <v>4674</v>
      </c>
      <c r="C2858" t="s">
        <v>2711</v>
      </c>
      <c r="D2858">
        <v>52637867</v>
      </c>
      <c r="E2858">
        <v>3.26</v>
      </c>
      <c r="F2858">
        <v>6.14</v>
      </c>
    </row>
    <row r="2859" spans="1:6" x14ac:dyDescent="0.3">
      <c r="A2859" t="s">
        <v>4675</v>
      </c>
      <c r="B2859" t="s">
        <v>1996</v>
      </c>
      <c r="C2859" t="s">
        <v>2538</v>
      </c>
      <c r="D2859">
        <v>52663172</v>
      </c>
      <c r="E2859">
        <v>10.36</v>
      </c>
      <c r="F2859">
        <v>7.31</v>
      </c>
    </row>
    <row r="2860" spans="1:6" x14ac:dyDescent="0.3">
      <c r="A2860" t="s">
        <v>4676</v>
      </c>
      <c r="B2860" t="s">
        <v>4377</v>
      </c>
      <c r="C2860" t="s">
        <v>3013</v>
      </c>
      <c r="D2860">
        <v>52755435</v>
      </c>
      <c r="E2860">
        <v>1.87</v>
      </c>
      <c r="F2860">
        <v>6.98</v>
      </c>
    </row>
    <row r="2861" spans="1:6" x14ac:dyDescent="0.3">
      <c r="A2861" t="s">
        <v>4677</v>
      </c>
      <c r="B2861" t="s">
        <v>4293</v>
      </c>
      <c r="C2861" t="s">
        <v>2844</v>
      </c>
      <c r="D2861">
        <v>52757208</v>
      </c>
      <c r="E2861">
        <v>14.95</v>
      </c>
      <c r="F2861">
        <v>7.44</v>
      </c>
    </row>
    <row r="2862" spans="1:6" x14ac:dyDescent="0.3">
      <c r="A2862" t="s">
        <v>4678</v>
      </c>
      <c r="B2862" t="s">
        <v>277</v>
      </c>
      <c r="C2862" t="s">
        <v>4679</v>
      </c>
      <c r="D2862">
        <v>52820360</v>
      </c>
      <c r="E2862">
        <v>9.92</v>
      </c>
      <c r="F2862">
        <v>7.94</v>
      </c>
    </row>
    <row r="2863" spans="1:6" x14ac:dyDescent="0.3">
      <c r="A2863" t="s">
        <v>1214</v>
      </c>
      <c r="B2863" t="s">
        <v>2771</v>
      </c>
      <c r="C2863" t="s">
        <v>4680</v>
      </c>
      <c r="D2863">
        <v>52826168</v>
      </c>
      <c r="E2863">
        <v>16.57</v>
      </c>
      <c r="F2863">
        <v>8.23</v>
      </c>
    </row>
    <row r="2864" spans="1:6" x14ac:dyDescent="0.3">
      <c r="A2864" t="s">
        <v>4681</v>
      </c>
      <c r="B2864" t="s">
        <v>1986</v>
      </c>
      <c r="C2864" t="s">
        <v>4682</v>
      </c>
      <c r="D2864">
        <v>52917530</v>
      </c>
      <c r="E2864">
        <v>6.23</v>
      </c>
      <c r="F2864">
        <v>7.24</v>
      </c>
    </row>
    <row r="2865" spans="1:6" x14ac:dyDescent="0.3">
      <c r="A2865" t="s">
        <v>4683</v>
      </c>
      <c r="B2865" t="s">
        <v>2166</v>
      </c>
      <c r="C2865" t="s">
        <v>4684</v>
      </c>
      <c r="D2865">
        <v>52919433</v>
      </c>
      <c r="E2865">
        <v>31.64</v>
      </c>
      <c r="F2865">
        <v>5.28</v>
      </c>
    </row>
    <row r="2866" spans="1:6" x14ac:dyDescent="0.3">
      <c r="A2866" t="s">
        <v>4685</v>
      </c>
      <c r="B2866" t="s">
        <v>4686</v>
      </c>
      <c r="C2866" t="s">
        <v>3839</v>
      </c>
      <c r="D2866">
        <v>52919976</v>
      </c>
      <c r="E2866">
        <v>17.89</v>
      </c>
      <c r="F2866">
        <v>5.78</v>
      </c>
    </row>
    <row r="2867" spans="1:6" x14ac:dyDescent="0.3">
      <c r="A2867" t="s">
        <v>4687</v>
      </c>
      <c r="B2867" t="s">
        <v>2999</v>
      </c>
      <c r="C2867" t="s">
        <v>4688</v>
      </c>
      <c r="D2867">
        <v>52921724</v>
      </c>
      <c r="E2867">
        <v>5.4</v>
      </c>
      <c r="F2867">
        <v>7</v>
      </c>
    </row>
    <row r="2868" spans="1:6" x14ac:dyDescent="0.3">
      <c r="A2868" t="s">
        <v>4689</v>
      </c>
      <c r="B2868" t="s">
        <v>4690</v>
      </c>
      <c r="C2868" t="s">
        <v>4691</v>
      </c>
      <c r="D2868">
        <v>52954850</v>
      </c>
      <c r="E2868">
        <v>2.23</v>
      </c>
      <c r="F2868">
        <v>6.25</v>
      </c>
    </row>
    <row r="2869" spans="1:6" x14ac:dyDescent="0.3">
      <c r="A2869" t="s">
        <v>2941</v>
      </c>
      <c r="B2869" t="s">
        <v>2614</v>
      </c>
      <c r="C2869" t="s">
        <v>2287</v>
      </c>
      <c r="D2869">
        <v>52955167</v>
      </c>
      <c r="E2869">
        <v>32</v>
      </c>
      <c r="F2869">
        <v>7.5</v>
      </c>
    </row>
    <row r="2870" spans="1:6" x14ac:dyDescent="0.3">
      <c r="A2870" t="s">
        <v>1079</v>
      </c>
      <c r="B2870" t="s">
        <v>3217</v>
      </c>
      <c r="C2870" t="s">
        <v>2681</v>
      </c>
      <c r="D2870">
        <v>52990645</v>
      </c>
      <c r="E2870">
        <v>3.2</v>
      </c>
      <c r="F2870">
        <v>5</v>
      </c>
    </row>
    <row r="2871" spans="1:6" x14ac:dyDescent="0.3">
      <c r="A2871" t="s">
        <v>4692</v>
      </c>
      <c r="B2871" t="s">
        <v>3805</v>
      </c>
      <c r="C2871" t="s">
        <v>4693</v>
      </c>
      <c r="D2871">
        <v>52990858</v>
      </c>
      <c r="E2871">
        <v>11.17</v>
      </c>
      <c r="F2871">
        <v>7.75</v>
      </c>
    </row>
    <row r="2872" spans="1:6" x14ac:dyDescent="0.3">
      <c r="A2872" t="s">
        <v>4694</v>
      </c>
      <c r="B2872" t="s">
        <v>4177</v>
      </c>
      <c r="C2872" t="s">
        <v>12</v>
      </c>
      <c r="D2872">
        <v>53443974</v>
      </c>
      <c r="E2872">
        <v>31</v>
      </c>
      <c r="F2872">
        <v>6</v>
      </c>
    </row>
    <row r="2873" spans="1:6" x14ac:dyDescent="0.3">
      <c r="A2873" t="s">
        <v>4695</v>
      </c>
      <c r="B2873" t="s">
        <v>4261</v>
      </c>
      <c r="C2873" t="s">
        <v>4696</v>
      </c>
      <c r="D2873">
        <v>53642653</v>
      </c>
      <c r="E2873">
        <v>2.66</v>
      </c>
      <c r="F2873">
        <v>6.74</v>
      </c>
    </row>
    <row r="2874" spans="1:6" x14ac:dyDescent="0.3">
      <c r="A2874" t="s">
        <v>4697</v>
      </c>
      <c r="B2874" t="s">
        <v>4698</v>
      </c>
      <c r="C2874" t="s">
        <v>832</v>
      </c>
      <c r="D2874">
        <v>53753647</v>
      </c>
      <c r="E2874">
        <v>15.93</v>
      </c>
      <c r="F2874">
        <v>6.67</v>
      </c>
    </row>
    <row r="2875" spans="1:6" x14ac:dyDescent="0.3">
      <c r="A2875" t="s">
        <v>4699</v>
      </c>
      <c r="B2875" t="s">
        <v>4700</v>
      </c>
      <c r="C2875" t="s">
        <v>2116</v>
      </c>
      <c r="D2875">
        <v>53763112</v>
      </c>
      <c r="E2875">
        <v>1.97</v>
      </c>
      <c r="F2875">
        <v>6.39</v>
      </c>
    </row>
    <row r="2876" spans="1:6" x14ac:dyDescent="0.3">
      <c r="A2876" t="s">
        <v>4701</v>
      </c>
      <c r="B2876" t="s">
        <v>4702</v>
      </c>
      <c r="C2876" t="s">
        <v>4703</v>
      </c>
      <c r="D2876">
        <v>53878361</v>
      </c>
      <c r="E2876">
        <v>30.75</v>
      </c>
      <c r="F2876">
        <v>8.75</v>
      </c>
    </row>
    <row r="2877" spans="1:6" x14ac:dyDescent="0.3">
      <c r="A2877" t="s">
        <v>4704</v>
      </c>
      <c r="B2877" t="s">
        <v>4705</v>
      </c>
      <c r="C2877" t="s">
        <v>2304</v>
      </c>
      <c r="D2877">
        <v>53886859</v>
      </c>
      <c r="E2877">
        <v>15.86</v>
      </c>
      <c r="F2877">
        <v>6.88</v>
      </c>
    </row>
    <row r="2878" spans="1:6" x14ac:dyDescent="0.3">
      <c r="A2878" t="s">
        <v>4706</v>
      </c>
      <c r="B2878" t="s">
        <v>4026</v>
      </c>
      <c r="C2878" t="s">
        <v>2739</v>
      </c>
      <c r="D2878">
        <v>54334540</v>
      </c>
      <c r="E2878">
        <v>1.64</v>
      </c>
      <c r="F2878">
        <v>6.68</v>
      </c>
    </row>
    <row r="2879" spans="1:6" x14ac:dyDescent="0.3">
      <c r="A2879" t="s">
        <v>4707</v>
      </c>
      <c r="B2879" t="s">
        <v>2756</v>
      </c>
      <c r="C2879" t="s">
        <v>2885</v>
      </c>
      <c r="D2879">
        <v>54338123</v>
      </c>
      <c r="E2879">
        <v>2.94</v>
      </c>
      <c r="F2879">
        <v>5.93</v>
      </c>
    </row>
    <row r="2880" spans="1:6" x14ac:dyDescent="0.3">
      <c r="A2880" t="s">
        <v>4708</v>
      </c>
      <c r="B2880" t="s">
        <v>4709</v>
      </c>
      <c r="C2880" t="s">
        <v>1355</v>
      </c>
      <c r="D2880">
        <v>54358687</v>
      </c>
      <c r="E2880">
        <v>8.5</v>
      </c>
      <c r="F2880">
        <v>4.9000000000000004</v>
      </c>
    </row>
    <row r="2881" spans="1:6" x14ac:dyDescent="0.3">
      <c r="A2881" t="s">
        <v>4710</v>
      </c>
      <c r="B2881" t="s">
        <v>4711</v>
      </c>
      <c r="C2881" t="s">
        <v>4712</v>
      </c>
      <c r="D2881">
        <v>54367296</v>
      </c>
      <c r="E2881">
        <v>3.02</v>
      </c>
      <c r="F2881">
        <v>6.67</v>
      </c>
    </row>
    <row r="2882" spans="1:6" x14ac:dyDescent="0.3">
      <c r="A2882" t="s">
        <v>4713</v>
      </c>
      <c r="B2882" t="s">
        <v>4536</v>
      </c>
      <c r="C2882" t="s">
        <v>4714</v>
      </c>
      <c r="D2882">
        <v>54383909</v>
      </c>
      <c r="E2882">
        <v>2.9</v>
      </c>
      <c r="F2882">
        <v>5.42</v>
      </c>
    </row>
    <row r="2883" spans="1:6" x14ac:dyDescent="0.3">
      <c r="A2883" t="s">
        <v>4715</v>
      </c>
      <c r="B2883" t="s">
        <v>3169</v>
      </c>
      <c r="C2883" t="s">
        <v>3576</v>
      </c>
      <c r="D2883">
        <v>54399096</v>
      </c>
      <c r="E2883">
        <v>7.29</v>
      </c>
      <c r="F2883">
        <v>5.29</v>
      </c>
    </row>
    <row r="2884" spans="1:6" x14ac:dyDescent="0.3">
      <c r="A2884" t="s">
        <v>4716</v>
      </c>
      <c r="B2884" t="s">
        <v>4073</v>
      </c>
      <c r="C2884" t="s">
        <v>4001</v>
      </c>
      <c r="D2884">
        <v>54431891</v>
      </c>
      <c r="E2884">
        <v>3.07</v>
      </c>
      <c r="F2884">
        <v>7.26</v>
      </c>
    </row>
    <row r="2885" spans="1:6" x14ac:dyDescent="0.3">
      <c r="A2885" t="s">
        <v>4717</v>
      </c>
      <c r="B2885" t="s">
        <v>3739</v>
      </c>
      <c r="C2885" t="s">
        <v>813</v>
      </c>
      <c r="D2885">
        <v>54434374</v>
      </c>
      <c r="E2885">
        <v>3.95</v>
      </c>
      <c r="F2885">
        <v>4.62</v>
      </c>
    </row>
    <row r="2886" spans="1:6" x14ac:dyDescent="0.3">
      <c r="A2886" t="s">
        <v>3849</v>
      </c>
      <c r="B2886" t="s">
        <v>4718</v>
      </c>
      <c r="C2886" t="s">
        <v>3706</v>
      </c>
      <c r="D2886">
        <v>54434382</v>
      </c>
      <c r="E2886">
        <v>2.25</v>
      </c>
      <c r="F2886">
        <v>4.7</v>
      </c>
    </row>
    <row r="2887" spans="1:6" x14ac:dyDescent="0.3">
      <c r="A2887" t="s">
        <v>4719</v>
      </c>
      <c r="B2887" t="s">
        <v>1605</v>
      </c>
      <c r="C2887" t="s">
        <v>4720</v>
      </c>
      <c r="D2887">
        <v>54444684</v>
      </c>
      <c r="E2887">
        <v>14.47</v>
      </c>
      <c r="F2887">
        <v>5.63</v>
      </c>
    </row>
    <row r="2888" spans="1:6" x14ac:dyDescent="0.3">
      <c r="A2888" t="s">
        <v>4721</v>
      </c>
      <c r="B2888" t="s">
        <v>4722</v>
      </c>
      <c r="C2888" t="s">
        <v>4723</v>
      </c>
      <c r="D2888">
        <v>54471099</v>
      </c>
      <c r="E2888">
        <v>4.67</v>
      </c>
      <c r="F2888">
        <v>6</v>
      </c>
    </row>
    <row r="2889" spans="1:6" x14ac:dyDescent="0.3">
      <c r="A2889" t="s">
        <v>4724</v>
      </c>
      <c r="B2889" t="s">
        <v>4725</v>
      </c>
      <c r="C2889" t="s">
        <v>4726</v>
      </c>
      <c r="D2889">
        <v>54474315</v>
      </c>
      <c r="E2889">
        <v>5.07</v>
      </c>
      <c r="F2889">
        <v>5.5</v>
      </c>
    </row>
    <row r="2890" spans="1:6" x14ac:dyDescent="0.3">
      <c r="A2890" t="s">
        <v>4727</v>
      </c>
      <c r="B2890" t="s">
        <v>4728</v>
      </c>
      <c r="C2890" t="s">
        <v>2781</v>
      </c>
      <c r="D2890">
        <v>54478311</v>
      </c>
      <c r="E2890">
        <v>4</v>
      </c>
      <c r="F2890">
        <v>6.29</v>
      </c>
    </row>
    <row r="2891" spans="1:6" x14ac:dyDescent="0.3">
      <c r="A2891" t="s">
        <v>4729</v>
      </c>
      <c r="B2891" t="s">
        <v>4730</v>
      </c>
      <c r="C2891" t="s">
        <v>6</v>
      </c>
      <c r="D2891">
        <v>54492271</v>
      </c>
      <c r="E2891">
        <v>5.28</v>
      </c>
      <c r="F2891">
        <v>3.65</v>
      </c>
    </row>
    <row r="2892" spans="1:6" x14ac:dyDescent="0.3">
      <c r="A2892" t="s">
        <v>4731</v>
      </c>
      <c r="B2892" t="s">
        <v>4732</v>
      </c>
      <c r="C2892" t="s">
        <v>4733</v>
      </c>
      <c r="D2892">
        <v>54496261</v>
      </c>
      <c r="E2892">
        <v>8.33</v>
      </c>
      <c r="F2892">
        <v>4.57</v>
      </c>
    </row>
    <row r="2893" spans="1:6" x14ac:dyDescent="0.3">
      <c r="A2893" t="s">
        <v>4734</v>
      </c>
      <c r="B2893" t="s">
        <v>4154</v>
      </c>
      <c r="C2893" t="s">
        <v>1200</v>
      </c>
      <c r="D2893">
        <v>54514001</v>
      </c>
      <c r="E2893">
        <v>16</v>
      </c>
      <c r="F2893">
        <v>8</v>
      </c>
    </row>
    <row r="2894" spans="1:6" x14ac:dyDescent="0.3">
      <c r="A2894" t="s">
        <v>4735</v>
      </c>
      <c r="B2894" t="s">
        <v>3609</v>
      </c>
      <c r="C2894" t="s">
        <v>3757</v>
      </c>
      <c r="D2894">
        <v>54516897</v>
      </c>
      <c r="E2894">
        <v>5.85</v>
      </c>
      <c r="F2894">
        <v>6.15</v>
      </c>
    </row>
    <row r="2895" spans="1:6" x14ac:dyDescent="0.3">
      <c r="A2895" t="s">
        <v>4736</v>
      </c>
      <c r="B2895" t="s">
        <v>2409</v>
      </c>
      <c r="C2895" t="s">
        <v>4737</v>
      </c>
      <c r="D2895">
        <v>54523552</v>
      </c>
      <c r="E2895">
        <v>3.65</v>
      </c>
      <c r="F2895">
        <v>6.67</v>
      </c>
    </row>
    <row r="2896" spans="1:6" x14ac:dyDescent="0.3">
      <c r="A2896" t="s">
        <v>4738</v>
      </c>
      <c r="B2896" t="s">
        <v>4739</v>
      </c>
      <c r="C2896" t="s">
        <v>4740</v>
      </c>
      <c r="D2896">
        <v>54527858</v>
      </c>
      <c r="E2896">
        <v>1.2</v>
      </c>
      <c r="F2896">
        <v>6.44</v>
      </c>
    </row>
    <row r="2897" spans="1:6" x14ac:dyDescent="0.3">
      <c r="A2897" t="s">
        <v>3625</v>
      </c>
      <c r="B2897" t="s">
        <v>4741</v>
      </c>
      <c r="C2897" t="s">
        <v>3625</v>
      </c>
      <c r="D2897">
        <v>54528190</v>
      </c>
      <c r="E2897">
        <v>16.75</v>
      </c>
      <c r="F2897">
        <v>4.8600000000000003</v>
      </c>
    </row>
    <row r="2898" spans="1:6" x14ac:dyDescent="0.3">
      <c r="A2898" t="s">
        <v>4742</v>
      </c>
      <c r="B2898" t="s">
        <v>4743</v>
      </c>
      <c r="C2898" t="s">
        <v>4744</v>
      </c>
      <c r="D2898">
        <v>54560015</v>
      </c>
      <c r="E2898">
        <v>6.94</v>
      </c>
      <c r="F2898">
        <v>6.6</v>
      </c>
    </row>
    <row r="2899" spans="1:6" x14ac:dyDescent="0.3">
      <c r="A2899" t="s">
        <v>4745</v>
      </c>
      <c r="B2899" t="s">
        <v>4413</v>
      </c>
      <c r="C2899" t="s">
        <v>4746</v>
      </c>
      <c r="D2899">
        <v>54569231</v>
      </c>
      <c r="E2899">
        <v>3.95</v>
      </c>
      <c r="F2899">
        <v>4.83</v>
      </c>
    </row>
    <row r="2900" spans="1:6" x14ac:dyDescent="0.3">
      <c r="A2900" t="s">
        <v>4747</v>
      </c>
      <c r="B2900" t="s">
        <v>2355</v>
      </c>
      <c r="C2900" t="s">
        <v>3006</v>
      </c>
      <c r="D2900">
        <v>54588072</v>
      </c>
      <c r="E2900">
        <v>23.68</v>
      </c>
      <c r="F2900">
        <v>6.8</v>
      </c>
    </row>
    <row r="2901" spans="1:6" x14ac:dyDescent="0.3">
      <c r="A2901" t="s">
        <v>4748</v>
      </c>
      <c r="B2901" t="s">
        <v>609</v>
      </c>
      <c r="C2901" t="s">
        <v>3583</v>
      </c>
      <c r="D2901">
        <v>54615662</v>
      </c>
      <c r="E2901">
        <v>31.92</v>
      </c>
      <c r="F2901">
        <v>5.14</v>
      </c>
    </row>
    <row r="2902" spans="1:6" x14ac:dyDescent="0.3">
      <c r="A2902" t="s">
        <v>4749</v>
      </c>
      <c r="B2902" t="s">
        <v>3554</v>
      </c>
      <c r="C2902" t="s">
        <v>3092</v>
      </c>
      <c r="D2902">
        <v>54616752</v>
      </c>
      <c r="E2902">
        <v>3.1</v>
      </c>
      <c r="F2902">
        <v>7.77</v>
      </c>
    </row>
    <row r="2903" spans="1:6" x14ac:dyDescent="0.3">
      <c r="A2903" t="s">
        <v>4750</v>
      </c>
      <c r="B2903" t="s">
        <v>4044</v>
      </c>
      <c r="C2903" t="s">
        <v>4750</v>
      </c>
      <c r="D2903">
        <v>54620605</v>
      </c>
      <c r="E2903">
        <v>3.73</v>
      </c>
      <c r="F2903">
        <v>5</v>
      </c>
    </row>
    <row r="2904" spans="1:6" x14ac:dyDescent="0.3">
      <c r="A2904" t="s">
        <v>4751</v>
      </c>
      <c r="B2904" t="s">
        <v>3436</v>
      </c>
      <c r="C2904" t="s">
        <v>3247</v>
      </c>
      <c r="D2904">
        <v>54633109</v>
      </c>
      <c r="E2904">
        <v>16.63</v>
      </c>
      <c r="F2904">
        <v>2.63</v>
      </c>
    </row>
    <row r="2905" spans="1:6" x14ac:dyDescent="0.3">
      <c r="A2905" t="s">
        <v>4752</v>
      </c>
      <c r="B2905" t="s">
        <v>4261</v>
      </c>
      <c r="C2905" t="s">
        <v>2347</v>
      </c>
      <c r="D2905">
        <v>54636312</v>
      </c>
      <c r="E2905">
        <v>7.64</v>
      </c>
      <c r="F2905">
        <v>6.86</v>
      </c>
    </row>
    <row r="2906" spans="1:6" x14ac:dyDescent="0.3">
      <c r="A2906" t="s">
        <v>2681</v>
      </c>
      <c r="B2906" t="s">
        <v>3906</v>
      </c>
      <c r="C2906" t="s">
        <v>2681</v>
      </c>
      <c r="D2906">
        <v>54640274</v>
      </c>
      <c r="E2906">
        <v>5.86</v>
      </c>
      <c r="F2906">
        <v>6.2</v>
      </c>
    </row>
    <row r="2907" spans="1:6" x14ac:dyDescent="0.3">
      <c r="A2907" t="s">
        <v>4753</v>
      </c>
      <c r="B2907" t="s">
        <v>4421</v>
      </c>
      <c r="C2907" t="s">
        <v>4754</v>
      </c>
      <c r="D2907">
        <v>54659641</v>
      </c>
      <c r="E2907">
        <v>3.87</v>
      </c>
      <c r="F2907">
        <v>6.11</v>
      </c>
    </row>
    <row r="2908" spans="1:6" x14ac:dyDescent="0.3">
      <c r="A2908" t="s">
        <v>4755</v>
      </c>
      <c r="B2908" t="s">
        <v>4756</v>
      </c>
      <c r="C2908" t="s">
        <v>4504</v>
      </c>
      <c r="D2908">
        <v>54681694</v>
      </c>
      <c r="E2908">
        <v>14.68</v>
      </c>
      <c r="F2908">
        <v>7.39</v>
      </c>
    </row>
    <row r="2909" spans="1:6" x14ac:dyDescent="0.3">
      <c r="A2909" t="s">
        <v>4757</v>
      </c>
      <c r="B2909" t="s">
        <v>3181</v>
      </c>
      <c r="C2909" t="s">
        <v>3515</v>
      </c>
      <c r="D2909">
        <v>54691578</v>
      </c>
      <c r="E2909">
        <v>4.1900000000000004</v>
      </c>
      <c r="F2909">
        <v>6.97</v>
      </c>
    </row>
    <row r="2910" spans="1:6" x14ac:dyDescent="0.3">
      <c r="A2910" t="s">
        <v>4758</v>
      </c>
      <c r="B2910" t="s">
        <v>3803</v>
      </c>
      <c r="C2910" t="s">
        <v>4759</v>
      </c>
      <c r="D2910">
        <v>54692437</v>
      </c>
      <c r="E2910">
        <v>9.75</v>
      </c>
      <c r="F2910">
        <v>5.5</v>
      </c>
    </row>
    <row r="2911" spans="1:6" x14ac:dyDescent="0.3">
      <c r="A2911" t="s">
        <v>4760</v>
      </c>
      <c r="B2911" t="s">
        <v>4761</v>
      </c>
      <c r="C2911" t="s">
        <v>4069</v>
      </c>
      <c r="D2911">
        <v>54698181</v>
      </c>
      <c r="E2911">
        <v>13</v>
      </c>
      <c r="F2911">
        <v>7.75</v>
      </c>
    </row>
    <row r="2912" spans="1:6" x14ac:dyDescent="0.3">
      <c r="A2912" t="s">
        <v>4762</v>
      </c>
      <c r="B2912" t="s">
        <v>4763</v>
      </c>
      <c r="C2912" t="s">
        <v>4437</v>
      </c>
      <c r="D2912">
        <v>54705941</v>
      </c>
      <c r="E2912">
        <v>5.81</v>
      </c>
      <c r="F2912">
        <v>6.6</v>
      </c>
    </row>
    <row r="2913" spans="1:6" x14ac:dyDescent="0.3">
      <c r="A2913" t="s">
        <v>4764</v>
      </c>
      <c r="B2913" t="s">
        <v>4765</v>
      </c>
      <c r="C2913" t="s">
        <v>4766</v>
      </c>
      <c r="D2913">
        <v>54763009</v>
      </c>
      <c r="E2913">
        <v>11</v>
      </c>
      <c r="F2913">
        <v>6.2</v>
      </c>
    </row>
    <row r="2914" spans="1:6" x14ac:dyDescent="0.3">
      <c r="A2914" t="s">
        <v>4767</v>
      </c>
      <c r="B2914" t="s">
        <v>3708</v>
      </c>
      <c r="C2914" t="s">
        <v>4691</v>
      </c>
      <c r="D2914">
        <v>54765066</v>
      </c>
      <c r="E2914">
        <v>7</v>
      </c>
      <c r="F2914">
        <v>5</v>
      </c>
    </row>
    <row r="2915" spans="1:6" x14ac:dyDescent="0.3">
      <c r="A2915" t="s">
        <v>4768</v>
      </c>
      <c r="B2915" t="s">
        <v>4044</v>
      </c>
      <c r="C2915" t="s">
        <v>3725</v>
      </c>
      <c r="D2915">
        <v>54783578</v>
      </c>
      <c r="E2915">
        <v>7.29</v>
      </c>
      <c r="F2915">
        <v>7.5</v>
      </c>
    </row>
    <row r="2916" spans="1:6" x14ac:dyDescent="0.3">
      <c r="A2916" t="s">
        <v>4769</v>
      </c>
      <c r="B2916" t="s">
        <v>4770</v>
      </c>
      <c r="C2916" t="s">
        <v>3415</v>
      </c>
      <c r="D2916">
        <v>54790575</v>
      </c>
      <c r="E2916">
        <v>17.57</v>
      </c>
      <c r="F2916">
        <v>7.85</v>
      </c>
    </row>
    <row r="2917" spans="1:6" x14ac:dyDescent="0.3">
      <c r="A2917" t="s">
        <v>4771</v>
      </c>
      <c r="B2917" t="s">
        <v>4580</v>
      </c>
      <c r="C2917" t="s">
        <v>3291</v>
      </c>
      <c r="D2917">
        <v>54798673</v>
      </c>
      <c r="E2917">
        <v>6.05</v>
      </c>
      <c r="F2917">
        <v>7.38</v>
      </c>
    </row>
    <row r="2918" spans="1:6" x14ac:dyDescent="0.3">
      <c r="A2918" t="s">
        <v>4772</v>
      </c>
      <c r="B2918" t="s">
        <v>951</v>
      </c>
      <c r="C2918" t="s">
        <v>1537</v>
      </c>
      <c r="D2918">
        <v>54804607</v>
      </c>
      <c r="E2918">
        <v>7.96</v>
      </c>
      <c r="F2918">
        <v>5.44</v>
      </c>
    </row>
    <row r="2919" spans="1:6" x14ac:dyDescent="0.3">
      <c r="A2919" t="s">
        <v>4773</v>
      </c>
      <c r="B2919" t="s">
        <v>4630</v>
      </c>
      <c r="C2919" t="s">
        <v>3644</v>
      </c>
      <c r="D2919">
        <v>54815914</v>
      </c>
      <c r="E2919">
        <v>16.39</v>
      </c>
      <c r="F2919">
        <v>5.38</v>
      </c>
    </row>
    <row r="2920" spans="1:6" x14ac:dyDescent="0.3">
      <c r="A2920" t="s">
        <v>4774</v>
      </c>
      <c r="B2920" t="s">
        <v>3051</v>
      </c>
      <c r="C2920" t="s">
        <v>3247</v>
      </c>
      <c r="D2920">
        <v>54833498</v>
      </c>
      <c r="E2920">
        <v>22.65</v>
      </c>
      <c r="F2920">
        <v>7</v>
      </c>
    </row>
    <row r="2921" spans="1:6" x14ac:dyDescent="0.3">
      <c r="A2921" t="s">
        <v>4775</v>
      </c>
      <c r="B2921" t="s">
        <v>3159</v>
      </c>
      <c r="C2921" t="s">
        <v>4776</v>
      </c>
      <c r="D2921">
        <v>54840665</v>
      </c>
      <c r="E2921">
        <v>1.72</v>
      </c>
      <c r="F2921">
        <v>7.01</v>
      </c>
    </row>
    <row r="2922" spans="1:6" x14ac:dyDescent="0.3">
      <c r="A2922" t="s">
        <v>4777</v>
      </c>
      <c r="B2922" t="s">
        <v>1589</v>
      </c>
      <c r="C2922" t="s">
        <v>4778</v>
      </c>
      <c r="D2922">
        <v>54842344</v>
      </c>
      <c r="E2922">
        <v>4.1399999999999997</v>
      </c>
      <c r="F2922">
        <v>7.02</v>
      </c>
    </row>
    <row r="2923" spans="1:6" x14ac:dyDescent="0.3">
      <c r="A2923" t="s">
        <v>2843</v>
      </c>
      <c r="B2923" t="s">
        <v>2843</v>
      </c>
      <c r="C2923" t="s">
        <v>4779</v>
      </c>
      <c r="D2923">
        <v>54884884</v>
      </c>
      <c r="E2923">
        <v>3.2</v>
      </c>
      <c r="F2923">
        <v>6.08</v>
      </c>
    </row>
    <row r="2924" spans="1:6" x14ac:dyDescent="0.3">
      <c r="A2924" t="s">
        <v>4780</v>
      </c>
      <c r="B2924" t="s">
        <v>4781</v>
      </c>
      <c r="C2924" t="s">
        <v>969</v>
      </c>
      <c r="D2924">
        <v>54888864</v>
      </c>
      <c r="E2924">
        <v>16.579999999999998</v>
      </c>
      <c r="F2924">
        <v>5.75</v>
      </c>
    </row>
    <row r="2925" spans="1:6" x14ac:dyDescent="0.3">
      <c r="A2925" t="s">
        <v>4782</v>
      </c>
      <c r="B2925" t="s">
        <v>4783</v>
      </c>
      <c r="C2925" t="s">
        <v>4784</v>
      </c>
      <c r="D2925">
        <v>54897894</v>
      </c>
      <c r="E2925">
        <v>1.91</v>
      </c>
      <c r="F2925">
        <v>7.06</v>
      </c>
    </row>
    <row r="2926" spans="1:6" x14ac:dyDescent="0.3">
      <c r="A2926" t="s">
        <v>4785</v>
      </c>
      <c r="B2926" t="s">
        <v>1110</v>
      </c>
      <c r="C2926" t="s">
        <v>313</v>
      </c>
      <c r="D2926">
        <v>54917442</v>
      </c>
      <c r="E2926">
        <v>21.23</v>
      </c>
      <c r="F2926">
        <v>6.81</v>
      </c>
    </row>
    <row r="2927" spans="1:6" x14ac:dyDescent="0.3">
      <c r="A2927" t="s">
        <v>4786</v>
      </c>
      <c r="B2927" t="s">
        <v>4787</v>
      </c>
      <c r="C2927" t="s">
        <v>4788</v>
      </c>
      <c r="D2927">
        <v>54934851</v>
      </c>
      <c r="E2927">
        <v>19.670000000000002</v>
      </c>
      <c r="F2927">
        <v>5.86</v>
      </c>
    </row>
    <row r="2928" spans="1:6" x14ac:dyDescent="0.3">
      <c r="A2928" t="s">
        <v>4789</v>
      </c>
      <c r="B2928" t="s">
        <v>4790</v>
      </c>
      <c r="C2928" t="s">
        <v>1242</v>
      </c>
      <c r="D2928">
        <v>54953085</v>
      </c>
      <c r="E2928">
        <v>32.799999999999997</v>
      </c>
      <c r="F2928">
        <v>6.6</v>
      </c>
    </row>
    <row r="2929" spans="1:6" x14ac:dyDescent="0.3">
      <c r="A2929" t="s">
        <v>2986</v>
      </c>
      <c r="B2929" t="s">
        <v>3422</v>
      </c>
      <c r="C2929" t="s">
        <v>4791</v>
      </c>
      <c r="D2929">
        <v>54988894</v>
      </c>
      <c r="E2929">
        <v>22.85</v>
      </c>
      <c r="F2929">
        <v>8.16</v>
      </c>
    </row>
    <row r="2930" spans="1:6" x14ac:dyDescent="0.3">
      <c r="A2930" t="s">
        <v>4792</v>
      </c>
      <c r="B2930" t="s">
        <v>4793</v>
      </c>
      <c r="C2930" t="s">
        <v>4794</v>
      </c>
      <c r="D2930">
        <v>55002852</v>
      </c>
      <c r="E2930">
        <v>3.1</v>
      </c>
      <c r="F2930">
        <v>7.24</v>
      </c>
    </row>
    <row r="2931" spans="1:6" x14ac:dyDescent="0.3">
      <c r="A2931" t="s">
        <v>4795</v>
      </c>
      <c r="B2931" t="s">
        <v>2791</v>
      </c>
      <c r="C2931" t="s">
        <v>4796</v>
      </c>
      <c r="D2931">
        <v>55007730</v>
      </c>
      <c r="E2931">
        <v>20.11</v>
      </c>
      <c r="F2931">
        <v>6.22</v>
      </c>
    </row>
    <row r="2932" spans="1:6" x14ac:dyDescent="0.3">
      <c r="A2932" t="s">
        <v>1445</v>
      </c>
      <c r="B2932" t="s">
        <v>4797</v>
      </c>
      <c r="C2932" t="s">
        <v>4244</v>
      </c>
      <c r="D2932">
        <v>55016119</v>
      </c>
      <c r="E2932">
        <v>6.8</v>
      </c>
      <c r="F2932">
        <v>4.33</v>
      </c>
    </row>
    <row r="2933" spans="1:6" x14ac:dyDescent="0.3">
      <c r="A2933" t="s">
        <v>4798</v>
      </c>
      <c r="B2933" t="s">
        <v>4799</v>
      </c>
      <c r="C2933" t="s">
        <v>4684</v>
      </c>
      <c r="D2933">
        <v>55031309</v>
      </c>
      <c r="E2933">
        <v>6.99</v>
      </c>
      <c r="F2933">
        <v>4.67</v>
      </c>
    </row>
    <row r="2934" spans="1:6" x14ac:dyDescent="0.3">
      <c r="A2934" t="s">
        <v>4800</v>
      </c>
      <c r="B2934" t="s">
        <v>2433</v>
      </c>
      <c r="C2934" t="s">
        <v>4801</v>
      </c>
      <c r="D2934">
        <v>55035113</v>
      </c>
      <c r="E2934">
        <v>5.38</v>
      </c>
      <c r="F2934">
        <v>7</v>
      </c>
    </row>
    <row r="2935" spans="1:6" x14ac:dyDescent="0.3">
      <c r="A2935" t="s">
        <v>4802</v>
      </c>
      <c r="B2935" t="s">
        <v>3159</v>
      </c>
      <c r="C2935" t="s">
        <v>4803</v>
      </c>
      <c r="D2935">
        <v>55035551</v>
      </c>
      <c r="E2935">
        <v>2.9</v>
      </c>
      <c r="F2935">
        <v>6.39</v>
      </c>
    </row>
    <row r="2936" spans="1:6" x14ac:dyDescent="0.3">
      <c r="A2936" t="s">
        <v>4804</v>
      </c>
      <c r="B2936" t="s">
        <v>4805</v>
      </c>
      <c r="C2936" t="s">
        <v>4806</v>
      </c>
      <c r="D2936">
        <v>55060204</v>
      </c>
      <c r="E2936">
        <v>25</v>
      </c>
      <c r="F2936">
        <v>0</v>
      </c>
    </row>
    <row r="2937" spans="1:6" x14ac:dyDescent="0.3">
      <c r="A2937" t="s">
        <v>4807</v>
      </c>
      <c r="B2937" t="s">
        <v>3909</v>
      </c>
      <c r="C2937" t="s">
        <v>4808</v>
      </c>
      <c r="D2937">
        <v>55087016</v>
      </c>
      <c r="E2937">
        <v>2.75</v>
      </c>
      <c r="F2937">
        <v>6.21</v>
      </c>
    </row>
    <row r="2938" spans="1:6" x14ac:dyDescent="0.3">
      <c r="A2938" t="s">
        <v>4809</v>
      </c>
      <c r="B2938" t="s">
        <v>591</v>
      </c>
      <c r="C2938" t="s">
        <v>961</v>
      </c>
      <c r="D2938">
        <v>55089784</v>
      </c>
      <c r="E2938">
        <v>16.63</v>
      </c>
      <c r="F2938">
        <v>3.07</v>
      </c>
    </row>
    <row r="2939" spans="1:6" x14ac:dyDescent="0.3">
      <c r="A2939" t="s">
        <v>4810</v>
      </c>
      <c r="B2939" t="s">
        <v>2519</v>
      </c>
      <c r="C2939" t="s">
        <v>2441</v>
      </c>
      <c r="D2939">
        <v>55104408</v>
      </c>
      <c r="E2939">
        <v>7</v>
      </c>
      <c r="F2939">
        <v>7</v>
      </c>
    </row>
    <row r="2940" spans="1:6" x14ac:dyDescent="0.3">
      <c r="A2940" t="s">
        <v>4811</v>
      </c>
      <c r="B2940" t="s">
        <v>4812</v>
      </c>
      <c r="C2940" t="s">
        <v>4589</v>
      </c>
      <c r="D2940">
        <v>55144977</v>
      </c>
      <c r="E2940">
        <v>3.35</v>
      </c>
      <c r="F2940">
        <v>5.56</v>
      </c>
    </row>
    <row r="2941" spans="1:6" x14ac:dyDescent="0.3">
      <c r="A2941" t="s">
        <v>4813</v>
      </c>
      <c r="B2941" t="s">
        <v>4814</v>
      </c>
      <c r="C2941" t="s">
        <v>4815</v>
      </c>
      <c r="D2941">
        <v>55170588</v>
      </c>
      <c r="E2941">
        <v>3.72</v>
      </c>
      <c r="F2941">
        <v>4.87</v>
      </c>
    </row>
    <row r="2942" spans="1:6" x14ac:dyDescent="0.3">
      <c r="A2942" t="s">
        <v>4816</v>
      </c>
      <c r="B2942" t="s">
        <v>4817</v>
      </c>
      <c r="C2942" t="s">
        <v>4818</v>
      </c>
      <c r="D2942">
        <v>55184818</v>
      </c>
      <c r="E2942">
        <v>22.84</v>
      </c>
      <c r="F2942">
        <v>6.64</v>
      </c>
    </row>
    <row r="2943" spans="1:6" x14ac:dyDescent="0.3">
      <c r="A2943" t="s">
        <v>4819</v>
      </c>
      <c r="B2943" t="s">
        <v>2433</v>
      </c>
      <c r="C2943" t="s">
        <v>956</v>
      </c>
      <c r="D2943">
        <v>55211763</v>
      </c>
      <c r="E2943">
        <v>15.94</v>
      </c>
      <c r="F2943">
        <v>8.58</v>
      </c>
    </row>
    <row r="2944" spans="1:6" x14ac:dyDescent="0.3">
      <c r="A2944" t="s">
        <v>4820</v>
      </c>
      <c r="B2944" t="s">
        <v>2519</v>
      </c>
      <c r="C2944" t="s">
        <v>4821</v>
      </c>
      <c r="D2944">
        <v>55224007</v>
      </c>
      <c r="E2944">
        <v>28.11</v>
      </c>
      <c r="F2944">
        <v>7.2</v>
      </c>
    </row>
    <row r="2945" spans="1:6" x14ac:dyDescent="0.3">
      <c r="A2945" t="s">
        <v>4822</v>
      </c>
      <c r="B2945" t="s">
        <v>4561</v>
      </c>
      <c r="C2945" t="s">
        <v>2688</v>
      </c>
      <c r="D2945">
        <v>55226154</v>
      </c>
      <c r="E2945">
        <v>6.25</v>
      </c>
      <c r="F2945">
        <v>7.67</v>
      </c>
    </row>
    <row r="2946" spans="1:6" x14ac:dyDescent="0.3">
      <c r="A2946" t="s">
        <v>4823</v>
      </c>
      <c r="B2946" t="s">
        <v>3120</v>
      </c>
      <c r="C2946" t="s">
        <v>1139</v>
      </c>
      <c r="D2946">
        <v>55232307</v>
      </c>
      <c r="E2946">
        <v>8.75</v>
      </c>
      <c r="F2946">
        <v>6.29</v>
      </c>
    </row>
    <row r="2947" spans="1:6" x14ac:dyDescent="0.3">
      <c r="A2947" t="s">
        <v>4824</v>
      </c>
      <c r="B2947" t="s">
        <v>4825</v>
      </c>
      <c r="C2947" t="s">
        <v>4306</v>
      </c>
      <c r="D2947">
        <v>55251520</v>
      </c>
      <c r="E2947">
        <v>2.04</v>
      </c>
      <c r="F2947">
        <v>5.64</v>
      </c>
    </row>
    <row r="2948" spans="1:6" x14ac:dyDescent="0.3">
      <c r="A2948" t="s">
        <v>4826</v>
      </c>
      <c r="B2948" t="s">
        <v>1265</v>
      </c>
      <c r="C2948" t="s">
        <v>4827</v>
      </c>
      <c r="D2948">
        <v>55274070</v>
      </c>
      <c r="E2948">
        <v>29</v>
      </c>
      <c r="F2948">
        <v>8.3800000000000008</v>
      </c>
    </row>
    <row r="2949" spans="1:6" x14ac:dyDescent="0.3">
      <c r="A2949" t="s">
        <v>4828</v>
      </c>
      <c r="B2949" t="s">
        <v>4829</v>
      </c>
      <c r="C2949" t="s">
        <v>2810</v>
      </c>
      <c r="D2949">
        <v>55288072</v>
      </c>
      <c r="E2949">
        <v>4.63</v>
      </c>
      <c r="F2949">
        <v>5.29</v>
      </c>
    </row>
    <row r="2950" spans="1:6" x14ac:dyDescent="0.3">
      <c r="A2950" t="s">
        <v>4830</v>
      </c>
      <c r="B2950" t="s">
        <v>2791</v>
      </c>
      <c r="C2950" t="s">
        <v>4831</v>
      </c>
      <c r="D2950">
        <v>55305342</v>
      </c>
      <c r="E2950">
        <v>7.6</v>
      </c>
      <c r="F2950">
        <v>7.6</v>
      </c>
    </row>
    <row r="2951" spans="1:6" x14ac:dyDescent="0.3">
      <c r="A2951" t="s">
        <v>4832</v>
      </c>
      <c r="B2951" t="s">
        <v>4833</v>
      </c>
      <c r="C2951" t="s">
        <v>2690</v>
      </c>
      <c r="D2951">
        <v>55315073</v>
      </c>
      <c r="E2951">
        <v>6.26</v>
      </c>
      <c r="F2951">
        <v>7.45</v>
      </c>
    </row>
    <row r="2952" spans="1:6" x14ac:dyDescent="0.3">
      <c r="A2952" t="s">
        <v>2144</v>
      </c>
      <c r="B2952" t="s">
        <v>4834</v>
      </c>
      <c r="C2952" t="s">
        <v>949</v>
      </c>
      <c r="D2952">
        <v>55334106</v>
      </c>
      <c r="E2952">
        <v>21.67</v>
      </c>
      <c r="F2952">
        <v>6.33</v>
      </c>
    </row>
    <row r="2953" spans="1:6" x14ac:dyDescent="0.3">
      <c r="A2953" t="s">
        <v>4835</v>
      </c>
      <c r="B2953" t="s">
        <v>4836</v>
      </c>
      <c r="C2953" t="s">
        <v>4241</v>
      </c>
      <c r="D2953">
        <v>55351608</v>
      </c>
      <c r="E2953">
        <v>6.86</v>
      </c>
      <c r="F2953">
        <v>7.5</v>
      </c>
    </row>
    <row r="2954" spans="1:6" x14ac:dyDescent="0.3">
      <c r="A2954" t="s">
        <v>4837</v>
      </c>
      <c r="B2954" t="s">
        <v>4838</v>
      </c>
      <c r="C2954" t="s">
        <v>4839</v>
      </c>
      <c r="D2954">
        <v>55360380</v>
      </c>
      <c r="E2954">
        <v>17.829999999999998</v>
      </c>
      <c r="F2954">
        <v>7</v>
      </c>
    </row>
    <row r="2955" spans="1:6" x14ac:dyDescent="0.3">
      <c r="A2955" t="s">
        <v>4840</v>
      </c>
      <c r="B2955" t="s">
        <v>4630</v>
      </c>
      <c r="C2955" t="s">
        <v>4841</v>
      </c>
      <c r="D2955">
        <v>55363542</v>
      </c>
      <c r="E2955">
        <v>7.64</v>
      </c>
      <c r="F2955">
        <v>5</v>
      </c>
    </row>
    <row r="2956" spans="1:6" x14ac:dyDescent="0.3">
      <c r="A2956" t="s">
        <v>4842</v>
      </c>
      <c r="B2956" t="s">
        <v>4843</v>
      </c>
      <c r="C2956" t="s">
        <v>3557</v>
      </c>
      <c r="D2956">
        <v>55365970</v>
      </c>
      <c r="E2956">
        <v>8.4</v>
      </c>
      <c r="F2956">
        <v>5.67</v>
      </c>
    </row>
    <row r="2957" spans="1:6" x14ac:dyDescent="0.3">
      <c r="A2957" t="s">
        <v>4844</v>
      </c>
      <c r="B2957" t="s">
        <v>3063</v>
      </c>
      <c r="C2957" t="s">
        <v>4845</v>
      </c>
      <c r="D2957">
        <v>55380394</v>
      </c>
      <c r="E2957">
        <v>6.12</v>
      </c>
      <c r="F2957">
        <v>6.54</v>
      </c>
    </row>
    <row r="2958" spans="1:6" x14ac:dyDescent="0.3">
      <c r="A2958" t="s">
        <v>4846</v>
      </c>
      <c r="B2958" t="s">
        <v>3966</v>
      </c>
      <c r="C2958" t="s">
        <v>4847</v>
      </c>
      <c r="D2958">
        <v>55382704</v>
      </c>
      <c r="E2958">
        <v>27.67</v>
      </c>
      <c r="F2958">
        <v>7</v>
      </c>
    </row>
    <row r="2959" spans="1:6" x14ac:dyDescent="0.3">
      <c r="A2959" t="s">
        <v>4848</v>
      </c>
      <c r="B2959" t="s">
        <v>4849</v>
      </c>
      <c r="C2959" t="s">
        <v>1165</v>
      </c>
      <c r="D2959">
        <v>55385816</v>
      </c>
      <c r="E2959">
        <v>27.23</v>
      </c>
      <c r="F2959">
        <v>8.0299999999999994</v>
      </c>
    </row>
    <row r="2960" spans="1:6" x14ac:dyDescent="0.3">
      <c r="A2960" t="s">
        <v>4850</v>
      </c>
      <c r="B2960" t="s">
        <v>4851</v>
      </c>
      <c r="C2960" t="s">
        <v>4852</v>
      </c>
      <c r="D2960">
        <v>55429960</v>
      </c>
      <c r="E2960">
        <v>12.66</v>
      </c>
      <c r="F2960">
        <v>8.09</v>
      </c>
    </row>
    <row r="2961" spans="1:6" x14ac:dyDescent="0.3">
      <c r="A2961" t="s">
        <v>4853</v>
      </c>
      <c r="B2961" t="s">
        <v>4854</v>
      </c>
      <c r="C2961" t="s">
        <v>2323</v>
      </c>
      <c r="D2961">
        <v>55434075</v>
      </c>
      <c r="E2961">
        <v>17.329999999999998</v>
      </c>
      <c r="F2961">
        <v>4</v>
      </c>
    </row>
    <row r="2962" spans="1:6" x14ac:dyDescent="0.3">
      <c r="A2962" t="s">
        <v>4855</v>
      </c>
      <c r="B2962" t="s">
        <v>4432</v>
      </c>
      <c r="C2962" t="s">
        <v>3391</v>
      </c>
      <c r="D2962">
        <v>55444944</v>
      </c>
      <c r="E2962">
        <v>7.75</v>
      </c>
      <c r="F2962">
        <v>3.5</v>
      </c>
    </row>
    <row r="2963" spans="1:6" x14ac:dyDescent="0.3">
      <c r="A2963" t="s">
        <v>4856</v>
      </c>
      <c r="B2963" t="s">
        <v>4857</v>
      </c>
      <c r="C2963" t="s">
        <v>4858</v>
      </c>
      <c r="D2963">
        <v>55449531</v>
      </c>
      <c r="E2963">
        <v>6.71</v>
      </c>
      <c r="F2963">
        <v>5.17</v>
      </c>
    </row>
    <row r="2964" spans="1:6" x14ac:dyDescent="0.3">
      <c r="A2964" t="s">
        <v>4859</v>
      </c>
      <c r="B2964" t="s">
        <v>4120</v>
      </c>
      <c r="C2964" t="s">
        <v>4860</v>
      </c>
      <c r="D2964">
        <v>55454745</v>
      </c>
      <c r="E2964">
        <v>18.77</v>
      </c>
      <c r="F2964">
        <v>7.03</v>
      </c>
    </row>
    <row r="2965" spans="1:6" x14ac:dyDescent="0.3">
      <c r="A2965" t="s">
        <v>4861</v>
      </c>
      <c r="B2965" t="s">
        <v>4862</v>
      </c>
      <c r="C2965" t="s">
        <v>4863</v>
      </c>
      <c r="D2965">
        <v>55456215</v>
      </c>
      <c r="E2965">
        <v>3.38</v>
      </c>
      <c r="F2965">
        <v>5.31</v>
      </c>
    </row>
    <row r="2966" spans="1:6" x14ac:dyDescent="0.3">
      <c r="A2966" t="s">
        <v>4864</v>
      </c>
      <c r="B2966" t="s">
        <v>1513</v>
      </c>
      <c r="C2966" t="s">
        <v>4865</v>
      </c>
      <c r="D2966">
        <v>55519888</v>
      </c>
      <c r="E2966">
        <v>6.75</v>
      </c>
      <c r="F2966">
        <v>5</v>
      </c>
    </row>
    <row r="2967" spans="1:6" x14ac:dyDescent="0.3">
      <c r="A2967" t="s">
        <v>4866</v>
      </c>
      <c r="B2967" t="s">
        <v>1110</v>
      </c>
      <c r="C2967" t="s">
        <v>2110</v>
      </c>
      <c r="D2967">
        <v>55539300</v>
      </c>
      <c r="E2967">
        <v>25</v>
      </c>
      <c r="F2967">
        <v>7</v>
      </c>
    </row>
    <row r="2968" spans="1:6" x14ac:dyDescent="0.3">
      <c r="A2968" t="s">
        <v>4867</v>
      </c>
      <c r="B2968" t="s">
        <v>3243</v>
      </c>
      <c r="C2968" t="s">
        <v>3508</v>
      </c>
      <c r="D2968">
        <v>55544427</v>
      </c>
      <c r="E2968">
        <v>3.09</v>
      </c>
      <c r="F2968">
        <v>6.11</v>
      </c>
    </row>
    <row r="2969" spans="1:6" x14ac:dyDescent="0.3">
      <c r="A2969" t="s">
        <v>4868</v>
      </c>
      <c r="B2969" t="s">
        <v>3609</v>
      </c>
      <c r="C2969" t="s">
        <v>4869</v>
      </c>
      <c r="D2969">
        <v>55544668</v>
      </c>
      <c r="E2969">
        <v>2.94</v>
      </c>
      <c r="F2969">
        <v>7.29</v>
      </c>
    </row>
    <row r="2970" spans="1:6" x14ac:dyDescent="0.3">
      <c r="A2970" t="s">
        <v>4870</v>
      </c>
      <c r="B2970" t="s">
        <v>4817</v>
      </c>
      <c r="C2970" t="s">
        <v>4871</v>
      </c>
      <c r="D2970">
        <v>55547703</v>
      </c>
      <c r="E2970">
        <v>29.91</v>
      </c>
      <c r="F2970">
        <v>7.17</v>
      </c>
    </row>
    <row r="2971" spans="1:6" x14ac:dyDescent="0.3">
      <c r="A2971" t="s">
        <v>4872</v>
      </c>
      <c r="B2971" t="s">
        <v>3805</v>
      </c>
      <c r="C2971" t="s">
        <v>4873</v>
      </c>
      <c r="D2971">
        <v>55560560</v>
      </c>
      <c r="E2971">
        <v>2.66</v>
      </c>
      <c r="F2971">
        <v>6.18</v>
      </c>
    </row>
    <row r="2972" spans="1:6" x14ac:dyDescent="0.3">
      <c r="A2972" t="s">
        <v>4874</v>
      </c>
      <c r="B2972" t="s">
        <v>2387</v>
      </c>
      <c r="C2972" t="s">
        <v>4873</v>
      </c>
      <c r="D2972">
        <v>55597163</v>
      </c>
      <c r="E2972">
        <v>6.2</v>
      </c>
      <c r="F2972">
        <v>5.05</v>
      </c>
    </row>
    <row r="2973" spans="1:6" x14ac:dyDescent="0.3">
      <c r="A2973" t="s">
        <v>4875</v>
      </c>
      <c r="B2973" t="s">
        <v>4876</v>
      </c>
      <c r="C2973" t="s">
        <v>1717</v>
      </c>
      <c r="D2973">
        <v>55602420</v>
      </c>
      <c r="E2973">
        <v>5.5</v>
      </c>
      <c r="F2973">
        <v>5</v>
      </c>
    </row>
    <row r="2974" spans="1:6" x14ac:dyDescent="0.3">
      <c r="A2974" t="s">
        <v>4877</v>
      </c>
      <c r="B2974" t="s">
        <v>3538</v>
      </c>
      <c r="C2974" t="s">
        <v>3632</v>
      </c>
      <c r="D2974">
        <v>55610687</v>
      </c>
      <c r="E2974">
        <v>28.75</v>
      </c>
      <c r="F2974">
        <v>7.2</v>
      </c>
    </row>
    <row r="2975" spans="1:6" x14ac:dyDescent="0.3">
      <c r="A2975" t="s">
        <v>303</v>
      </c>
      <c r="B2975" t="s">
        <v>1554</v>
      </c>
      <c r="C2975" t="s">
        <v>4469</v>
      </c>
      <c r="D2975">
        <v>55624478</v>
      </c>
      <c r="E2975">
        <v>32</v>
      </c>
      <c r="F2975">
        <v>3.5</v>
      </c>
    </row>
    <row r="2976" spans="1:6" x14ac:dyDescent="0.3">
      <c r="A2976" t="s">
        <v>4878</v>
      </c>
      <c r="B2976" t="s">
        <v>2756</v>
      </c>
      <c r="C2976" t="s">
        <v>4879</v>
      </c>
      <c r="D2976">
        <v>55644969</v>
      </c>
      <c r="E2976">
        <v>2.09</v>
      </c>
      <c r="F2976">
        <v>7.22</v>
      </c>
    </row>
    <row r="2977" spans="1:6" x14ac:dyDescent="0.3">
      <c r="A2977" t="s">
        <v>4880</v>
      </c>
      <c r="B2977" t="s">
        <v>91</v>
      </c>
      <c r="C2977" t="s">
        <v>1018</v>
      </c>
      <c r="D2977">
        <v>55693430</v>
      </c>
      <c r="E2977">
        <v>19.28</v>
      </c>
      <c r="F2977">
        <v>5.54</v>
      </c>
    </row>
    <row r="2978" spans="1:6" x14ac:dyDescent="0.3">
      <c r="A2978" t="s">
        <v>4881</v>
      </c>
      <c r="B2978" t="s">
        <v>4078</v>
      </c>
      <c r="C2978" t="s">
        <v>4141</v>
      </c>
      <c r="D2978">
        <v>55697725</v>
      </c>
      <c r="E2978">
        <v>18.43</v>
      </c>
      <c r="F2978">
        <v>7.83</v>
      </c>
    </row>
    <row r="2979" spans="1:6" x14ac:dyDescent="0.3">
      <c r="A2979" t="s">
        <v>4882</v>
      </c>
      <c r="B2979" t="s">
        <v>4883</v>
      </c>
      <c r="C2979" t="s">
        <v>4884</v>
      </c>
      <c r="D2979">
        <v>55708041</v>
      </c>
      <c r="E2979">
        <v>16.670000000000002</v>
      </c>
      <c r="F2979">
        <v>5.67</v>
      </c>
    </row>
    <row r="2980" spans="1:6" x14ac:dyDescent="0.3">
      <c r="A2980" t="s">
        <v>4885</v>
      </c>
      <c r="B2980" t="s">
        <v>4886</v>
      </c>
      <c r="C2980" t="s">
        <v>832</v>
      </c>
      <c r="D2980">
        <v>55713351</v>
      </c>
      <c r="E2980">
        <v>10.41</v>
      </c>
      <c r="F2980">
        <v>7</v>
      </c>
    </row>
    <row r="2981" spans="1:6" x14ac:dyDescent="0.3">
      <c r="A2981" t="s">
        <v>4887</v>
      </c>
      <c r="B2981" t="s">
        <v>4078</v>
      </c>
      <c r="C2981" t="s">
        <v>4888</v>
      </c>
      <c r="D2981">
        <v>55731450</v>
      </c>
      <c r="E2981">
        <v>1.05</v>
      </c>
      <c r="F2981">
        <v>6.89</v>
      </c>
    </row>
    <row r="2982" spans="1:6" x14ac:dyDescent="0.3">
      <c r="A2982" t="s">
        <v>4889</v>
      </c>
      <c r="B2982" t="s">
        <v>4890</v>
      </c>
      <c r="C2982" t="s">
        <v>4891</v>
      </c>
      <c r="D2982">
        <v>55736079</v>
      </c>
      <c r="E2982">
        <v>3.1</v>
      </c>
      <c r="F2982">
        <v>5.73</v>
      </c>
    </row>
    <row r="2983" spans="1:6" x14ac:dyDescent="0.3">
      <c r="A2983" t="s">
        <v>4892</v>
      </c>
      <c r="B2983" t="s">
        <v>4893</v>
      </c>
      <c r="C2983" t="s">
        <v>3693</v>
      </c>
      <c r="D2983">
        <v>55784517</v>
      </c>
      <c r="E2983">
        <v>4.5999999999999996</v>
      </c>
      <c r="F2983">
        <v>6.2</v>
      </c>
    </row>
    <row r="2984" spans="1:6" x14ac:dyDescent="0.3">
      <c r="A2984" t="s">
        <v>4894</v>
      </c>
      <c r="B2984" t="s">
        <v>4730</v>
      </c>
      <c r="C2984" t="s">
        <v>2448</v>
      </c>
      <c r="D2984">
        <v>55846548</v>
      </c>
      <c r="E2984">
        <v>10.39</v>
      </c>
      <c r="F2984">
        <v>5.91</v>
      </c>
    </row>
    <row r="2985" spans="1:6" x14ac:dyDescent="0.3">
      <c r="A2985" t="s">
        <v>4895</v>
      </c>
      <c r="B2985" t="s">
        <v>4896</v>
      </c>
      <c r="C2985" t="s">
        <v>4897</v>
      </c>
      <c r="D2985">
        <v>55857657</v>
      </c>
      <c r="E2985">
        <v>6.18</v>
      </c>
      <c r="F2985">
        <v>6.5</v>
      </c>
    </row>
    <row r="2986" spans="1:6" x14ac:dyDescent="0.3">
      <c r="A2986" t="s">
        <v>4898</v>
      </c>
      <c r="B2986" t="s">
        <v>4899</v>
      </c>
      <c r="C2986" t="s">
        <v>2979</v>
      </c>
      <c r="D2986">
        <v>55885993</v>
      </c>
      <c r="E2986">
        <v>14.86</v>
      </c>
      <c r="F2986">
        <v>3.68</v>
      </c>
    </row>
    <row r="2987" spans="1:6" x14ac:dyDescent="0.3">
      <c r="A2987" t="s">
        <v>4900</v>
      </c>
      <c r="B2987" t="s">
        <v>3452</v>
      </c>
      <c r="C2987" t="s">
        <v>4351</v>
      </c>
      <c r="D2987">
        <v>55932541</v>
      </c>
      <c r="E2987">
        <v>9</v>
      </c>
      <c r="F2987">
        <v>7.2</v>
      </c>
    </row>
    <row r="2988" spans="1:6" x14ac:dyDescent="0.3">
      <c r="A2988" t="s">
        <v>4901</v>
      </c>
      <c r="B2988" t="s">
        <v>4044</v>
      </c>
      <c r="C2988" t="s">
        <v>4902</v>
      </c>
      <c r="D2988">
        <v>55934842</v>
      </c>
      <c r="E2988">
        <v>6</v>
      </c>
      <c r="F2988">
        <v>5.8</v>
      </c>
    </row>
    <row r="2989" spans="1:6" x14ac:dyDescent="0.3">
      <c r="A2989" t="s">
        <v>4903</v>
      </c>
      <c r="B2989" t="s">
        <v>2409</v>
      </c>
      <c r="C2989" t="s">
        <v>792</v>
      </c>
      <c r="D2989">
        <v>55955642</v>
      </c>
      <c r="E2989">
        <v>22</v>
      </c>
      <c r="F2989">
        <v>4.5</v>
      </c>
    </row>
    <row r="2990" spans="1:6" x14ac:dyDescent="0.3">
      <c r="A2990" t="s">
        <v>4904</v>
      </c>
      <c r="B2990" t="s">
        <v>2166</v>
      </c>
      <c r="C2990" t="s">
        <v>2323</v>
      </c>
      <c r="D2990">
        <v>55962849</v>
      </c>
      <c r="E2990">
        <v>23.67</v>
      </c>
      <c r="F2990">
        <v>5.5</v>
      </c>
    </row>
    <row r="2991" spans="1:6" x14ac:dyDescent="0.3">
      <c r="A2991" t="s">
        <v>4905</v>
      </c>
      <c r="B2991" t="s">
        <v>3181</v>
      </c>
      <c r="C2991" t="s">
        <v>4888</v>
      </c>
      <c r="D2991">
        <v>55970962</v>
      </c>
      <c r="E2991">
        <v>7</v>
      </c>
      <c r="F2991">
        <v>7.18</v>
      </c>
    </row>
    <row r="2992" spans="1:6" x14ac:dyDescent="0.3">
      <c r="A2992" t="s">
        <v>592</v>
      </c>
      <c r="B2992" t="s">
        <v>2999</v>
      </c>
      <c r="C2992" t="s">
        <v>1012</v>
      </c>
      <c r="D2992">
        <v>55974286</v>
      </c>
      <c r="E2992">
        <v>6.6</v>
      </c>
      <c r="F2992">
        <v>7</v>
      </c>
    </row>
    <row r="2993" spans="1:6" x14ac:dyDescent="0.3">
      <c r="A2993" t="s">
        <v>4906</v>
      </c>
      <c r="B2993" t="s">
        <v>4413</v>
      </c>
      <c r="C2993" t="s">
        <v>4907</v>
      </c>
      <c r="D2993">
        <v>55985772</v>
      </c>
      <c r="E2993">
        <v>21.06</v>
      </c>
      <c r="F2993">
        <v>4.03</v>
      </c>
    </row>
    <row r="2994" spans="1:6" x14ac:dyDescent="0.3">
      <c r="A2994" t="s">
        <v>4908</v>
      </c>
      <c r="B2994" t="s">
        <v>3212</v>
      </c>
      <c r="C2994" t="s">
        <v>4909</v>
      </c>
      <c r="D2994">
        <v>55989136</v>
      </c>
      <c r="E2994">
        <v>4.2699999999999996</v>
      </c>
      <c r="F2994">
        <v>6.03</v>
      </c>
    </row>
    <row r="2995" spans="1:6" x14ac:dyDescent="0.3">
      <c r="A2995" t="s">
        <v>4910</v>
      </c>
      <c r="B2995" t="s">
        <v>4911</v>
      </c>
      <c r="C2995" t="s">
        <v>4796</v>
      </c>
      <c r="D2995">
        <v>56013584</v>
      </c>
      <c r="E2995">
        <v>4</v>
      </c>
      <c r="F2995">
        <v>6.6</v>
      </c>
    </row>
    <row r="2996" spans="1:6" x14ac:dyDescent="0.3">
      <c r="A2996" t="s">
        <v>4912</v>
      </c>
      <c r="B2996" t="s">
        <v>4913</v>
      </c>
      <c r="C2996" t="s">
        <v>1263</v>
      </c>
      <c r="D2996">
        <v>56089152</v>
      </c>
      <c r="E2996">
        <v>16.5</v>
      </c>
      <c r="F2996">
        <v>5.5</v>
      </c>
    </row>
    <row r="2997" spans="1:6" x14ac:dyDescent="0.3">
      <c r="A2997" t="s">
        <v>4914</v>
      </c>
      <c r="B2997" t="s">
        <v>1584</v>
      </c>
      <c r="C2997" t="s">
        <v>3291</v>
      </c>
      <c r="D2997">
        <v>56089612</v>
      </c>
      <c r="E2997">
        <v>21.17</v>
      </c>
      <c r="F2997">
        <v>7.48</v>
      </c>
    </row>
    <row r="2998" spans="1:6" x14ac:dyDescent="0.3">
      <c r="A2998" t="s">
        <v>4915</v>
      </c>
      <c r="B2998" t="s">
        <v>3041</v>
      </c>
      <c r="C2998" t="s">
        <v>4916</v>
      </c>
      <c r="D2998">
        <v>56103094</v>
      </c>
      <c r="E2998">
        <v>6.2</v>
      </c>
      <c r="F2998">
        <v>7.22</v>
      </c>
    </row>
    <row r="2999" spans="1:6" x14ac:dyDescent="0.3">
      <c r="A2999" t="s">
        <v>4917</v>
      </c>
      <c r="B2999" t="s">
        <v>4918</v>
      </c>
      <c r="C2999" t="s">
        <v>4288</v>
      </c>
      <c r="D2999">
        <v>56105461</v>
      </c>
      <c r="E2999">
        <v>16.8</v>
      </c>
      <c r="F2999">
        <v>7.25</v>
      </c>
    </row>
    <row r="3000" spans="1:6" x14ac:dyDescent="0.3">
      <c r="A3000" t="s">
        <v>4919</v>
      </c>
      <c r="B3000" t="s">
        <v>4920</v>
      </c>
      <c r="C3000" t="s">
        <v>4921</v>
      </c>
      <c r="D3000">
        <v>56117945</v>
      </c>
      <c r="E3000">
        <v>6.33</v>
      </c>
      <c r="F3000">
        <v>6.67</v>
      </c>
    </row>
    <row r="3001" spans="1:6" x14ac:dyDescent="0.3">
      <c r="A3001" t="s">
        <v>4922</v>
      </c>
      <c r="B3001" t="s">
        <v>4923</v>
      </c>
      <c r="C3001" t="s">
        <v>4519</v>
      </c>
      <c r="D3001">
        <v>56172558</v>
      </c>
      <c r="E3001">
        <v>13.51</v>
      </c>
      <c r="F3001">
        <v>7</v>
      </c>
    </row>
    <row r="3002" spans="1:6" x14ac:dyDescent="0.3">
      <c r="A3002" t="s">
        <v>4924</v>
      </c>
      <c r="B3002" t="s">
        <v>4925</v>
      </c>
      <c r="C3002" t="s">
        <v>3884</v>
      </c>
      <c r="D3002">
        <v>56182442</v>
      </c>
      <c r="E3002">
        <v>15.6</v>
      </c>
      <c r="F3002">
        <v>7.75</v>
      </c>
    </row>
    <row r="3003" spans="1:6" x14ac:dyDescent="0.3">
      <c r="A3003" t="s">
        <v>4926</v>
      </c>
      <c r="B3003" t="s">
        <v>4927</v>
      </c>
      <c r="C3003" t="s">
        <v>1481</v>
      </c>
      <c r="D3003">
        <v>56183480</v>
      </c>
      <c r="E3003">
        <v>4.25</v>
      </c>
      <c r="F3003">
        <v>5.76</v>
      </c>
    </row>
    <row r="3004" spans="1:6" x14ac:dyDescent="0.3">
      <c r="A3004" t="s">
        <v>4928</v>
      </c>
      <c r="B3004" t="s">
        <v>4876</v>
      </c>
      <c r="C3004" t="s">
        <v>2004</v>
      </c>
      <c r="D3004">
        <v>56196078</v>
      </c>
      <c r="E3004">
        <v>2.2999999999999998</v>
      </c>
      <c r="F3004">
        <v>5.57</v>
      </c>
    </row>
    <row r="3005" spans="1:6" x14ac:dyDescent="0.3">
      <c r="A3005" t="s">
        <v>4929</v>
      </c>
      <c r="B3005" t="s">
        <v>4930</v>
      </c>
      <c r="C3005" t="s">
        <v>3291</v>
      </c>
      <c r="D3005">
        <v>56196633</v>
      </c>
      <c r="E3005">
        <v>4.88</v>
      </c>
      <c r="F3005">
        <v>6.33</v>
      </c>
    </row>
    <row r="3006" spans="1:6" x14ac:dyDescent="0.3">
      <c r="A3006" t="s">
        <v>4931</v>
      </c>
      <c r="B3006" t="s">
        <v>3832</v>
      </c>
      <c r="C3006" t="s">
        <v>4624</v>
      </c>
      <c r="D3006">
        <v>56210242</v>
      </c>
      <c r="E3006">
        <v>1.05</v>
      </c>
      <c r="F3006">
        <v>7.16</v>
      </c>
    </row>
    <row r="3007" spans="1:6" x14ac:dyDescent="0.3">
      <c r="A3007" t="s">
        <v>4932</v>
      </c>
      <c r="B3007" t="s">
        <v>4171</v>
      </c>
      <c r="C3007" t="s">
        <v>4244</v>
      </c>
      <c r="D3007">
        <v>56224755</v>
      </c>
      <c r="E3007">
        <v>6.67</v>
      </c>
      <c r="F3007">
        <v>4.5</v>
      </c>
    </row>
    <row r="3008" spans="1:6" x14ac:dyDescent="0.3">
      <c r="A3008" t="s">
        <v>4933</v>
      </c>
      <c r="B3008" t="s">
        <v>4934</v>
      </c>
      <c r="C3008" t="s">
        <v>2049</v>
      </c>
      <c r="D3008">
        <v>56250138</v>
      </c>
      <c r="E3008">
        <v>3.6</v>
      </c>
      <c r="F3008">
        <v>6.75</v>
      </c>
    </row>
    <row r="3009" spans="1:6" x14ac:dyDescent="0.3">
      <c r="A3009" t="s">
        <v>4935</v>
      </c>
      <c r="B3009" t="s">
        <v>4936</v>
      </c>
      <c r="C3009" t="s">
        <v>4937</v>
      </c>
      <c r="D3009">
        <v>56262419</v>
      </c>
      <c r="E3009">
        <v>7.01</v>
      </c>
      <c r="F3009">
        <v>7.03</v>
      </c>
    </row>
    <row r="3010" spans="1:6" x14ac:dyDescent="0.3">
      <c r="A3010" t="s">
        <v>4938</v>
      </c>
      <c r="B3010" t="s">
        <v>2433</v>
      </c>
      <c r="C3010" t="s">
        <v>780</v>
      </c>
      <c r="D3010">
        <v>56263819</v>
      </c>
      <c r="E3010">
        <v>16.600000000000001</v>
      </c>
      <c r="F3010">
        <v>5.25</v>
      </c>
    </row>
    <row r="3011" spans="1:6" x14ac:dyDescent="0.3">
      <c r="A3011" t="s">
        <v>4939</v>
      </c>
      <c r="B3011" t="s">
        <v>3739</v>
      </c>
      <c r="C3011" t="s">
        <v>782</v>
      </c>
      <c r="D3011">
        <v>56283849</v>
      </c>
      <c r="E3011">
        <v>2.8</v>
      </c>
      <c r="F3011">
        <v>7.05</v>
      </c>
    </row>
    <row r="3012" spans="1:6" x14ac:dyDescent="0.3">
      <c r="A3012" t="s">
        <v>4940</v>
      </c>
      <c r="B3012" t="s">
        <v>4305</v>
      </c>
      <c r="C3012" t="s">
        <v>4940</v>
      </c>
      <c r="D3012">
        <v>56302791</v>
      </c>
      <c r="E3012">
        <v>1.21</v>
      </c>
      <c r="F3012">
        <v>7.08</v>
      </c>
    </row>
    <row r="3013" spans="1:6" x14ac:dyDescent="0.3">
      <c r="A3013" t="s">
        <v>4941</v>
      </c>
      <c r="B3013" t="s">
        <v>3803</v>
      </c>
      <c r="C3013" t="s">
        <v>4942</v>
      </c>
      <c r="D3013">
        <v>56304685</v>
      </c>
      <c r="E3013">
        <v>2.87</v>
      </c>
      <c r="F3013">
        <v>6.29</v>
      </c>
    </row>
    <row r="3014" spans="1:6" x14ac:dyDescent="0.3">
      <c r="A3014" t="s">
        <v>4943</v>
      </c>
      <c r="B3014" t="s">
        <v>4944</v>
      </c>
      <c r="C3014" t="s">
        <v>3149</v>
      </c>
      <c r="D3014">
        <v>56314561</v>
      </c>
      <c r="E3014">
        <v>15</v>
      </c>
      <c r="F3014">
        <v>6</v>
      </c>
    </row>
    <row r="3015" spans="1:6" x14ac:dyDescent="0.3">
      <c r="A3015" t="s">
        <v>4945</v>
      </c>
      <c r="B3015" t="s">
        <v>1899</v>
      </c>
      <c r="C3015" t="s">
        <v>1752</v>
      </c>
      <c r="D3015">
        <v>56321250</v>
      </c>
      <c r="E3015">
        <v>4.7300000000000004</v>
      </c>
      <c r="F3015">
        <v>6</v>
      </c>
    </row>
    <row r="3016" spans="1:6" x14ac:dyDescent="0.3">
      <c r="A3016" t="s">
        <v>4946</v>
      </c>
      <c r="B3016" t="s">
        <v>4395</v>
      </c>
      <c r="C3016" t="s">
        <v>2581</v>
      </c>
      <c r="D3016">
        <v>56321709</v>
      </c>
      <c r="E3016">
        <v>23.14</v>
      </c>
      <c r="F3016">
        <v>6.2</v>
      </c>
    </row>
    <row r="3017" spans="1:6" x14ac:dyDescent="0.3">
      <c r="A3017" t="s">
        <v>4947</v>
      </c>
      <c r="B3017" t="s">
        <v>4948</v>
      </c>
      <c r="C3017" t="s">
        <v>4949</v>
      </c>
      <c r="D3017">
        <v>56324155</v>
      </c>
      <c r="E3017">
        <v>2.92</v>
      </c>
      <c r="F3017">
        <v>6.59</v>
      </c>
    </row>
    <row r="3018" spans="1:6" x14ac:dyDescent="0.3">
      <c r="A3018" t="s">
        <v>4950</v>
      </c>
      <c r="B3018" t="s">
        <v>4044</v>
      </c>
      <c r="C3018" t="s">
        <v>4951</v>
      </c>
      <c r="D3018">
        <v>56335633</v>
      </c>
      <c r="E3018">
        <v>7.33</v>
      </c>
      <c r="F3018">
        <v>7</v>
      </c>
    </row>
    <row r="3019" spans="1:6" x14ac:dyDescent="0.3">
      <c r="A3019" t="s">
        <v>4952</v>
      </c>
      <c r="B3019" t="s">
        <v>4115</v>
      </c>
      <c r="C3019" t="s">
        <v>2443</v>
      </c>
      <c r="D3019">
        <v>56336014</v>
      </c>
      <c r="E3019">
        <v>12.03</v>
      </c>
      <c r="F3019">
        <v>7</v>
      </c>
    </row>
    <row r="3020" spans="1:6" x14ac:dyDescent="0.3">
      <c r="A3020" t="s">
        <v>4953</v>
      </c>
      <c r="B3020" t="s">
        <v>2032</v>
      </c>
      <c r="C3020" t="s">
        <v>4954</v>
      </c>
      <c r="D3020">
        <v>56360200</v>
      </c>
      <c r="E3020">
        <v>3.23</v>
      </c>
      <c r="F3020">
        <v>7.06</v>
      </c>
    </row>
    <row r="3021" spans="1:6" x14ac:dyDescent="0.3">
      <c r="A3021" t="s">
        <v>4955</v>
      </c>
      <c r="B3021" t="s">
        <v>4956</v>
      </c>
      <c r="C3021" t="s">
        <v>741</v>
      </c>
      <c r="D3021">
        <v>56369328</v>
      </c>
      <c r="E3021">
        <v>3.12</v>
      </c>
      <c r="F3021">
        <v>6.44</v>
      </c>
    </row>
    <row r="3022" spans="1:6" x14ac:dyDescent="0.3">
      <c r="A3022" t="s">
        <v>4957</v>
      </c>
      <c r="B3022" t="s">
        <v>4958</v>
      </c>
      <c r="C3022" t="s">
        <v>4959</v>
      </c>
      <c r="D3022">
        <v>56369889</v>
      </c>
      <c r="E3022">
        <v>8.75</v>
      </c>
      <c r="F3022">
        <v>5.57</v>
      </c>
    </row>
    <row r="3023" spans="1:6" x14ac:dyDescent="0.3">
      <c r="A3023" t="s">
        <v>3249</v>
      </c>
      <c r="B3023" t="s">
        <v>4960</v>
      </c>
      <c r="C3023" t="s">
        <v>3250</v>
      </c>
      <c r="D3023">
        <v>56379757</v>
      </c>
      <c r="E3023">
        <v>11.83</v>
      </c>
      <c r="F3023">
        <v>5.17</v>
      </c>
    </row>
    <row r="3024" spans="1:6" x14ac:dyDescent="0.3">
      <c r="A3024" t="s">
        <v>4961</v>
      </c>
      <c r="B3024" t="s">
        <v>4962</v>
      </c>
      <c r="C3024" t="s">
        <v>2335</v>
      </c>
      <c r="D3024">
        <v>56383323</v>
      </c>
      <c r="E3024">
        <v>8.6</v>
      </c>
      <c r="F3024">
        <v>2.75</v>
      </c>
    </row>
    <row r="3025" spans="1:6" x14ac:dyDescent="0.3">
      <c r="A3025" t="s">
        <v>4963</v>
      </c>
      <c r="B3025" t="s">
        <v>4159</v>
      </c>
      <c r="C3025" t="s">
        <v>4964</v>
      </c>
      <c r="D3025">
        <v>56386701</v>
      </c>
      <c r="E3025">
        <v>10.63</v>
      </c>
      <c r="F3025">
        <v>5.67</v>
      </c>
    </row>
    <row r="3026" spans="1:6" x14ac:dyDescent="0.3">
      <c r="A3026" t="s">
        <v>4965</v>
      </c>
      <c r="B3026" t="s">
        <v>4966</v>
      </c>
      <c r="C3026" t="s">
        <v>893</v>
      </c>
      <c r="D3026">
        <v>56427638</v>
      </c>
      <c r="E3026">
        <v>3.64</v>
      </c>
      <c r="F3026">
        <v>7.24</v>
      </c>
    </row>
    <row r="3027" spans="1:6" x14ac:dyDescent="0.3">
      <c r="A3027" t="s">
        <v>4967</v>
      </c>
      <c r="B3027" t="s">
        <v>4968</v>
      </c>
      <c r="C3027" t="s">
        <v>4131</v>
      </c>
      <c r="D3027">
        <v>56442165</v>
      </c>
      <c r="E3027">
        <v>9.2899999999999991</v>
      </c>
      <c r="F3027">
        <v>6.5</v>
      </c>
    </row>
    <row r="3028" spans="1:6" x14ac:dyDescent="0.3">
      <c r="A3028" t="s">
        <v>4969</v>
      </c>
      <c r="B3028" t="s">
        <v>4578</v>
      </c>
      <c r="C3028" t="s">
        <v>3687</v>
      </c>
      <c r="D3028">
        <v>56455318</v>
      </c>
      <c r="E3028">
        <v>1.94</v>
      </c>
      <c r="F3028">
        <v>7.82</v>
      </c>
    </row>
    <row r="3029" spans="1:6" x14ac:dyDescent="0.3">
      <c r="A3029" t="s">
        <v>4970</v>
      </c>
      <c r="B3029" t="s">
        <v>4971</v>
      </c>
      <c r="C3029" t="s">
        <v>4972</v>
      </c>
      <c r="D3029">
        <v>56455999</v>
      </c>
      <c r="E3029">
        <v>2.14</v>
      </c>
      <c r="F3029">
        <v>7.19</v>
      </c>
    </row>
    <row r="3030" spans="1:6" x14ac:dyDescent="0.3">
      <c r="A3030" t="s">
        <v>4973</v>
      </c>
      <c r="B3030" t="s">
        <v>3820</v>
      </c>
      <c r="C3030" t="s">
        <v>4974</v>
      </c>
      <c r="D3030">
        <v>56460850</v>
      </c>
      <c r="E3030">
        <v>24.05</v>
      </c>
      <c r="F3030">
        <v>8.82</v>
      </c>
    </row>
    <row r="3031" spans="1:6" x14ac:dyDescent="0.3">
      <c r="A3031" t="s">
        <v>4975</v>
      </c>
      <c r="B3031" t="s">
        <v>4976</v>
      </c>
      <c r="C3031" t="s">
        <v>4283</v>
      </c>
      <c r="D3031">
        <v>56465633</v>
      </c>
      <c r="E3031">
        <v>2.66</v>
      </c>
      <c r="F3031">
        <v>7.36</v>
      </c>
    </row>
    <row r="3032" spans="1:6" x14ac:dyDescent="0.3">
      <c r="A3032" t="s">
        <v>4977</v>
      </c>
      <c r="B3032" t="s">
        <v>4978</v>
      </c>
      <c r="C3032" t="s">
        <v>4979</v>
      </c>
      <c r="D3032">
        <v>56466338</v>
      </c>
      <c r="E3032">
        <v>5.67</v>
      </c>
      <c r="F3032">
        <v>4</v>
      </c>
    </row>
    <row r="3033" spans="1:6" x14ac:dyDescent="0.3">
      <c r="A3033" t="s">
        <v>4980</v>
      </c>
      <c r="B3033" t="s">
        <v>2133</v>
      </c>
      <c r="C3033" t="s">
        <v>4981</v>
      </c>
      <c r="D3033">
        <v>56474020</v>
      </c>
      <c r="E3033">
        <v>4.46</v>
      </c>
      <c r="F3033">
        <v>7.61</v>
      </c>
    </row>
    <row r="3034" spans="1:6" x14ac:dyDescent="0.3">
      <c r="A3034" t="s">
        <v>4982</v>
      </c>
      <c r="B3034" t="s">
        <v>2387</v>
      </c>
      <c r="C3034" t="s">
        <v>4940</v>
      </c>
      <c r="D3034">
        <v>56474414</v>
      </c>
      <c r="E3034">
        <v>1.98</v>
      </c>
      <c r="F3034">
        <v>6.94</v>
      </c>
    </row>
    <row r="3035" spans="1:6" x14ac:dyDescent="0.3">
      <c r="A3035" t="s">
        <v>4983</v>
      </c>
      <c r="B3035" t="s">
        <v>4984</v>
      </c>
      <c r="C3035" t="s">
        <v>2051</v>
      </c>
      <c r="D3035">
        <v>56490361</v>
      </c>
      <c r="E3035">
        <v>6.33</v>
      </c>
      <c r="F3035">
        <v>8.43</v>
      </c>
    </row>
    <row r="3036" spans="1:6" x14ac:dyDescent="0.3">
      <c r="A3036" t="s">
        <v>4985</v>
      </c>
      <c r="B3036" t="s">
        <v>463</v>
      </c>
      <c r="C3036" t="s">
        <v>4986</v>
      </c>
      <c r="D3036">
        <v>56509088</v>
      </c>
      <c r="E3036">
        <v>13.73</v>
      </c>
      <c r="F3036">
        <v>5.72</v>
      </c>
    </row>
    <row r="3037" spans="1:6" x14ac:dyDescent="0.3">
      <c r="A3037" t="s">
        <v>4987</v>
      </c>
      <c r="B3037" t="s">
        <v>4988</v>
      </c>
      <c r="C3037" t="s">
        <v>2112</v>
      </c>
      <c r="D3037">
        <v>56513569</v>
      </c>
      <c r="E3037">
        <v>4.0599999999999996</v>
      </c>
      <c r="F3037">
        <v>6.25</v>
      </c>
    </row>
    <row r="3038" spans="1:6" x14ac:dyDescent="0.3">
      <c r="A3038" t="s">
        <v>4989</v>
      </c>
      <c r="B3038" t="s">
        <v>4990</v>
      </c>
      <c r="C3038" t="s">
        <v>4991</v>
      </c>
      <c r="D3038">
        <v>56535865</v>
      </c>
      <c r="E3038">
        <v>11.4</v>
      </c>
      <c r="F3038">
        <v>7.5</v>
      </c>
    </row>
    <row r="3039" spans="1:6" x14ac:dyDescent="0.3">
      <c r="A3039">
        <v>2090</v>
      </c>
      <c r="B3039" t="s">
        <v>4992</v>
      </c>
      <c r="C3039" t="s">
        <v>4993</v>
      </c>
      <c r="D3039">
        <v>56545877</v>
      </c>
      <c r="E3039">
        <v>9.66</v>
      </c>
      <c r="F3039">
        <v>4.5</v>
      </c>
    </row>
    <row r="3040" spans="1:6" x14ac:dyDescent="0.3">
      <c r="A3040" t="s">
        <v>4994</v>
      </c>
      <c r="B3040" t="s">
        <v>4995</v>
      </c>
      <c r="C3040" t="s">
        <v>3266</v>
      </c>
      <c r="D3040">
        <v>56549533</v>
      </c>
      <c r="E3040">
        <v>15.4</v>
      </c>
      <c r="F3040">
        <v>3.85</v>
      </c>
    </row>
    <row r="3041" spans="1:6" x14ac:dyDescent="0.3">
      <c r="A3041" t="s">
        <v>4996</v>
      </c>
      <c r="B3041" t="s">
        <v>4997</v>
      </c>
      <c r="C3041" t="s">
        <v>4998</v>
      </c>
      <c r="D3041">
        <v>56568010</v>
      </c>
      <c r="E3041">
        <v>15.68</v>
      </c>
      <c r="F3041">
        <v>7.73</v>
      </c>
    </row>
    <row r="3042" spans="1:6" x14ac:dyDescent="0.3">
      <c r="A3042" t="s">
        <v>4999</v>
      </c>
      <c r="B3042" t="s">
        <v>3741</v>
      </c>
      <c r="C3042" t="s">
        <v>5000</v>
      </c>
      <c r="D3042">
        <v>56570105</v>
      </c>
      <c r="E3042">
        <v>2.0099999999999998</v>
      </c>
      <c r="F3042">
        <v>7.39</v>
      </c>
    </row>
    <row r="3043" spans="1:6" x14ac:dyDescent="0.3">
      <c r="A3043" t="s">
        <v>5001</v>
      </c>
      <c r="B3043" t="s">
        <v>2433</v>
      </c>
      <c r="C3043" t="s">
        <v>2304</v>
      </c>
      <c r="D3043">
        <v>56570421</v>
      </c>
      <c r="E3043">
        <v>4</v>
      </c>
      <c r="F3043">
        <v>7.5</v>
      </c>
    </row>
    <row r="3044" spans="1:6" x14ac:dyDescent="0.3">
      <c r="A3044" t="s">
        <v>5002</v>
      </c>
      <c r="B3044" t="s">
        <v>4044</v>
      </c>
      <c r="C3044" t="s">
        <v>5003</v>
      </c>
      <c r="D3044">
        <v>56570555</v>
      </c>
      <c r="E3044">
        <v>3.56</v>
      </c>
      <c r="F3044">
        <v>6.38</v>
      </c>
    </row>
    <row r="3045" spans="1:6" x14ac:dyDescent="0.3">
      <c r="A3045" t="s">
        <v>5004</v>
      </c>
      <c r="B3045" t="s">
        <v>4483</v>
      </c>
      <c r="C3045" t="s">
        <v>4416</v>
      </c>
      <c r="D3045">
        <v>56579006</v>
      </c>
      <c r="E3045">
        <v>2.84</v>
      </c>
      <c r="F3045">
        <v>6.89</v>
      </c>
    </row>
    <row r="3046" spans="1:6" x14ac:dyDescent="0.3">
      <c r="A3046" t="s">
        <v>5005</v>
      </c>
      <c r="B3046" t="s">
        <v>5006</v>
      </c>
      <c r="C3046" t="s">
        <v>1495</v>
      </c>
      <c r="D3046">
        <v>56587109</v>
      </c>
      <c r="E3046">
        <v>1.1399999999999999</v>
      </c>
      <c r="F3046">
        <v>7.29</v>
      </c>
    </row>
    <row r="3047" spans="1:6" x14ac:dyDescent="0.3">
      <c r="A3047" t="s">
        <v>5007</v>
      </c>
      <c r="B3047" t="s">
        <v>5008</v>
      </c>
      <c r="C3047" t="s">
        <v>4672</v>
      </c>
      <c r="D3047">
        <v>56596305</v>
      </c>
      <c r="E3047">
        <v>8.5</v>
      </c>
      <c r="F3047">
        <v>4.33</v>
      </c>
    </row>
    <row r="3048" spans="1:6" x14ac:dyDescent="0.3">
      <c r="A3048" t="s">
        <v>5009</v>
      </c>
      <c r="B3048" t="s">
        <v>2205</v>
      </c>
      <c r="C3048" t="s">
        <v>5010</v>
      </c>
      <c r="D3048">
        <v>56602088</v>
      </c>
      <c r="E3048">
        <v>11.77</v>
      </c>
      <c r="F3048">
        <v>8.33</v>
      </c>
    </row>
    <row r="3049" spans="1:6" x14ac:dyDescent="0.3">
      <c r="A3049" t="s">
        <v>5011</v>
      </c>
      <c r="B3049" t="s">
        <v>5012</v>
      </c>
      <c r="C3049" t="s">
        <v>4131</v>
      </c>
      <c r="D3049">
        <v>56612674</v>
      </c>
      <c r="E3049">
        <v>3</v>
      </c>
      <c r="F3049">
        <v>4.71</v>
      </c>
    </row>
    <row r="3050" spans="1:6" x14ac:dyDescent="0.3">
      <c r="A3050" t="s">
        <v>5013</v>
      </c>
      <c r="B3050" t="s">
        <v>5014</v>
      </c>
      <c r="C3050" t="s">
        <v>2282</v>
      </c>
      <c r="D3050">
        <v>56617037</v>
      </c>
      <c r="E3050">
        <v>2.87</v>
      </c>
      <c r="F3050">
        <v>6.94</v>
      </c>
    </row>
    <row r="3051" spans="1:6" x14ac:dyDescent="0.3">
      <c r="A3051" t="s">
        <v>5015</v>
      </c>
      <c r="B3051" t="s">
        <v>3283</v>
      </c>
      <c r="C3051" t="s">
        <v>5016</v>
      </c>
      <c r="D3051">
        <v>56625181</v>
      </c>
      <c r="E3051">
        <v>2.85</v>
      </c>
      <c r="F3051">
        <v>6.56</v>
      </c>
    </row>
    <row r="3052" spans="1:6" x14ac:dyDescent="0.3">
      <c r="A3052" t="s">
        <v>5017</v>
      </c>
      <c r="B3052" t="s">
        <v>2843</v>
      </c>
      <c r="C3052" t="s">
        <v>5018</v>
      </c>
      <c r="D3052">
        <v>56640753</v>
      </c>
      <c r="E3052">
        <v>14.22</v>
      </c>
      <c r="F3052">
        <v>8.0500000000000007</v>
      </c>
    </row>
    <row r="3053" spans="1:6" x14ac:dyDescent="0.3">
      <c r="A3053" t="s">
        <v>5019</v>
      </c>
      <c r="B3053" t="s">
        <v>3585</v>
      </c>
      <c r="C3053" t="s">
        <v>1205</v>
      </c>
      <c r="D3053">
        <v>56673947</v>
      </c>
      <c r="E3053">
        <v>3.46</v>
      </c>
      <c r="F3053">
        <v>6.16</v>
      </c>
    </row>
    <row r="3054" spans="1:6" x14ac:dyDescent="0.3">
      <c r="A3054" t="s">
        <v>5020</v>
      </c>
      <c r="B3054" t="s">
        <v>3125</v>
      </c>
      <c r="C3054" t="s">
        <v>4744</v>
      </c>
      <c r="D3054">
        <v>56677657</v>
      </c>
      <c r="E3054">
        <v>16.670000000000002</v>
      </c>
      <c r="F3054">
        <v>7.88</v>
      </c>
    </row>
    <row r="3055" spans="1:6" x14ac:dyDescent="0.3">
      <c r="A3055" t="s">
        <v>5021</v>
      </c>
      <c r="B3055" t="s">
        <v>5022</v>
      </c>
      <c r="C3055" t="s">
        <v>4949</v>
      </c>
      <c r="D3055">
        <v>56687274</v>
      </c>
      <c r="E3055">
        <v>1.72</v>
      </c>
      <c r="F3055">
        <v>6.57</v>
      </c>
    </row>
    <row r="3056" spans="1:6" x14ac:dyDescent="0.3">
      <c r="A3056" t="s">
        <v>5023</v>
      </c>
      <c r="B3056" t="s">
        <v>5024</v>
      </c>
      <c r="C3056" t="s">
        <v>5025</v>
      </c>
      <c r="D3056">
        <v>56695728</v>
      </c>
      <c r="E3056">
        <v>13.67</v>
      </c>
      <c r="F3056">
        <v>7.57</v>
      </c>
    </row>
    <row r="3057" spans="1:6" x14ac:dyDescent="0.3">
      <c r="A3057" t="s">
        <v>5026</v>
      </c>
      <c r="B3057" t="s">
        <v>463</v>
      </c>
      <c r="C3057" t="s">
        <v>5027</v>
      </c>
      <c r="D3057">
        <v>56703691</v>
      </c>
      <c r="E3057">
        <v>31.96</v>
      </c>
      <c r="F3057">
        <v>6.25</v>
      </c>
    </row>
    <row r="3058" spans="1:6" x14ac:dyDescent="0.3">
      <c r="A3058" t="s">
        <v>5028</v>
      </c>
      <c r="B3058" t="s">
        <v>2398</v>
      </c>
      <c r="C3058" t="s">
        <v>5029</v>
      </c>
      <c r="D3058">
        <v>56712351</v>
      </c>
      <c r="E3058">
        <v>12.08</v>
      </c>
      <c r="F3058">
        <v>6.7</v>
      </c>
    </row>
    <row r="3059" spans="1:6" x14ac:dyDescent="0.3">
      <c r="A3059" t="s">
        <v>5030</v>
      </c>
      <c r="B3059" t="s">
        <v>5031</v>
      </c>
      <c r="C3059" t="s">
        <v>5032</v>
      </c>
      <c r="D3059">
        <v>56726218</v>
      </c>
      <c r="E3059">
        <v>3.66</v>
      </c>
      <c r="F3059">
        <v>8.07</v>
      </c>
    </row>
    <row r="3060" spans="1:6" x14ac:dyDescent="0.3">
      <c r="A3060" t="s">
        <v>5033</v>
      </c>
      <c r="B3060" t="s">
        <v>5034</v>
      </c>
      <c r="C3060" t="s">
        <v>4737</v>
      </c>
      <c r="D3060">
        <v>56731069</v>
      </c>
      <c r="E3060">
        <v>3.06</v>
      </c>
      <c r="F3060">
        <v>4.58</v>
      </c>
    </row>
    <row r="3061" spans="1:6" x14ac:dyDescent="0.3">
      <c r="A3061" t="s">
        <v>5035</v>
      </c>
      <c r="B3061" t="s">
        <v>1881</v>
      </c>
      <c r="C3061" t="s">
        <v>5036</v>
      </c>
      <c r="D3061">
        <v>56739179</v>
      </c>
      <c r="E3061">
        <v>9.14</v>
      </c>
      <c r="F3061">
        <v>3.67</v>
      </c>
    </row>
    <row r="3062" spans="1:6" x14ac:dyDescent="0.3">
      <c r="A3062" t="s">
        <v>5037</v>
      </c>
      <c r="B3062" t="s">
        <v>5038</v>
      </c>
      <c r="C3062" t="s">
        <v>2994</v>
      </c>
      <c r="D3062">
        <v>56739443</v>
      </c>
      <c r="E3062">
        <v>10.220000000000001</v>
      </c>
      <c r="F3062">
        <v>7</v>
      </c>
    </row>
    <row r="3063" spans="1:6" x14ac:dyDescent="0.3">
      <c r="A3063" t="s">
        <v>5039</v>
      </c>
      <c r="B3063" t="s">
        <v>4739</v>
      </c>
      <c r="C3063" t="s">
        <v>5040</v>
      </c>
      <c r="D3063">
        <v>56764573</v>
      </c>
      <c r="E3063">
        <v>1.65</v>
      </c>
      <c r="F3063">
        <v>6.61</v>
      </c>
    </row>
    <row r="3064" spans="1:6" x14ac:dyDescent="0.3">
      <c r="A3064" t="s">
        <v>5041</v>
      </c>
      <c r="B3064" t="s">
        <v>4690</v>
      </c>
      <c r="C3064" t="s">
        <v>5042</v>
      </c>
      <c r="D3064">
        <v>56769474</v>
      </c>
      <c r="E3064">
        <v>4.37</v>
      </c>
      <c r="F3064">
        <v>5.85</v>
      </c>
    </row>
    <row r="3065" spans="1:6" x14ac:dyDescent="0.3">
      <c r="A3065" t="s">
        <v>5043</v>
      </c>
      <c r="B3065" t="s">
        <v>2756</v>
      </c>
      <c r="C3065" t="s">
        <v>5044</v>
      </c>
      <c r="D3065">
        <v>56769951</v>
      </c>
      <c r="E3065">
        <v>2.67</v>
      </c>
      <c r="F3065">
        <v>6.18</v>
      </c>
    </row>
    <row r="3066" spans="1:6" x14ac:dyDescent="0.3">
      <c r="A3066" t="s">
        <v>5045</v>
      </c>
      <c r="B3066" t="s">
        <v>1996</v>
      </c>
      <c r="C3066" t="s">
        <v>3649</v>
      </c>
      <c r="D3066">
        <v>56779294</v>
      </c>
      <c r="E3066">
        <v>23.15</v>
      </c>
      <c r="F3066">
        <v>7.12</v>
      </c>
    </row>
    <row r="3067" spans="1:6" x14ac:dyDescent="0.3">
      <c r="A3067" t="s">
        <v>5046</v>
      </c>
      <c r="B3067" t="s">
        <v>3283</v>
      </c>
      <c r="C3067" t="s">
        <v>5047</v>
      </c>
      <c r="D3067">
        <v>56781383</v>
      </c>
      <c r="E3067">
        <v>2.6</v>
      </c>
      <c r="F3067">
        <v>5.44</v>
      </c>
    </row>
    <row r="3068" spans="1:6" x14ac:dyDescent="0.3">
      <c r="A3068" t="s">
        <v>5048</v>
      </c>
      <c r="B3068" t="s">
        <v>3580</v>
      </c>
      <c r="C3068" t="s">
        <v>4241</v>
      </c>
      <c r="D3068">
        <v>56782662</v>
      </c>
      <c r="E3068">
        <v>31</v>
      </c>
      <c r="F3068">
        <v>9</v>
      </c>
    </row>
    <row r="3069" spans="1:6" x14ac:dyDescent="0.3">
      <c r="A3069" t="s">
        <v>5049</v>
      </c>
      <c r="B3069" t="s">
        <v>4026</v>
      </c>
      <c r="C3069" t="s">
        <v>5050</v>
      </c>
      <c r="D3069">
        <v>56795432</v>
      </c>
      <c r="E3069">
        <v>4.8099999999999996</v>
      </c>
      <c r="F3069">
        <v>7.22</v>
      </c>
    </row>
    <row r="3070" spans="1:6" x14ac:dyDescent="0.3">
      <c r="A3070" t="s">
        <v>4131</v>
      </c>
      <c r="B3070" t="s">
        <v>5051</v>
      </c>
      <c r="C3070" t="s">
        <v>4131</v>
      </c>
      <c r="D3070">
        <v>56811783</v>
      </c>
      <c r="E3070">
        <v>3.74</v>
      </c>
      <c r="F3070">
        <v>5.6</v>
      </c>
    </row>
    <row r="3071" spans="1:6" x14ac:dyDescent="0.3">
      <c r="A3071" t="s">
        <v>2745</v>
      </c>
      <c r="B3071" t="s">
        <v>2827</v>
      </c>
      <c r="C3071" t="s">
        <v>3002</v>
      </c>
      <c r="D3071">
        <v>56826136</v>
      </c>
      <c r="E3071">
        <v>4.66</v>
      </c>
      <c r="F3071">
        <v>6.8</v>
      </c>
    </row>
    <row r="3072" spans="1:6" x14ac:dyDescent="0.3">
      <c r="A3072" t="s">
        <v>5052</v>
      </c>
      <c r="B3072" t="s">
        <v>5053</v>
      </c>
      <c r="C3072" t="s">
        <v>5054</v>
      </c>
      <c r="D3072">
        <v>56827411</v>
      </c>
      <c r="E3072">
        <v>27</v>
      </c>
      <c r="F3072">
        <v>5.33</v>
      </c>
    </row>
    <row r="3073" spans="1:6" x14ac:dyDescent="0.3">
      <c r="A3073" t="s">
        <v>5055</v>
      </c>
      <c r="B3073" t="s">
        <v>3032</v>
      </c>
      <c r="C3073" t="s">
        <v>1386</v>
      </c>
      <c r="D3073">
        <v>56832306</v>
      </c>
      <c r="E3073">
        <v>5.96</v>
      </c>
      <c r="F3073">
        <v>4.33</v>
      </c>
    </row>
    <row r="3074" spans="1:6" x14ac:dyDescent="0.3">
      <c r="A3074" t="s">
        <v>5056</v>
      </c>
      <c r="B3074" t="s">
        <v>5057</v>
      </c>
      <c r="C3074" t="s">
        <v>969</v>
      </c>
      <c r="D3074">
        <v>56846226</v>
      </c>
      <c r="E3074">
        <v>24.33</v>
      </c>
      <c r="F3074">
        <v>7.5</v>
      </c>
    </row>
    <row r="3075" spans="1:6" x14ac:dyDescent="0.3">
      <c r="A3075" t="s">
        <v>5058</v>
      </c>
      <c r="B3075" t="s">
        <v>4896</v>
      </c>
      <c r="C3075" t="s">
        <v>3130</v>
      </c>
      <c r="D3075">
        <v>56852608</v>
      </c>
      <c r="E3075">
        <v>4.54</v>
      </c>
      <c r="F3075">
        <v>4.4800000000000004</v>
      </c>
    </row>
    <row r="3076" spans="1:6" x14ac:dyDescent="0.3">
      <c r="A3076" t="s">
        <v>5059</v>
      </c>
      <c r="B3076" t="s">
        <v>5060</v>
      </c>
      <c r="C3076" t="s">
        <v>5061</v>
      </c>
      <c r="D3076">
        <v>56859910</v>
      </c>
      <c r="E3076">
        <v>9.1199999999999992</v>
      </c>
      <c r="F3076">
        <v>7.14</v>
      </c>
    </row>
    <row r="3077" spans="1:6" x14ac:dyDescent="0.3">
      <c r="A3077" t="s">
        <v>5062</v>
      </c>
      <c r="B3077" t="s">
        <v>5063</v>
      </c>
      <c r="C3077" t="s">
        <v>5064</v>
      </c>
      <c r="D3077">
        <v>56874295</v>
      </c>
      <c r="E3077">
        <v>5.33</v>
      </c>
      <c r="F3077">
        <v>3</v>
      </c>
    </row>
    <row r="3078" spans="1:6" x14ac:dyDescent="0.3">
      <c r="A3078" t="s">
        <v>5065</v>
      </c>
      <c r="B3078" t="s">
        <v>1865</v>
      </c>
      <c r="C3078" t="s">
        <v>2834</v>
      </c>
      <c r="D3078">
        <v>56877453</v>
      </c>
      <c r="E3078">
        <v>17.440000000000001</v>
      </c>
      <c r="F3078">
        <v>6.25</v>
      </c>
    </row>
    <row r="3079" spans="1:6" x14ac:dyDescent="0.3">
      <c r="A3079" t="s">
        <v>5066</v>
      </c>
      <c r="B3079" t="s">
        <v>4110</v>
      </c>
      <c r="C3079" t="s">
        <v>5067</v>
      </c>
      <c r="D3079">
        <v>56885977</v>
      </c>
      <c r="E3079">
        <v>2.93</v>
      </c>
      <c r="F3079">
        <v>7.51</v>
      </c>
    </row>
    <row r="3080" spans="1:6" x14ac:dyDescent="0.3">
      <c r="A3080" t="s">
        <v>5068</v>
      </c>
      <c r="B3080" t="s">
        <v>1127</v>
      </c>
      <c r="C3080" t="s">
        <v>1935</v>
      </c>
      <c r="D3080">
        <v>56889568</v>
      </c>
      <c r="E3080">
        <v>21.62</v>
      </c>
      <c r="F3080">
        <v>6.73</v>
      </c>
    </row>
    <row r="3081" spans="1:6" x14ac:dyDescent="0.3">
      <c r="A3081" t="s">
        <v>5069</v>
      </c>
      <c r="B3081" t="s">
        <v>4770</v>
      </c>
      <c r="C3081" t="s">
        <v>878</v>
      </c>
      <c r="D3081">
        <v>56892431</v>
      </c>
      <c r="E3081">
        <v>7</v>
      </c>
      <c r="F3081">
        <v>8.67</v>
      </c>
    </row>
    <row r="3082" spans="1:6" x14ac:dyDescent="0.3">
      <c r="A3082" t="s">
        <v>5070</v>
      </c>
      <c r="B3082" t="s">
        <v>3803</v>
      </c>
      <c r="C3082" t="s">
        <v>792</v>
      </c>
      <c r="D3082">
        <v>56893849</v>
      </c>
      <c r="E3082">
        <v>2.98</v>
      </c>
      <c r="F3082">
        <v>6.7</v>
      </c>
    </row>
    <row r="3083" spans="1:6" x14ac:dyDescent="0.3">
      <c r="A3083" t="s">
        <v>5071</v>
      </c>
      <c r="B3083" t="s">
        <v>3452</v>
      </c>
      <c r="C3083" t="s">
        <v>3220</v>
      </c>
      <c r="D3083">
        <v>56894857</v>
      </c>
      <c r="E3083">
        <v>3.83</v>
      </c>
      <c r="F3083">
        <v>6.09</v>
      </c>
    </row>
    <row r="3084" spans="1:6" x14ac:dyDescent="0.3">
      <c r="A3084" t="s">
        <v>5072</v>
      </c>
      <c r="B3084" t="s">
        <v>1899</v>
      </c>
      <c r="C3084" t="s">
        <v>5073</v>
      </c>
      <c r="D3084">
        <v>56899115</v>
      </c>
      <c r="E3084">
        <v>4.24</v>
      </c>
      <c r="F3084">
        <v>6</v>
      </c>
    </row>
    <row r="3085" spans="1:6" x14ac:dyDescent="0.3">
      <c r="A3085" t="s">
        <v>5074</v>
      </c>
      <c r="B3085" t="s">
        <v>5075</v>
      </c>
      <c r="C3085" t="s">
        <v>5076</v>
      </c>
      <c r="D3085">
        <v>56899817</v>
      </c>
      <c r="E3085">
        <v>13.23</v>
      </c>
      <c r="F3085">
        <v>6.29</v>
      </c>
    </row>
    <row r="3086" spans="1:6" x14ac:dyDescent="0.3">
      <c r="A3086" t="s">
        <v>5077</v>
      </c>
      <c r="B3086" t="s">
        <v>4793</v>
      </c>
      <c r="C3086" t="s">
        <v>739</v>
      </c>
      <c r="D3086">
        <v>56915264</v>
      </c>
      <c r="E3086">
        <v>4.95</v>
      </c>
      <c r="F3086">
        <v>5.85</v>
      </c>
    </row>
    <row r="3087" spans="1:6" x14ac:dyDescent="0.3">
      <c r="A3087" t="s">
        <v>5078</v>
      </c>
      <c r="B3087" t="s">
        <v>2756</v>
      </c>
      <c r="C3087" t="s">
        <v>5079</v>
      </c>
      <c r="D3087">
        <v>56916170</v>
      </c>
      <c r="E3087">
        <v>26</v>
      </c>
      <c r="F3087">
        <v>4.67</v>
      </c>
    </row>
    <row r="3088" spans="1:6" x14ac:dyDescent="0.3">
      <c r="A3088" t="s">
        <v>5080</v>
      </c>
      <c r="B3088" t="s">
        <v>5081</v>
      </c>
      <c r="C3088" t="s">
        <v>5082</v>
      </c>
      <c r="D3088">
        <v>56920080</v>
      </c>
      <c r="E3088">
        <v>12.33</v>
      </c>
      <c r="F3088">
        <v>3.86</v>
      </c>
    </row>
    <row r="3089" spans="1:6" x14ac:dyDescent="0.3">
      <c r="A3089" t="s">
        <v>5083</v>
      </c>
      <c r="B3089" t="s">
        <v>2913</v>
      </c>
      <c r="C3089" t="s">
        <v>4504</v>
      </c>
      <c r="D3089">
        <v>56925961</v>
      </c>
      <c r="E3089">
        <v>4.24</v>
      </c>
      <c r="F3089">
        <v>5.73</v>
      </c>
    </row>
    <row r="3090" spans="1:6" x14ac:dyDescent="0.3">
      <c r="A3090" t="s">
        <v>5084</v>
      </c>
      <c r="B3090" t="s">
        <v>2032</v>
      </c>
      <c r="C3090" t="s">
        <v>5085</v>
      </c>
      <c r="D3090">
        <v>56936301</v>
      </c>
      <c r="E3090">
        <v>9.9</v>
      </c>
      <c r="F3090">
        <v>7.59</v>
      </c>
    </row>
    <row r="3091" spans="1:6" x14ac:dyDescent="0.3">
      <c r="A3091" t="s">
        <v>5086</v>
      </c>
      <c r="B3091" t="s">
        <v>1605</v>
      </c>
      <c r="C3091" t="s">
        <v>859</v>
      </c>
      <c r="D3091">
        <v>56936525</v>
      </c>
      <c r="E3091">
        <v>17.5</v>
      </c>
      <c r="F3091">
        <v>7.86</v>
      </c>
    </row>
    <row r="3092" spans="1:6" x14ac:dyDescent="0.3">
      <c r="A3092" t="s">
        <v>5087</v>
      </c>
      <c r="B3092" t="s">
        <v>4413</v>
      </c>
      <c r="C3092" t="s">
        <v>4902</v>
      </c>
      <c r="D3092">
        <v>56942530</v>
      </c>
      <c r="E3092">
        <v>6.67</v>
      </c>
      <c r="F3092">
        <v>4.5</v>
      </c>
    </row>
    <row r="3093" spans="1:6" x14ac:dyDescent="0.3">
      <c r="A3093" t="s">
        <v>5088</v>
      </c>
      <c r="B3093" t="s">
        <v>4076</v>
      </c>
      <c r="C3093" t="s">
        <v>771</v>
      </c>
      <c r="D3093">
        <v>56946102</v>
      </c>
      <c r="E3093">
        <v>13.35</v>
      </c>
      <c r="F3093">
        <v>8.74</v>
      </c>
    </row>
    <row r="3094" spans="1:6" x14ac:dyDescent="0.3">
      <c r="A3094" t="s">
        <v>5089</v>
      </c>
      <c r="B3094" t="s">
        <v>5090</v>
      </c>
      <c r="C3094" t="s">
        <v>5091</v>
      </c>
      <c r="D3094">
        <v>56957962</v>
      </c>
      <c r="E3094">
        <v>4.25</v>
      </c>
      <c r="F3094">
        <v>5.55</v>
      </c>
    </row>
    <row r="3095" spans="1:6" x14ac:dyDescent="0.3">
      <c r="A3095" t="s">
        <v>5092</v>
      </c>
      <c r="B3095" t="s">
        <v>5093</v>
      </c>
      <c r="C3095" t="s">
        <v>4458</v>
      </c>
      <c r="D3095">
        <v>56964387</v>
      </c>
      <c r="E3095">
        <v>6.67</v>
      </c>
      <c r="F3095">
        <v>7</v>
      </c>
    </row>
    <row r="3096" spans="1:6" x14ac:dyDescent="0.3">
      <c r="A3096" t="s">
        <v>5094</v>
      </c>
      <c r="B3096" t="s">
        <v>5095</v>
      </c>
      <c r="C3096" t="s">
        <v>4746</v>
      </c>
      <c r="D3096">
        <v>56964974</v>
      </c>
      <c r="E3096">
        <v>2.8</v>
      </c>
      <c r="F3096">
        <v>5.33</v>
      </c>
    </row>
    <row r="3097" spans="1:6" x14ac:dyDescent="0.3">
      <c r="A3097" t="s">
        <v>5096</v>
      </c>
      <c r="B3097" t="s">
        <v>3181</v>
      </c>
      <c r="C3097" t="s">
        <v>5097</v>
      </c>
      <c r="D3097">
        <v>56969336</v>
      </c>
      <c r="E3097">
        <v>5.87</v>
      </c>
      <c r="F3097">
        <v>6.84</v>
      </c>
    </row>
    <row r="3098" spans="1:6" x14ac:dyDescent="0.3">
      <c r="A3098" t="s">
        <v>5098</v>
      </c>
      <c r="B3098" t="s">
        <v>2203</v>
      </c>
      <c r="C3098" t="s">
        <v>5099</v>
      </c>
      <c r="D3098">
        <v>56975803</v>
      </c>
      <c r="E3098">
        <v>9.31</v>
      </c>
      <c r="F3098">
        <v>4.2</v>
      </c>
    </row>
    <row r="3099" spans="1:6" x14ac:dyDescent="0.3">
      <c r="A3099" t="s">
        <v>5100</v>
      </c>
      <c r="B3099" t="s">
        <v>5075</v>
      </c>
      <c r="C3099" t="s">
        <v>3884</v>
      </c>
      <c r="D3099">
        <v>56989159</v>
      </c>
      <c r="E3099">
        <v>10.67</v>
      </c>
      <c r="F3099">
        <v>5.33</v>
      </c>
    </row>
    <row r="3100" spans="1:6" x14ac:dyDescent="0.3">
      <c r="A3100" t="s">
        <v>5101</v>
      </c>
      <c r="B3100" t="s">
        <v>4743</v>
      </c>
      <c r="C3100" t="s">
        <v>4902</v>
      </c>
      <c r="D3100">
        <v>56997888</v>
      </c>
      <c r="E3100">
        <v>4.8899999999999997</v>
      </c>
      <c r="F3100">
        <v>6.54</v>
      </c>
    </row>
    <row r="3101" spans="1:6" x14ac:dyDescent="0.3">
      <c r="A3101" t="s">
        <v>5102</v>
      </c>
      <c r="B3101" t="s">
        <v>1853</v>
      </c>
      <c r="C3101" t="s">
        <v>5103</v>
      </c>
      <c r="D3101">
        <v>57005031</v>
      </c>
      <c r="E3101">
        <v>6.33</v>
      </c>
      <c r="F3101">
        <v>7</v>
      </c>
    </row>
    <row r="3102" spans="1:6" x14ac:dyDescent="0.3">
      <c r="A3102" t="s">
        <v>5104</v>
      </c>
      <c r="B3102" t="s">
        <v>5105</v>
      </c>
      <c r="C3102" t="s">
        <v>17</v>
      </c>
      <c r="D3102">
        <v>57007543</v>
      </c>
      <c r="E3102">
        <v>3.44</v>
      </c>
      <c r="F3102">
        <v>5.45</v>
      </c>
    </row>
    <row r="3103" spans="1:6" x14ac:dyDescent="0.3">
      <c r="A3103" t="s">
        <v>5106</v>
      </c>
      <c r="B3103" t="s">
        <v>5107</v>
      </c>
      <c r="C3103" t="s">
        <v>4986</v>
      </c>
      <c r="D3103">
        <v>57011270</v>
      </c>
      <c r="E3103">
        <v>3.14</v>
      </c>
      <c r="F3103">
        <v>5.77</v>
      </c>
    </row>
    <row r="3104" spans="1:6" x14ac:dyDescent="0.3">
      <c r="A3104" t="s">
        <v>5108</v>
      </c>
      <c r="B3104" t="s">
        <v>5109</v>
      </c>
      <c r="C3104" t="s">
        <v>3297</v>
      </c>
      <c r="D3104">
        <v>57012656</v>
      </c>
      <c r="E3104">
        <v>2.13</v>
      </c>
      <c r="F3104">
        <v>4.8499999999999996</v>
      </c>
    </row>
    <row r="3105" spans="1:6" x14ac:dyDescent="0.3">
      <c r="A3105" t="s">
        <v>4874</v>
      </c>
      <c r="B3105" t="s">
        <v>4606</v>
      </c>
      <c r="C3105" t="s">
        <v>4873</v>
      </c>
      <c r="D3105">
        <v>57019271</v>
      </c>
      <c r="E3105">
        <v>20.65</v>
      </c>
      <c r="F3105">
        <v>6.09</v>
      </c>
    </row>
    <row r="3106" spans="1:6" x14ac:dyDescent="0.3">
      <c r="A3106" t="s">
        <v>5110</v>
      </c>
      <c r="B3106" t="s">
        <v>5111</v>
      </c>
      <c r="C3106" t="s">
        <v>5112</v>
      </c>
      <c r="D3106">
        <v>57023074</v>
      </c>
      <c r="E3106">
        <v>21.09</v>
      </c>
      <c r="F3106">
        <v>4.5</v>
      </c>
    </row>
    <row r="3107" spans="1:6" x14ac:dyDescent="0.3">
      <c r="A3107" t="s">
        <v>5113</v>
      </c>
      <c r="B3107" t="s">
        <v>4395</v>
      </c>
      <c r="C3107" t="s">
        <v>4519</v>
      </c>
      <c r="D3107">
        <v>57037249</v>
      </c>
      <c r="E3107">
        <v>15.01</v>
      </c>
      <c r="F3107">
        <v>6.31</v>
      </c>
    </row>
    <row r="3108" spans="1:6" x14ac:dyDescent="0.3">
      <c r="A3108" t="s">
        <v>5114</v>
      </c>
      <c r="B3108" t="s">
        <v>5115</v>
      </c>
      <c r="C3108" t="s">
        <v>5116</v>
      </c>
      <c r="D3108">
        <v>57042533</v>
      </c>
      <c r="E3108">
        <v>12.4</v>
      </c>
      <c r="F3108">
        <v>6.78</v>
      </c>
    </row>
    <row r="3109" spans="1:6" x14ac:dyDescent="0.3">
      <c r="A3109" t="s">
        <v>5117</v>
      </c>
      <c r="B3109" t="s">
        <v>4698</v>
      </c>
      <c r="C3109" t="s">
        <v>1317</v>
      </c>
      <c r="D3109">
        <v>57047374</v>
      </c>
      <c r="E3109">
        <v>26.75</v>
      </c>
      <c r="F3109">
        <v>7.25</v>
      </c>
    </row>
    <row r="3110" spans="1:6" x14ac:dyDescent="0.3">
      <c r="A3110" t="s">
        <v>5118</v>
      </c>
      <c r="B3110" t="s">
        <v>4387</v>
      </c>
      <c r="C3110" t="s">
        <v>1145</v>
      </c>
      <c r="D3110">
        <v>57047718</v>
      </c>
      <c r="E3110">
        <v>5.0599999999999996</v>
      </c>
      <c r="F3110">
        <v>5.46</v>
      </c>
    </row>
    <row r="3111" spans="1:6" x14ac:dyDescent="0.3">
      <c r="A3111" t="s">
        <v>5119</v>
      </c>
      <c r="B3111" t="s">
        <v>4184</v>
      </c>
      <c r="C3111" t="s">
        <v>4597</v>
      </c>
      <c r="D3111">
        <v>57050424</v>
      </c>
      <c r="E3111">
        <v>1.75</v>
      </c>
      <c r="F3111">
        <v>7.13</v>
      </c>
    </row>
    <row r="3112" spans="1:6" x14ac:dyDescent="0.3">
      <c r="A3112" t="s">
        <v>5120</v>
      </c>
      <c r="B3112" t="s">
        <v>968</v>
      </c>
      <c r="C3112" t="s">
        <v>3381</v>
      </c>
      <c r="D3112">
        <v>57058198</v>
      </c>
      <c r="E3112">
        <v>4.67</v>
      </c>
      <c r="F3112">
        <v>6.3</v>
      </c>
    </row>
    <row r="3113" spans="1:6" x14ac:dyDescent="0.3">
      <c r="A3113" t="s">
        <v>5121</v>
      </c>
      <c r="B3113" t="s">
        <v>951</v>
      </c>
      <c r="C3113" t="s">
        <v>5122</v>
      </c>
      <c r="D3113">
        <v>57066554</v>
      </c>
      <c r="E3113">
        <v>3.3</v>
      </c>
      <c r="F3113">
        <v>6.7</v>
      </c>
    </row>
    <row r="3114" spans="1:6" x14ac:dyDescent="0.3">
      <c r="A3114" t="s">
        <v>2440</v>
      </c>
      <c r="B3114" t="s">
        <v>5123</v>
      </c>
      <c r="C3114" t="s">
        <v>3363</v>
      </c>
      <c r="D3114">
        <v>57070314</v>
      </c>
      <c r="E3114">
        <v>3.74</v>
      </c>
      <c r="F3114">
        <v>5.77</v>
      </c>
    </row>
    <row r="3115" spans="1:6" x14ac:dyDescent="0.3">
      <c r="A3115" t="s">
        <v>5124</v>
      </c>
      <c r="B3115" t="s">
        <v>4962</v>
      </c>
      <c r="C3115" t="s">
        <v>3515</v>
      </c>
      <c r="D3115">
        <v>57084298</v>
      </c>
      <c r="E3115">
        <v>20.79</v>
      </c>
      <c r="F3115">
        <v>7.72</v>
      </c>
    </row>
    <row r="3116" spans="1:6" x14ac:dyDescent="0.3">
      <c r="A3116" t="s">
        <v>5125</v>
      </c>
      <c r="B3116" t="s">
        <v>1584</v>
      </c>
      <c r="C3116" t="s">
        <v>5126</v>
      </c>
      <c r="D3116">
        <v>57085540</v>
      </c>
      <c r="E3116">
        <v>4.63</v>
      </c>
      <c r="F3116">
        <v>6</v>
      </c>
    </row>
    <row r="3117" spans="1:6" x14ac:dyDescent="0.3">
      <c r="A3117" t="s">
        <v>5127</v>
      </c>
      <c r="B3117" t="s">
        <v>5128</v>
      </c>
      <c r="C3117" t="s">
        <v>2802</v>
      </c>
      <c r="D3117">
        <v>57088683</v>
      </c>
      <c r="E3117">
        <v>4</v>
      </c>
      <c r="F3117">
        <v>7.25</v>
      </c>
    </row>
    <row r="3118" spans="1:6" x14ac:dyDescent="0.3">
      <c r="A3118" t="s">
        <v>5129</v>
      </c>
      <c r="B3118" t="s">
        <v>2756</v>
      </c>
      <c r="C3118" t="s">
        <v>5129</v>
      </c>
      <c r="D3118">
        <v>57094996</v>
      </c>
      <c r="E3118">
        <v>3.08</v>
      </c>
      <c r="F3118">
        <v>6.65</v>
      </c>
    </row>
    <row r="3119" spans="1:6" x14ac:dyDescent="0.3">
      <c r="A3119" t="s">
        <v>5130</v>
      </c>
      <c r="B3119" t="s">
        <v>4618</v>
      </c>
      <c r="C3119" t="s">
        <v>5131</v>
      </c>
      <c r="D3119">
        <v>57104527</v>
      </c>
      <c r="E3119">
        <v>2.99</v>
      </c>
      <c r="F3119">
        <v>5.6</v>
      </c>
    </row>
    <row r="3120" spans="1:6" x14ac:dyDescent="0.3">
      <c r="A3120" t="s">
        <v>5132</v>
      </c>
      <c r="B3120" t="s">
        <v>5133</v>
      </c>
      <c r="C3120" t="s">
        <v>3696</v>
      </c>
      <c r="D3120">
        <v>57107688</v>
      </c>
      <c r="E3120">
        <v>2.2200000000000002</v>
      </c>
      <c r="F3120">
        <v>6.82</v>
      </c>
    </row>
    <row r="3121" spans="1:6" x14ac:dyDescent="0.3">
      <c r="A3121" t="s">
        <v>1760</v>
      </c>
      <c r="B3121" t="s">
        <v>2433</v>
      </c>
      <c r="C3121" t="s">
        <v>5134</v>
      </c>
      <c r="D3121">
        <v>57121494</v>
      </c>
      <c r="E3121">
        <v>8.1300000000000008</v>
      </c>
      <c r="F3121">
        <v>7.67</v>
      </c>
    </row>
    <row r="3122" spans="1:6" x14ac:dyDescent="0.3">
      <c r="A3122" t="s">
        <v>5135</v>
      </c>
      <c r="B3122" t="s">
        <v>4128</v>
      </c>
      <c r="C3122" t="s">
        <v>5136</v>
      </c>
      <c r="D3122">
        <v>57121503</v>
      </c>
      <c r="E3122">
        <v>26.95</v>
      </c>
      <c r="F3122">
        <v>6.83</v>
      </c>
    </row>
    <row r="3123" spans="1:6" x14ac:dyDescent="0.3">
      <c r="A3123" t="s">
        <v>5137</v>
      </c>
      <c r="B3123" t="s">
        <v>5093</v>
      </c>
      <c r="C3123" t="s">
        <v>1161</v>
      </c>
      <c r="D3123">
        <v>57125354</v>
      </c>
      <c r="E3123">
        <v>6.4</v>
      </c>
      <c r="F3123">
        <v>7.33</v>
      </c>
    </row>
    <row r="3124" spans="1:6" x14ac:dyDescent="0.3">
      <c r="A3124" t="s">
        <v>5138</v>
      </c>
      <c r="B3124" t="s">
        <v>4445</v>
      </c>
      <c r="C3124" t="s">
        <v>4959</v>
      </c>
      <c r="D3124">
        <v>57137024</v>
      </c>
      <c r="E3124">
        <v>3.12</v>
      </c>
      <c r="F3124">
        <v>5</v>
      </c>
    </row>
    <row r="3125" spans="1:6" x14ac:dyDescent="0.3">
      <c r="A3125" t="s">
        <v>5139</v>
      </c>
      <c r="B3125" t="s">
        <v>5140</v>
      </c>
      <c r="C3125" t="s">
        <v>1717</v>
      </c>
      <c r="D3125">
        <v>57142283</v>
      </c>
      <c r="E3125">
        <v>3.17</v>
      </c>
      <c r="F3125">
        <v>5.83</v>
      </c>
    </row>
    <row r="3126" spans="1:6" x14ac:dyDescent="0.3">
      <c r="A3126" t="s">
        <v>5141</v>
      </c>
      <c r="B3126" t="s">
        <v>5142</v>
      </c>
      <c r="C3126" t="s">
        <v>2934</v>
      </c>
      <c r="D3126">
        <v>57155593</v>
      </c>
      <c r="E3126">
        <v>15.67</v>
      </c>
      <c r="F3126">
        <v>7.67</v>
      </c>
    </row>
    <row r="3127" spans="1:6" x14ac:dyDescent="0.3">
      <c r="A3127" t="s">
        <v>5126</v>
      </c>
      <c r="B3127" t="s">
        <v>5143</v>
      </c>
      <c r="C3127" t="s">
        <v>1203</v>
      </c>
      <c r="D3127">
        <v>57179323</v>
      </c>
      <c r="E3127">
        <v>16.38</v>
      </c>
      <c r="F3127">
        <v>6.19</v>
      </c>
    </row>
    <row r="3128" spans="1:6" x14ac:dyDescent="0.3">
      <c r="A3128" t="s">
        <v>5144</v>
      </c>
      <c r="B3128" t="s">
        <v>5145</v>
      </c>
      <c r="C3128" t="s">
        <v>4909</v>
      </c>
      <c r="D3128">
        <v>57180528</v>
      </c>
      <c r="E3128">
        <v>5.22</v>
      </c>
      <c r="F3128">
        <v>7.29</v>
      </c>
    </row>
    <row r="3129" spans="1:6" x14ac:dyDescent="0.3">
      <c r="A3129" t="s">
        <v>5146</v>
      </c>
      <c r="B3129" t="s">
        <v>5147</v>
      </c>
      <c r="C3129" t="s">
        <v>3291</v>
      </c>
      <c r="D3129">
        <v>57185131</v>
      </c>
      <c r="E3129">
        <v>13.13</v>
      </c>
      <c r="F3129">
        <v>6.2</v>
      </c>
    </row>
    <row r="3130" spans="1:6" x14ac:dyDescent="0.3">
      <c r="A3130" t="s">
        <v>5148</v>
      </c>
      <c r="B3130" t="s">
        <v>4354</v>
      </c>
      <c r="C3130" t="s">
        <v>799</v>
      </c>
      <c r="D3130">
        <v>57187303</v>
      </c>
      <c r="E3130">
        <v>4.6900000000000004</v>
      </c>
      <c r="F3130">
        <v>5.83</v>
      </c>
    </row>
    <row r="3131" spans="1:6" x14ac:dyDescent="0.3">
      <c r="A3131" t="s">
        <v>5149</v>
      </c>
      <c r="B3131" t="s">
        <v>4305</v>
      </c>
      <c r="C3131" t="s">
        <v>5150</v>
      </c>
      <c r="D3131">
        <v>57192529</v>
      </c>
      <c r="E3131">
        <v>1.04</v>
      </c>
      <c r="F3131">
        <v>6.26</v>
      </c>
    </row>
    <row r="3132" spans="1:6" x14ac:dyDescent="0.3">
      <c r="A3132" t="s">
        <v>5151</v>
      </c>
      <c r="B3132" t="s">
        <v>5111</v>
      </c>
      <c r="C3132" t="s">
        <v>5152</v>
      </c>
      <c r="D3132">
        <v>57196208</v>
      </c>
      <c r="E3132">
        <v>12.12</v>
      </c>
      <c r="F3132">
        <v>7.79</v>
      </c>
    </row>
    <row r="3133" spans="1:6" x14ac:dyDescent="0.3">
      <c r="A3133" t="s">
        <v>5153</v>
      </c>
      <c r="B3133" t="s">
        <v>4048</v>
      </c>
      <c r="C3133" t="s">
        <v>1103</v>
      </c>
      <c r="D3133">
        <v>57201037</v>
      </c>
      <c r="E3133">
        <v>12.78</v>
      </c>
      <c r="F3133">
        <v>6.67</v>
      </c>
    </row>
    <row r="3134" spans="1:6" x14ac:dyDescent="0.3">
      <c r="A3134" t="s">
        <v>5154</v>
      </c>
      <c r="B3134" t="s">
        <v>3380</v>
      </c>
      <c r="C3134" t="s">
        <v>1909</v>
      </c>
      <c r="D3134">
        <v>57205198</v>
      </c>
      <c r="E3134">
        <v>5</v>
      </c>
      <c r="F3134">
        <v>4.5</v>
      </c>
    </row>
    <row r="3135" spans="1:6" x14ac:dyDescent="0.3">
      <c r="A3135" t="s">
        <v>5155</v>
      </c>
      <c r="B3135" t="s">
        <v>5156</v>
      </c>
      <c r="C3135" t="s">
        <v>4069</v>
      </c>
      <c r="D3135">
        <v>57208977</v>
      </c>
      <c r="E3135">
        <v>21.06</v>
      </c>
      <c r="F3135">
        <v>6.04</v>
      </c>
    </row>
    <row r="3136" spans="1:6" x14ac:dyDescent="0.3">
      <c r="A3136" t="s">
        <v>5157</v>
      </c>
      <c r="B3136" t="s">
        <v>5158</v>
      </c>
      <c r="C3136" t="s">
        <v>5159</v>
      </c>
      <c r="D3136">
        <v>57213584</v>
      </c>
      <c r="E3136">
        <v>3</v>
      </c>
      <c r="F3136">
        <v>6.67</v>
      </c>
    </row>
    <row r="3137" spans="1:6" x14ac:dyDescent="0.3">
      <c r="A3137" t="s">
        <v>5160</v>
      </c>
      <c r="B3137" t="s">
        <v>5161</v>
      </c>
      <c r="C3137" t="s">
        <v>5162</v>
      </c>
      <c r="D3137">
        <v>57226078</v>
      </c>
      <c r="E3137">
        <v>3</v>
      </c>
      <c r="F3137">
        <v>6.88</v>
      </c>
    </row>
    <row r="3138" spans="1:6" x14ac:dyDescent="0.3">
      <c r="A3138" t="s">
        <v>3909</v>
      </c>
      <c r="B3138" t="s">
        <v>5163</v>
      </c>
      <c r="C3138" t="s">
        <v>5164</v>
      </c>
      <c r="D3138">
        <v>57226240</v>
      </c>
      <c r="E3138">
        <v>1.76</v>
      </c>
      <c r="F3138">
        <v>6.68</v>
      </c>
    </row>
    <row r="3139" spans="1:6" x14ac:dyDescent="0.3">
      <c r="A3139" t="s">
        <v>5165</v>
      </c>
      <c r="B3139" t="s">
        <v>4026</v>
      </c>
      <c r="C3139" t="s">
        <v>1087</v>
      </c>
      <c r="D3139">
        <v>57236853</v>
      </c>
      <c r="E3139">
        <v>3.15</v>
      </c>
      <c r="F3139">
        <v>5.92</v>
      </c>
    </row>
    <row r="3140" spans="1:6" x14ac:dyDescent="0.3">
      <c r="A3140" t="s">
        <v>5166</v>
      </c>
      <c r="B3140" t="s">
        <v>3212</v>
      </c>
      <c r="C3140" t="s">
        <v>1375</v>
      </c>
      <c r="D3140">
        <v>57240235</v>
      </c>
      <c r="E3140">
        <v>12.18</v>
      </c>
      <c r="F3140">
        <v>7.18</v>
      </c>
    </row>
    <row r="3141" spans="1:6" x14ac:dyDescent="0.3">
      <c r="A3141" t="s">
        <v>5167</v>
      </c>
      <c r="B3141" t="s">
        <v>5168</v>
      </c>
      <c r="C3141" t="s">
        <v>3877</v>
      </c>
      <c r="D3141">
        <v>57247553</v>
      </c>
      <c r="E3141">
        <v>3</v>
      </c>
      <c r="F3141">
        <v>4.9000000000000004</v>
      </c>
    </row>
    <row r="3142" spans="1:6" x14ac:dyDescent="0.3">
      <c r="A3142" t="s">
        <v>5169</v>
      </c>
      <c r="B3142" t="s">
        <v>3870</v>
      </c>
      <c r="C3142" t="s">
        <v>5170</v>
      </c>
      <c r="D3142">
        <v>57254147</v>
      </c>
      <c r="E3142">
        <v>16.36</v>
      </c>
      <c r="F3142">
        <v>7.36</v>
      </c>
    </row>
    <row r="3143" spans="1:6" x14ac:dyDescent="0.3">
      <c r="A3143" t="s">
        <v>5171</v>
      </c>
      <c r="B3143" t="s">
        <v>1196</v>
      </c>
      <c r="C3143" t="s">
        <v>5172</v>
      </c>
      <c r="D3143">
        <v>57271075</v>
      </c>
      <c r="E3143">
        <v>7.5</v>
      </c>
      <c r="F3143">
        <v>5</v>
      </c>
    </row>
    <row r="3144" spans="1:6" x14ac:dyDescent="0.3">
      <c r="A3144" t="s">
        <v>315</v>
      </c>
      <c r="B3144" t="s">
        <v>2999</v>
      </c>
      <c r="C3144" t="s">
        <v>5173</v>
      </c>
      <c r="D3144">
        <v>57279616</v>
      </c>
      <c r="E3144">
        <v>7</v>
      </c>
      <c r="F3144">
        <v>7.5</v>
      </c>
    </row>
    <row r="3145" spans="1:6" x14ac:dyDescent="0.3">
      <c r="A3145" t="s">
        <v>5174</v>
      </c>
      <c r="B3145" t="s">
        <v>3329</v>
      </c>
      <c r="C3145" t="s">
        <v>898</v>
      </c>
      <c r="D3145">
        <v>57298751</v>
      </c>
      <c r="E3145">
        <v>5.87</v>
      </c>
      <c r="F3145">
        <v>6.89</v>
      </c>
    </row>
    <row r="3146" spans="1:6" x14ac:dyDescent="0.3">
      <c r="A3146" t="s">
        <v>5175</v>
      </c>
      <c r="B3146" t="s">
        <v>5176</v>
      </c>
      <c r="C3146" t="s">
        <v>4473</v>
      </c>
      <c r="D3146">
        <v>57304675</v>
      </c>
      <c r="E3146">
        <v>1.98</v>
      </c>
      <c r="F3146">
        <v>6.23</v>
      </c>
    </row>
    <row r="3147" spans="1:6" x14ac:dyDescent="0.3">
      <c r="A3147" t="s">
        <v>5177</v>
      </c>
      <c r="B3147" t="s">
        <v>4305</v>
      </c>
      <c r="C3147" t="s">
        <v>2418</v>
      </c>
      <c r="D3147">
        <v>57307184</v>
      </c>
      <c r="E3147">
        <v>5.33</v>
      </c>
      <c r="F3147">
        <v>6.33</v>
      </c>
    </row>
    <row r="3148" spans="1:6" x14ac:dyDescent="0.3">
      <c r="A3148" t="s">
        <v>5178</v>
      </c>
      <c r="B3148" t="s">
        <v>4234</v>
      </c>
      <c r="C3148" t="s">
        <v>3877</v>
      </c>
      <c r="D3148">
        <v>57307363</v>
      </c>
      <c r="E3148">
        <v>2.0299999999999998</v>
      </c>
      <c r="F3148">
        <v>6.17</v>
      </c>
    </row>
    <row r="3149" spans="1:6" x14ac:dyDescent="0.3">
      <c r="A3149" t="s">
        <v>2817</v>
      </c>
      <c r="B3149" t="s">
        <v>2433</v>
      </c>
      <c r="C3149" t="s">
        <v>1638</v>
      </c>
      <c r="D3149">
        <v>57311192</v>
      </c>
      <c r="E3149">
        <v>18.29</v>
      </c>
      <c r="F3149">
        <v>4.29</v>
      </c>
    </row>
    <row r="3150" spans="1:6" x14ac:dyDescent="0.3">
      <c r="A3150" t="s">
        <v>5179</v>
      </c>
      <c r="B3150" t="s">
        <v>3436</v>
      </c>
      <c r="C3150" t="s">
        <v>3706</v>
      </c>
      <c r="D3150">
        <v>57312412</v>
      </c>
      <c r="E3150">
        <v>22.6</v>
      </c>
      <c r="F3150">
        <v>5</v>
      </c>
    </row>
    <row r="3151" spans="1:6" x14ac:dyDescent="0.3">
      <c r="A3151" t="s">
        <v>5180</v>
      </c>
      <c r="B3151" t="s">
        <v>3609</v>
      </c>
      <c r="C3151" t="s">
        <v>5181</v>
      </c>
      <c r="D3151">
        <v>57317894</v>
      </c>
      <c r="E3151">
        <v>1.2</v>
      </c>
      <c r="F3151">
        <v>7.34</v>
      </c>
    </row>
    <row r="3152" spans="1:6" x14ac:dyDescent="0.3">
      <c r="A3152" t="s">
        <v>5182</v>
      </c>
      <c r="B3152" t="s">
        <v>3695</v>
      </c>
      <c r="C3152" t="s">
        <v>4986</v>
      </c>
      <c r="D3152">
        <v>57321084</v>
      </c>
      <c r="E3152">
        <v>4.2699999999999996</v>
      </c>
      <c r="F3152">
        <v>7.25</v>
      </c>
    </row>
    <row r="3153" spans="1:6" x14ac:dyDescent="0.3">
      <c r="A3153" t="s">
        <v>5183</v>
      </c>
      <c r="B3153" t="s">
        <v>3181</v>
      </c>
      <c r="C3153" t="s">
        <v>5184</v>
      </c>
      <c r="D3153">
        <v>57322886</v>
      </c>
      <c r="E3153">
        <v>1.79</v>
      </c>
      <c r="F3153">
        <v>6.98</v>
      </c>
    </row>
    <row r="3154" spans="1:6" x14ac:dyDescent="0.3">
      <c r="A3154" t="s">
        <v>5185</v>
      </c>
      <c r="B3154" t="s">
        <v>3915</v>
      </c>
      <c r="C3154" t="s">
        <v>5186</v>
      </c>
      <c r="D3154">
        <v>57330864</v>
      </c>
      <c r="E3154">
        <v>1.7</v>
      </c>
      <c r="F3154">
        <v>7.85</v>
      </c>
    </row>
    <row r="3155" spans="1:6" x14ac:dyDescent="0.3">
      <c r="A3155" t="s">
        <v>5187</v>
      </c>
      <c r="B3155" t="s">
        <v>5188</v>
      </c>
      <c r="C3155" t="s">
        <v>4489</v>
      </c>
      <c r="D3155">
        <v>57331224</v>
      </c>
      <c r="E3155">
        <v>8.5</v>
      </c>
      <c r="F3155">
        <v>4.67</v>
      </c>
    </row>
    <row r="3156" spans="1:6" x14ac:dyDescent="0.3">
      <c r="A3156" t="s">
        <v>5189</v>
      </c>
      <c r="B3156" t="s">
        <v>3805</v>
      </c>
      <c r="C3156" t="s">
        <v>5190</v>
      </c>
      <c r="D3156">
        <v>57334967</v>
      </c>
      <c r="E3156">
        <v>9.34</v>
      </c>
      <c r="F3156">
        <v>7.08</v>
      </c>
    </row>
    <row r="3157" spans="1:6" x14ac:dyDescent="0.3">
      <c r="A3157" t="s">
        <v>5191</v>
      </c>
      <c r="B3157" t="s">
        <v>5192</v>
      </c>
      <c r="C3157" t="s">
        <v>4902</v>
      </c>
      <c r="D3157">
        <v>57350648</v>
      </c>
      <c r="E3157">
        <v>9.5</v>
      </c>
      <c r="F3157">
        <v>6.33</v>
      </c>
    </row>
    <row r="3158" spans="1:6" x14ac:dyDescent="0.3">
      <c r="A3158" t="s">
        <v>5193</v>
      </c>
      <c r="B3158" t="s">
        <v>3820</v>
      </c>
      <c r="C3158" t="s">
        <v>1240</v>
      </c>
      <c r="D3158">
        <v>57359114</v>
      </c>
      <c r="E3158">
        <v>20.100000000000001</v>
      </c>
      <c r="F3158">
        <v>9.2899999999999991</v>
      </c>
    </row>
    <row r="3159" spans="1:6" x14ac:dyDescent="0.3">
      <c r="A3159" t="s">
        <v>5194</v>
      </c>
      <c r="B3159" t="s">
        <v>5195</v>
      </c>
      <c r="C3159" t="s">
        <v>5196</v>
      </c>
      <c r="D3159">
        <v>57387189</v>
      </c>
      <c r="E3159">
        <v>15.02</v>
      </c>
      <c r="F3159">
        <v>4.75</v>
      </c>
    </row>
    <row r="3160" spans="1:6" x14ac:dyDescent="0.3">
      <c r="A3160" t="s">
        <v>5197</v>
      </c>
      <c r="B3160" t="s">
        <v>5198</v>
      </c>
      <c r="C3160" t="s">
        <v>5199</v>
      </c>
      <c r="D3160">
        <v>57390800</v>
      </c>
      <c r="E3160">
        <v>25</v>
      </c>
      <c r="F3160">
        <v>8.67</v>
      </c>
    </row>
    <row r="3161" spans="1:6" x14ac:dyDescent="0.3">
      <c r="A3161" t="s">
        <v>5200</v>
      </c>
      <c r="B3161" t="s">
        <v>1141</v>
      </c>
      <c r="C3161" t="s">
        <v>1062</v>
      </c>
      <c r="D3161">
        <v>57390806</v>
      </c>
      <c r="E3161">
        <v>23.07</v>
      </c>
      <c r="F3161">
        <v>7.12</v>
      </c>
    </row>
    <row r="3162" spans="1:6" x14ac:dyDescent="0.3">
      <c r="A3162" t="s">
        <v>5201</v>
      </c>
      <c r="B3162" t="s">
        <v>5202</v>
      </c>
      <c r="C3162" t="s">
        <v>4003</v>
      </c>
      <c r="D3162">
        <v>57393111</v>
      </c>
      <c r="E3162">
        <v>2.73</v>
      </c>
      <c r="F3162">
        <v>5.89</v>
      </c>
    </row>
    <row r="3163" spans="1:6" x14ac:dyDescent="0.3">
      <c r="A3163" t="s">
        <v>5203</v>
      </c>
      <c r="B3163" t="s">
        <v>3181</v>
      </c>
      <c r="C3163" t="s">
        <v>956</v>
      </c>
      <c r="D3163">
        <v>57395071</v>
      </c>
      <c r="E3163">
        <v>3.28</v>
      </c>
      <c r="F3163">
        <v>7.78</v>
      </c>
    </row>
    <row r="3164" spans="1:6" x14ac:dyDescent="0.3">
      <c r="A3164" t="s">
        <v>4600</v>
      </c>
      <c r="B3164" t="s">
        <v>3222</v>
      </c>
      <c r="C3164" t="s">
        <v>5204</v>
      </c>
      <c r="D3164">
        <v>57396490</v>
      </c>
      <c r="E3164">
        <v>3.76</v>
      </c>
      <c r="F3164">
        <v>6.5</v>
      </c>
    </row>
    <row r="3165" spans="1:6" x14ac:dyDescent="0.3">
      <c r="A3165" t="s">
        <v>5205</v>
      </c>
      <c r="B3165" t="s">
        <v>5206</v>
      </c>
      <c r="C3165" t="s">
        <v>2924</v>
      </c>
      <c r="D3165">
        <v>57401925</v>
      </c>
      <c r="E3165">
        <v>6.93</v>
      </c>
      <c r="F3165">
        <v>5.75</v>
      </c>
    </row>
    <row r="3166" spans="1:6" x14ac:dyDescent="0.3">
      <c r="A3166" t="s">
        <v>5207</v>
      </c>
      <c r="B3166" t="s">
        <v>5208</v>
      </c>
      <c r="C3166" t="s">
        <v>4972</v>
      </c>
      <c r="D3166">
        <v>57405262</v>
      </c>
      <c r="E3166">
        <v>1.99</v>
      </c>
      <c r="F3166">
        <v>6.27</v>
      </c>
    </row>
    <row r="3167" spans="1:6" x14ac:dyDescent="0.3">
      <c r="A3167" t="s">
        <v>5209</v>
      </c>
      <c r="B3167" t="s">
        <v>4630</v>
      </c>
      <c r="C3167" t="s">
        <v>5210</v>
      </c>
      <c r="D3167">
        <v>57406880</v>
      </c>
      <c r="E3167">
        <v>7.64</v>
      </c>
      <c r="F3167">
        <v>6.69</v>
      </c>
    </row>
    <row r="3168" spans="1:6" x14ac:dyDescent="0.3">
      <c r="A3168" t="s">
        <v>5211</v>
      </c>
      <c r="B3168" t="s">
        <v>4073</v>
      </c>
      <c r="C3168" t="s">
        <v>5212</v>
      </c>
      <c r="D3168">
        <v>57410372</v>
      </c>
      <c r="E3168">
        <v>16.73</v>
      </c>
      <c r="F3168">
        <v>6.84</v>
      </c>
    </row>
    <row r="3169" spans="1:6" x14ac:dyDescent="0.3">
      <c r="A3169" t="s">
        <v>5213</v>
      </c>
      <c r="B3169" t="s">
        <v>5214</v>
      </c>
      <c r="C3169" t="s">
        <v>4157</v>
      </c>
      <c r="D3169">
        <v>57423264</v>
      </c>
      <c r="E3169">
        <v>8.1999999999999993</v>
      </c>
      <c r="F3169">
        <v>2.91</v>
      </c>
    </row>
    <row r="3170" spans="1:6" x14ac:dyDescent="0.3">
      <c r="A3170" t="s">
        <v>5215</v>
      </c>
      <c r="B3170" t="s">
        <v>4615</v>
      </c>
      <c r="C3170" t="s">
        <v>5216</v>
      </c>
      <c r="D3170">
        <v>57427264</v>
      </c>
      <c r="E3170">
        <v>5.7</v>
      </c>
      <c r="F3170">
        <v>6.73</v>
      </c>
    </row>
    <row r="3171" spans="1:6" x14ac:dyDescent="0.3">
      <c r="A3171" t="s">
        <v>5217</v>
      </c>
      <c r="B3171" t="s">
        <v>4561</v>
      </c>
      <c r="C3171" t="s">
        <v>3193</v>
      </c>
      <c r="D3171">
        <v>57429286</v>
      </c>
      <c r="E3171">
        <v>16.739999999999998</v>
      </c>
      <c r="F3171">
        <v>5.91</v>
      </c>
    </row>
    <row r="3172" spans="1:6" x14ac:dyDescent="0.3">
      <c r="A3172" t="s">
        <v>5218</v>
      </c>
      <c r="B3172" t="s">
        <v>1996</v>
      </c>
      <c r="C3172" t="s">
        <v>5219</v>
      </c>
      <c r="D3172">
        <v>57430694</v>
      </c>
      <c r="E3172">
        <v>26.02</v>
      </c>
      <c r="F3172">
        <v>7.47</v>
      </c>
    </row>
    <row r="3173" spans="1:6" x14ac:dyDescent="0.3">
      <c r="A3173" t="s">
        <v>5220</v>
      </c>
      <c r="B3173" t="s">
        <v>3803</v>
      </c>
      <c r="C3173" t="s">
        <v>5221</v>
      </c>
      <c r="D3173">
        <v>57430772</v>
      </c>
      <c r="E3173">
        <v>11.64</v>
      </c>
      <c r="F3173">
        <v>4.97</v>
      </c>
    </row>
    <row r="3174" spans="1:6" x14ac:dyDescent="0.3">
      <c r="A3174" t="s">
        <v>5222</v>
      </c>
      <c r="B3174" t="s">
        <v>2228</v>
      </c>
      <c r="C3174" t="s">
        <v>4573</v>
      </c>
      <c r="D3174">
        <v>57433866</v>
      </c>
      <c r="E3174">
        <v>27</v>
      </c>
      <c r="F3174">
        <v>4</v>
      </c>
    </row>
    <row r="3175" spans="1:6" x14ac:dyDescent="0.3">
      <c r="A3175" t="s">
        <v>5223</v>
      </c>
      <c r="B3175" t="s">
        <v>5123</v>
      </c>
      <c r="C3175" t="s">
        <v>4879</v>
      </c>
      <c r="D3175">
        <v>57454858</v>
      </c>
      <c r="E3175">
        <v>3.77</v>
      </c>
      <c r="F3175">
        <v>5.1100000000000003</v>
      </c>
    </row>
    <row r="3176" spans="1:6" x14ac:dyDescent="0.3">
      <c r="A3176" t="s">
        <v>5224</v>
      </c>
      <c r="B3176" t="s">
        <v>4743</v>
      </c>
      <c r="C3176" t="s">
        <v>5225</v>
      </c>
      <c r="D3176">
        <v>57454976</v>
      </c>
      <c r="E3176">
        <v>3.06</v>
      </c>
      <c r="F3176">
        <v>6.14</v>
      </c>
    </row>
    <row r="3177" spans="1:6" x14ac:dyDescent="0.3">
      <c r="A3177" t="s">
        <v>5226</v>
      </c>
      <c r="B3177" t="s">
        <v>4259</v>
      </c>
      <c r="C3177" t="s">
        <v>3687</v>
      </c>
      <c r="D3177">
        <v>57462077</v>
      </c>
      <c r="E3177">
        <v>4.6399999999999997</v>
      </c>
      <c r="F3177">
        <v>5.38</v>
      </c>
    </row>
    <row r="3178" spans="1:6" x14ac:dyDescent="0.3">
      <c r="A3178" t="s">
        <v>5227</v>
      </c>
      <c r="B3178" t="s">
        <v>5228</v>
      </c>
      <c r="C3178" t="s">
        <v>4428</v>
      </c>
      <c r="D3178">
        <v>57487539</v>
      </c>
      <c r="E3178">
        <v>11.25</v>
      </c>
      <c r="F3178">
        <v>6</v>
      </c>
    </row>
    <row r="3179" spans="1:6" x14ac:dyDescent="0.3">
      <c r="A3179" t="s">
        <v>5229</v>
      </c>
      <c r="B3179" t="s">
        <v>3472</v>
      </c>
      <c r="C3179" t="s">
        <v>5230</v>
      </c>
      <c r="D3179">
        <v>57510551</v>
      </c>
      <c r="E3179">
        <v>3.09</v>
      </c>
      <c r="F3179">
        <v>4.54</v>
      </c>
    </row>
    <row r="3180" spans="1:6" x14ac:dyDescent="0.3">
      <c r="A3180" t="s">
        <v>5231</v>
      </c>
      <c r="B3180" t="s">
        <v>2053</v>
      </c>
      <c r="C3180" t="s">
        <v>1355</v>
      </c>
      <c r="D3180">
        <v>57515092</v>
      </c>
      <c r="E3180">
        <v>7.14</v>
      </c>
      <c r="F3180">
        <v>7.02</v>
      </c>
    </row>
    <row r="3181" spans="1:6" x14ac:dyDescent="0.3">
      <c r="A3181" t="s">
        <v>5232</v>
      </c>
      <c r="B3181" t="s">
        <v>3120</v>
      </c>
      <c r="C3181" t="s">
        <v>20</v>
      </c>
      <c r="D3181">
        <v>57516080</v>
      </c>
      <c r="E3181">
        <v>17.13</v>
      </c>
      <c r="F3181">
        <v>6.75</v>
      </c>
    </row>
    <row r="3182" spans="1:6" x14ac:dyDescent="0.3">
      <c r="A3182" t="s">
        <v>5233</v>
      </c>
      <c r="B3182" t="s">
        <v>1589</v>
      </c>
      <c r="C3182" t="s">
        <v>4863</v>
      </c>
      <c r="D3182">
        <v>57520174</v>
      </c>
      <c r="E3182">
        <v>25</v>
      </c>
      <c r="F3182">
        <v>8.67</v>
      </c>
    </row>
    <row r="3183" spans="1:6" x14ac:dyDescent="0.3">
      <c r="A3183" t="s">
        <v>5234</v>
      </c>
      <c r="B3183" t="s">
        <v>5235</v>
      </c>
      <c r="C3183" t="s">
        <v>3264</v>
      </c>
      <c r="D3183">
        <v>57524318</v>
      </c>
      <c r="E3183">
        <v>7.08</v>
      </c>
      <c r="F3183">
        <v>4.78</v>
      </c>
    </row>
    <row r="3184" spans="1:6" x14ac:dyDescent="0.3">
      <c r="A3184" t="s">
        <v>5236</v>
      </c>
      <c r="B3184" t="s">
        <v>5228</v>
      </c>
      <c r="C3184" t="s">
        <v>3854</v>
      </c>
      <c r="D3184">
        <v>57525167</v>
      </c>
      <c r="E3184">
        <v>15.46</v>
      </c>
      <c r="F3184">
        <v>6.64</v>
      </c>
    </row>
    <row r="3185" spans="1:6" x14ac:dyDescent="0.3">
      <c r="A3185" t="s">
        <v>5237</v>
      </c>
      <c r="B3185" t="s">
        <v>5238</v>
      </c>
      <c r="C3185" t="s">
        <v>5239</v>
      </c>
      <c r="D3185">
        <v>57534418</v>
      </c>
      <c r="E3185">
        <v>13.35</v>
      </c>
      <c r="F3185">
        <v>4.6500000000000004</v>
      </c>
    </row>
    <row r="3186" spans="1:6" x14ac:dyDescent="0.3">
      <c r="A3186" t="s">
        <v>5240</v>
      </c>
      <c r="B3186" t="s">
        <v>4208</v>
      </c>
      <c r="C3186" t="s">
        <v>5240</v>
      </c>
      <c r="D3186">
        <v>57540500</v>
      </c>
      <c r="E3186">
        <v>4</v>
      </c>
      <c r="F3186">
        <v>5.58</v>
      </c>
    </row>
    <row r="3187" spans="1:6" x14ac:dyDescent="0.3">
      <c r="A3187" t="s">
        <v>5241</v>
      </c>
      <c r="B3187" t="s">
        <v>4690</v>
      </c>
      <c r="C3187" t="s">
        <v>4504</v>
      </c>
      <c r="D3187">
        <v>57546899</v>
      </c>
      <c r="E3187">
        <v>11.33</v>
      </c>
      <c r="F3187">
        <v>6</v>
      </c>
    </row>
    <row r="3188" spans="1:6" x14ac:dyDescent="0.3">
      <c r="A3188" t="s">
        <v>5242</v>
      </c>
      <c r="B3188" t="s">
        <v>4078</v>
      </c>
      <c r="C3188" t="s">
        <v>4069</v>
      </c>
      <c r="D3188">
        <v>57550102</v>
      </c>
      <c r="E3188">
        <v>4.8099999999999996</v>
      </c>
      <c r="F3188">
        <v>6.1</v>
      </c>
    </row>
    <row r="3189" spans="1:6" x14ac:dyDescent="0.3">
      <c r="A3189" t="s">
        <v>5243</v>
      </c>
      <c r="B3189" t="s">
        <v>1663</v>
      </c>
      <c r="C3189" t="s">
        <v>4504</v>
      </c>
      <c r="D3189">
        <v>57559425</v>
      </c>
      <c r="E3189">
        <v>23.16</v>
      </c>
      <c r="F3189">
        <v>7.26</v>
      </c>
    </row>
    <row r="3190" spans="1:6" x14ac:dyDescent="0.3">
      <c r="A3190" t="s">
        <v>5244</v>
      </c>
      <c r="B3190" t="s">
        <v>5245</v>
      </c>
      <c r="C3190" t="s">
        <v>5246</v>
      </c>
      <c r="D3190">
        <v>57567541</v>
      </c>
      <c r="E3190">
        <v>1.87</v>
      </c>
      <c r="F3190">
        <v>6.24</v>
      </c>
    </row>
    <row r="3191" spans="1:6" x14ac:dyDescent="0.3">
      <c r="A3191" t="s">
        <v>5247</v>
      </c>
      <c r="B3191" t="s">
        <v>2716</v>
      </c>
      <c r="C3191" t="s">
        <v>1142</v>
      </c>
      <c r="D3191">
        <v>57571964</v>
      </c>
      <c r="E3191">
        <v>32</v>
      </c>
      <c r="F3191">
        <v>9</v>
      </c>
    </row>
    <row r="3192" spans="1:6" x14ac:dyDescent="0.3">
      <c r="A3192" t="s">
        <v>5248</v>
      </c>
      <c r="B3192" t="s">
        <v>2716</v>
      </c>
      <c r="C3192" t="s">
        <v>5249</v>
      </c>
      <c r="D3192">
        <v>57571983</v>
      </c>
      <c r="E3192">
        <v>33</v>
      </c>
      <c r="F3192">
        <v>7.5</v>
      </c>
    </row>
    <row r="3193" spans="1:6" x14ac:dyDescent="0.3">
      <c r="A3193" t="s">
        <v>5250</v>
      </c>
      <c r="B3193" t="s">
        <v>4580</v>
      </c>
      <c r="C3193" t="s">
        <v>5250</v>
      </c>
      <c r="D3193">
        <v>57577028</v>
      </c>
      <c r="E3193">
        <v>2.79</v>
      </c>
      <c r="F3193">
        <v>7.96</v>
      </c>
    </row>
    <row r="3194" spans="1:6" x14ac:dyDescent="0.3">
      <c r="A3194" t="s">
        <v>5251</v>
      </c>
      <c r="B3194" t="s">
        <v>5252</v>
      </c>
      <c r="C3194" t="s">
        <v>5253</v>
      </c>
      <c r="D3194">
        <v>57578185</v>
      </c>
      <c r="E3194">
        <v>8.2200000000000006</v>
      </c>
      <c r="F3194">
        <v>7.63</v>
      </c>
    </row>
    <row r="3195" spans="1:6" x14ac:dyDescent="0.3">
      <c r="A3195" t="s">
        <v>5254</v>
      </c>
      <c r="B3195" t="s">
        <v>5255</v>
      </c>
      <c r="C3195" t="s">
        <v>2192</v>
      </c>
      <c r="D3195">
        <v>57583265</v>
      </c>
      <c r="E3195">
        <v>10.57</v>
      </c>
      <c r="F3195">
        <v>4.29</v>
      </c>
    </row>
    <row r="3196" spans="1:6" x14ac:dyDescent="0.3">
      <c r="A3196" t="s">
        <v>5256</v>
      </c>
      <c r="B3196" t="s">
        <v>673</v>
      </c>
      <c r="C3196" t="s">
        <v>5257</v>
      </c>
      <c r="D3196">
        <v>57595201</v>
      </c>
      <c r="E3196">
        <v>23</v>
      </c>
      <c r="F3196">
        <v>7.75</v>
      </c>
    </row>
    <row r="3197" spans="1:6" x14ac:dyDescent="0.3">
      <c r="A3197" t="s">
        <v>5258</v>
      </c>
      <c r="B3197" t="s">
        <v>2614</v>
      </c>
      <c r="C3197" t="s">
        <v>5259</v>
      </c>
      <c r="D3197">
        <v>57600307</v>
      </c>
      <c r="E3197">
        <v>32.799999999999997</v>
      </c>
      <c r="F3197">
        <v>7.53</v>
      </c>
    </row>
    <row r="3198" spans="1:6" x14ac:dyDescent="0.3">
      <c r="A3198" t="s">
        <v>5260</v>
      </c>
      <c r="B3198" t="s">
        <v>4184</v>
      </c>
      <c r="C3198" t="s">
        <v>5029</v>
      </c>
      <c r="D3198">
        <v>57626116</v>
      </c>
      <c r="E3198">
        <v>17.420000000000002</v>
      </c>
      <c r="F3198">
        <v>6.6</v>
      </c>
    </row>
    <row r="3199" spans="1:6" x14ac:dyDescent="0.3">
      <c r="A3199" t="s">
        <v>5261</v>
      </c>
      <c r="B3199" t="s">
        <v>5262</v>
      </c>
      <c r="C3199" t="s">
        <v>4504</v>
      </c>
      <c r="D3199">
        <v>57632190</v>
      </c>
      <c r="E3199">
        <v>4.7300000000000004</v>
      </c>
      <c r="F3199">
        <v>6.75</v>
      </c>
    </row>
    <row r="3200" spans="1:6" x14ac:dyDescent="0.3">
      <c r="A3200" t="s">
        <v>5263</v>
      </c>
      <c r="B3200" t="s">
        <v>5264</v>
      </c>
      <c r="C3200" t="s">
        <v>5265</v>
      </c>
      <c r="D3200">
        <v>57634792</v>
      </c>
      <c r="E3200">
        <v>9.98</v>
      </c>
      <c r="F3200">
        <v>3.92</v>
      </c>
    </row>
    <row r="3201" spans="1:6" x14ac:dyDescent="0.3">
      <c r="A3201" t="s">
        <v>5266</v>
      </c>
      <c r="B3201" t="s">
        <v>463</v>
      </c>
      <c r="C3201" t="s">
        <v>5267</v>
      </c>
      <c r="D3201">
        <v>57638361</v>
      </c>
      <c r="E3201">
        <v>18.940000000000001</v>
      </c>
      <c r="F3201">
        <v>8.0500000000000007</v>
      </c>
    </row>
    <row r="3202" spans="1:6" x14ac:dyDescent="0.3">
      <c r="A3202" t="s">
        <v>5268</v>
      </c>
      <c r="B3202" t="s">
        <v>5269</v>
      </c>
      <c r="C3202" t="s">
        <v>1375</v>
      </c>
      <c r="D3202">
        <v>57638927</v>
      </c>
      <c r="E3202">
        <v>6.6</v>
      </c>
      <c r="F3202">
        <v>6.67</v>
      </c>
    </row>
    <row r="3203" spans="1:6" x14ac:dyDescent="0.3">
      <c r="A3203" t="s">
        <v>5270</v>
      </c>
      <c r="B3203" t="s">
        <v>3823</v>
      </c>
      <c r="C3203" t="s">
        <v>5270</v>
      </c>
      <c r="D3203">
        <v>57658906</v>
      </c>
      <c r="E3203">
        <v>4.55</v>
      </c>
      <c r="F3203">
        <v>6.54</v>
      </c>
    </row>
    <row r="3204" spans="1:6" x14ac:dyDescent="0.3">
      <c r="A3204" t="s">
        <v>5271</v>
      </c>
      <c r="B3204" t="s">
        <v>4377</v>
      </c>
      <c r="C3204" t="s">
        <v>4519</v>
      </c>
      <c r="D3204">
        <v>57660056</v>
      </c>
      <c r="E3204">
        <v>17.670000000000002</v>
      </c>
      <c r="F3204">
        <v>7.67</v>
      </c>
    </row>
    <row r="3205" spans="1:6" x14ac:dyDescent="0.3">
      <c r="A3205" t="s">
        <v>5272</v>
      </c>
      <c r="B3205" t="s">
        <v>4285</v>
      </c>
      <c r="C3205" t="s">
        <v>1062</v>
      </c>
      <c r="D3205">
        <v>57679990</v>
      </c>
      <c r="E3205">
        <v>4.6100000000000003</v>
      </c>
      <c r="F3205">
        <v>6.7</v>
      </c>
    </row>
    <row r="3206" spans="1:6" x14ac:dyDescent="0.3">
      <c r="A3206" t="s">
        <v>5273</v>
      </c>
      <c r="B3206" t="s">
        <v>3944</v>
      </c>
      <c r="C3206" t="s">
        <v>227</v>
      </c>
      <c r="D3206">
        <v>57693315</v>
      </c>
      <c r="E3206">
        <v>1.99</v>
      </c>
      <c r="F3206">
        <v>6.43</v>
      </c>
    </row>
    <row r="3207" spans="1:6" x14ac:dyDescent="0.3">
      <c r="A3207" t="s">
        <v>5274</v>
      </c>
      <c r="B3207" t="s">
        <v>4479</v>
      </c>
      <c r="C3207" t="s">
        <v>5275</v>
      </c>
      <c r="D3207">
        <v>57695320</v>
      </c>
      <c r="E3207">
        <v>4.2300000000000004</v>
      </c>
      <c r="F3207">
        <v>7.24</v>
      </c>
    </row>
    <row r="3208" spans="1:6" x14ac:dyDescent="0.3">
      <c r="A3208" t="s">
        <v>5276</v>
      </c>
      <c r="B3208" t="s">
        <v>5277</v>
      </c>
      <c r="C3208" t="s">
        <v>2441</v>
      </c>
      <c r="D3208">
        <v>57700744</v>
      </c>
      <c r="E3208">
        <v>15.01</v>
      </c>
      <c r="F3208">
        <v>6</v>
      </c>
    </row>
    <row r="3209" spans="1:6" x14ac:dyDescent="0.3">
      <c r="A3209" t="s">
        <v>5278</v>
      </c>
      <c r="B3209" t="s">
        <v>1576</v>
      </c>
      <c r="C3209" t="s">
        <v>3706</v>
      </c>
      <c r="D3209">
        <v>57700790</v>
      </c>
      <c r="E3209">
        <v>14.15</v>
      </c>
      <c r="F3209">
        <v>6.21</v>
      </c>
    </row>
    <row r="3210" spans="1:6" x14ac:dyDescent="0.3">
      <c r="A3210" t="s">
        <v>5279</v>
      </c>
      <c r="B3210" t="s">
        <v>5206</v>
      </c>
      <c r="C3210" t="s">
        <v>2810</v>
      </c>
      <c r="D3210">
        <v>57701301</v>
      </c>
      <c r="E3210">
        <v>12.5</v>
      </c>
      <c r="F3210">
        <v>6</v>
      </c>
    </row>
    <row r="3211" spans="1:6" x14ac:dyDescent="0.3">
      <c r="A3211" t="s">
        <v>5280</v>
      </c>
      <c r="B3211" t="s">
        <v>2018</v>
      </c>
      <c r="C3211" t="s">
        <v>5281</v>
      </c>
      <c r="D3211">
        <v>57702924</v>
      </c>
      <c r="E3211">
        <v>1.64</v>
      </c>
      <c r="F3211">
        <v>6.86</v>
      </c>
    </row>
    <row r="3212" spans="1:6" x14ac:dyDescent="0.3">
      <c r="A3212" t="s">
        <v>5282</v>
      </c>
      <c r="B3212" t="s">
        <v>5283</v>
      </c>
      <c r="C3212" t="s">
        <v>5284</v>
      </c>
      <c r="D3212">
        <v>57727390</v>
      </c>
      <c r="E3212">
        <v>6</v>
      </c>
      <c r="F3212">
        <v>7</v>
      </c>
    </row>
    <row r="3213" spans="1:6" x14ac:dyDescent="0.3">
      <c r="A3213" t="s">
        <v>5285</v>
      </c>
      <c r="B3213" t="s">
        <v>5006</v>
      </c>
      <c r="C3213" t="s">
        <v>5286</v>
      </c>
      <c r="D3213">
        <v>57760586</v>
      </c>
      <c r="E3213">
        <v>3.07</v>
      </c>
      <c r="F3213">
        <v>5.88</v>
      </c>
    </row>
    <row r="3214" spans="1:6" x14ac:dyDescent="0.3">
      <c r="A3214" t="s">
        <v>5287</v>
      </c>
      <c r="B3214" t="s">
        <v>5288</v>
      </c>
      <c r="C3214" t="s">
        <v>4241</v>
      </c>
      <c r="D3214">
        <v>57789765</v>
      </c>
      <c r="E3214">
        <v>13.97</v>
      </c>
      <c r="F3214">
        <v>5.83</v>
      </c>
    </row>
    <row r="3215" spans="1:6" x14ac:dyDescent="0.3">
      <c r="A3215" t="s">
        <v>5289</v>
      </c>
      <c r="B3215" t="s">
        <v>712</v>
      </c>
      <c r="C3215" t="s">
        <v>379</v>
      </c>
      <c r="D3215">
        <v>57803923</v>
      </c>
      <c r="E3215">
        <v>24.33</v>
      </c>
      <c r="F3215">
        <v>8</v>
      </c>
    </row>
    <row r="3216" spans="1:6" x14ac:dyDescent="0.3">
      <c r="A3216" t="s">
        <v>5290</v>
      </c>
      <c r="B3216" t="s">
        <v>5107</v>
      </c>
      <c r="C3216" t="s">
        <v>5291</v>
      </c>
      <c r="D3216">
        <v>57805587</v>
      </c>
      <c r="E3216">
        <v>1.87</v>
      </c>
      <c r="F3216">
        <v>7.26</v>
      </c>
    </row>
    <row r="3217" spans="1:6" x14ac:dyDescent="0.3">
      <c r="A3217" t="s">
        <v>3313</v>
      </c>
      <c r="B3217" t="s">
        <v>5292</v>
      </c>
      <c r="C3217" t="s">
        <v>4306</v>
      </c>
      <c r="D3217">
        <v>57816528</v>
      </c>
      <c r="E3217">
        <v>3.67</v>
      </c>
      <c r="F3217">
        <v>4.63</v>
      </c>
    </row>
    <row r="3218" spans="1:6" x14ac:dyDescent="0.3">
      <c r="A3218" t="s">
        <v>5293</v>
      </c>
      <c r="B3218" t="s">
        <v>4100</v>
      </c>
      <c r="C3218" t="s">
        <v>5294</v>
      </c>
      <c r="D3218">
        <v>57817438</v>
      </c>
      <c r="E3218">
        <v>2.38</v>
      </c>
      <c r="F3218">
        <v>6.86</v>
      </c>
    </row>
    <row r="3219" spans="1:6" x14ac:dyDescent="0.3">
      <c r="A3219" t="s">
        <v>5295</v>
      </c>
      <c r="B3219" t="s">
        <v>5296</v>
      </c>
      <c r="C3219" t="s">
        <v>5297</v>
      </c>
      <c r="D3219">
        <v>57828149</v>
      </c>
      <c r="E3219">
        <v>1.89</v>
      </c>
      <c r="F3219">
        <v>5.15</v>
      </c>
    </row>
    <row r="3220" spans="1:6" x14ac:dyDescent="0.3">
      <c r="A3220" t="s">
        <v>5298</v>
      </c>
      <c r="B3220" t="s">
        <v>5299</v>
      </c>
      <c r="C3220" t="s">
        <v>1375</v>
      </c>
      <c r="D3220">
        <v>57828784</v>
      </c>
      <c r="E3220">
        <v>32</v>
      </c>
      <c r="F3220">
        <v>6.57</v>
      </c>
    </row>
    <row r="3221" spans="1:6" x14ac:dyDescent="0.3">
      <c r="A3221" t="s">
        <v>5300</v>
      </c>
      <c r="B3221" t="s">
        <v>4445</v>
      </c>
      <c r="C3221" t="s">
        <v>3757</v>
      </c>
      <c r="D3221">
        <v>57831517</v>
      </c>
      <c r="E3221">
        <v>4</v>
      </c>
      <c r="F3221">
        <v>5.88</v>
      </c>
    </row>
    <row r="3222" spans="1:6" x14ac:dyDescent="0.3">
      <c r="A3222" t="s">
        <v>5301</v>
      </c>
      <c r="B3222" t="s">
        <v>5302</v>
      </c>
      <c r="C3222" t="s">
        <v>5303</v>
      </c>
      <c r="D3222">
        <v>57836775</v>
      </c>
      <c r="E3222">
        <v>1.84</v>
      </c>
      <c r="F3222">
        <v>6.03</v>
      </c>
    </row>
    <row r="3223" spans="1:6" x14ac:dyDescent="0.3">
      <c r="A3223" t="s">
        <v>5304</v>
      </c>
      <c r="B3223" t="s">
        <v>5305</v>
      </c>
      <c r="C3223" t="s">
        <v>2254</v>
      </c>
      <c r="D3223">
        <v>57858298</v>
      </c>
      <c r="E3223">
        <v>16.18</v>
      </c>
      <c r="F3223">
        <v>6.7</v>
      </c>
    </row>
    <row r="3224" spans="1:6" x14ac:dyDescent="0.3">
      <c r="A3224" t="s">
        <v>5306</v>
      </c>
      <c r="B3224" t="s">
        <v>2808</v>
      </c>
      <c r="C3224" t="s">
        <v>2135</v>
      </c>
      <c r="D3224">
        <v>57858443</v>
      </c>
      <c r="E3224">
        <v>4.25</v>
      </c>
      <c r="F3224">
        <v>7.07</v>
      </c>
    </row>
    <row r="3225" spans="1:6" x14ac:dyDescent="0.3">
      <c r="A3225" t="s">
        <v>5307</v>
      </c>
      <c r="B3225" t="s">
        <v>3805</v>
      </c>
      <c r="C3225" t="s">
        <v>5308</v>
      </c>
      <c r="D3225">
        <v>57871639</v>
      </c>
      <c r="E3225">
        <v>2.75</v>
      </c>
      <c r="F3225">
        <v>5.71</v>
      </c>
    </row>
    <row r="3226" spans="1:6" x14ac:dyDescent="0.3">
      <c r="A3226" t="s">
        <v>5309</v>
      </c>
      <c r="B3226" t="s">
        <v>3598</v>
      </c>
      <c r="C3226" t="s">
        <v>5310</v>
      </c>
      <c r="D3226">
        <v>57874008</v>
      </c>
      <c r="E3226">
        <v>3.03</v>
      </c>
      <c r="F3226">
        <v>7.52</v>
      </c>
    </row>
    <row r="3227" spans="1:6" x14ac:dyDescent="0.3">
      <c r="A3227" t="s">
        <v>5311</v>
      </c>
      <c r="B3227" t="s">
        <v>4825</v>
      </c>
      <c r="C3227" t="s">
        <v>5312</v>
      </c>
      <c r="D3227">
        <v>57883100</v>
      </c>
      <c r="E3227">
        <v>1.76</v>
      </c>
      <c r="F3227">
        <v>6.86</v>
      </c>
    </row>
    <row r="3228" spans="1:6" x14ac:dyDescent="0.3">
      <c r="A3228" t="s">
        <v>5313</v>
      </c>
      <c r="B3228" t="s">
        <v>5314</v>
      </c>
      <c r="C3228" t="s">
        <v>2154</v>
      </c>
      <c r="D3228">
        <v>57884518</v>
      </c>
      <c r="E3228">
        <v>7.57</v>
      </c>
      <c r="F3228">
        <v>6.83</v>
      </c>
    </row>
    <row r="3229" spans="1:6" x14ac:dyDescent="0.3">
      <c r="A3229" t="s">
        <v>5315</v>
      </c>
      <c r="B3229" t="s">
        <v>4261</v>
      </c>
      <c r="C3229" t="s">
        <v>1087</v>
      </c>
      <c r="D3229">
        <v>57886604</v>
      </c>
      <c r="E3229">
        <v>4.93</v>
      </c>
      <c r="F3229">
        <v>7.14</v>
      </c>
    </row>
    <row r="3230" spans="1:6" x14ac:dyDescent="0.3">
      <c r="A3230" t="s">
        <v>5316</v>
      </c>
      <c r="B3230" t="s">
        <v>5317</v>
      </c>
      <c r="C3230" t="s">
        <v>4464</v>
      </c>
      <c r="D3230">
        <v>57893808</v>
      </c>
      <c r="E3230">
        <v>2.65</v>
      </c>
      <c r="F3230">
        <v>3.7</v>
      </c>
    </row>
    <row r="3231" spans="1:6" x14ac:dyDescent="0.3">
      <c r="A3231" t="s">
        <v>5318</v>
      </c>
      <c r="B3231" t="s">
        <v>5319</v>
      </c>
      <c r="C3231" t="s">
        <v>5320</v>
      </c>
      <c r="D3231">
        <v>57900151</v>
      </c>
      <c r="E3231">
        <v>2.73</v>
      </c>
      <c r="F3231">
        <v>6.21</v>
      </c>
    </row>
    <row r="3232" spans="1:6" x14ac:dyDescent="0.3">
      <c r="A3232" t="s">
        <v>5321</v>
      </c>
      <c r="B3232" t="s">
        <v>5322</v>
      </c>
      <c r="C3232" t="s">
        <v>4873</v>
      </c>
      <c r="D3232">
        <v>57903107</v>
      </c>
      <c r="E3232">
        <v>18.62</v>
      </c>
      <c r="F3232">
        <v>7.13</v>
      </c>
    </row>
    <row r="3233" spans="1:6" x14ac:dyDescent="0.3">
      <c r="A3233" t="s">
        <v>5323</v>
      </c>
      <c r="B3233" t="s">
        <v>3832</v>
      </c>
      <c r="C3233" t="s">
        <v>3701</v>
      </c>
      <c r="D3233">
        <v>57940568</v>
      </c>
      <c r="E3233">
        <v>1.52</v>
      </c>
      <c r="F3233">
        <v>6.8</v>
      </c>
    </row>
    <row r="3234" spans="1:6" x14ac:dyDescent="0.3">
      <c r="A3234" t="s">
        <v>5324</v>
      </c>
      <c r="B3234" t="s">
        <v>4730</v>
      </c>
      <c r="C3234" t="s">
        <v>4986</v>
      </c>
      <c r="D3234">
        <v>57950411</v>
      </c>
      <c r="E3234">
        <v>12</v>
      </c>
      <c r="F3234">
        <v>3.5</v>
      </c>
    </row>
    <row r="3235" spans="1:6" x14ac:dyDescent="0.3">
      <c r="A3235" t="s">
        <v>5325</v>
      </c>
      <c r="B3235" t="s">
        <v>3803</v>
      </c>
      <c r="C3235" t="s">
        <v>5326</v>
      </c>
      <c r="D3235">
        <v>57952616</v>
      </c>
      <c r="E3235">
        <v>3.85</v>
      </c>
      <c r="F3235">
        <v>6.18</v>
      </c>
    </row>
    <row r="3236" spans="1:6" x14ac:dyDescent="0.3">
      <c r="A3236" t="s">
        <v>5327</v>
      </c>
      <c r="B3236" t="s">
        <v>5328</v>
      </c>
      <c r="C3236" t="s">
        <v>4986</v>
      </c>
      <c r="D3236">
        <v>57982355</v>
      </c>
      <c r="E3236">
        <v>14.4</v>
      </c>
      <c r="F3236">
        <v>6.8</v>
      </c>
    </row>
    <row r="3237" spans="1:6" x14ac:dyDescent="0.3">
      <c r="A3237" t="s">
        <v>5329</v>
      </c>
      <c r="B3237" t="s">
        <v>5330</v>
      </c>
      <c r="C3237" t="s">
        <v>797</v>
      </c>
      <c r="D3237">
        <v>57987528</v>
      </c>
      <c r="E3237">
        <v>8.0299999999999994</v>
      </c>
      <c r="F3237">
        <v>6.9</v>
      </c>
    </row>
    <row r="3238" spans="1:6" x14ac:dyDescent="0.3">
      <c r="A3238" t="s">
        <v>5331</v>
      </c>
      <c r="B3238" t="s">
        <v>5332</v>
      </c>
      <c r="C3238" t="s">
        <v>1386</v>
      </c>
      <c r="D3238">
        <v>58002670</v>
      </c>
      <c r="E3238">
        <v>7.02</v>
      </c>
      <c r="F3238">
        <v>6.91</v>
      </c>
    </row>
    <row r="3239" spans="1:6" x14ac:dyDescent="0.3">
      <c r="A3239" t="s">
        <v>5333</v>
      </c>
      <c r="B3239" t="s">
        <v>4479</v>
      </c>
      <c r="C3239" t="s">
        <v>5334</v>
      </c>
      <c r="D3239">
        <v>58002693</v>
      </c>
      <c r="E3239">
        <v>2.93</v>
      </c>
      <c r="F3239">
        <v>6.14</v>
      </c>
    </row>
    <row r="3240" spans="1:6" x14ac:dyDescent="0.3">
      <c r="A3240" t="s">
        <v>5335</v>
      </c>
      <c r="B3240" t="s">
        <v>4293</v>
      </c>
      <c r="C3240" t="s">
        <v>5336</v>
      </c>
      <c r="D3240">
        <v>58012537</v>
      </c>
      <c r="E3240">
        <v>15.56</v>
      </c>
      <c r="F3240">
        <v>6.56</v>
      </c>
    </row>
    <row r="3241" spans="1:6" x14ac:dyDescent="0.3">
      <c r="A3241" t="s">
        <v>5337</v>
      </c>
      <c r="B3241" t="s">
        <v>3051</v>
      </c>
      <c r="C3241" t="s">
        <v>3123</v>
      </c>
      <c r="D3241">
        <v>58014055</v>
      </c>
      <c r="E3241">
        <v>4.17</v>
      </c>
      <c r="F3241">
        <v>5.53</v>
      </c>
    </row>
    <row r="3242" spans="1:6" x14ac:dyDescent="0.3">
      <c r="A3242" t="s">
        <v>5338</v>
      </c>
      <c r="B3242" t="s">
        <v>5238</v>
      </c>
      <c r="C3242" t="s">
        <v>5339</v>
      </c>
      <c r="D3242">
        <v>58023558</v>
      </c>
      <c r="E3242">
        <v>21.95</v>
      </c>
      <c r="F3242">
        <v>7.15</v>
      </c>
    </row>
    <row r="3243" spans="1:6" x14ac:dyDescent="0.3">
      <c r="A3243" t="s">
        <v>5340</v>
      </c>
      <c r="B3243" t="s">
        <v>4293</v>
      </c>
      <c r="C3243" t="s">
        <v>5336</v>
      </c>
      <c r="D3243">
        <v>58024388</v>
      </c>
      <c r="E3243">
        <v>11.38</v>
      </c>
      <c r="F3243">
        <v>6.17</v>
      </c>
    </row>
    <row r="3244" spans="1:6" x14ac:dyDescent="0.3">
      <c r="A3244" t="s">
        <v>5341</v>
      </c>
      <c r="B3244" t="s">
        <v>4797</v>
      </c>
      <c r="C3244" t="s">
        <v>2164</v>
      </c>
      <c r="D3244">
        <v>58029552</v>
      </c>
      <c r="E3244">
        <v>2.17</v>
      </c>
      <c r="F3244">
        <v>6.77</v>
      </c>
    </row>
    <row r="3245" spans="1:6" x14ac:dyDescent="0.3">
      <c r="A3245" t="s">
        <v>5342</v>
      </c>
      <c r="B3245" t="s">
        <v>3181</v>
      </c>
      <c r="C3245" t="s">
        <v>5343</v>
      </c>
      <c r="D3245">
        <v>58033661</v>
      </c>
      <c r="E3245">
        <v>3.6</v>
      </c>
      <c r="F3245">
        <v>7.13</v>
      </c>
    </row>
    <row r="3246" spans="1:6" x14ac:dyDescent="0.3">
      <c r="A3246" t="s">
        <v>5344</v>
      </c>
      <c r="B3246" t="s">
        <v>3805</v>
      </c>
      <c r="C3246" t="s">
        <v>5040</v>
      </c>
      <c r="D3246">
        <v>58036363</v>
      </c>
      <c r="E3246">
        <v>3.71</v>
      </c>
      <c r="F3246">
        <v>5.88</v>
      </c>
    </row>
    <row r="3247" spans="1:6" x14ac:dyDescent="0.3">
      <c r="A3247" t="s">
        <v>5345</v>
      </c>
      <c r="B3247" t="s">
        <v>4899</v>
      </c>
      <c r="C3247" t="s">
        <v>749</v>
      </c>
      <c r="D3247">
        <v>58046687</v>
      </c>
      <c r="E3247">
        <v>9.92</v>
      </c>
      <c r="F3247">
        <v>2.75</v>
      </c>
    </row>
    <row r="3248" spans="1:6" x14ac:dyDescent="0.3">
      <c r="A3248" t="s">
        <v>5346</v>
      </c>
      <c r="B3248" t="s">
        <v>5347</v>
      </c>
      <c r="C3248" t="s">
        <v>2958</v>
      </c>
      <c r="D3248">
        <v>58054696</v>
      </c>
      <c r="E3248">
        <v>3.25</v>
      </c>
      <c r="F3248">
        <v>6.33</v>
      </c>
    </row>
    <row r="3249" spans="1:6" x14ac:dyDescent="0.3">
      <c r="A3249" t="s">
        <v>5348</v>
      </c>
      <c r="B3249" t="s">
        <v>5349</v>
      </c>
      <c r="C3249" t="s">
        <v>813</v>
      </c>
      <c r="D3249">
        <v>58057483</v>
      </c>
      <c r="E3249">
        <v>4.5599999999999996</v>
      </c>
      <c r="F3249">
        <v>5.57</v>
      </c>
    </row>
    <row r="3250" spans="1:6" x14ac:dyDescent="0.3">
      <c r="A3250" t="s">
        <v>3437</v>
      </c>
      <c r="B3250" t="s">
        <v>5350</v>
      </c>
      <c r="C3250" t="s">
        <v>4244</v>
      </c>
      <c r="D3250">
        <v>58065436</v>
      </c>
      <c r="E3250">
        <v>15.03</v>
      </c>
      <c r="F3250">
        <v>5.54</v>
      </c>
    </row>
    <row r="3251" spans="1:6" x14ac:dyDescent="0.3">
      <c r="A3251" t="s">
        <v>5351</v>
      </c>
      <c r="B3251" t="s">
        <v>5352</v>
      </c>
      <c r="C3251" t="s">
        <v>39</v>
      </c>
      <c r="D3251">
        <v>58069223</v>
      </c>
      <c r="E3251">
        <v>19.89</v>
      </c>
      <c r="F3251">
        <v>6.14</v>
      </c>
    </row>
    <row r="3252" spans="1:6" x14ac:dyDescent="0.3">
      <c r="A3252" t="s">
        <v>5353</v>
      </c>
      <c r="B3252" t="s">
        <v>5354</v>
      </c>
      <c r="C3252" t="s">
        <v>4902</v>
      </c>
      <c r="D3252">
        <v>58073946</v>
      </c>
      <c r="E3252">
        <v>4.38</v>
      </c>
      <c r="F3252">
        <v>5.23</v>
      </c>
    </row>
    <row r="3253" spans="1:6" x14ac:dyDescent="0.3">
      <c r="A3253" t="s">
        <v>5355</v>
      </c>
      <c r="B3253" t="s">
        <v>3830</v>
      </c>
      <c r="C3253" t="s">
        <v>5356</v>
      </c>
      <c r="D3253">
        <v>58074935</v>
      </c>
      <c r="E3253">
        <v>2.91</v>
      </c>
      <c r="F3253">
        <v>7.94</v>
      </c>
    </row>
    <row r="3254" spans="1:6" x14ac:dyDescent="0.3">
      <c r="A3254" t="s">
        <v>5357</v>
      </c>
      <c r="B3254" t="s">
        <v>5358</v>
      </c>
      <c r="C3254" t="s">
        <v>749</v>
      </c>
      <c r="D3254">
        <v>58088534</v>
      </c>
      <c r="E3254" t="s">
        <v>3814</v>
      </c>
      <c r="F3254" t="s">
        <v>3814</v>
      </c>
    </row>
    <row r="3255" spans="1:6" x14ac:dyDescent="0.3">
      <c r="A3255" t="s">
        <v>1777</v>
      </c>
      <c r="B3255" t="s">
        <v>3928</v>
      </c>
      <c r="C3255" t="s">
        <v>5359</v>
      </c>
      <c r="D3255">
        <v>58091061</v>
      </c>
      <c r="E3255">
        <v>4.5199999999999996</v>
      </c>
      <c r="F3255">
        <v>5.8</v>
      </c>
    </row>
    <row r="3256" spans="1:6" x14ac:dyDescent="0.3">
      <c r="A3256" t="s">
        <v>5360</v>
      </c>
      <c r="B3256" t="s">
        <v>3405</v>
      </c>
      <c r="C3256" t="s">
        <v>3499</v>
      </c>
      <c r="D3256">
        <v>58094916</v>
      </c>
      <c r="E3256">
        <v>3.13</v>
      </c>
      <c r="F3256">
        <v>4.6399999999999997</v>
      </c>
    </row>
    <row r="3257" spans="1:6" x14ac:dyDescent="0.3">
      <c r="A3257" t="s">
        <v>5361</v>
      </c>
      <c r="B3257" t="s">
        <v>4741</v>
      </c>
      <c r="C3257" t="s">
        <v>2679</v>
      </c>
      <c r="D3257">
        <v>58097797</v>
      </c>
      <c r="E3257">
        <v>13.44</v>
      </c>
      <c r="F3257">
        <v>7.13</v>
      </c>
    </row>
    <row r="3258" spans="1:6" x14ac:dyDescent="0.3">
      <c r="A3258" t="s">
        <v>5362</v>
      </c>
      <c r="B3258" t="s">
        <v>4812</v>
      </c>
      <c r="C3258" t="s">
        <v>4873</v>
      </c>
      <c r="D3258">
        <v>58127799</v>
      </c>
      <c r="E3258">
        <v>3.43</v>
      </c>
      <c r="F3258">
        <v>6</v>
      </c>
    </row>
    <row r="3259" spans="1:6" x14ac:dyDescent="0.3">
      <c r="A3259" t="s">
        <v>5363</v>
      </c>
      <c r="B3259" t="s">
        <v>5364</v>
      </c>
      <c r="C3259" t="s">
        <v>3190</v>
      </c>
      <c r="D3259">
        <v>58150142</v>
      </c>
      <c r="E3259" t="s">
        <v>3814</v>
      </c>
      <c r="F3259" t="s">
        <v>3814</v>
      </c>
    </row>
    <row r="3260" spans="1:6" x14ac:dyDescent="0.3">
      <c r="A3260" t="s">
        <v>5365</v>
      </c>
      <c r="B3260" t="s">
        <v>2351</v>
      </c>
      <c r="C3260" t="s">
        <v>3535</v>
      </c>
      <c r="D3260">
        <v>58161496</v>
      </c>
      <c r="E3260">
        <v>33.03</v>
      </c>
      <c r="F3260">
        <v>7.6</v>
      </c>
    </row>
    <row r="3261" spans="1:6" x14ac:dyDescent="0.3">
      <c r="A3261" t="s">
        <v>5366</v>
      </c>
      <c r="B3261" t="s">
        <v>4756</v>
      </c>
      <c r="C3261" t="s">
        <v>2383</v>
      </c>
      <c r="D3261">
        <v>58174545</v>
      </c>
      <c r="E3261">
        <v>16.45</v>
      </c>
      <c r="F3261">
        <v>7.67</v>
      </c>
    </row>
    <row r="3262" spans="1:6" x14ac:dyDescent="0.3">
      <c r="A3262" t="s">
        <v>5367</v>
      </c>
      <c r="B3262" t="s">
        <v>4662</v>
      </c>
      <c r="C3262" t="s">
        <v>17</v>
      </c>
      <c r="D3262">
        <v>58182843</v>
      </c>
      <c r="E3262">
        <v>11.76</v>
      </c>
      <c r="F3262">
        <v>8</v>
      </c>
    </row>
    <row r="3263" spans="1:6" x14ac:dyDescent="0.3">
      <c r="A3263" t="s">
        <v>5368</v>
      </c>
      <c r="B3263" t="s">
        <v>4690</v>
      </c>
      <c r="C3263" t="s">
        <v>5369</v>
      </c>
      <c r="D3263">
        <v>58187687</v>
      </c>
      <c r="E3263">
        <v>2.1</v>
      </c>
      <c r="F3263">
        <v>6.69</v>
      </c>
    </row>
    <row r="3264" spans="1:6" x14ac:dyDescent="0.3">
      <c r="A3264" t="s">
        <v>5370</v>
      </c>
      <c r="B3264" t="s">
        <v>5371</v>
      </c>
      <c r="C3264" t="s">
        <v>4504</v>
      </c>
      <c r="D3264">
        <v>58188520</v>
      </c>
      <c r="E3264">
        <v>8.1</v>
      </c>
      <c r="F3264">
        <v>4.4000000000000004</v>
      </c>
    </row>
    <row r="3265" spans="1:6" x14ac:dyDescent="0.3">
      <c r="A3265" t="s">
        <v>5372</v>
      </c>
      <c r="B3265" t="s">
        <v>5373</v>
      </c>
      <c r="C3265" t="s">
        <v>2254</v>
      </c>
      <c r="D3265">
        <v>58239272</v>
      </c>
      <c r="E3265">
        <v>10.92</v>
      </c>
      <c r="F3265">
        <v>8.48</v>
      </c>
    </row>
    <row r="3266" spans="1:6" x14ac:dyDescent="0.3">
      <c r="A3266" t="s">
        <v>5374</v>
      </c>
      <c r="B3266" t="s">
        <v>4168</v>
      </c>
      <c r="C3266" t="s">
        <v>5375</v>
      </c>
      <c r="D3266">
        <v>58249510</v>
      </c>
      <c r="E3266">
        <v>3</v>
      </c>
      <c r="F3266">
        <v>6.76</v>
      </c>
    </row>
    <row r="3267" spans="1:6" x14ac:dyDescent="0.3">
      <c r="A3267" t="s">
        <v>5376</v>
      </c>
      <c r="B3267" t="s">
        <v>5377</v>
      </c>
      <c r="C3267" t="s">
        <v>2904</v>
      </c>
      <c r="D3267">
        <v>58252259</v>
      </c>
      <c r="E3267">
        <v>27.75</v>
      </c>
      <c r="F3267">
        <v>8.1300000000000008</v>
      </c>
    </row>
    <row r="3268" spans="1:6" x14ac:dyDescent="0.3">
      <c r="A3268" t="s">
        <v>5378</v>
      </c>
      <c r="B3268" t="s">
        <v>4479</v>
      </c>
      <c r="C3268" t="s">
        <v>5379</v>
      </c>
      <c r="D3268">
        <v>58254091</v>
      </c>
      <c r="E3268">
        <v>5.03</v>
      </c>
      <c r="F3268">
        <v>6.62</v>
      </c>
    </row>
    <row r="3269" spans="1:6" x14ac:dyDescent="0.3">
      <c r="A3269" t="s">
        <v>5380</v>
      </c>
      <c r="B3269" t="s">
        <v>3495</v>
      </c>
      <c r="C3269" t="s">
        <v>121</v>
      </c>
      <c r="D3269">
        <v>58256552</v>
      </c>
      <c r="E3269">
        <v>9.6</v>
      </c>
      <c r="F3269">
        <v>4.75</v>
      </c>
    </row>
    <row r="3270" spans="1:6" x14ac:dyDescent="0.3">
      <c r="A3270" t="s">
        <v>5381</v>
      </c>
      <c r="B3270" t="s">
        <v>3181</v>
      </c>
      <c r="C3270" t="s">
        <v>5382</v>
      </c>
      <c r="D3270">
        <v>58270477</v>
      </c>
      <c r="E3270">
        <v>7.36</v>
      </c>
      <c r="F3270">
        <v>6.32</v>
      </c>
    </row>
    <row r="3271" spans="1:6" x14ac:dyDescent="0.3">
      <c r="A3271" t="s">
        <v>5383</v>
      </c>
      <c r="B3271" t="s">
        <v>5384</v>
      </c>
      <c r="C3271" t="s">
        <v>3487</v>
      </c>
      <c r="D3271">
        <v>58270823</v>
      </c>
      <c r="E3271">
        <v>7.73</v>
      </c>
      <c r="F3271">
        <v>7.01</v>
      </c>
    </row>
    <row r="3272" spans="1:6" x14ac:dyDescent="0.3">
      <c r="A3272" t="s">
        <v>5385</v>
      </c>
      <c r="B3272" t="s">
        <v>5386</v>
      </c>
      <c r="C3272" t="s">
        <v>1300</v>
      </c>
      <c r="D3272">
        <v>58299738</v>
      </c>
      <c r="E3272">
        <v>6.96</v>
      </c>
      <c r="F3272">
        <v>6.77</v>
      </c>
    </row>
    <row r="3273" spans="1:6" x14ac:dyDescent="0.3">
      <c r="A3273" t="s">
        <v>5387</v>
      </c>
      <c r="B3273" t="s">
        <v>2409</v>
      </c>
      <c r="C3273" t="s">
        <v>5388</v>
      </c>
      <c r="D3273">
        <v>58306889</v>
      </c>
      <c r="E3273">
        <v>30.25</v>
      </c>
      <c r="F3273">
        <v>6.8</v>
      </c>
    </row>
    <row r="3274" spans="1:6" x14ac:dyDescent="0.3">
      <c r="A3274" t="s">
        <v>5389</v>
      </c>
      <c r="B3274" t="s">
        <v>2053</v>
      </c>
      <c r="C3274" t="s">
        <v>5390</v>
      </c>
      <c r="D3274">
        <v>58321249</v>
      </c>
      <c r="E3274">
        <v>16.95</v>
      </c>
      <c r="F3274">
        <v>6.94</v>
      </c>
    </row>
    <row r="3275" spans="1:6" x14ac:dyDescent="0.3">
      <c r="A3275" t="s">
        <v>5391</v>
      </c>
      <c r="B3275" t="s">
        <v>900</v>
      </c>
      <c r="C3275" t="s">
        <v>707</v>
      </c>
      <c r="D3275">
        <v>58332495</v>
      </c>
      <c r="E3275">
        <v>19.2</v>
      </c>
      <c r="F3275">
        <v>6.6</v>
      </c>
    </row>
    <row r="3276" spans="1:6" x14ac:dyDescent="0.3">
      <c r="A3276" t="s">
        <v>5392</v>
      </c>
      <c r="B3276" t="s">
        <v>5393</v>
      </c>
      <c r="C3276" t="s">
        <v>5394</v>
      </c>
      <c r="D3276">
        <v>58332775</v>
      </c>
      <c r="E3276">
        <v>7.6</v>
      </c>
      <c r="F3276">
        <v>7.25</v>
      </c>
    </row>
    <row r="3277" spans="1:6" x14ac:dyDescent="0.3">
      <c r="A3277" t="s">
        <v>5395</v>
      </c>
      <c r="B3277" t="s">
        <v>4073</v>
      </c>
      <c r="C3277" t="s">
        <v>5343</v>
      </c>
      <c r="D3277">
        <v>58332937</v>
      </c>
      <c r="E3277">
        <v>3.31</v>
      </c>
      <c r="F3277">
        <v>5.5</v>
      </c>
    </row>
    <row r="3278" spans="1:6" x14ac:dyDescent="0.3">
      <c r="A3278" t="s">
        <v>5396</v>
      </c>
      <c r="B3278" t="s">
        <v>5397</v>
      </c>
      <c r="C3278" t="s">
        <v>1747</v>
      </c>
      <c r="D3278">
        <v>58355141</v>
      </c>
      <c r="E3278">
        <v>33</v>
      </c>
      <c r="F3278">
        <v>7</v>
      </c>
    </row>
    <row r="3279" spans="1:6" x14ac:dyDescent="0.3">
      <c r="A3279" t="s">
        <v>5398</v>
      </c>
      <c r="B3279" t="s">
        <v>5399</v>
      </c>
      <c r="C3279" t="s">
        <v>3228</v>
      </c>
      <c r="D3279">
        <v>58356766</v>
      </c>
      <c r="E3279">
        <v>3.09</v>
      </c>
      <c r="F3279">
        <v>5.87</v>
      </c>
    </row>
    <row r="3280" spans="1:6" x14ac:dyDescent="0.3">
      <c r="A3280" t="s">
        <v>5400</v>
      </c>
      <c r="B3280" t="s">
        <v>5401</v>
      </c>
      <c r="C3280" t="s">
        <v>5402</v>
      </c>
      <c r="D3280">
        <v>58364131</v>
      </c>
      <c r="E3280">
        <v>11.82</v>
      </c>
      <c r="F3280">
        <v>6.94</v>
      </c>
    </row>
    <row r="3281" spans="1:6" x14ac:dyDescent="0.3">
      <c r="A3281" t="s">
        <v>5403</v>
      </c>
      <c r="B3281" t="s">
        <v>5404</v>
      </c>
      <c r="C3281" t="s">
        <v>5405</v>
      </c>
      <c r="D3281">
        <v>58385535</v>
      </c>
      <c r="E3281">
        <v>20.64</v>
      </c>
      <c r="F3281">
        <v>5.47</v>
      </c>
    </row>
    <row r="3282" spans="1:6" x14ac:dyDescent="0.3">
      <c r="A3282" t="s">
        <v>5406</v>
      </c>
      <c r="B3282" t="s">
        <v>5407</v>
      </c>
      <c r="C3282" t="s">
        <v>5408</v>
      </c>
      <c r="D3282">
        <v>58388340</v>
      </c>
      <c r="E3282">
        <v>2.11</v>
      </c>
      <c r="F3282">
        <v>6</v>
      </c>
    </row>
    <row r="3283" spans="1:6" x14ac:dyDescent="0.3">
      <c r="A3283" t="s">
        <v>5409</v>
      </c>
      <c r="B3283" t="s">
        <v>5410</v>
      </c>
      <c r="C3283" t="s">
        <v>5025</v>
      </c>
      <c r="D3283">
        <v>58395342</v>
      </c>
      <c r="E3283">
        <v>4.33</v>
      </c>
      <c r="F3283">
        <v>5.78</v>
      </c>
    </row>
    <row r="3284" spans="1:6" x14ac:dyDescent="0.3">
      <c r="A3284" t="s">
        <v>5411</v>
      </c>
      <c r="B3284" t="s">
        <v>5412</v>
      </c>
      <c r="C3284" t="s">
        <v>5413</v>
      </c>
      <c r="D3284">
        <v>58404067</v>
      </c>
      <c r="E3284">
        <v>1.85</v>
      </c>
      <c r="F3284">
        <v>6.21</v>
      </c>
    </row>
    <row r="3285" spans="1:6" x14ac:dyDescent="0.3">
      <c r="A3285" t="s">
        <v>5414</v>
      </c>
      <c r="B3285" t="s">
        <v>5415</v>
      </c>
      <c r="C3285" t="s">
        <v>2523</v>
      </c>
      <c r="D3285">
        <v>58411746</v>
      </c>
      <c r="E3285">
        <v>2.75</v>
      </c>
      <c r="F3285">
        <v>6.12</v>
      </c>
    </row>
    <row r="3286" spans="1:6" x14ac:dyDescent="0.3">
      <c r="A3286" t="s">
        <v>5416</v>
      </c>
      <c r="B3286" t="s">
        <v>5417</v>
      </c>
      <c r="C3286" t="s">
        <v>2851</v>
      </c>
      <c r="D3286">
        <v>58417850</v>
      </c>
      <c r="E3286">
        <v>26.28</v>
      </c>
      <c r="F3286">
        <v>5.95</v>
      </c>
    </row>
    <row r="3287" spans="1:6" x14ac:dyDescent="0.3">
      <c r="A3287" t="s">
        <v>5418</v>
      </c>
      <c r="B3287" t="s">
        <v>4078</v>
      </c>
      <c r="C3287" t="s">
        <v>5419</v>
      </c>
      <c r="D3287">
        <v>58443374</v>
      </c>
      <c r="E3287">
        <v>4.68</v>
      </c>
      <c r="F3287">
        <v>6.23</v>
      </c>
    </row>
    <row r="3288" spans="1:6" x14ac:dyDescent="0.3">
      <c r="A3288" t="s">
        <v>5420</v>
      </c>
      <c r="B3288" t="s">
        <v>3466</v>
      </c>
      <c r="C3288" t="s">
        <v>4808</v>
      </c>
      <c r="D3288">
        <v>58462068</v>
      </c>
      <c r="E3288">
        <v>2.8</v>
      </c>
      <c r="F3288">
        <v>8.08</v>
      </c>
    </row>
    <row r="3289" spans="1:6" x14ac:dyDescent="0.3">
      <c r="A3289" t="s">
        <v>5421</v>
      </c>
      <c r="B3289" t="s">
        <v>5133</v>
      </c>
      <c r="C3289" t="s">
        <v>2692</v>
      </c>
      <c r="D3289">
        <v>58462371</v>
      </c>
      <c r="E3289">
        <v>4.24</v>
      </c>
      <c r="F3289">
        <v>6.45</v>
      </c>
    </row>
    <row r="3290" spans="1:6" x14ac:dyDescent="0.3">
      <c r="A3290" t="s">
        <v>5422</v>
      </c>
      <c r="B3290" t="s">
        <v>5423</v>
      </c>
      <c r="C3290" t="s">
        <v>4488</v>
      </c>
      <c r="D3290">
        <v>58462945</v>
      </c>
      <c r="E3290">
        <v>6</v>
      </c>
      <c r="F3290">
        <v>7.3</v>
      </c>
    </row>
    <row r="3291" spans="1:6" x14ac:dyDescent="0.3">
      <c r="A3291" t="s">
        <v>5424</v>
      </c>
      <c r="B3291" t="s">
        <v>5425</v>
      </c>
      <c r="C3291" t="s">
        <v>5426</v>
      </c>
      <c r="D3291">
        <v>58477520</v>
      </c>
      <c r="E3291">
        <v>4.32</v>
      </c>
      <c r="F3291">
        <v>5.83</v>
      </c>
    </row>
    <row r="3292" spans="1:6" x14ac:dyDescent="0.3">
      <c r="A3292" t="s">
        <v>5427</v>
      </c>
      <c r="B3292" t="s">
        <v>4277</v>
      </c>
      <c r="C3292" t="s">
        <v>5428</v>
      </c>
      <c r="D3292">
        <v>58491876</v>
      </c>
      <c r="E3292">
        <v>7.25</v>
      </c>
      <c r="F3292">
        <v>5.67</v>
      </c>
    </row>
    <row r="3293" spans="1:6" x14ac:dyDescent="0.3">
      <c r="A3293" t="s">
        <v>5429</v>
      </c>
      <c r="B3293" t="s">
        <v>2355</v>
      </c>
      <c r="C3293" t="s">
        <v>5430</v>
      </c>
      <c r="D3293">
        <v>58507437</v>
      </c>
      <c r="E3293">
        <v>25.85</v>
      </c>
      <c r="F3293">
        <v>7.86</v>
      </c>
    </row>
    <row r="3294" spans="1:6" x14ac:dyDescent="0.3">
      <c r="A3294" t="s">
        <v>5431</v>
      </c>
      <c r="B3294" t="s">
        <v>3803</v>
      </c>
      <c r="C3294" t="s">
        <v>5432</v>
      </c>
      <c r="D3294">
        <v>58528836</v>
      </c>
      <c r="E3294">
        <v>5.97</v>
      </c>
      <c r="F3294">
        <v>8.07</v>
      </c>
    </row>
    <row r="3295" spans="1:6" x14ac:dyDescent="0.3">
      <c r="A3295" t="s">
        <v>5433</v>
      </c>
      <c r="B3295" t="s">
        <v>5434</v>
      </c>
      <c r="C3295" t="s">
        <v>5435</v>
      </c>
      <c r="D3295">
        <v>58533050</v>
      </c>
      <c r="E3295">
        <v>1.76</v>
      </c>
      <c r="F3295">
        <v>6.35</v>
      </c>
    </row>
    <row r="3296" spans="1:6" x14ac:dyDescent="0.3">
      <c r="A3296" t="s">
        <v>5436</v>
      </c>
      <c r="B3296" t="s">
        <v>2539</v>
      </c>
      <c r="C3296" t="s">
        <v>4069</v>
      </c>
      <c r="D3296">
        <v>58548158</v>
      </c>
      <c r="E3296">
        <v>3.33</v>
      </c>
      <c r="F3296">
        <v>6.57</v>
      </c>
    </row>
    <row r="3297" spans="1:6" x14ac:dyDescent="0.3">
      <c r="A3297" t="s">
        <v>5437</v>
      </c>
      <c r="B3297" t="s">
        <v>2614</v>
      </c>
      <c r="C3297" t="s">
        <v>5438</v>
      </c>
      <c r="D3297">
        <v>58557373</v>
      </c>
      <c r="E3297">
        <v>6.56</v>
      </c>
      <c r="F3297">
        <v>7</v>
      </c>
    </row>
    <row r="3298" spans="1:6" x14ac:dyDescent="0.3">
      <c r="A3298" t="s">
        <v>5439</v>
      </c>
      <c r="B3298" t="s">
        <v>4948</v>
      </c>
      <c r="C3298" t="s">
        <v>5440</v>
      </c>
      <c r="D3298">
        <v>58558910</v>
      </c>
      <c r="E3298">
        <v>1.2</v>
      </c>
      <c r="F3298">
        <v>7.41</v>
      </c>
    </row>
    <row r="3299" spans="1:6" x14ac:dyDescent="0.3">
      <c r="A3299" t="s">
        <v>5441</v>
      </c>
      <c r="B3299" t="s">
        <v>4988</v>
      </c>
      <c r="C3299" t="s">
        <v>2436</v>
      </c>
      <c r="D3299">
        <v>58559933</v>
      </c>
      <c r="E3299">
        <v>7</v>
      </c>
      <c r="F3299">
        <v>8.33</v>
      </c>
    </row>
    <row r="3300" spans="1:6" x14ac:dyDescent="0.3">
      <c r="A3300" t="s">
        <v>5442</v>
      </c>
      <c r="B3300" t="s">
        <v>5443</v>
      </c>
      <c r="C3300" t="s">
        <v>5444</v>
      </c>
      <c r="D3300">
        <v>58565410</v>
      </c>
      <c r="E3300">
        <v>8.6300000000000008</v>
      </c>
      <c r="F3300">
        <v>2.57</v>
      </c>
    </row>
    <row r="3301" spans="1:6" x14ac:dyDescent="0.3">
      <c r="A3301" t="s">
        <v>5445</v>
      </c>
      <c r="B3301" t="s">
        <v>5075</v>
      </c>
      <c r="C3301" t="s">
        <v>3548</v>
      </c>
      <c r="D3301">
        <v>58565740</v>
      </c>
      <c r="E3301">
        <v>13.63</v>
      </c>
      <c r="F3301">
        <v>6</v>
      </c>
    </row>
    <row r="3302" spans="1:6" x14ac:dyDescent="0.3">
      <c r="A3302" t="s">
        <v>5446</v>
      </c>
      <c r="B3302" t="s">
        <v>2433</v>
      </c>
      <c r="C3302" t="s">
        <v>5447</v>
      </c>
      <c r="D3302">
        <v>58566941</v>
      </c>
      <c r="E3302">
        <v>5.26</v>
      </c>
      <c r="F3302">
        <v>8.1</v>
      </c>
    </row>
    <row r="3303" spans="1:6" x14ac:dyDescent="0.3">
      <c r="A3303">
        <v>1929</v>
      </c>
      <c r="B3303" t="s">
        <v>5373</v>
      </c>
      <c r="C3303" t="s">
        <v>5221</v>
      </c>
      <c r="D3303">
        <v>58570720</v>
      </c>
      <c r="E3303">
        <v>15.28</v>
      </c>
      <c r="F3303">
        <v>6.98</v>
      </c>
    </row>
    <row r="3304" spans="1:6" x14ac:dyDescent="0.3">
      <c r="A3304" t="s">
        <v>5448</v>
      </c>
      <c r="B3304" t="s">
        <v>5449</v>
      </c>
      <c r="C3304" t="s">
        <v>5450</v>
      </c>
      <c r="D3304">
        <v>58573136</v>
      </c>
      <c r="E3304">
        <v>11.75</v>
      </c>
      <c r="F3304">
        <v>8</v>
      </c>
    </row>
    <row r="3305" spans="1:6" x14ac:dyDescent="0.3">
      <c r="A3305" t="s">
        <v>5451</v>
      </c>
      <c r="B3305" t="s">
        <v>3212</v>
      </c>
      <c r="C3305" t="s">
        <v>792</v>
      </c>
      <c r="D3305">
        <v>58575212</v>
      </c>
      <c r="E3305">
        <v>10.71</v>
      </c>
      <c r="F3305">
        <v>7.59</v>
      </c>
    </row>
    <row r="3306" spans="1:6" x14ac:dyDescent="0.3">
      <c r="A3306" t="s">
        <v>5452</v>
      </c>
      <c r="B3306" t="s">
        <v>3469</v>
      </c>
      <c r="C3306" t="s">
        <v>4744</v>
      </c>
      <c r="D3306">
        <v>58593075</v>
      </c>
      <c r="E3306">
        <v>3.86</v>
      </c>
      <c r="F3306">
        <v>7.23</v>
      </c>
    </row>
    <row r="3307" spans="1:6" x14ac:dyDescent="0.3">
      <c r="A3307" t="s">
        <v>5453</v>
      </c>
      <c r="B3307" t="s">
        <v>5454</v>
      </c>
      <c r="C3307" t="s">
        <v>5455</v>
      </c>
      <c r="D3307">
        <v>58595056</v>
      </c>
      <c r="E3307">
        <v>3.95</v>
      </c>
      <c r="F3307">
        <v>5.33</v>
      </c>
    </row>
    <row r="3308" spans="1:6" x14ac:dyDescent="0.3">
      <c r="A3308" t="s">
        <v>5456</v>
      </c>
      <c r="B3308" t="s">
        <v>5093</v>
      </c>
      <c r="C3308" t="s">
        <v>5457</v>
      </c>
      <c r="D3308">
        <v>58599991</v>
      </c>
      <c r="E3308">
        <v>3.47</v>
      </c>
      <c r="F3308">
        <v>5.7</v>
      </c>
    </row>
    <row r="3309" spans="1:6" x14ac:dyDescent="0.3">
      <c r="A3309" t="s">
        <v>5458</v>
      </c>
      <c r="B3309" t="s">
        <v>3283</v>
      </c>
      <c r="C3309" t="s">
        <v>5459</v>
      </c>
      <c r="D3309">
        <v>58600086</v>
      </c>
      <c r="E3309">
        <v>9.17</v>
      </c>
      <c r="F3309">
        <v>5.56</v>
      </c>
    </row>
    <row r="3310" spans="1:6" x14ac:dyDescent="0.3">
      <c r="A3310" t="s">
        <v>5460</v>
      </c>
      <c r="B3310" t="s">
        <v>5461</v>
      </c>
      <c r="C3310" t="s">
        <v>5462</v>
      </c>
      <c r="D3310">
        <v>58615794</v>
      </c>
      <c r="E3310">
        <v>4.22</v>
      </c>
      <c r="F3310">
        <v>5.71</v>
      </c>
    </row>
    <row r="3311" spans="1:6" x14ac:dyDescent="0.3">
      <c r="A3311" t="s">
        <v>5463</v>
      </c>
      <c r="B3311" t="s">
        <v>5464</v>
      </c>
      <c r="C3311" t="s">
        <v>5465</v>
      </c>
      <c r="D3311">
        <v>58620226</v>
      </c>
      <c r="E3311">
        <v>20.149999999999999</v>
      </c>
      <c r="F3311">
        <v>8.09</v>
      </c>
    </row>
    <row r="3312" spans="1:6" x14ac:dyDescent="0.3">
      <c r="A3312" t="s">
        <v>5466</v>
      </c>
      <c r="B3312" t="s">
        <v>4390</v>
      </c>
      <c r="C3312" t="s">
        <v>5467</v>
      </c>
      <c r="D3312">
        <v>58627103</v>
      </c>
      <c r="E3312">
        <v>5.61</v>
      </c>
      <c r="F3312">
        <v>6.6</v>
      </c>
    </row>
    <row r="3313" spans="1:6" x14ac:dyDescent="0.3">
      <c r="A3313" t="s">
        <v>5468</v>
      </c>
      <c r="B3313" t="s">
        <v>3120</v>
      </c>
      <c r="C3313" t="s">
        <v>3789</v>
      </c>
      <c r="D3313">
        <v>58649181</v>
      </c>
      <c r="E3313">
        <v>17.010000000000002</v>
      </c>
      <c r="F3313">
        <v>6.42</v>
      </c>
    </row>
    <row r="3314" spans="1:6" x14ac:dyDescent="0.3">
      <c r="A3314" t="s">
        <v>5469</v>
      </c>
      <c r="B3314" t="s">
        <v>3120</v>
      </c>
      <c r="C3314" t="s">
        <v>713</v>
      </c>
      <c r="D3314">
        <v>58649240</v>
      </c>
      <c r="E3314">
        <v>3.92</v>
      </c>
      <c r="F3314">
        <v>5.91</v>
      </c>
    </row>
    <row r="3315" spans="1:6" x14ac:dyDescent="0.3">
      <c r="A3315" t="s">
        <v>5470</v>
      </c>
      <c r="B3315" t="s">
        <v>3120</v>
      </c>
      <c r="C3315" t="s">
        <v>5440</v>
      </c>
      <c r="D3315">
        <v>58649302</v>
      </c>
      <c r="E3315">
        <v>3.6</v>
      </c>
      <c r="F3315">
        <v>6.07</v>
      </c>
    </row>
    <row r="3316" spans="1:6" x14ac:dyDescent="0.3">
      <c r="A3316" t="s">
        <v>5471</v>
      </c>
      <c r="B3316" t="s">
        <v>3166</v>
      </c>
      <c r="C3316" t="s">
        <v>5472</v>
      </c>
      <c r="D3316">
        <v>58653266</v>
      </c>
      <c r="E3316">
        <v>2.1</v>
      </c>
      <c r="F3316">
        <v>6.46</v>
      </c>
    </row>
    <row r="3317" spans="1:6" x14ac:dyDescent="0.3">
      <c r="A3317" t="s">
        <v>5473</v>
      </c>
      <c r="B3317" t="s">
        <v>5474</v>
      </c>
      <c r="C3317" t="s">
        <v>2060</v>
      </c>
      <c r="D3317">
        <v>58664674</v>
      </c>
      <c r="E3317">
        <v>5.91</v>
      </c>
      <c r="F3317">
        <v>4.75</v>
      </c>
    </row>
    <row r="3318" spans="1:6" x14ac:dyDescent="0.3">
      <c r="A3318" t="s">
        <v>5475</v>
      </c>
      <c r="B3318" t="s">
        <v>5006</v>
      </c>
      <c r="C3318" t="s">
        <v>707</v>
      </c>
      <c r="D3318">
        <v>58665401</v>
      </c>
      <c r="E3318">
        <v>5.44</v>
      </c>
      <c r="F3318">
        <v>7.14</v>
      </c>
    </row>
    <row r="3319" spans="1:6" x14ac:dyDescent="0.3">
      <c r="A3319" t="s">
        <v>5476</v>
      </c>
      <c r="B3319" t="s">
        <v>5477</v>
      </c>
      <c r="C3319" t="s">
        <v>1386</v>
      </c>
      <c r="D3319">
        <v>58673581</v>
      </c>
      <c r="E3319">
        <v>33.25</v>
      </c>
      <c r="F3319">
        <v>2</v>
      </c>
    </row>
    <row r="3320" spans="1:6" x14ac:dyDescent="0.3">
      <c r="A3320" t="s">
        <v>5478</v>
      </c>
      <c r="B3320" t="s">
        <v>3820</v>
      </c>
      <c r="C3320" t="s">
        <v>3821</v>
      </c>
      <c r="D3320">
        <v>58673928</v>
      </c>
      <c r="E3320">
        <v>19.600000000000001</v>
      </c>
      <c r="F3320">
        <v>6.16</v>
      </c>
    </row>
    <row r="3321" spans="1:6" x14ac:dyDescent="0.3">
      <c r="A3321" t="s">
        <v>5479</v>
      </c>
      <c r="B3321" t="s">
        <v>4925</v>
      </c>
      <c r="C3321" t="s">
        <v>5162</v>
      </c>
      <c r="D3321">
        <v>58681533</v>
      </c>
      <c r="E3321">
        <v>9.2899999999999991</v>
      </c>
      <c r="F3321">
        <v>7</v>
      </c>
    </row>
    <row r="3322" spans="1:6" x14ac:dyDescent="0.3">
      <c r="A3322" t="s">
        <v>5480</v>
      </c>
      <c r="B3322" t="s">
        <v>2756</v>
      </c>
      <c r="C3322" t="s">
        <v>5481</v>
      </c>
      <c r="D3322">
        <v>58687036</v>
      </c>
      <c r="E3322">
        <v>3.8</v>
      </c>
      <c r="F3322">
        <v>5.56</v>
      </c>
    </row>
    <row r="3323" spans="1:6" x14ac:dyDescent="0.3">
      <c r="A3323" t="s">
        <v>5482</v>
      </c>
      <c r="B3323" t="s">
        <v>3933</v>
      </c>
      <c r="C3323" t="s">
        <v>5483</v>
      </c>
      <c r="D3323">
        <v>58688976</v>
      </c>
      <c r="E3323">
        <v>3.77</v>
      </c>
      <c r="F3323">
        <v>5.15</v>
      </c>
    </row>
    <row r="3324" spans="1:6" x14ac:dyDescent="0.3">
      <c r="A3324" t="s">
        <v>3590</v>
      </c>
      <c r="B3324" t="s">
        <v>5484</v>
      </c>
      <c r="C3324" t="s">
        <v>4986</v>
      </c>
      <c r="D3324">
        <v>58692487</v>
      </c>
      <c r="E3324">
        <v>6.4</v>
      </c>
      <c r="F3324">
        <v>7.25</v>
      </c>
    </row>
    <row r="3325" spans="1:6" x14ac:dyDescent="0.3">
      <c r="A3325" t="s">
        <v>5485</v>
      </c>
      <c r="B3325" t="s">
        <v>5486</v>
      </c>
      <c r="C3325" t="s">
        <v>4888</v>
      </c>
      <c r="D3325">
        <v>58706209</v>
      </c>
      <c r="E3325">
        <v>6.83</v>
      </c>
      <c r="F3325">
        <v>5.75</v>
      </c>
    </row>
    <row r="3326" spans="1:6" x14ac:dyDescent="0.3">
      <c r="A3326" t="s">
        <v>5487</v>
      </c>
      <c r="B3326" t="s">
        <v>2519</v>
      </c>
      <c r="C3326" t="s">
        <v>5369</v>
      </c>
      <c r="D3326">
        <v>58708039</v>
      </c>
      <c r="E3326">
        <v>5.67</v>
      </c>
      <c r="F3326">
        <v>7.43</v>
      </c>
    </row>
    <row r="3327" spans="1:6" x14ac:dyDescent="0.3">
      <c r="A3327" t="s">
        <v>5488</v>
      </c>
      <c r="B3327" t="s">
        <v>3125</v>
      </c>
      <c r="C3327" t="s">
        <v>5489</v>
      </c>
      <c r="D3327">
        <v>58715251</v>
      </c>
      <c r="E3327">
        <v>15.89</v>
      </c>
      <c r="F3327">
        <v>7.73</v>
      </c>
    </row>
    <row r="3328" spans="1:6" x14ac:dyDescent="0.3">
      <c r="A3328" t="s">
        <v>5490</v>
      </c>
      <c r="B3328" t="s">
        <v>2612</v>
      </c>
      <c r="C3328" t="s">
        <v>1062</v>
      </c>
      <c r="D3328">
        <v>58721013</v>
      </c>
      <c r="E3328">
        <v>5.35</v>
      </c>
      <c r="F3328">
        <v>7.2</v>
      </c>
    </row>
    <row r="3329" spans="1:6" x14ac:dyDescent="0.3">
      <c r="A3329" t="s">
        <v>5491</v>
      </c>
      <c r="B3329" t="s">
        <v>5492</v>
      </c>
      <c r="C3329" t="s">
        <v>4131</v>
      </c>
      <c r="D3329">
        <v>58729512</v>
      </c>
      <c r="E3329">
        <v>2.31</v>
      </c>
      <c r="F3329">
        <v>5.38</v>
      </c>
    </row>
    <row r="3330" spans="1:6" x14ac:dyDescent="0.3">
      <c r="A3330" t="s">
        <v>5493</v>
      </c>
      <c r="B3330" t="s">
        <v>5143</v>
      </c>
      <c r="C3330" t="s">
        <v>749</v>
      </c>
      <c r="D3330">
        <v>58735040</v>
      </c>
      <c r="E3330">
        <v>2.37</v>
      </c>
      <c r="F3330">
        <v>6.75</v>
      </c>
    </row>
    <row r="3331" spans="1:6" x14ac:dyDescent="0.3">
      <c r="A3331" t="s">
        <v>4981</v>
      </c>
      <c r="B3331" t="s">
        <v>3037</v>
      </c>
      <c r="C3331" t="s">
        <v>857</v>
      </c>
      <c r="D3331">
        <v>58735216</v>
      </c>
      <c r="E3331">
        <v>13</v>
      </c>
      <c r="F3331">
        <v>7.5</v>
      </c>
    </row>
    <row r="3332" spans="1:6" x14ac:dyDescent="0.3">
      <c r="A3332" t="s">
        <v>5494</v>
      </c>
      <c r="B3332" t="s">
        <v>4580</v>
      </c>
      <c r="C3332" t="s">
        <v>4384</v>
      </c>
      <c r="D3332">
        <v>58740121</v>
      </c>
      <c r="E3332">
        <v>4.3499999999999996</v>
      </c>
      <c r="F3332">
        <v>6.35</v>
      </c>
    </row>
    <row r="3333" spans="1:6" x14ac:dyDescent="0.3">
      <c r="A3333" t="s">
        <v>5495</v>
      </c>
      <c r="B3333" t="s">
        <v>3580</v>
      </c>
      <c r="C3333" t="s">
        <v>4001</v>
      </c>
      <c r="D3333">
        <v>58751595</v>
      </c>
      <c r="E3333">
        <v>16.53</v>
      </c>
      <c r="F3333">
        <v>7.71</v>
      </c>
    </row>
    <row r="3334" spans="1:6" x14ac:dyDescent="0.3">
      <c r="A3334" t="s">
        <v>5496</v>
      </c>
      <c r="B3334" t="s">
        <v>4618</v>
      </c>
      <c r="C3334" t="s">
        <v>1712</v>
      </c>
      <c r="D3334">
        <v>58758126</v>
      </c>
      <c r="E3334">
        <v>5.0999999999999996</v>
      </c>
      <c r="F3334">
        <v>7.63</v>
      </c>
    </row>
    <row r="3335" spans="1:6" x14ac:dyDescent="0.3">
      <c r="A3335" t="s">
        <v>5497</v>
      </c>
      <c r="B3335" t="s">
        <v>5498</v>
      </c>
      <c r="C3335" t="s">
        <v>5499</v>
      </c>
      <c r="D3335">
        <v>58787866</v>
      </c>
      <c r="E3335">
        <v>2.68</v>
      </c>
      <c r="F3335">
        <v>6.58</v>
      </c>
    </row>
    <row r="3336" spans="1:6" x14ac:dyDescent="0.3">
      <c r="A3336" t="s">
        <v>5500</v>
      </c>
      <c r="B3336" t="s">
        <v>3708</v>
      </c>
      <c r="C3336" t="s">
        <v>4621</v>
      </c>
      <c r="D3336">
        <v>58790883</v>
      </c>
      <c r="E3336">
        <v>5.16</v>
      </c>
      <c r="F3336">
        <v>6.23</v>
      </c>
    </row>
    <row r="3337" spans="1:6" x14ac:dyDescent="0.3">
      <c r="A3337" t="s">
        <v>5501</v>
      </c>
      <c r="B3337" t="s">
        <v>4154</v>
      </c>
      <c r="C3337" t="s">
        <v>3728</v>
      </c>
      <c r="D3337">
        <v>58793078</v>
      </c>
      <c r="E3337">
        <v>7.75</v>
      </c>
      <c r="F3337">
        <v>6</v>
      </c>
    </row>
    <row r="3338" spans="1:6" x14ac:dyDescent="0.3">
      <c r="A3338" t="s">
        <v>5502</v>
      </c>
      <c r="B3338" t="s">
        <v>3422</v>
      </c>
      <c r="C3338" t="s">
        <v>5503</v>
      </c>
      <c r="D3338">
        <v>58806065</v>
      </c>
      <c r="E3338">
        <v>3.87</v>
      </c>
      <c r="F3338">
        <v>7</v>
      </c>
    </row>
    <row r="3339" spans="1:6" x14ac:dyDescent="0.3">
      <c r="A3339" t="s">
        <v>5504</v>
      </c>
      <c r="B3339" t="s">
        <v>5505</v>
      </c>
      <c r="C3339" t="s">
        <v>2282</v>
      </c>
      <c r="D3339">
        <v>58810137</v>
      </c>
      <c r="E3339">
        <v>7.84</v>
      </c>
      <c r="F3339">
        <v>6.67</v>
      </c>
    </row>
    <row r="3340" spans="1:6" x14ac:dyDescent="0.3">
      <c r="A3340" t="s">
        <v>5506</v>
      </c>
      <c r="B3340" t="s">
        <v>1554</v>
      </c>
      <c r="C3340" t="s">
        <v>5507</v>
      </c>
      <c r="D3340">
        <v>58811846</v>
      </c>
      <c r="E3340">
        <v>27.25</v>
      </c>
      <c r="F3340">
        <v>6.14</v>
      </c>
    </row>
    <row r="3341" spans="1:6" x14ac:dyDescent="0.3">
      <c r="A3341" t="s">
        <v>5508</v>
      </c>
      <c r="B3341" t="s">
        <v>5509</v>
      </c>
      <c r="C3341" t="s">
        <v>3655</v>
      </c>
      <c r="D3341">
        <v>58821150</v>
      </c>
      <c r="E3341">
        <v>16.260000000000002</v>
      </c>
      <c r="F3341">
        <v>4.95</v>
      </c>
    </row>
    <row r="3342" spans="1:6" x14ac:dyDescent="0.3">
      <c r="A3342" t="s">
        <v>5510</v>
      </c>
      <c r="B3342" t="s">
        <v>1824</v>
      </c>
      <c r="C3342" t="s">
        <v>4788</v>
      </c>
      <c r="D3342">
        <v>58825144</v>
      </c>
      <c r="E3342">
        <v>29.82</v>
      </c>
      <c r="F3342">
        <v>6.05</v>
      </c>
    </row>
    <row r="3343" spans="1:6" x14ac:dyDescent="0.3">
      <c r="A3343" t="s">
        <v>5511</v>
      </c>
      <c r="B3343" t="s">
        <v>5512</v>
      </c>
      <c r="C3343" t="s">
        <v>5513</v>
      </c>
      <c r="D3343">
        <v>58831784</v>
      </c>
      <c r="E3343">
        <v>5.0999999999999996</v>
      </c>
      <c r="F3343">
        <v>4.17</v>
      </c>
    </row>
    <row r="3344" spans="1:6" x14ac:dyDescent="0.3">
      <c r="A3344" t="s">
        <v>5514</v>
      </c>
      <c r="B3344" t="s">
        <v>5515</v>
      </c>
      <c r="C3344" t="s">
        <v>2996</v>
      </c>
      <c r="D3344">
        <v>58832144</v>
      </c>
      <c r="E3344">
        <v>3.46</v>
      </c>
      <c r="F3344">
        <v>5.58</v>
      </c>
    </row>
    <row r="3345" spans="1:6" x14ac:dyDescent="0.3">
      <c r="A3345" t="s">
        <v>5516</v>
      </c>
      <c r="B3345" t="s">
        <v>5517</v>
      </c>
      <c r="C3345" t="s">
        <v>4986</v>
      </c>
      <c r="D3345">
        <v>58836857</v>
      </c>
      <c r="E3345">
        <v>9.7799999999999994</v>
      </c>
      <c r="F3345">
        <v>7.31</v>
      </c>
    </row>
    <row r="3346" spans="1:6" x14ac:dyDescent="0.3">
      <c r="A3346" t="s">
        <v>5518</v>
      </c>
      <c r="B3346" t="s">
        <v>4366</v>
      </c>
      <c r="C3346" t="s">
        <v>5519</v>
      </c>
      <c r="D3346">
        <v>58848889</v>
      </c>
      <c r="E3346">
        <v>11.69</v>
      </c>
      <c r="F3346">
        <v>3.43</v>
      </c>
    </row>
    <row r="3347" spans="1:6" x14ac:dyDescent="0.3">
      <c r="A3347" t="s">
        <v>5520</v>
      </c>
      <c r="B3347" t="s">
        <v>5384</v>
      </c>
      <c r="C3347" t="s">
        <v>5521</v>
      </c>
      <c r="D3347">
        <v>58857781</v>
      </c>
      <c r="E3347">
        <v>3.87</v>
      </c>
      <c r="F3347">
        <v>4.33</v>
      </c>
    </row>
    <row r="3348" spans="1:6" x14ac:dyDescent="0.3">
      <c r="A3348" t="s">
        <v>5522</v>
      </c>
      <c r="B3348" t="s">
        <v>1990</v>
      </c>
      <c r="C3348" t="s">
        <v>5523</v>
      </c>
      <c r="D3348">
        <v>58865383</v>
      </c>
      <c r="E3348">
        <v>6.69</v>
      </c>
      <c r="F3348">
        <v>5.84</v>
      </c>
    </row>
    <row r="3349" spans="1:6" x14ac:dyDescent="0.3">
      <c r="A3349" t="s">
        <v>1848</v>
      </c>
      <c r="B3349" t="s">
        <v>4078</v>
      </c>
      <c r="C3349" t="s">
        <v>4621</v>
      </c>
      <c r="D3349">
        <v>58868116</v>
      </c>
      <c r="E3349">
        <v>2.86</v>
      </c>
      <c r="F3349">
        <v>6.07</v>
      </c>
    </row>
    <row r="3350" spans="1:6" x14ac:dyDescent="0.3">
      <c r="A3350" t="s">
        <v>5524</v>
      </c>
      <c r="B3350" t="s">
        <v>5525</v>
      </c>
      <c r="C3350" t="s">
        <v>5526</v>
      </c>
      <c r="D3350">
        <v>58872966</v>
      </c>
      <c r="E3350">
        <v>2.56</v>
      </c>
      <c r="F3350">
        <v>6.18</v>
      </c>
    </row>
    <row r="3351" spans="1:6" x14ac:dyDescent="0.3">
      <c r="A3351" t="s">
        <v>5527</v>
      </c>
      <c r="B3351" t="s">
        <v>4743</v>
      </c>
      <c r="C3351" t="s">
        <v>4951</v>
      </c>
      <c r="D3351">
        <v>58878696</v>
      </c>
      <c r="E3351">
        <v>5.66</v>
      </c>
      <c r="F3351">
        <v>4.32</v>
      </c>
    </row>
    <row r="3352" spans="1:6" x14ac:dyDescent="0.3">
      <c r="A3352" t="s">
        <v>5528</v>
      </c>
      <c r="B3352" t="s">
        <v>5529</v>
      </c>
      <c r="C3352" t="s">
        <v>5530</v>
      </c>
      <c r="D3352">
        <v>58884413</v>
      </c>
      <c r="E3352">
        <v>1.62</v>
      </c>
      <c r="F3352">
        <v>6.76</v>
      </c>
    </row>
    <row r="3353" spans="1:6" x14ac:dyDescent="0.3">
      <c r="A3353" t="s">
        <v>5531</v>
      </c>
      <c r="B3353" t="s">
        <v>3514</v>
      </c>
      <c r="C3353" t="s">
        <v>5531</v>
      </c>
      <c r="D3353">
        <v>58889731</v>
      </c>
      <c r="E3353">
        <v>7.19</v>
      </c>
      <c r="F3353">
        <v>6.47</v>
      </c>
    </row>
    <row r="3354" spans="1:6" x14ac:dyDescent="0.3">
      <c r="A3354" t="s">
        <v>5532</v>
      </c>
      <c r="B3354" t="s">
        <v>5533</v>
      </c>
      <c r="C3354" t="s">
        <v>4488</v>
      </c>
      <c r="D3354">
        <v>58890671</v>
      </c>
      <c r="E3354">
        <v>2.93</v>
      </c>
      <c r="F3354">
        <v>5.6</v>
      </c>
    </row>
    <row r="3355" spans="1:6" x14ac:dyDescent="0.3">
      <c r="A3355" t="s">
        <v>5534</v>
      </c>
      <c r="B3355" t="s">
        <v>4563</v>
      </c>
      <c r="C3355" t="s">
        <v>5535</v>
      </c>
      <c r="D3355">
        <v>58902875</v>
      </c>
      <c r="E3355">
        <v>9.17</v>
      </c>
      <c r="F3355">
        <v>7</v>
      </c>
    </row>
    <row r="3356" spans="1:6" x14ac:dyDescent="0.3">
      <c r="A3356" t="s">
        <v>5536</v>
      </c>
      <c r="B3356" t="s">
        <v>5145</v>
      </c>
      <c r="C3356" t="s">
        <v>3369</v>
      </c>
      <c r="D3356">
        <v>58917390</v>
      </c>
      <c r="E3356">
        <v>1.81</v>
      </c>
      <c r="F3356">
        <v>6.8</v>
      </c>
    </row>
    <row r="3357" spans="1:6" x14ac:dyDescent="0.3">
      <c r="A3357" t="s">
        <v>5537</v>
      </c>
      <c r="B3357" t="s">
        <v>5538</v>
      </c>
      <c r="C3357" t="s">
        <v>5539</v>
      </c>
      <c r="D3357">
        <v>58928383</v>
      </c>
      <c r="E3357">
        <v>4.33</v>
      </c>
      <c r="F3357">
        <v>6</v>
      </c>
    </row>
    <row r="3358" spans="1:6" x14ac:dyDescent="0.3">
      <c r="A3358" t="s">
        <v>5540</v>
      </c>
      <c r="B3358" t="s">
        <v>5401</v>
      </c>
      <c r="C3358" t="s">
        <v>5027</v>
      </c>
      <c r="D3358">
        <v>58932971</v>
      </c>
      <c r="E3358">
        <v>12.61</v>
      </c>
      <c r="F3358">
        <v>3</v>
      </c>
    </row>
    <row r="3359" spans="1:6" x14ac:dyDescent="0.3">
      <c r="A3359" t="s">
        <v>5541</v>
      </c>
      <c r="B3359" t="s">
        <v>4925</v>
      </c>
      <c r="C3359" t="s">
        <v>4504</v>
      </c>
      <c r="D3359">
        <v>58938160</v>
      </c>
      <c r="E3359">
        <v>5.8</v>
      </c>
      <c r="F3359">
        <v>8</v>
      </c>
    </row>
    <row r="3360" spans="1:6" x14ac:dyDescent="0.3">
      <c r="A3360" t="s">
        <v>5542</v>
      </c>
      <c r="B3360" t="s">
        <v>4936</v>
      </c>
      <c r="C3360" t="s">
        <v>5489</v>
      </c>
      <c r="D3360">
        <v>58939191</v>
      </c>
      <c r="E3360">
        <v>6.83</v>
      </c>
      <c r="F3360">
        <v>7.86</v>
      </c>
    </row>
    <row r="3361" spans="1:6" x14ac:dyDescent="0.3">
      <c r="A3361" t="s">
        <v>5543</v>
      </c>
      <c r="B3361" t="s">
        <v>1385</v>
      </c>
      <c r="C3361" t="s">
        <v>5544</v>
      </c>
      <c r="D3361">
        <v>58941562</v>
      </c>
      <c r="E3361">
        <v>6.22</v>
      </c>
      <c r="F3361">
        <v>8.43</v>
      </c>
    </row>
    <row r="3362" spans="1:6" x14ac:dyDescent="0.3">
      <c r="A3362" t="s">
        <v>5545</v>
      </c>
      <c r="B3362" t="s">
        <v>4076</v>
      </c>
      <c r="C3362" t="s">
        <v>5546</v>
      </c>
      <c r="D3362">
        <v>58946577</v>
      </c>
      <c r="E3362">
        <v>5.47</v>
      </c>
      <c r="F3362">
        <v>7.76</v>
      </c>
    </row>
    <row r="3363" spans="1:6" x14ac:dyDescent="0.3">
      <c r="A3363" t="s">
        <v>2965</v>
      </c>
      <c r="B3363" t="s">
        <v>3739</v>
      </c>
      <c r="C3363" t="s">
        <v>2787</v>
      </c>
      <c r="D3363">
        <v>58947096</v>
      </c>
      <c r="E3363">
        <v>17.600000000000001</v>
      </c>
      <c r="F3363">
        <v>5.25</v>
      </c>
    </row>
    <row r="3364" spans="1:6" x14ac:dyDescent="0.3">
      <c r="A3364" t="s">
        <v>5547</v>
      </c>
      <c r="B3364" t="s">
        <v>4934</v>
      </c>
      <c r="C3364" t="s">
        <v>2924</v>
      </c>
      <c r="D3364">
        <v>58949788</v>
      </c>
      <c r="E3364">
        <v>9.48</v>
      </c>
      <c r="F3364">
        <v>6.29</v>
      </c>
    </row>
    <row r="3365" spans="1:6" x14ac:dyDescent="0.3">
      <c r="A3365" t="s">
        <v>5548</v>
      </c>
      <c r="B3365" t="s">
        <v>5549</v>
      </c>
      <c r="C3365" t="s">
        <v>4808</v>
      </c>
      <c r="D3365">
        <v>58963404</v>
      </c>
      <c r="E3365">
        <v>1.7</v>
      </c>
      <c r="F3365">
        <v>6.9</v>
      </c>
    </row>
    <row r="3366" spans="1:6" x14ac:dyDescent="0.3">
      <c r="A3366" t="s">
        <v>5550</v>
      </c>
      <c r="B3366" t="s">
        <v>3181</v>
      </c>
      <c r="C3366" t="s">
        <v>5435</v>
      </c>
      <c r="D3366">
        <v>58975292</v>
      </c>
      <c r="E3366">
        <v>4.4000000000000004</v>
      </c>
      <c r="F3366">
        <v>6.42</v>
      </c>
    </row>
    <row r="3367" spans="1:6" x14ac:dyDescent="0.3">
      <c r="A3367" t="s">
        <v>5551</v>
      </c>
      <c r="B3367" t="s">
        <v>4618</v>
      </c>
      <c r="C3367" t="s">
        <v>5552</v>
      </c>
      <c r="D3367">
        <v>58976493</v>
      </c>
      <c r="E3367">
        <v>3.29</v>
      </c>
      <c r="F3367">
        <v>6.38</v>
      </c>
    </row>
    <row r="3368" spans="1:6" x14ac:dyDescent="0.3">
      <c r="A3368" t="s">
        <v>5553</v>
      </c>
      <c r="B3368" t="s">
        <v>5554</v>
      </c>
      <c r="C3368" t="s">
        <v>5555</v>
      </c>
      <c r="D3368">
        <v>58978696</v>
      </c>
      <c r="E3368">
        <v>2.67</v>
      </c>
      <c r="F3368">
        <v>6.86</v>
      </c>
    </row>
    <row r="3369" spans="1:6" x14ac:dyDescent="0.3">
      <c r="A3369" t="s">
        <v>5556</v>
      </c>
      <c r="B3369" t="s">
        <v>4159</v>
      </c>
      <c r="C3369" t="s">
        <v>5557</v>
      </c>
      <c r="D3369">
        <v>58994346</v>
      </c>
      <c r="E3369">
        <v>13.13</v>
      </c>
      <c r="F3369">
        <v>4.8600000000000003</v>
      </c>
    </row>
    <row r="3370" spans="1:6" x14ac:dyDescent="0.3">
      <c r="A3370" t="s">
        <v>5558</v>
      </c>
      <c r="B3370" t="s">
        <v>3933</v>
      </c>
      <c r="C3370" t="s">
        <v>5559</v>
      </c>
      <c r="D3370">
        <v>58996327</v>
      </c>
      <c r="E3370">
        <v>2.74</v>
      </c>
      <c r="F3370">
        <v>6.53</v>
      </c>
    </row>
    <row r="3371" spans="1:6" x14ac:dyDescent="0.3">
      <c r="A3371" t="s">
        <v>5560</v>
      </c>
      <c r="B3371" t="s">
        <v>2519</v>
      </c>
      <c r="C3371" t="s">
        <v>727</v>
      </c>
      <c r="D3371">
        <v>58996624</v>
      </c>
      <c r="E3371">
        <v>17.13</v>
      </c>
      <c r="F3371">
        <v>6.75</v>
      </c>
    </row>
    <row r="3372" spans="1:6" x14ac:dyDescent="0.3">
      <c r="A3372" t="s">
        <v>5561</v>
      </c>
      <c r="B3372" t="s">
        <v>5562</v>
      </c>
      <c r="C3372" t="s">
        <v>5563</v>
      </c>
      <c r="D3372">
        <v>59007010</v>
      </c>
      <c r="E3372">
        <v>3.4</v>
      </c>
      <c r="F3372">
        <v>6.66</v>
      </c>
    </row>
    <row r="3373" spans="1:6" x14ac:dyDescent="0.3">
      <c r="A3373" t="s">
        <v>5564</v>
      </c>
      <c r="B3373" t="s">
        <v>5565</v>
      </c>
      <c r="C3373" t="s">
        <v>1263</v>
      </c>
      <c r="D3373">
        <v>59013564</v>
      </c>
      <c r="E3373">
        <v>11</v>
      </c>
      <c r="F3373">
        <v>9.33</v>
      </c>
    </row>
    <row r="3374" spans="1:6" x14ac:dyDescent="0.3">
      <c r="A3374" t="s">
        <v>5566</v>
      </c>
      <c r="B3374" t="s">
        <v>2776</v>
      </c>
      <c r="C3374" t="s">
        <v>5567</v>
      </c>
      <c r="D3374">
        <v>59014439</v>
      </c>
      <c r="E3374">
        <v>19.25</v>
      </c>
      <c r="F3374">
        <v>8.2100000000000009</v>
      </c>
    </row>
    <row r="3375" spans="1:6" x14ac:dyDescent="0.3">
      <c r="A3375" t="s">
        <v>5568</v>
      </c>
      <c r="B3375" t="s">
        <v>2466</v>
      </c>
      <c r="C3375" t="s">
        <v>718</v>
      </c>
      <c r="D3375">
        <v>59035474</v>
      </c>
      <c r="E3375">
        <v>13.53</v>
      </c>
      <c r="F3375">
        <v>5</v>
      </c>
    </row>
    <row r="3376" spans="1:6" x14ac:dyDescent="0.3">
      <c r="A3376" t="s">
        <v>5569</v>
      </c>
      <c r="B3376" t="s">
        <v>5570</v>
      </c>
      <c r="C3376" t="s">
        <v>4954</v>
      </c>
      <c r="D3376">
        <v>59041239</v>
      </c>
      <c r="E3376">
        <v>3</v>
      </c>
      <c r="F3376">
        <v>5.42</v>
      </c>
    </row>
    <row r="3377" spans="1:6" x14ac:dyDescent="0.3">
      <c r="A3377" t="s">
        <v>5571</v>
      </c>
      <c r="B3377" t="s">
        <v>4960</v>
      </c>
      <c r="C3377" t="s">
        <v>3349</v>
      </c>
      <c r="D3377">
        <v>59050899</v>
      </c>
      <c r="E3377">
        <v>3.26</v>
      </c>
      <c r="F3377">
        <v>6.08</v>
      </c>
    </row>
    <row r="3378" spans="1:6" x14ac:dyDescent="0.3">
      <c r="A3378" t="s">
        <v>5572</v>
      </c>
      <c r="B3378" t="s">
        <v>3692</v>
      </c>
      <c r="C3378" t="s">
        <v>5573</v>
      </c>
      <c r="D3378">
        <v>59060893</v>
      </c>
      <c r="E3378">
        <v>2.68</v>
      </c>
      <c r="F3378">
        <v>6.67</v>
      </c>
    </row>
    <row r="3379" spans="1:6" x14ac:dyDescent="0.3">
      <c r="A3379" t="s">
        <v>5574</v>
      </c>
      <c r="B3379" t="s">
        <v>5575</v>
      </c>
      <c r="C3379" t="s">
        <v>898</v>
      </c>
      <c r="D3379">
        <v>59063874</v>
      </c>
      <c r="E3379">
        <v>15.67</v>
      </c>
      <c r="F3379">
        <v>6.25</v>
      </c>
    </row>
    <row r="3380" spans="1:6" x14ac:dyDescent="0.3">
      <c r="A3380" t="s">
        <v>5576</v>
      </c>
      <c r="B3380" t="s">
        <v>5577</v>
      </c>
      <c r="C3380" t="s">
        <v>6</v>
      </c>
      <c r="D3380">
        <v>59075347</v>
      </c>
      <c r="E3380">
        <v>34</v>
      </c>
      <c r="F3380">
        <v>6</v>
      </c>
    </row>
    <row r="3381" spans="1:6" x14ac:dyDescent="0.3">
      <c r="A3381" t="s">
        <v>5578</v>
      </c>
      <c r="B3381" t="s">
        <v>5509</v>
      </c>
      <c r="C3381" t="s">
        <v>4998</v>
      </c>
      <c r="D3381">
        <v>59080109</v>
      </c>
      <c r="E3381">
        <v>6.76</v>
      </c>
      <c r="F3381">
        <v>8</v>
      </c>
    </row>
    <row r="3382" spans="1:6" x14ac:dyDescent="0.3">
      <c r="A3382" t="s">
        <v>4892</v>
      </c>
      <c r="B3382" t="s">
        <v>3627</v>
      </c>
      <c r="C3382" t="s">
        <v>4714</v>
      </c>
      <c r="D3382">
        <v>59089782</v>
      </c>
      <c r="E3382">
        <v>9.1</v>
      </c>
      <c r="F3382">
        <v>6.11</v>
      </c>
    </row>
    <row r="3383" spans="1:6" x14ac:dyDescent="0.3">
      <c r="A3383" t="s">
        <v>5579</v>
      </c>
      <c r="B3383" t="s">
        <v>5176</v>
      </c>
      <c r="C3383" t="s">
        <v>5440</v>
      </c>
      <c r="D3383">
        <v>59109949</v>
      </c>
      <c r="E3383">
        <v>2.04</v>
      </c>
      <c r="F3383">
        <v>6.07</v>
      </c>
    </row>
    <row r="3384" spans="1:6" x14ac:dyDescent="0.3">
      <c r="A3384" t="s">
        <v>5580</v>
      </c>
      <c r="B3384" t="s">
        <v>2199</v>
      </c>
      <c r="C3384" t="s">
        <v>5581</v>
      </c>
      <c r="D3384">
        <v>59116411</v>
      </c>
      <c r="E3384">
        <v>5.1100000000000003</v>
      </c>
      <c r="F3384">
        <v>7.22</v>
      </c>
    </row>
    <row r="3385" spans="1:6" x14ac:dyDescent="0.3">
      <c r="A3385" t="s">
        <v>5582</v>
      </c>
      <c r="B3385" t="s">
        <v>5583</v>
      </c>
      <c r="C3385" t="s">
        <v>5584</v>
      </c>
      <c r="D3385">
        <v>59125318</v>
      </c>
      <c r="E3385">
        <v>7.2</v>
      </c>
      <c r="F3385">
        <v>4.25</v>
      </c>
    </row>
    <row r="3386" spans="1:6" x14ac:dyDescent="0.3">
      <c r="A3386" t="s">
        <v>5585</v>
      </c>
      <c r="B3386" t="s">
        <v>1299</v>
      </c>
      <c r="C3386" t="s">
        <v>5586</v>
      </c>
      <c r="D3386">
        <v>59134257</v>
      </c>
      <c r="E3386">
        <v>30</v>
      </c>
      <c r="F3386">
        <v>8</v>
      </c>
    </row>
    <row r="3387" spans="1:6" x14ac:dyDescent="0.3">
      <c r="A3387" t="s">
        <v>5587</v>
      </c>
      <c r="B3387" t="s">
        <v>5588</v>
      </c>
      <c r="C3387" t="s">
        <v>5589</v>
      </c>
      <c r="D3387">
        <v>59139787</v>
      </c>
      <c r="E3387">
        <v>12.86</v>
      </c>
      <c r="F3387">
        <v>8</v>
      </c>
    </row>
    <row r="3388" spans="1:6" x14ac:dyDescent="0.3">
      <c r="A3388" t="s">
        <v>5590</v>
      </c>
      <c r="B3388" t="s">
        <v>5591</v>
      </c>
      <c r="C3388" t="s">
        <v>4001</v>
      </c>
      <c r="D3388">
        <v>59141478</v>
      </c>
      <c r="E3388">
        <v>21.94</v>
      </c>
      <c r="F3388">
        <v>7.25</v>
      </c>
    </row>
    <row r="3389" spans="1:6" x14ac:dyDescent="0.3">
      <c r="A3389" t="s">
        <v>5592</v>
      </c>
      <c r="B3389" t="s">
        <v>4171</v>
      </c>
      <c r="C3389" t="s">
        <v>4488</v>
      </c>
      <c r="D3389">
        <v>59151874</v>
      </c>
      <c r="E3389">
        <v>1.04</v>
      </c>
      <c r="F3389">
        <v>6.78</v>
      </c>
    </row>
    <row r="3390" spans="1:6" x14ac:dyDescent="0.3">
      <c r="A3390" t="s">
        <v>5593</v>
      </c>
      <c r="B3390" t="s">
        <v>5594</v>
      </c>
      <c r="C3390" t="s">
        <v>2092</v>
      </c>
      <c r="D3390">
        <v>59157630</v>
      </c>
      <c r="E3390">
        <v>31</v>
      </c>
      <c r="F3390">
        <v>9</v>
      </c>
    </row>
    <row r="3391" spans="1:6" x14ac:dyDescent="0.3">
      <c r="A3391" t="s">
        <v>5595</v>
      </c>
      <c r="B3391" t="s">
        <v>3809</v>
      </c>
      <c r="C3391" t="s">
        <v>5596</v>
      </c>
      <c r="D3391">
        <v>59157925</v>
      </c>
      <c r="E3391">
        <v>7.25</v>
      </c>
      <c r="F3391">
        <v>7</v>
      </c>
    </row>
    <row r="3392" spans="1:6" x14ac:dyDescent="0.3">
      <c r="A3392" t="s">
        <v>5597</v>
      </c>
      <c r="B3392" t="s">
        <v>5093</v>
      </c>
      <c r="C3392" t="s">
        <v>3389</v>
      </c>
      <c r="D3392">
        <v>59173190</v>
      </c>
      <c r="E3392">
        <v>6.01</v>
      </c>
      <c r="F3392">
        <v>7.33</v>
      </c>
    </row>
    <row r="3393" spans="1:6" x14ac:dyDescent="0.3">
      <c r="A3393" t="s">
        <v>3230</v>
      </c>
      <c r="B3393" t="s">
        <v>4561</v>
      </c>
      <c r="C3393" t="s">
        <v>3960</v>
      </c>
      <c r="D3393">
        <v>59173875</v>
      </c>
      <c r="E3393">
        <v>7.22</v>
      </c>
      <c r="F3393">
        <v>6.67</v>
      </c>
    </row>
    <row r="3394" spans="1:6" x14ac:dyDescent="0.3">
      <c r="A3394" t="s">
        <v>5598</v>
      </c>
      <c r="B3394" t="s">
        <v>5599</v>
      </c>
      <c r="C3394" t="s">
        <v>5600</v>
      </c>
      <c r="D3394">
        <v>59173944</v>
      </c>
      <c r="E3394">
        <v>2.31</v>
      </c>
      <c r="F3394">
        <v>7.38</v>
      </c>
    </row>
    <row r="3395" spans="1:6" x14ac:dyDescent="0.3">
      <c r="A3395" t="s">
        <v>5601</v>
      </c>
      <c r="B3395" t="s">
        <v>2342</v>
      </c>
      <c r="C3395" t="s">
        <v>5602</v>
      </c>
      <c r="D3395">
        <v>59175231</v>
      </c>
      <c r="E3395">
        <v>14.45</v>
      </c>
      <c r="F3395">
        <v>6.1</v>
      </c>
    </row>
    <row r="3396" spans="1:6" x14ac:dyDescent="0.3">
      <c r="A3396" t="s">
        <v>5603</v>
      </c>
      <c r="B3396" t="s">
        <v>5604</v>
      </c>
      <c r="C3396" t="s">
        <v>4808</v>
      </c>
      <c r="D3396">
        <v>59176080</v>
      </c>
      <c r="E3396">
        <v>5.5</v>
      </c>
      <c r="F3396">
        <v>4</v>
      </c>
    </row>
    <row r="3397" spans="1:6" x14ac:dyDescent="0.3">
      <c r="A3397" t="s">
        <v>5605</v>
      </c>
      <c r="B3397" t="s">
        <v>5606</v>
      </c>
      <c r="C3397" t="s">
        <v>5067</v>
      </c>
      <c r="D3397">
        <v>59188624</v>
      </c>
      <c r="E3397">
        <v>6.8</v>
      </c>
      <c r="F3397">
        <v>5.25</v>
      </c>
    </row>
    <row r="3398" spans="1:6" x14ac:dyDescent="0.3">
      <c r="A3398" t="s">
        <v>5607</v>
      </c>
      <c r="B3398" t="s">
        <v>4690</v>
      </c>
      <c r="C3398" t="s">
        <v>5216</v>
      </c>
      <c r="D3398">
        <v>59203807</v>
      </c>
      <c r="E3398">
        <v>3.38</v>
      </c>
      <c r="F3398">
        <v>7.18</v>
      </c>
    </row>
    <row r="3399" spans="1:6" x14ac:dyDescent="0.3">
      <c r="A3399" t="s">
        <v>3401</v>
      </c>
      <c r="B3399" t="s">
        <v>4541</v>
      </c>
      <c r="C3399" t="s">
        <v>3401</v>
      </c>
      <c r="D3399">
        <v>59206731</v>
      </c>
      <c r="E3399">
        <v>3.31</v>
      </c>
      <c r="F3399">
        <v>6.91</v>
      </c>
    </row>
    <row r="3400" spans="1:6" x14ac:dyDescent="0.3">
      <c r="A3400" t="s">
        <v>5608</v>
      </c>
      <c r="B3400" t="s">
        <v>4849</v>
      </c>
      <c r="C3400" t="s">
        <v>1401</v>
      </c>
      <c r="D3400">
        <v>59209010</v>
      </c>
      <c r="E3400">
        <v>31.05</v>
      </c>
      <c r="F3400">
        <v>8.83</v>
      </c>
    </row>
    <row r="3401" spans="1:6" x14ac:dyDescent="0.3">
      <c r="A3401" t="s">
        <v>5609</v>
      </c>
      <c r="B3401" t="s">
        <v>4698</v>
      </c>
      <c r="C3401" t="s">
        <v>12</v>
      </c>
      <c r="D3401">
        <v>59219965</v>
      </c>
      <c r="E3401">
        <v>13.86</v>
      </c>
      <c r="F3401">
        <v>6.29</v>
      </c>
    </row>
    <row r="3402" spans="1:6" x14ac:dyDescent="0.3">
      <c r="A3402" t="s">
        <v>5610</v>
      </c>
      <c r="B3402" t="s">
        <v>4354</v>
      </c>
      <c r="C3402" t="s">
        <v>1103</v>
      </c>
      <c r="D3402">
        <v>59230188</v>
      </c>
      <c r="E3402">
        <v>21.28</v>
      </c>
      <c r="F3402">
        <v>6.92</v>
      </c>
    </row>
    <row r="3403" spans="1:6" x14ac:dyDescent="0.3">
      <c r="A3403" t="s">
        <v>5611</v>
      </c>
      <c r="B3403" t="s">
        <v>5612</v>
      </c>
      <c r="C3403" t="s">
        <v>3220</v>
      </c>
      <c r="D3403">
        <v>59233765</v>
      </c>
      <c r="E3403">
        <v>10</v>
      </c>
      <c r="F3403">
        <v>5.5</v>
      </c>
    </row>
    <row r="3404" spans="1:6" x14ac:dyDescent="0.3">
      <c r="A3404" t="s">
        <v>5613</v>
      </c>
      <c r="B3404" t="s">
        <v>5614</v>
      </c>
      <c r="C3404" t="s">
        <v>4897</v>
      </c>
      <c r="D3404">
        <v>59242918</v>
      </c>
      <c r="E3404">
        <v>7.29</v>
      </c>
      <c r="F3404">
        <v>5</v>
      </c>
    </row>
    <row r="3405" spans="1:6" x14ac:dyDescent="0.3">
      <c r="A3405" t="s">
        <v>5615</v>
      </c>
      <c r="B3405" t="s">
        <v>5616</v>
      </c>
      <c r="C3405" t="s">
        <v>2458</v>
      </c>
      <c r="D3405">
        <v>59270436</v>
      </c>
      <c r="E3405">
        <v>27.33</v>
      </c>
      <c r="F3405">
        <v>7.67</v>
      </c>
    </row>
    <row r="3406" spans="1:6" x14ac:dyDescent="0.3">
      <c r="A3406" t="s">
        <v>5617</v>
      </c>
      <c r="B3406" t="s">
        <v>3120</v>
      </c>
      <c r="C3406" t="s">
        <v>1231</v>
      </c>
      <c r="D3406">
        <v>59273823</v>
      </c>
      <c r="E3406">
        <v>14.05</v>
      </c>
      <c r="F3406">
        <v>6.14</v>
      </c>
    </row>
    <row r="3407" spans="1:6" x14ac:dyDescent="0.3">
      <c r="A3407" t="s">
        <v>5618</v>
      </c>
      <c r="B3407" t="s">
        <v>5619</v>
      </c>
      <c r="C3407" t="s">
        <v>4067</v>
      </c>
      <c r="D3407">
        <v>59281434</v>
      </c>
      <c r="E3407">
        <v>7.08</v>
      </c>
      <c r="F3407">
        <v>4.8</v>
      </c>
    </row>
    <row r="3408" spans="1:6" x14ac:dyDescent="0.3">
      <c r="A3408" t="s">
        <v>5620</v>
      </c>
      <c r="B3408" t="s">
        <v>5621</v>
      </c>
      <c r="C3408" t="s">
        <v>5622</v>
      </c>
      <c r="D3408">
        <v>59284794</v>
      </c>
      <c r="E3408">
        <v>3.73</v>
      </c>
      <c r="F3408">
        <v>2.9</v>
      </c>
    </row>
    <row r="3409" spans="1:6" x14ac:dyDescent="0.3">
      <c r="A3409" t="s">
        <v>5623</v>
      </c>
      <c r="B3409" t="s">
        <v>5624</v>
      </c>
      <c r="C3409" t="s">
        <v>5625</v>
      </c>
      <c r="D3409">
        <v>59285031</v>
      </c>
      <c r="E3409">
        <v>3.44</v>
      </c>
      <c r="F3409">
        <v>7.55</v>
      </c>
    </row>
    <row r="3410" spans="1:6" x14ac:dyDescent="0.3">
      <c r="A3410" t="s">
        <v>5626</v>
      </c>
      <c r="B3410" t="s">
        <v>4044</v>
      </c>
      <c r="C3410" t="s">
        <v>5627</v>
      </c>
      <c r="D3410">
        <v>59285270</v>
      </c>
      <c r="E3410">
        <v>4.5199999999999996</v>
      </c>
      <c r="F3410">
        <v>6.61</v>
      </c>
    </row>
    <row r="3411" spans="1:6" x14ac:dyDescent="0.3">
      <c r="A3411" t="s">
        <v>5628</v>
      </c>
      <c r="B3411" t="s">
        <v>5629</v>
      </c>
      <c r="C3411" t="s">
        <v>5630</v>
      </c>
      <c r="D3411">
        <v>59291804</v>
      </c>
      <c r="E3411">
        <v>2.87</v>
      </c>
      <c r="F3411">
        <v>3.53</v>
      </c>
    </row>
    <row r="3412" spans="1:6" x14ac:dyDescent="0.3">
      <c r="A3412" t="s">
        <v>5631</v>
      </c>
      <c r="B3412" t="s">
        <v>5632</v>
      </c>
      <c r="C3412" t="s">
        <v>4219</v>
      </c>
      <c r="D3412">
        <v>59292531</v>
      </c>
      <c r="E3412">
        <v>3.28</v>
      </c>
      <c r="F3412">
        <v>6.14</v>
      </c>
    </row>
    <row r="3413" spans="1:6" x14ac:dyDescent="0.3">
      <c r="A3413" t="s">
        <v>5633</v>
      </c>
      <c r="B3413" t="s">
        <v>5634</v>
      </c>
      <c r="C3413" t="s">
        <v>5635</v>
      </c>
      <c r="D3413">
        <v>59309294</v>
      </c>
      <c r="E3413">
        <v>8</v>
      </c>
      <c r="F3413">
        <v>6</v>
      </c>
    </row>
    <row r="3414" spans="1:6" x14ac:dyDescent="0.3">
      <c r="A3414" t="s">
        <v>5636</v>
      </c>
      <c r="B3414" t="s">
        <v>3181</v>
      </c>
      <c r="C3414" t="s">
        <v>5637</v>
      </c>
      <c r="D3414">
        <v>59315849</v>
      </c>
      <c r="E3414">
        <v>12.06</v>
      </c>
      <c r="F3414">
        <v>8.16</v>
      </c>
    </row>
    <row r="3415" spans="1:6" x14ac:dyDescent="0.3">
      <c r="A3415" t="s">
        <v>5638</v>
      </c>
      <c r="B3415" t="s">
        <v>3634</v>
      </c>
      <c r="C3415" t="s">
        <v>5639</v>
      </c>
      <c r="D3415">
        <v>59321687</v>
      </c>
      <c r="E3415">
        <v>2.94</v>
      </c>
      <c r="F3415">
        <v>5.33</v>
      </c>
    </row>
    <row r="3416" spans="1:6" x14ac:dyDescent="0.3">
      <c r="A3416" t="s">
        <v>5640</v>
      </c>
      <c r="B3416" t="s">
        <v>5393</v>
      </c>
      <c r="C3416" t="s">
        <v>2038</v>
      </c>
      <c r="D3416">
        <v>59329331</v>
      </c>
      <c r="E3416">
        <v>3.87</v>
      </c>
      <c r="F3416">
        <v>6.71</v>
      </c>
    </row>
    <row r="3417" spans="1:6" x14ac:dyDescent="0.3">
      <c r="A3417" t="s">
        <v>5641</v>
      </c>
      <c r="B3417" t="s">
        <v>5642</v>
      </c>
      <c r="C3417" t="s">
        <v>3085</v>
      </c>
      <c r="D3417">
        <v>59331033</v>
      </c>
      <c r="E3417">
        <v>3.01</v>
      </c>
      <c r="F3417">
        <v>6.61</v>
      </c>
    </row>
    <row r="3418" spans="1:6" x14ac:dyDescent="0.3">
      <c r="A3418" t="s">
        <v>5643</v>
      </c>
      <c r="B3418" t="s">
        <v>3012</v>
      </c>
      <c r="C3418" t="s">
        <v>4570</v>
      </c>
      <c r="D3418">
        <v>59331091</v>
      </c>
      <c r="E3418">
        <v>29.8</v>
      </c>
      <c r="F3418">
        <v>8.6</v>
      </c>
    </row>
    <row r="3419" spans="1:6" x14ac:dyDescent="0.3">
      <c r="A3419" t="s">
        <v>5644</v>
      </c>
      <c r="B3419" t="s">
        <v>5645</v>
      </c>
      <c r="C3419" t="s">
        <v>2222</v>
      </c>
      <c r="D3419">
        <v>59332390</v>
      </c>
      <c r="E3419">
        <v>1.99</v>
      </c>
      <c r="F3419">
        <v>6.15</v>
      </c>
    </row>
    <row r="3420" spans="1:6" x14ac:dyDescent="0.3">
      <c r="A3420" t="s">
        <v>5646</v>
      </c>
      <c r="B3420" t="s">
        <v>4380</v>
      </c>
      <c r="C3420" t="s">
        <v>5647</v>
      </c>
      <c r="D3420">
        <v>59338155</v>
      </c>
      <c r="E3420">
        <v>9.17</v>
      </c>
      <c r="F3420">
        <v>7.5</v>
      </c>
    </row>
    <row r="3421" spans="1:6" x14ac:dyDescent="0.3">
      <c r="A3421" t="s">
        <v>5648</v>
      </c>
      <c r="B3421" t="s">
        <v>1834</v>
      </c>
      <c r="C3421" t="s">
        <v>28</v>
      </c>
      <c r="D3421">
        <v>59339981</v>
      </c>
      <c r="E3421">
        <v>7.02</v>
      </c>
      <c r="F3421">
        <v>7.33</v>
      </c>
    </row>
    <row r="3422" spans="1:6" x14ac:dyDescent="0.3">
      <c r="A3422" t="s">
        <v>5649</v>
      </c>
      <c r="B3422" t="s">
        <v>5650</v>
      </c>
      <c r="C3422" t="s">
        <v>1925</v>
      </c>
      <c r="D3422">
        <v>59352979</v>
      </c>
      <c r="E3422">
        <v>7.95</v>
      </c>
      <c r="F3422">
        <v>7</v>
      </c>
    </row>
    <row r="3423" spans="1:6" x14ac:dyDescent="0.3">
      <c r="A3423" t="s">
        <v>5651</v>
      </c>
      <c r="B3423" t="s">
        <v>5386</v>
      </c>
      <c r="C3423" t="s">
        <v>5652</v>
      </c>
      <c r="D3423">
        <v>59359353</v>
      </c>
      <c r="E3423">
        <v>7.39</v>
      </c>
      <c r="F3423">
        <v>6.72</v>
      </c>
    </row>
    <row r="3424" spans="1:6" x14ac:dyDescent="0.3">
      <c r="A3424" t="s">
        <v>5653</v>
      </c>
      <c r="B3424" t="s">
        <v>5654</v>
      </c>
      <c r="C3424" t="s">
        <v>2224</v>
      </c>
      <c r="D3424">
        <v>59360671</v>
      </c>
      <c r="E3424">
        <v>6.8</v>
      </c>
      <c r="F3424">
        <v>5</v>
      </c>
    </row>
    <row r="3425" spans="1:6" x14ac:dyDescent="0.3">
      <c r="A3425" t="s">
        <v>5655</v>
      </c>
      <c r="B3425" t="s">
        <v>3803</v>
      </c>
      <c r="C3425" t="s">
        <v>5455</v>
      </c>
      <c r="D3425">
        <v>59379484</v>
      </c>
      <c r="E3425">
        <v>2.88</v>
      </c>
      <c r="F3425">
        <v>6.6</v>
      </c>
    </row>
    <row r="3426" spans="1:6" x14ac:dyDescent="0.3">
      <c r="A3426" t="s">
        <v>5656</v>
      </c>
      <c r="B3426" t="s">
        <v>4234</v>
      </c>
      <c r="C3426" t="s">
        <v>5657</v>
      </c>
      <c r="D3426">
        <v>59388564</v>
      </c>
      <c r="E3426">
        <v>2.16</v>
      </c>
      <c r="F3426">
        <v>6.88</v>
      </c>
    </row>
    <row r="3427" spans="1:6" x14ac:dyDescent="0.3">
      <c r="A3427" t="s">
        <v>5658</v>
      </c>
      <c r="B3427" t="s">
        <v>3805</v>
      </c>
      <c r="C3427" t="s">
        <v>5659</v>
      </c>
      <c r="D3427">
        <v>59391556</v>
      </c>
      <c r="E3427">
        <v>9.92</v>
      </c>
      <c r="F3427">
        <v>7.29</v>
      </c>
    </row>
    <row r="3428" spans="1:6" x14ac:dyDescent="0.3">
      <c r="A3428" t="s">
        <v>5660</v>
      </c>
      <c r="B3428" t="s">
        <v>5322</v>
      </c>
      <c r="C3428" t="s">
        <v>5661</v>
      </c>
      <c r="D3428">
        <v>59397848</v>
      </c>
      <c r="E3428">
        <v>6.57</v>
      </c>
      <c r="F3428">
        <v>5.8</v>
      </c>
    </row>
    <row r="3429" spans="1:6" x14ac:dyDescent="0.3">
      <c r="A3429" t="s">
        <v>5662</v>
      </c>
      <c r="B3429" t="s">
        <v>4561</v>
      </c>
      <c r="C3429" t="s">
        <v>5663</v>
      </c>
      <c r="D3429">
        <v>59398769</v>
      </c>
      <c r="E3429">
        <v>2.92</v>
      </c>
      <c r="F3429">
        <v>6.6</v>
      </c>
    </row>
    <row r="3430" spans="1:6" x14ac:dyDescent="0.3">
      <c r="A3430" t="s">
        <v>5664</v>
      </c>
      <c r="B3430" t="s">
        <v>4812</v>
      </c>
      <c r="C3430" t="s">
        <v>1059</v>
      </c>
      <c r="D3430">
        <v>59402593</v>
      </c>
      <c r="E3430">
        <v>12.15</v>
      </c>
      <c r="F3430">
        <v>6.35</v>
      </c>
    </row>
    <row r="3431" spans="1:6" x14ac:dyDescent="0.3">
      <c r="A3431" t="s">
        <v>4557</v>
      </c>
      <c r="B3431" t="s">
        <v>968</v>
      </c>
      <c r="C3431" t="s">
        <v>1537</v>
      </c>
      <c r="D3431">
        <v>59413042</v>
      </c>
      <c r="E3431">
        <v>5.99</v>
      </c>
      <c r="F3431">
        <v>7.4</v>
      </c>
    </row>
    <row r="3432" spans="1:6" x14ac:dyDescent="0.3">
      <c r="A3432" t="s">
        <v>5665</v>
      </c>
      <c r="B3432" t="s">
        <v>3550</v>
      </c>
      <c r="C3432" t="s">
        <v>5666</v>
      </c>
      <c r="D3432">
        <v>59413155</v>
      </c>
      <c r="E3432">
        <v>14.71</v>
      </c>
      <c r="F3432">
        <v>7.14</v>
      </c>
    </row>
    <row r="3433" spans="1:6" x14ac:dyDescent="0.3">
      <c r="A3433" t="s">
        <v>5667</v>
      </c>
      <c r="B3433" t="s">
        <v>2930</v>
      </c>
      <c r="C3433" t="s">
        <v>5668</v>
      </c>
      <c r="D3433">
        <v>59425467</v>
      </c>
      <c r="E3433">
        <v>3.06</v>
      </c>
      <c r="F3433">
        <v>6.76</v>
      </c>
    </row>
    <row r="3434" spans="1:6" x14ac:dyDescent="0.3">
      <c r="A3434" t="s">
        <v>5669</v>
      </c>
      <c r="B3434" t="s">
        <v>2910</v>
      </c>
      <c r="C3434" t="s">
        <v>5670</v>
      </c>
      <c r="D3434">
        <v>59443781</v>
      </c>
      <c r="E3434">
        <v>6.57</v>
      </c>
      <c r="F3434">
        <v>6.33</v>
      </c>
    </row>
    <row r="3435" spans="1:6" x14ac:dyDescent="0.3">
      <c r="A3435" t="s">
        <v>5671</v>
      </c>
      <c r="B3435" t="s">
        <v>5672</v>
      </c>
      <c r="C3435" t="s">
        <v>4003</v>
      </c>
      <c r="D3435">
        <v>59445003</v>
      </c>
      <c r="E3435">
        <v>11.88</v>
      </c>
      <c r="F3435">
        <v>4.17</v>
      </c>
    </row>
    <row r="3436" spans="1:6" x14ac:dyDescent="0.3">
      <c r="A3436" t="s">
        <v>5673</v>
      </c>
      <c r="B3436" t="s">
        <v>3609</v>
      </c>
      <c r="C3436" t="s">
        <v>12</v>
      </c>
      <c r="D3436">
        <v>59458092</v>
      </c>
      <c r="E3436">
        <v>7.4</v>
      </c>
      <c r="F3436">
        <v>6.5</v>
      </c>
    </row>
    <row r="3437" spans="1:6" x14ac:dyDescent="0.3">
      <c r="A3437" t="s">
        <v>5674</v>
      </c>
      <c r="B3437" t="s">
        <v>5675</v>
      </c>
      <c r="C3437">
        <v>128</v>
      </c>
      <c r="D3437">
        <v>59460566</v>
      </c>
      <c r="E3437">
        <v>10.29</v>
      </c>
      <c r="F3437">
        <v>6.17</v>
      </c>
    </row>
    <row r="3438" spans="1:6" x14ac:dyDescent="0.3">
      <c r="A3438" t="s">
        <v>5676</v>
      </c>
      <c r="B3438" t="s">
        <v>5349</v>
      </c>
      <c r="C3438" t="s">
        <v>5677</v>
      </c>
      <c r="D3438">
        <v>59465829</v>
      </c>
      <c r="E3438">
        <v>5.85</v>
      </c>
      <c r="F3438">
        <v>6.59</v>
      </c>
    </row>
    <row r="3439" spans="1:6" x14ac:dyDescent="0.3">
      <c r="A3439" t="s">
        <v>5678</v>
      </c>
      <c r="B3439" t="s">
        <v>4154</v>
      </c>
      <c r="C3439" t="s">
        <v>1214</v>
      </c>
      <c r="D3439">
        <v>59468035</v>
      </c>
      <c r="E3439">
        <v>1.77</v>
      </c>
      <c r="F3439">
        <v>6</v>
      </c>
    </row>
    <row r="3440" spans="1:6" x14ac:dyDescent="0.3">
      <c r="A3440" t="s">
        <v>5679</v>
      </c>
      <c r="B3440" t="s">
        <v>2771</v>
      </c>
      <c r="C3440" t="s">
        <v>5680</v>
      </c>
      <c r="D3440">
        <v>59484994</v>
      </c>
      <c r="E3440">
        <v>15.67</v>
      </c>
      <c r="F3440">
        <v>6.85</v>
      </c>
    </row>
    <row r="3441" spans="1:6" x14ac:dyDescent="0.3">
      <c r="A3441" t="s">
        <v>5681</v>
      </c>
      <c r="B3441" t="s">
        <v>2342</v>
      </c>
      <c r="C3441" t="s">
        <v>5682</v>
      </c>
      <c r="D3441">
        <v>59488141</v>
      </c>
      <c r="E3441">
        <v>5.58</v>
      </c>
      <c r="F3441">
        <v>8.1999999999999993</v>
      </c>
    </row>
    <row r="3442" spans="1:6" x14ac:dyDescent="0.3">
      <c r="A3442" t="s">
        <v>5683</v>
      </c>
      <c r="B3442" t="s">
        <v>4739</v>
      </c>
      <c r="C3442" t="s">
        <v>2189</v>
      </c>
      <c r="D3442">
        <v>59495189</v>
      </c>
      <c r="E3442">
        <v>1.07</v>
      </c>
      <c r="F3442">
        <v>6.95</v>
      </c>
    </row>
    <row r="3443" spans="1:6" x14ac:dyDescent="0.3">
      <c r="A3443" t="s">
        <v>5684</v>
      </c>
      <c r="B3443" t="s">
        <v>5685</v>
      </c>
      <c r="C3443" t="s">
        <v>1925</v>
      </c>
      <c r="D3443">
        <v>59496088</v>
      </c>
      <c r="E3443">
        <v>8.67</v>
      </c>
      <c r="F3443">
        <v>2</v>
      </c>
    </row>
    <row r="3444" spans="1:6" x14ac:dyDescent="0.3">
      <c r="A3444" t="s">
        <v>5686</v>
      </c>
      <c r="B3444" t="s">
        <v>5687</v>
      </c>
      <c r="C3444" t="s">
        <v>5688</v>
      </c>
      <c r="D3444">
        <v>59502709</v>
      </c>
      <c r="E3444">
        <v>10.75</v>
      </c>
      <c r="F3444">
        <v>7.86</v>
      </c>
    </row>
    <row r="3445" spans="1:6" x14ac:dyDescent="0.3">
      <c r="A3445" t="s">
        <v>222</v>
      </c>
      <c r="B3445" t="s">
        <v>5689</v>
      </c>
      <c r="C3445" t="s">
        <v>5690</v>
      </c>
      <c r="D3445">
        <v>59518342</v>
      </c>
      <c r="E3445">
        <v>6.57</v>
      </c>
      <c r="F3445">
        <v>2.8</v>
      </c>
    </row>
    <row r="3446" spans="1:6" x14ac:dyDescent="0.3">
      <c r="A3446" t="s">
        <v>5691</v>
      </c>
      <c r="B3446" t="s">
        <v>2843</v>
      </c>
      <c r="C3446" t="s">
        <v>5692</v>
      </c>
      <c r="D3446">
        <v>59518611</v>
      </c>
      <c r="E3446">
        <v>22.67</v>
      </c>
      <c r="F3446">
        <v>6</v>
      </c>
    </row>
    <row r="3447" spans="1:6" x14ac:dyDescent="0.3">
      <c r="A3447" t="s">
        <v>5693</v>
      </c>
      <c r="B3447" t="s">
        <v>3181</v>
      </c>
      <c r="C3447" t="s">
        <v>5694</v>
      </c>
      <c r="D3447">
        <v>59530698</v>
      </c>
      <c r="E3447">
        <v>1.62</v>
      </c>
      <c r="F3447">
        <v>8.19</v>
      </c>
    </row>
    <row r="3448" spans="1:6" x14ac:dyDescent="0.3">
      <c r="A3448" t="s">
        <v>5695</v>
      </c>
      <c r="B3448" t="s">
        <v>5696</v>
      </c>
      <c r="C3448" t="s">
        <v>1274</v>
      </c>
      <c r="D3448">
        <v>59533451</v>
      </c>
      <c r="E3448">
        <v>24.61</v>
      </c>
      <c r="F3448">
        <v>5</v>
      </c>
    </row>
    <row r="3449" spans="1:6" x14ac:dyDescent="0.3">
      <c r="A3449" t="s">
        <v>5697</v>
      </c>
      <c r="B3449" t="s">
        <v>5698</v>
      </c>
      <c r="C3449" t="s">
        <v>5699</v>
      </c>
      <c r="D3449">
        <v>59535791</v>
      </c>
      <c r="E3449">
        <v>20.89</v>
      </c>
      <c r="F3449">
        <v>6.47</v>
      </c>
    </row>
    <row r="3450" spans="1:6" x14ac:dyDescent="0.3">
      <c r="A3450" t="s">
        <v>5700</v>
      </c>
      <c r="B3450" t="s">
        <v>5701</v>
      </c>
      <c r="C3450" t="s">
        <v>4103</v>
      </c>
      <c r="D3450">
        <v>59536779</v>
      </c>
      <c r="E3450">
        <v>3.32</v>
      </c>
      <c r="F3450">
        <v>5.63</v>
      </c>
    </row>
    <row r="3451" spans="1:6" x14ac:dyDescent="0.3">
      <c r="A3451" t="s">
        <v>5702</v>
      </c>
      <c r="B3451" t="s">
        <v>5512</v>
      </c>
      <c r="C3451" t="s">
        <v>4576</v>
      </c>
      <c r="D3451">
        <v>59537888</v>
      </c>
      <c r="E3451">
        <v>9.35</v>
      </c>
      <c r="F3451">
        <v>7.33</v>
      </c>
    </row>
    <row r="3452" spans="1:6" x14ac:dyDescent="0.3">
      <c r="A3452" t="s">
        <v>5703</v>
      </c>
      <c r="B3452" t="s">
        <v>5704</v>
      </c>
      <c r="C3452" t="s">
        <v>3324</v>
      </c>
      <c r="D3452">
        <v>59539361</v>
      </c>
      <c r="E3452">
        <v>31.04</v>
      </c>
      <c r="F3452">
        <v>8.1300000000000008</v>
      </c>
    </row>
    <row r="3453" spans="1:6" x14ac:dyDescent="0.3">
      <c r="A3453" t="s">
        <v>5516</v>
      </c>
      <c r="B3453" t="s">
        <v>5492</v>
      </c>
      <c r="C3453" t="s">
        <v>4986</v>
      </c>
      <c r="D3453">
        <v>59576628</v>
      </c>
      <c r="E3453">
        <v>4</v>
      </c>
      <c r="F3453">
        <v>6.71</v>
      </c>
    </row>
    <row r="3454" spans="1:6" x14ac:dyDescent="0.3">
      <c r="A3454" t="s">
        <v>5705</v>
      </c>
      <c r="B3454" t="s">
        <v>2843</v>
      </c>
      <c r="C3454" t="s">
        <v>5706</v>
      </c>
      <c r="D3454">
        <v>59585590</v>
      </c>
      <c r="E3454">
        <v>21.17</v>
      </c>
      <c r="F3454">
        <v>5.6</v>
      </c>
    </row>
    <row r="3455" spans="1:6" x14ac:dyDescent="0.3">
      <c r="A3455" t="s">
        <v>5707</v>
      </c>
      <c r="B3455" t="s">
        <v>5354</v>
      </c>
      <c r="C3455" t="s">
        <v>5707</v>
      </c>
      <c r="D3455">
        <v>59613028</v>
      </c>
      <c r="E3455">
        <v>2.0699999999999998</v>
      </c>
      <c r="F3455">
        <v>6.6</v>
      </c>
    </row>
    <row r="3456" spans="1:6" x14ac:dyDescent="0.3">
      <c r="A3456" t="s">
        <v>5708</v>
      </c>
      <c r="B3456" t="s">
        <v>5709</v>
      </c>
      <c r="C3456" t="s">
        <v>741</v>
      </c>
      <c r="D3456">
        <v>59614100</v>
      </c>
      <c r="E3456">
        <v>3.57</v>
      </c>
      <c r="F3456">
        <v>6.13</v>
      </c>
    </row>
    <row r="3457" spans="1:6" x14ac:dyDescent="0.3">
      <c r="A3457" t="s">
        <v>5710</v>
      </c>
      <c r="B3457" t="s">
        <v>5711</v>
      </c>
      <c r="C3457" t="s">
        <v>2056</v>
      </c>
      <c r="D3457">
        <v>59617423</v>
      </c>
      <c r="E3457">
        <v>8</v>
      </c>
      <c r="F3457">
        <v>4</v>
      </c>
    </row>
    <row r="3458" spans="1:6" x14ac:dyDescent="0.3">
      <c r="A3458" t="s">
        <v>5712</v>
      </c>
      <c r="B3458" t="s">
        <v>4686</v>
      </c>
      <c r="C3458" t="s">
        <v>3964</v>
      </c>
      <c r="D3458">
        <v>59620684</v>
      </c>
      <c r="E3458">
        <v>26.97</v>
      </c>
      <c r="F3458">
        <v>8.1999999999999993</v>
      </c>
    </row>
    <row r="3459" spans="1:6" x14ac:dyDescent="0.3">
      <c r="A3459" t="s">
        <v>5713</v>
      </c>
      <c r="B3459" t="s">
        <v>5006</v>
      </c>
      <c r="C3459" t="s">
        <v>1495</v>
      </c>
      <c r="D3459">
        <v>59621833</v>
      </c>
      <c r="E3459">
        <v>6.9</v>
      </c>
      <c r="F3459">
        <v>6.31</v>
      </c>
    </row>
    <row r="3460" spans="1:6" x14ac:dyDescent="0.3">
      <c r="A3460" t="s">
        <v>5714</v>
      </c>
      <c r="B3460" t="s">
        <v>5192</v>
      </c>
      <c r="C3460" t="s">
        <v>5715</v>
      </c>
      <c r="D3460">
        <v>59625439</v>
      </c>
      <c r="E3460">
        <v>5.4</v>
      </c>
      <c r="F3460">
        <v>6.83</v>
      </c>
    </row>
    <row r="3461" spans="1:6" x14ac:dyDescent="0.3">
      <c r="A3461" t="s">
        <v>5716</v>
      </c>
      <c r="B3461" t="s">
        <v>2228</v>
      </c>
      <c r="C3461" t="s">
        <v>5717</v>
      </c>
      <c r="D3461">
        <v>59626284</v>
      </c>
      <c r="E3461">
        <v>17.72</v>
      </c>
      <c r="F3461">
        <v>7</v>
      </c>
    </row>
    <row r="3462" spans="1:6" x14ac:dyDescent="0.3">
      <c r="A3462" t="s">
        <v>5718</v>
      </c>
      <c r="B3462" t="s">
        <v>5719</v>
      </c>
      <c r="C3462" t="s">
        <v>718</v>
      </c>
      <c r="D3462">
        <v>59629222</v>
      </c>
      <c r="E3462">
        <v>1.86</v>
      </c>
      <c r="F3462">
        <v>5.79</v>
      </c>
    </row>
    <row r="3463" spans="1:6" x14ac:dyDescent="0.3">
      <c r="A3463" t="s">
        <v>5720</v>
      </c>
      <c r="B3463" t="s">
        <v>3120</v>
      </c>
      <c r="C3463" t="s">
        <v>2202</v>
      </c>
      <c r="D3463">
        <v>59635185</v>
      </c>
      <c r="E3463">
        <v>4.66</v>
      </c>
      <c r="F3463">
        <v>6.13</v>
      </c>
    </row>
    <row r="3464" spans="1:6" x14ac:dyDescent="0.3">
      <c r="A3464" t="s">
        <v>5721</v>
      </c>
      <c r="B3464" t="s">
        <v>5650</v>
      </c>
      <c r="C3464" t="s">
        <v>4244</v>
      </c>
      <c r="D3464">
        <v>59650910</v>
      </c>
      <c r="E3464">
        <v>7.75</v>
      </c>
      <c r="F3464">
        <v>4.33</v>
      </c>
    </row>
    <row r="3465" spans="1:6" x14ac:dyDescent="0.3">
      <c r="A3465" t="s">
        <v>5722</v>
      </c>
      <c r="B3465" t="s">
        <v>4073</v>
      </c>
      <c r="C3465" t="s">
        <v>3266</v>
      </c>
      <c r="D3465">
        <v>59656281</v>
      </c>
      <c r="E3465">
        <v>20.67</v>
      </c>
      <c r="F3465">
        <v>7.17</v>
      </c>
    </row>
    <row r="3466" spans="1:6" x14ac:dyDescent="0.3">
      <c r="A3466" t="s">
        <v>1734</v>
      </c>
      <c r="B3466" t="s">
        <v>5723</v>
      </c>
      <c r="C3466" t="s">
        <v>741</v>
      </c>
      <c r="D3466">
        <v>59660090</v>
      </c>
      <c r="E3466">
        <v>18.8</v>
      </c>
      <c r="F3466">
        <v>7.75</v>
      </c>
    </row>
    <row r="3467" spans="1:6" x14ac:dyDescent="0.3">
      <c r="A3467" t="s">
        <v>5724</v>
      </c>
      <c r="B3467" t="s">
        <v>3692</v>
      </c>
      <c r="C3467" t="s">
        <v>5725</v>
      </c>
      <c r="D3467">
        <v>59669939</v>
      </c>
      <c r="E3467">
        <v>5.61</v>
      </c>
      <c r="F3467">
        <v>6.75</v>
      </c>
    </row>
    <row r="3468" spans="1:6" x14ac:dyDescent="0.3">
      <c r="A3468" t="s">
        <v>5726</v>
      </c>
      <c r="B3468" t="s">
        <v>3422</v>
      </c>
      <c r="C3468" t="s">
        <v>4884</v>
      </c>
      <c r="D3468">
        <v>59672357</v>
      </c>
      <c r="E3468">
        <v>23.5</v>
      </c>
      <c r="F3468">
        <v>7.2</v>
      </c>
    </row>
    <row r="3469" spans="1:6" x14ac:dyDescent="0.3">
      <c r="A3469" t="s">
        <v>5727</v>
      </c>
      <c r="B3469" t="s">
        <v>5728</v>
      </c>
      <c r="C3469" t="s">
        <v>4488</v>
      </c>
      <c r="D3469">
        <v>59673849</v>
      </c>
      <c r="E3469">
        <v>7.93</v>
      </c>
      <c r="F3469">
        <v>7</v>
      </c>
    </row>
    <row r="3470" spans="1:6" x14ac:dyDescent="0.3">
      <c r="A3470" t="s">
        <v>5729</v>
      </c>
      <c r="B3470" t="s">
        <v>5730</v>
      </c>
      <c r="C3470" t="s">
        <v>5000</v>
      </c>
      <c r="D3470">
        <v>59683002</v>
      </c>
      <c r="E3470">
        <v>6.5</v>
      </c>
      <c r="F3470">
        <v>5.25</v>
      </c>
    </row>
    <row r="3471" spans="1:6" x14ac:dyDescent="0.3">
      <c r="A3471" t="s">
        <v>5366</v>
      </c>
      <c r="B3471" t="s">
        <v>4100</v>
      </c>
      <c r="C3471" t="s">
        <v>5731</v>
      </c>
      <c r="D3471">
        <v>59697232</v>
      </c>
      <c r="E3471">
        <v>7</v>
      </c>
      <c r="F3471">
        <v>6</v>
      </c>
    </row>
    <row r="3472" spans="1:6" x14ac:dyDescent="0.3">
      <c r="A3472" t="s">
        <v>5732</v>
      </c>
      <c r="B3472" t="s">
        <v>5733</v>
      </c>
      <c r="C3472" t="s">
        <v>5734</v>
      </c>
      <c r="D3472">
        <v>59701682</v>
      </c>
      <c r="E3472">
        <v>3.08</v>
      </c>
      <c r="F3472">
        <v>5.9</v>
      </c>
    </row>
    <row r="3473" spans="1:6" x14ac:dyDescent="0.3">
      <c r="A3473" t="s">
        <v>2627</v>
      </c>
      <c r="B3473" t="s">
        <v>3681</v>
      </c>
      <c r="C3473" t="s">
        <v>1389</v>
      </c>
      <c r="D3473">
        <v>59706883</v>
      </c>
      <c r="E3473">
        <v>31.06</v>
      </c>
      <c r="F3473">
        <v>7.8</v>
      </c>
    </row>
    <row r="3474" spans="1:6" x14ac:dyDescent="0.3">
      <c r="A3474" t="s">
        <v>5735</v>
      </c>
      <c r="B3474" t="s">
        <v>5145</v>
      </c>
      <c r="C3474" t="s">
        <v>718</v>
      </c>
      <c r="D3474">
        <v>59727343</v>
      </c>
      <c r="E3474">
        <v>13.5</v>
      </c>
      <c r="F3474">
        <v>5</v>
      </c>
    </row>
    <row r="3475" spans="1:6" x14ac:dyDescent="0.3">
      <c r="A3475" t="s">
        <v>5736</v>
      </c>
      <c r="B3475" t="s">
        <v>573</v>
      </c>
      <c r="C3475" t="s">
        <v>2794</v>
      </c>
      <c r="D3475">
        <v>59746010</v>
      </c>
      <c r="E3475">
        <v>22.25</v>
      </c>
      <c r="F3475">
        <v>7.25</v>
      </c>
    </row>
    <row r="3476" spans="1:6" x14ac:dyDescent="0.3">
      <c r="A3476" t="s">
        <v>5737</v>
      </c>
      <c r="B3476" t="s">
        <v>5738</v>
      </c>
      <c r="C3476" t="s">
        <v>5739</v>
      </c>
      <c r="D3476">
        <v>59747094</v>
      </c>
      <c r="E3476">
        <v>1.8</v>
      </c>
      <c r="F3476">
        <v>5.94</v>
      </c>
    </row>
    <row r="3477" spans="1:6" x14ac:dyDescent="0.3">
      <c r="A3477" t="s">
        <v>5740</v>
      </c>
      <c r="B3477" t="s">
        <v>5741</v>
      </c>
      <c r="C3477" t="s">
        <v>5742</v>
      </c>
      <c r="D3477">
        <v>59790685</v>
      </c>
      <c r="E3477">
        <v>2.93</v>
      </c>
      <c r="F3477">
        <v>5.92</v>
      </c>
    </row>
    <row r="3478" spans="1:6" x14ac:dyDescent="0.3">
      <c r="A3478" t="s">
        <v>5743</v>
      </c>
      <c r="B3478" t="s">
        <v>5744</v>
      </c>
      <c r="C3478" t="s">
        <v>797</v>
      </c>
      <c r="D3478">
        <v>59800588</v>
      </c>
      <c r="E3478">
        <v>32.5</v>
      </c>
      <c r="F3478">
        <v>9</v>
      </c>
    </row>
    <row r="3479" spans="1:6" x14ac:dyDescent="0.3">
      <c r="A3479" t="s">
        <v>5745</v>
      </c>
      <c r="B3479" t="s">
        <v>5746</v>
      </c>
      <c r="C3479" t="s">
        <v>227</v>
      </c>
      <c r="D3479">
        <v>59809465</v>
      </c>
      <c r="E3479">
        <v>8</v>
      </c>
      <c r="F3479">
        <v>6.5</v>
      </c>
    </row>
    <row r="3480" spans="1:6" x14ac:dyDescent="0.3">
      <c r="A3480" t="s">
        <v>5747</v>
      </c>
      <c r="B3480" t="s">
        <v>3832</v>
      </c>
      <c r="C3480" t="s">
        <v>3644</v>
      </c>
      <c r="D3480">
        <v>59814979</v>
      </c>
      <c r="E3480">
        <v>3.06</v>
      </c>
      <c r="F3480">
        <v>7.02</v>
      </c>
    </row>
    <row r="3481" spans="1:6" x14ac:dyDescent="0.3">
      <c r="A3481" t="s">
        <v>5748</v>
      </c>
      <c r="B3481" t="s">
        <v>1299</v>
      </c>
      <c r="C3481" t="s">
        <v>5749</v>
      </c>
      <c r="D3481">
        <v>59829005</v>
      </c>
      <c r="E3481">
        <v>27</v>
      </c>
      <c r="F3481">
        <v>8</v>
      </c>
    </row>
    <row r="3482" spans="1:6" x14ac:dyDescent="0.3">
      <c r="A3482" t="s">
        <v>5750</v>
      </c>
      <c r="B3482" t="s">
        <v>4432</v>
      </c>
      <c r="C3482" t="s">
        <v>2367</v>
      </c>
      <c r="D3482">
        <v>59848054</v>
      </c>
      <c r="E3482">
        <v>5.8</v>
      </c>
      <c r="F3482">
        <v>3.5</v>
      </c>
    </row>
    <row r="3483" spans="1:6" x14ac:dyDescent="0.3">
      <c r="A3483" t="s">
        <v>5751</v>
      </c>
      <c r="B3483" t="s">
        <v>5006</v>
      </c>
      <c r="C3483" t="s">
        <v>5752</v>
      </c>
      <c r="D3483">
        <v>59850220</v>
      </c>
      <c r="E3483">
        <v>2.23</v>
      </c>
      <c r="F3483">
        <v>6.28</v>
      </c>
    </row>
    <row r="3484" spans="1:6" x14ac:dyDescent="0.3">
      <c r="A3484" t="s">
        <v>5753</v>
      </c>
      <c r="B3484" t="s">
        <v>5754</v>
      </c>
      <c r="C3484" t="s">
        <v>3448</v>
      </c>
      <c r="D3484">
        <v>59853783</v>
      </c>
      <c r="E3484">
        <v>6.29</v>
      </c>
      <c r="F3484">
        <v>4</v>
      </c>
    </row>
    <row r="3485" spans="1:6" x14ac:dyDescent="0.3">
      <c r="A3485" t="s">
        <v>5755</v>
      </c>
      <c r="B3485" t="s">
        <v>5060</v>
      </c>
      <c r="C3485" t="s">
        <v>5756</v>
      </c>
      <c r="D3485">
        <v>59858021</v>
      </c>
      <c r="E3485">
        <v>16.71</v>
      </c>
      <c r="F3485">
        <v>6.58</v>
      </c>
    </row>
    <row r="3486" spans="1:6" x14ac:dyDescent="0.3">
      <c r="A3486" t="s">
        <v>5757</v>
      </c>
      <c r="B3486" t="s">
        <v>5758</v>
      </c>
      <c r="C3486" t="s">
        <v>2192</v>
      </c>
      <c r="D3486">
        <v>59868382</v>
      </c>
      <c r="E3486">
        <v>24.5</v>
      </c>
      <c r="F3486">
        <v>6.5</v>
      </c>
    </row>
    <row r="3487" spans="1:6" x14ac:dyDescent="0.3">
      <c r="A3487" t="s">
        <v>5759</v>
      </c>
      <c r="B3487" t="s">
        <v>5760</v>
      </c>
      <c r="C3487" t="s">
        <v>5761</v>
      </c>
      <c r="D3487">
        <v>59884237</v>
      </c>
      <c r="E3487">
        <v>5.94</v>
      </c>
      <c r="F3487">
        <v>7.27</v>
      </c>
    </row>
    <row r="3488" spans="1:6" x14ac:dyDescent="0.3">
      <c r="A3488" t="s">
        <v>5762</v>
      </c>
      <c r="B3488" t="s">
        <v>5763</v>
      </c>
      <c r="C3488" t="s">
        <v>5764</v>
      </c>
      <c r="D3488">
        <v>59884271</v>
      </c>
      <c r="E3488">
        <v>6</v>
      </c>
      <c r="F3488">
        <v>7</v>
      </c>
    </row>
    <row r="3489" spans="1:6" x14ac:dyDescent="0.3">
      <c r="A3489" t="s">
        <v>5765</v>
      </c>
      <c r="B3489" t="s">
        <v>4483</v>
      </c>
      <c r="C3489" t="s">
        <v>4361</v>
      </c>
      <c r="D3489">
        <v>59884937</v>
      </c>
      <c r="E3489">
        <v>1.92</v>
      </c>
      <c r="F3489">
        <v>6.36</v>
      </c>
    </row>
    <row r="3490" spans="1:6" x14ac:dyDescent="0.3">
      <c r="A3490" t="s">
        <v>5766</v>
      </c>
      <c r="B3490" t="s">
        <v>5767</v>
      </c>
      <c r="C3490" t="s">
        <v>5768</v>
      </c>
      <c r="D3490">
        <v>59886228</v>
      </c>
      <c r="E3490">
        <v>13.33</v>
      </c>
      <c r="F3490">
        <v>6.5</v>
      </c>
    </row>
    <row r="3491" spans="1:6" x14ac:dyDescent="0.3">
      <c r="A3491" t="s">
        <v>5769</v>
      </c>
      <c r="B3491" t="s">
        <v>3944</v>
      </c>
      <c r="C3491" t="s">
        <v>3687</v>
      </c>
      <c r="D3491">
        <v>59893089</v>
      </c>
      <c r="E3491">
        <v>14.5</v>
      </c>
      <c r="F3491">
        <v>6.68</v>
      </c>
    </row>
    <row r="3492" spans="1:6" x14ac:dyDescent="0.3">
      <c r="A3492" t="s">
        <v>5770</v>
      </c>
      <c r="B3492" t="s">
        <v>5771</v>
      </c>
      <c r="C3492" t="s">
        <v>5772</v>
      </c>
      <c r="D3492">
        <v>59895270</v>
      </c>
      <c r="E3492">
        <v>9.2100000000000009</v>
      </c>
      <c r="F3492">
        <v>6.1</v>
      </c>
    </row>
    <row r="3493" spans="1:6" x14ac:dyDescent="0.3">
      <c r="A3493" t="s">
        <v>5773</v>
      </c>
      <c r="B3493" t="s">
        <v>3803</v>
      </c>
      <c r="C3493" t="s">
        <v>5489</v>
      </c>
      <c r="D3493">
        <v>59899374</v>
      </c>
      <c r="E3493">
        <v>23.87</v>
      </c>
      <c r="F3493">
        <v>7.58</v>
      </c>
    </row>
    <row r="3494" spans="1:6" x14ac:dyDescent="0.3">
      <c r="A3494" t="s">
        <v>5774</v>
      </c>
      <c r="B3494" t="s">
        <v>5775</v>
      </c>
      <c r="C3494" t="s">
        <v>2494</v>
      </c>
      <c r="D3494">
        <v>59908486</v>
      </c>
      <c r="E3494">
        <v>6.75</v>
      </c>
      <c r="F3494">
        <v>6.25</v>
      </c>
    </row>
    <row r="3495" spans="1:6" x14ac:dyDescent="0.3">
      <c r="A3495" t="s">
        <v>5776</v>
      </c>
      <c r="B3495" t="s">
        <v>5777</v>
      </c>
      <c r="C3495" t="s">
        <v>3709</v>
      </c>
      <c r="D3495">
        <v>59915958</v>
      </c>
      <c r="E3495">
        <v>4.47</v>
      </c>
      <c r="F3495">
        <v>5.17</v>
      </c>
    </row>
    <row r="3496" spans="1:6" x14ac:dyDescent="0.3">
      <c r="A3496" t="s">
        <v>5778</v>
      </c>
      <c r="B3496" t="s">
        <v>3210</v>
      </c>
      <c r="C3496" t="s">
        <v>1934</v>
      </c>
      <c r="D3496">
        <v>59933468</v>
      </c>
      <c r="E3496">
        <v>24.61</v>
      </c>
      <c r="F3496">
        <v>6.56</v>
      </c>
    </row>
    <row r="3497" spans="1:6" x14ac:dyDescent="0.3">
      <c r="A3497" t="s">
        <v>5779</v>
      </c>
      <c r="B3497" t="s">
        <v>3125</v>
      </c>
      <c r="C3497" t="s">
        <v>5780</v>
      </c>
      <c r="D3497">
        <v>59948178</v>
      </c>
      <c r="E3497">
        <v>17.75</v>
      </c>
      <c r="F3497">
        <v>7.38</v>
      </c>
    </row>
    <row r="3498" spans="1:6" x14ac:dyDescent="0.3">
      <c r="A3498" t="s">
        <v>5781</v>
      </c>
      <c r="B3498" t="s">
        <v>5782</v>
      </c>
      <c r="C3498" t="s">
        <v>5600</v>
      </c>
      <c r="D3498">
        <v>59948969</v>
      </c>
      <c r="E3498">
        <v>6.25</v>
      </c>
      <c r="F3498">
        <v>2.5</v>
      </c>
    </row>
    <row r="3499" spans="1:6" x14ac:dyDescent="0.3">
      <c r="A3499" t="s">
        <v>5783</v>
      </c>
      <c r="B3499" t="s">
        <v>5784</v>
      </c>
      <c r="C3499" t="s">
        <v>707</v>
      </c>
      <c r="D3499">
        <v>59955020</v>
      </c>
      <c r="E3499">
        <v>3.65</v>
      </c>
      <c r="F3499">
        <v>6.88</v>
      </c>
    </row>
    <row r="3500" spans="1:6" x14ac:dyDescent="0.3">
      <c r="A3500" t="s">
        <v>5785</v>
      </c>
      <c r="B3500" t="s">
        <v>5786</v>
      </c>
      <c r="C3500" t="s">
        <v>2688</v>
      </c>
      <c r="D3500">
        <v>59958116</v>
      </c>
      <c r="E3500">
        <v>8.86</v>
      </c>
      <c r="F3500">
        <v>7</v>
      </c>
    </row>
    <row r="3501" spans="1:6" x14ac:dyDescent="0.3">
      <c r="A3501" t="s">
        <v>5787</v>
      </c>
      <c r="B3501" t="s">
        <v>3692</v>
      </c>
      <c r="C3501" t="s">
        <v>5600</v>
      </c>
      <c r="D3501">
        <v>59962786</v>
      </c>
      <c r="E3501">
        <v>8.33</v>
      </c>
      <c r="F3501">
        <v>3.8</v>
      </c>
    </row>
    <row r="3502" spans="1:6" x14ac:dyDescent="0.3">
      <c r="A3502" t="s">
        <v>5788</v>
      </c>
      <c r="B3502" t="s">
        <v>2166</v>
      </c>
      <c r="C3502" t="s">
        <v>4344</v>
      </c>
      <c r="D3502">
        <v>59966737</v>
      </c>
      <c r="E3502">
        <v>23.67</v>
      </c>
      <c r="F3502">
        <v>8.8000000000000007</v>
      </c>
    </row>
    <row r="3503" spans="1:6" x14ac:dyDescent="0.3">
      <c r="A3503" t="s">
        <v>5789</v>
      </c>
      <c r="B3503" t="s">
        <v>5790</v>
      </c>
      <c r="C3503" t="s">
        <v>5791</v>
      </c>
      <c r="D3503">
        <v>59978451</v>
      </c>
      <c r="E3503">
        <v>3.33</v>
      </c>
      <c r="F3503">
        <v>6.7</v>
      </c>
    </row>
    <row r="3504" spans="1:6" x14ac:dyDescent="0.3">
      <c r="A3504" t="s">
        <v>5792</v>
      </c>
      <c r="B3504" t="s">
        <v>3274</v>
      </c>
      <c r="C3504" t="s">
        <v>4339</v>
      </c>
      <c r="D3504">
        <v>60013909</v>
      </c>
      <c r="E3504">
        <v>6.17</v>
      </c>
      <c r="F3504">
        <v>6.8</v>
      </c>
    </row>
    <row r="3505" spans="1:6" x14ac:dyDescent="0.3">
      <c r="A3505" t="s">
        <v>5793</v>
      </c>
      <c r="B3505" t="s">
        <v>4439</v>
      </c>
      <c r="C3505" t="s">
        <v>5794</v>
      </c>
      <c r="D3505">
        <v>60020026</v>
      </c>
      <c r="E3505">
        <v>28</v>
      </c>
      <c r="F3505">
        <v>9</v>
      </c>
    </row>
    <row r="3506" spans="1:6" x14ac:dyDescent="0.3">
      <c r="A3506" t="s">
        <v>5795</v>
      </c>
      <c r="B3506" t="s">
        <v>5796</v>
      </c>
      <c r="C3506" t="s">
        <v>5797</v>
      </c>
      <c r="D3506">
        <v>60027827</v>
      </c>
      <c r="E3506">
        <v>3</v>
      </c>
      <c r="F3506">
        <v>5.53</v>
      </c>
    </row>
    <row r="3507" spans="1:6" x14ac:dyDescent="0.3">
      <c r="A3507" t="s">
        <v>5798</v>
      </c>
      <c r="B3507" t="s">
        <v>5799</v>
      </c>
      <c r="C3507" t="s">
        <v>5800</v>
      </c>
      <c r="D3507">
        <v>60041880</v>
      </c>
      <c r="E3507">
        <v>5.13</v>
      </c>
      <c r="F3507">
        <v>6</v>
      </c>
    </row>
    <row r="3508" spans="1:6" x14ac:dyDescent="0.3">
      <c r="A3508" t="s">
        <v>5801</v>
      </c>
      <c r="B3508" t="s">
        <v>5802</v>
      </c>
      <c r="C3508" t="s">
        <v>5803</v>
      </c>
      <c r="D3508">
        <v>60052853</v>
      </c>
      <c r="E3508">
        <v>1.94</v>
      </c>
      <c r="F3508">
        <v>6.79</v>
      </c>
    </row>
    <row r="3509" spans="1:6" x14ac:dyDescent="0.3">
      <c r="A3509" t="s">
        <v>5804</v>
      </c>
      <c r="B3509" t="s">
        <v>5805</v>
      </c>
      <c r="C3509" t="s">
        <v>1555</v>
      </c>
      <c r="D3509">
        <v>60079325</v>
      </c>
      <c r="E3509">
        <v>11.75</v>
      </c>
      <c r="F3509">
        <v>8.57</v>
      </c>
    </row>
    <row r="3510" spans="1:6" x14ac:dyDescent="0.3">
      <c r="A3510" t="s">
        <v>5806</v>
      </c>
      <c r="B3510" t="s">
        <v>5373</v>
      </c>
      <c r="C3510" t="s">
        <v>3573</v>
      </c>
      <c r="D3510">
        <v>60084691</v>
      </c>
      <c r="E3510">
        <v>11.85</v>
      </c>
      <c r="F3510">
        <v>7.56</v>
      </c>
    </row>
    <row r="3511" spans="1:6" x14ac:dyDescent="0.3">
      <c r="A3511" t="s">
        <v>5807</v>
      </c>
      <c r="B3511" t="s">
        <v>3436</v>
      </c>
      <c r="C3511" t="s">
        <v>3487</v>
      </c>
      <c r="D3511">
        <v>60103081</v>
      </c>
      <c r="E3511">
        <v>3.62</v>
      </c>
      <c r="F3511">
        <v>6.81</v>
      </c>
    </row>
    <row r="3512" spans="1:6" x14ac:dyDescent="0.3">
      <c r="A3512" t="s">
        <v>5808</v>
      </c>
      <c r="B3512" t="s">
        <v>3774</v>
      </c>
      <c r="C3512" t="s">
        <v>5809</v>
      </c>
      <c r="D3512">
        <v>60123708</v>
      </c>
      <c r="E3512">
        <v>5</v>
      </c>
      <c r="F3512">
        <v>6</v>
      </c>
    </row>
    <row r="3513" spans="1:6" x14ac:dyDescent="0.3">
      <c r="A3513" t="s">
        <v>5810</v>
      </c>
      <c r="B3513" t="s">
        <v>2791</v>
      </c>
      <c r="C3513" t="s">
        <v>5811</v>
      </c>
      <c r="D3513">
        <v>60128772</v>
      </c>
      <c r="E3513">
        <v>3.03</v>
      </c>
      <c r="F3513">
        <v>6.2</v>
      </c>
    </row>
    <row r="3514" spans="1:6" x14ac:dyDescent="0.3">
      <c r="A3514" t="s">
        <v>3143</v>
      </c>
      <c r="B3514" t="s">
        <v>2053</v>
      </c>
      <c r="C3514" t="s">
        <v>5812</v>
      </c>
      <c r="D3514">
        <v>60129422</v>
      </c>
      <c r="E3514">
        <v>17.010000000000002</v>
      </c>
      <c r="F3514">
        <v>6.96</v>
      </c>
    </row>
    <row r="3515" spans="1:6" x14ac:dyDescent="0.3">
      <c r="A3515" t="s">
        <v>5813</v>
      </c>
      <c r="B3515" t="s">
        <v>2450</v>
      </c>
      <c r="C3515" t="s">
        <v>4839</v>
      </c>
      <c r="D3515">
        <v>60130895</v>
      </c>
      <c r="E3515">
        <v>27.13</v>
      </c>
      <c r="F3515">
        <v>8.5500000000000007</v>
      </c>
    </row>
    <row r="3516" spans="1:6" x14ac:dyDescent="0.3">
      <c r="A3516" t="s">
        <v>5814</v>
      </c>
      <c r="B3516" t="s">
        <v>5815</v>
      </c>
      <c r="C3516" t="s">
        <v>237</v>
      </c>
      <c r="D3516">
        <v>60136020</v>
      </c>
      <c r="E3516">
        <v>15.24</v>
      </c>
      <c r="F3516">
        <v>5.07</v>
      </c>
    </row>
    <row r="3517" spans="1:6" x14ac:dyDescent="0.3">
      <c r="A3517" t="s">
        <v>5816</v>
      </c>
      <c r="B3517" t="s">
        <v>2203</v>
      </c>
      <c r="C3517" t="s">
        <v>5003</v>
      </c>
      <c r="D3517">
        <v>60150813</v>
      </c>
      <c r="E3517">
        <v>22</v>
      </c>
      <c r="F3517">
        <v>5.25</v>
      </c>
    </row>
    <row r="3518" spans="1:6" x14ac:dyDescent="0.3">
      <c r="A3518" t="s">
        <v>5817</v>
      </c>
      <c r="B3518" t="s">
        <v>5443</v>
      </c>
      <c r="C3518" t="s">
        <v>5818</v>
      </c>
      <c r="D3518">
        <v>60151777</v>
      </c>
      <c r="E3518">
        <v>8.27</v>
      </c>
      <c r="F3518">
        <v>8.0500000000000007</v>
      </c>
    </row>
    <row r="3519" spans="1:6" x14ac:dyDescent="0.3">
      <c r="A3519" t="s">
        <v>5819</v>
      </c>
      <c r="B3519" t="s">
        <v>3142</v>
      </c>
      <c r="C3519" t="s">
        <v>5820</v>
      </c>
      <c r="D3519">
        <v>60152157</v>
      </c>
      <c r="E3519">
        <v>2.08</v>
      </c>
      <c r="F3519">
        <v>6.31</v>
      </c>
    </row>
    <row r="3520" spans="1:6" x14ac:dyDescent="0.3">
      <c r="A3520" t="s">
        <v>5821</v>
      </c>
      <c r="B3520" t="s">
        <v>5650</v>
      </c>
      <c r="C3520" t="s">
        <v>4519</v>
      </c>
      <c r="D3520">
        <v>60163092</v>
      </c>
      <c r="E3520">
        <v>4.63</v>
      </c>
      <c r="F3520">
        <v>5.38</v>
      </c>
    </row>
    <row r="3521" spans="1:6" x14ac:dyDescent="0.3">
      <c r="A3521" t="s">
        <v>5822</v>
      </c>
      <c r="B3521" t="s">
        <v>3169</v>
      </c>
      <c r="C3521" t="s">
        <v>5440</v>
      </c>
      <c r="D3521">
        <v>60186730</v>
      </c>
      <c r="E3521">
        <v>3.26</v>
      </c>
      <c r="F3521">
        <v>5.56</v>
      </c>
    </row>
    <row r="3522" spans="1:6" x14ac:dyDescent="0.3">
      <c r="A3522" t="s">
        <v>5823</v>
      </c>
      <c r="B3522" t="s">
        <v>4259</v>
      </c>
      <c r="C3522" t="s">
        <v>2543</v>
      </c>
      <c r="D3522">
        <v>60191175</v>
      </c>
      <c r="E3522">
        <v>14.22</v>
      </c>
      <c r="F3522">
        <v>6</v>
      </c>
    </row>
    <row r="3523" spans="1:6" x14ac:dyDescent="0.3">
      <c r="A3523" t="s">
        <v>5824</v>
      </c>
      <c r="B3523" t="s">
        <v>3538</v>
      </c>
      <c r="C3523" t="s">
        <v>782</v>
      </c>
      <c r="D3523">
        <v>60191955</v>
      </c>
      <c r="E3523">
        <v>17.97</v>
      </c>
      <c r="F3523">
        <v>6.61</v>
      </c>
    </row>
    <row r="3524" spans="1:6" x14ac:dyDescent="0.3">
      <c r="A3524" t="s">
        <v>5825</v>
      </c>
      <c r="B3524" t="s">
        <v>5826</v>
      </c>
      <c r="C3524" t="s">
        <v>2581</v>
      </c>
      <c r="D3524">
        <v>60197839</v>
      </c>
      <c r="E3524">
        <v>20.73</v>
      </c>
      <c r="F3524">
        <v>7.38</v>
      </c>
    </row>
    <row r="3525" spans="1:6" x14ac:dyDescent="0.3">
      <c r="A3525" t="s">
        <v>5827</v>
      </c>
      <c r="B3525" t="s">
        <v>2519</v>
      </c>
      <c r="C3525" t="s">
        <v>3448</v>
      </c>
      <c r="D3525">
        <v>60203194</v>
      </c>
      <c r="E3525">
        <v>18.57</v>
      </c>
      <c r="F3525">
        <v>5.57</v>
      </c>
    </row>
    <row r="3526" spans="1:6" x14ac:dyDescent="0.3">
      <c r="A3526" t="s">
        <v>5828</v>
      </c>
      <c r="B3526" t="s">
        <v>1227</v>
      </c>
      <c r="C3526" t="s">
        <v>718</v>
      </c>
      <c r="D3526">
        <v>60246872</v>
      </c>
      <c r="E3526">
        <v>7.08</v>
      </c>
      <c r="F3526">
        <v>5.71</v>
      </c>
    </row>
    <row r="3527" spans="1:6" x14ac:dyDescent="0.3">
      <c r="A3527" t="s">
        <v>5829</v>
      </c>
      <c r="B3527" t="s">
        <v>4561</v>
      </c>
      <c r="C3527" t="s">
        <v>5830</v>
      </c>
      <c r="D3527">
        <v>60257058</v>
      </c>
      <c r="E3527">
        <v>21.3</v>
      </c>
      <c r="F3527">
        <v>6.17</v>
      </c>
    </row>
    <row r="3528" spans="1:6" x14ac:dyDescent="0.3">
      <c r="A3528" t="s">
        <v>5831</v>
      </c>
      <c r="B3528" t="s">
        <v>4293</v>
      </c>
      <c r="C3528" t="s">
        <v>3660</v>
      </c>
      <c r="D3528">
        <v>60260950</v>
      </c>
      <c r="E3528">
        <v>11.98</v>
      </c>
      <c r="F3528">
        <v>7.12</v>
      </c>
    </row>
    <row r="3529" spans="1:6" x14ac:dyDescent="0.3">
      <c r="A3529" t="s">
        <v>5832</v>
      </c>
      <c r="B3529" t="s">
        <v>3060</v>
      </c>
      <c r="C3529" t="s">
        <v>5833</v>
      </c>
      <c r="D3529">
        <v>60266438</v>
      </c>
      <c r="E3529">
        <v>4.5199999999999996</v>
      </c>
      <c r="F3529">
        <v>5.67</v>
      </c>
    </row>
    <row r="3530" spans="1:6" x14ac:dyDescent="0.3">
      <c r="A3530" t="s">
        <v>5834</v>
      </c>
      <c r="B3530" t="s">
        <v>3181</v>
      </c>
      <c r="C3530" t="s">
        <v>5835</v>
      </c>
      <c r="D3530">
        <v>60281192</v>
      </c>
      <c r="E3530">
        <v>2.94</v>
      </c>
      <c r="F3530">
        <v>7.86</v>
      </c>
    </row>
    <row r="3531" spans="1:6" x14ac:dyDescent="0.3">
      <c r="A3531" t="s">
        <v>5836</v>
      </c>
      <c r="B3531" t="s">
        <v>4613</v>
      </c>
      <c r="C3531" t="s">
        <v>5837</v>
      </c>
      <c r="D3531">
        <v>60284098</v>
      </c>
      <c r="E3531">
        <v>22.83</v>
      </c>
      <c r="F3531">
        <v>8.3000000000000007</v>
      </c>
    </row>
    <row r="3532" spans="1:6" x14ac:dyDescent="0.3">
      <c r="A3532" t="s">
        <v>5838</v>
      </c>
      <c r="B3532" t="s">
        <v>3274</v>
      </c>
      <c r="C3532" t="s">
        <v>1537</v>
      </c>
      <c r="D3532">
        <v>60289382</v>
      </c>
      <c r="E3532">
        <v>24.91</v>
      </c>
      <c r="F3532">
        <v>8.0500000000000007</v>
      </c>
    </row>
    <row r="3533" spans="1:6" x14ac:dyDescent="0.3">
      <c r="A3533" t="s">
        <v>5839</v>
      </c>
      <c r="B3533" t="s">
        <v>5238</v>
      </c>
      <c r="C3533" t="s">
        <v>1059</v>
      </c>
      <c r="D3533">
        <v>60289751</v>
      </c>
      <c r="E3533">
        <v>12.88</v>
      </c>
      <c r="F3533">
        <v>6.17</v>
      </c>
    </row>
    <row r="3534" spans="1:6" x14ac:dyDescent="0.3">
      <c r="A3534" t="s">
        <v>5840</v>
      </c>
      <c r="B3534" t="s">
        <v>4208</v>
      </c>
      <c r="C3534" t="s">
        <v>5841</v>
      </c>
      <c r="D3534">
        <v>60293595</v>
      </c>
      <c r="E3534">
        <v>1.93</v>
      </c>
      <c r="F3534">
        <v>6.75</v>
      </c>
    </row>
    <row r="3535" spans="1:6" x14ac:dyDescent="0.3">
      <c r="A3535" t="s">
        <v>5842</v>
      </c>
      <c r="B3535" t="s">
        <v>4521</v>
      </c>
      <c r="C3535" t="s">
        <v>4313</v>
      </c>
      <c r="D3535">
        <v>60320854</v>
      </c>
      <c r="E3535">
        <v>2.52</v>
      </c>
      <c r="F3535">
        <v>6.59</v>
      </c>
    </row>
    <row r="3536" spans="1:6" x14ac:dyDescent="0.3">
      <c r="A3536" t="s">
        <v>5843</v>
      </c>
      <c r="B3536" t="s">
        <v>5412</v>
      </c>
      <c r="C3536" t="s">
        <v>5600</v>
      </c>
      <c r="D3536">
        <v>60358537</v>
      </c>
      <c r="E3536">
        <v>2.62</v>
      </c>
      <c r="F3536">
        <v>6.68</v>
      </c>
    </row>
    <row r="3537" spans="1:6" x14ac:dyDescent="0.3">
      <c r="A3537" t="s">
        <v>5844</v>
      </c>
      <c r="B3537" t="s">
        <v>4271</v>
      </c>
      <c r="C3537" t="s">
        <v>4909</v>
      </c>
      <c r="D3537">
        <v>60374125</v>
      </c>
      <c r="E3537">
        <v>3.04</v>
      </c>
      <c r="F3537">
        <v>6.78</v>
      </c>
    </row>
    <row r="3538" spans="1:6" x14ac:dyDescent="0.3">
      <c r="A3538" t="s">
        <v>5845</v>
      </c>
      <c r="B3538" t="s">
        <v>4124</v>
      </c>
      <c r="C3538" t="s">
        <v>5379</v>
      </c>
      <c r="D3538">
        <v>60383029</v>
      </c>
      <c r="E3538">
        <v>11.92</v>
      </c>
      <c r="F3538">
        <v>7.86</v>
      </c>
    </row>
    <row r="3539" spans="1:6" x14ac:dyDescent="0.3">
      <c r="A3539" t="s">
        <v>5846</v>
      </c>
      <c r="B3539" t="s">
        <v>761</v>
      </c>
      <c r="C3539" t="s">
        <v>1537</v>
      </c>
      <c r="D3539">
        <v>60387034</v>
      </c>
      <c r="E3539">
        <v>22.5</v>
      </c>
      <c r="F3539">
        <v>8.2899999999999991</v>
      </c>
    </row>
    <row r="3540" spans="1:6" x14ac:dyDescent="0.3">
      <c r="A3540" t="s">
        <v>5847</v>
      </c>
      <c r="B3540" t="s">
        <v>5848</v>
      </c>
      <c r="C3540" t="s">
        <v>5849</v>
      </c>
      <c r="D3540">
        <v>60398366</v>
      </c>
      <c r="E3540">
        <v>2.84</v>
      </c>
      <c r="F3540">
        <v>7.27</v>
      </c>
    </row>
    <row r="3541" spans="1:6" x14ac:dyDescent="0.3">
      <c r="A3541" t="s">
        <v>5850</v>
      </c>
      <c r="B3541" t="s">
        <v>4044</v>
      </c>
      <c r="C3541" t="s">
        <v>5216</v>
      </c>
      <c r="D3541">
        <v>60402441</v>
      </c>
      <c r="E3541">
        <v>2.82</v>
      </c>
      <c r="F3541">
        <v>6.08</v>
      </c>
    </row>
    <row r="3542" spans="1:6" x14ac:dyDescent="0.3">
      <c r="A3542" t="s">
        <v>5851</v>
      </c>
      <c r="B3542" t="s">
        <v>4184</v>
      </c>
      <c r="C3542" t="s">
        <v>4680</v>
      </c>
      <c r="D3542">
        <v>60419190</v>
      </c>
      <c r="E3542">
        <v>2.2000000000000002</v>
      </c>
      <c r="F3542">
        <v>6.97</v>
      </c>
    </row>
    <row r="3543" spans="1:6" x14ac:dyDescent="0.3">
      <c r="A3543" t="s">
        <v>5852</v>
      </c>
      <c r="B3543" t="s">
        <v>509</v>
      </c>
      <c r="C3543" t="s">
        <v>5853</v>
      </c>
      <c r="D3543">
        <v>60425566</v>
      </c>
      <c r="E3543">
        <v>14.47</v>
      </c>
      <c r="F3543">
        <v>4.13</v>
      </c>
    </row>
    <row r="3544" spans="1:6" x14ac:dyDescent="0.3">
      <c r="A3544" t="s">
        <v>5854</v>
      </c>
      <c r="B3544" t="s">
        <v>5538</v>
      </c>
      <c r="C3544" t="s">
        <v>5855</v>
      </c>
      <c r="D3544">
        <v>60435082</v>
      </c>
      <c r="E3544">
        <v>2.11</v>
      </c>
      <c r="F3544">
        <v>6.84</v>
      </c>
    </row>
    <row r="3545" spans="1:6" x14ac:dyDescent="0.3">
      <c r="A3545" t="s">
        <v>5856</v>
      </c>
      <c r="B3545" t="s">
        <v>3212</v>
      </c>
      <c r="C3545" t="s">
        <v>5369</v>
      </c>
      <c r="D3545">
        <v>60456226</v>
      </c>
      <c r="E3545">
        <v>6.6</v>
      </c>
      <c r="F3545">
        <v>6.75</v>
      </c>
    </row>
    <row r="3546" spans="1:6" x14ac:dyDescent="0.3">
      <c r="A3546" t="s">
        <v>5857</v>
      </c>
      <c r="B3546" t="s">
        <v>5858</v>
      </c>
      <c r="C3546" t="s">
        <v>5859</v>
      </c>
      <c r="D3546">
        <v>60456844</v>
      </c>
      <c r="E3546">
        <v>18</v>
      </c>
      <c r="F3546">
        <v>8</v>
      </c>
    </row>
    <row r="3547" spans="1:6" x14ac:dyDescent="0.3">
      <c r="A3547" t="s">
        <v>5860</v>
      </c>
      <c r="B3547" t="s">
        <v>3662</v>
      </c>
      <c r="C3547" t="s">
        <v>5861</v>
      </c>
      <c r="D3547">
        <v>60473779</v>
      </c>
      <c r="E3547">
        <v>4.71</v>
      </c>
      <c r="F3547">
        <v>6.25</v>
      </c>
    </row>
    <row r="3548" spans="1:6" x14ac:dyDescent="0.3">
      <c r="A3548" t="s">
        <v>4173</v>
      </c>
      <c r="B3548" t="s">
        <v>5862</v>
      </c>
      <c r="C3548" t="s">
        <v>4173</v>
      </c>
      <c r="D3548">
        <v>60480035</v>
      </c>
      <c r="E3548">
        <v>21.77</v>
      </c>
      <c r="F3548">
        <v>5.27</v>
      </c>
    </row>
    <row r="3549" spans="1:6" x14ac:dyDescent="0.3">
      <c r="A3549" t="s">
        <v>5860</v>
      </c>
      <c r="B3549" t="s">
        <v>5319</v>
      </c>
      <c r="C3549" t="s">
        <v>4092</v>
      </c>
      <c r="D3549">
        <v>60486694</v>
      </c>
      <c r="E3549">
        <v>1.33</v>
      </c>
      <c r="F3549">
        <v>6.69</v>
      </c>
    </row>
    <row r="3550" spans="1:6" x14ac:dyDescent="0.3">
      <c r="A3550" t="s">
        <v>5863</v>
      </c>
      <c r="B3550" t="s">
        <v>5188</v>
      </c>
      <c r="C3550" t="s">
        <v>1087</v>
      </c>
      <c r="D3550">
        <v>60495676</v>
      </c>
      <c r="E3550">
        <v>10.89</v>
      </c>
      <c r="F3550">
        <v>7.13</v>
      </c>
    </row>
    <row r="3551" spans="1:6" x14ac:dyDescent="0.3">
      <c r="A3551" t="s">
        <v>5864</v>
      </c>
      <c r="B3551" t="s">
        <v>5865</v>
      </c>
      <c r="C3551" t="s">
        <v>5866</v>
      </c>
      <c r="D3551">
        <v>60503345</v>
      </c>
      <c r="E3551">
        <v>3</v>
      </c>
      <c r="F3551">
        <v>6.78</v>
      </c>
    </row>
    <row r="3552" spans="1:6" x14ac:dyDescent="0.3">
      <c r="A3552" t="s">
        <v>5867</v>
      </c>
      <c r="B3552" t="s">
        <v>5349</v>
      </c>
      <c r="C3552" t="s">
        <v>5868</v>
      </c>
      <c r="D3552">
        <v>60510545</v>
      </c>
      <c r="E3552">
        <v>6.4</v>
      </c>
      <c r="F3552">
        <v>7.25</v>
      </c>
    </row>
    <row r="3553" spans="1:6" x14ac:dyDescent="0.3">
      <c r="A3553" t="s">
        <v>5869</v>
      </c>
      <c r="B3553" t="s">
        <v>5870</v>
      </c>
      <c r="C3553" t="s">
        <v>5871</v>
      </c>
      <c r="D3553">
        <v>60512120</v>
      </c>
      <c r="E3553">
        <v>21.71</v>
      </c>
      <c r="F3553">
        <v>8.57</v>
      </c>
    </row>
    <row r="3554" spans="1:6" x14ac:dyDescent="0.3">
      <c r="A3554" t="s">
        <v>5872</v>
      </c>
      <c r="B3554" t="s">
        <v>4711</v>
      </c>
      <c r="C3554" t="s">
        <v>2496</v>
      </c>
      <c r="D3554">
        <v>60515771</v>
      </c>
      <c r="E3554">
        <v>3.3</v>
      </c>
      <c r="F3554">
        <v>5.72</v>
      </c>
    </row>
    <row r="3555" spans="1:6" x14ac:dyDescent="0.3">
      <c r="A3555" t="s">
        <v>5873</v>
      </c>
      <c r="B3555" t="s">
        <v>1890</v>
      </c>
      <c r="C3555" t="s">
        <v>3614</v>
      </c>
      <c r="D3555">
        <v>60516506</v>
      </c>
      <c r="E3555">
        <v>20.84</v>
      </c>
      <c r="F3555">
        <v>7.71</v>
      </c>
    </row>
    <row r="3556" spans="1:6" x14ac:dyDescent="0.3">
      <c r="A3556" t="s">
        <v>5874</v>
      </c>
      <c r="B3556" t="s">
        <v>5875</v>
      </c>
      <c r="C3556" t="s">
        <v>1647</v>
      </c>
      <c r="D3556">
        <v>60533253</v>
      </c>
      <c r="E3556">
        <v>14.75</v>
      </c>
      <c r="F3556">
        <v>5.47</v>
      </c>
    </row>
    <row r="3557" spans="1:6" x14ac:dyDescent="0.3">
      <c r="A3557" t="s">
        <v>5876</v>
      </c>
      <c r="B3557" t="s">
        <v>5877</v>
      </c>
      <c r="C3557" t="s">
        <v>2862</v>
      </c>
      <c r="D3557">
        <v>60535935</v>
      </c>
      <c r="E3557">
        <v>11</v>
      </c>
      <c r="F3557">
        <v>6</v>
      </c>
    </row>
    <row r="3558" spans="1:6" x14ac:dyDescent="0.3">
      <c r="A3558" t="s">
        <v>5878</v>
      </c>
      <c r="B3558" t="s">
        <v>5879</v>
      </c>
      <c r="C3558" t="s">
        <v>1365</v>
      </c>
      <c r="D3558">
        <v>60563570</v>
      </c>
      <c r="E3558">
        <v>17</v>
      </c>
      <c r="F3558">
        <v>5</v>
      </c>
    </row>
    <row r="3559" spans="1:6" x14ac:dyDescent="0.3">
      <c r="A3559" t="s">
        <v>5880</v>
      </c>
      <c r="B3559" t="s">
        <v>4441</v>
      </c>
      <c r="C3559" t="s">
        <v>707</v>
      </c>
      <c r="D3559">
        <v>60564010</v>
      </c>
      <c r="E3559">
        <v>32</v>
      </c>
      <c r="F3559">
        <v>8</v>
      </c>
    </row>
    <row r="3560" spans="1:6" x14ac:dyDescent="0.3">
      <c r="A3560" t="s">
        <v>5881</v>
      </c>
      <c r="B3560" t="s">
        <v>5882</v>
      </c>
      <c r="C3560" t="s">
        <v>5472</v>
      </c>
      <c r="D3560">
        <v>60569178</v>
      </c>
      <c r="E3560">
        <v>4.5999999999999996</v>
      </c>
      <c r="F3560">
        <v>6.8</v>
      </c>
    </row>
    <row r="3561" spans="1:6" x14ac:dyDescent="0.3">
      <c r="A3561" t="s">
        <v>5883</v>
      </c>
      <c r="B3561" t="s">
        <v>5884</v>
      </c>
      <c r="C3561" t="s">
        <v>5885</v>
      </c>
      <c r="D3561">
        <v>60580078</v>
      </c>
      <c r="E3561">
        <v>3</v>
      </c>
      <c r="F3561">
        <v>7.52</v>
      </c>
    </row>
    <row r="3562" spans="1:6" x14ac:dyDescent="0.3">
      <c r="A3562" t="s">
        <v>5886</v>
      </c>
      <c r="B3562" t="s">
        <v>2205</v>
      </c>
      <c r="C3562" t="s">
        <v>5887</v>
      </c>
      <c r="D3562">
        <v>60585728</v>
      </c>
      <c r="E3562">
        <v>5</v>
      </c>
      <c r="F3562">
        <v>7.75</v>
      </c>
    </row>
    <row r="3563" spans="1:6" x14ac:dyDescent="0.3">
      <c r="A3563" t="s">
        <v>5888</v>
      </c>
      <c r="B3563" t="s">
        <v>1477</v>
      </c>
      <c r="C3563" t="s">
        <v>950</v>
      </c>
      <c r="D3563">
        <v>60592659</v>
      </c>
      <c r="E3563">
        <v>11.94</v>
      </c>
      <c r="F3563">
        <v>8.5</v>
      </c>
    </row>
    <row r="3564" spans="1:6" x14ac:dyDescent="0.3">
      <c r="A3564" t="s">
        <v>5889</v>
      </c>
      <c r="B3564" t="s">
        <v>5890</v>
      </c>
      <c r="C3564" t="s">
        <v>5891</v>
      </c>
      <c r="D3564">
        <v>60595333</v>
      </c>
      <c r="E3564">
        <v>6.91</v>
      </c>
      <c r="F3564">
        <v>4.4000000000000004</v>
      </c>
    </row>
    <row r="3565" spans="1:6" x14ac:dyDescent="0.3">
      <c r="A3565" t="s">
        <v>5892</v>
      </c>
      <c r="B3565" t="s">
        <v>1824</v>
      </c>
      <c r="C3565" t="s">
        <v>5893</v>
      </c>
      <c r="D3565">
        <v>60603962</v>
      </c>
      <c r="E3565">
        <v>28</v>
      </c>
      <c r="F3565">
        <v>7.33</v>
      </c>
    </row>
    <row r="3566" spans="1:6" x14ac:dyDescent="0.3">
      <c r="A3566" t="s">
        <v>5894</v>
      </c>
      <c r="B3566" t="s">
        <v>3070</v>
      </c>
      <c r="C3566" t="s">
        <v>5895</v>
      </c>
      <c r="D3566">
        <v>60605814</v>
      </c>
      <c r="E3566">
        <v>3.21</v>
      </c>
      <c r="F3566">
        <v>7.25</v>
      </c>
    </row>
    <row r="3567" spans="1:6" x14ac:dyDescent="0.3">
      <c r="A3567" t="s">
        <v>5896</v>
      </c>
      <c r="B3567" t="s">
        <v>5704</v>
      </c>
      <c r="C3567" t="s">
        <v>3389</v>
      </c>
      <c r="D3567">
        <v>60620063</v>
      </c>
      <c r="E3567">
        <v>31</v>
      </c>
      <c r="F3567">
        <v>5.5</v>
      </c>
    </row>
    <row r="3568" spans="1:6" x14ac:dyDescent="0.3">
      <c r="A3568" t="s">
        <v>5897</v>
      </c>
      <c r="B3568" t="s">
        <v>5898</v>
      </c>
      <c r="C3568" t="s">
        <v>1242</v>
      </c>
      <c r="D3568">
        <v>60624753</v>
      </c>
      <c r="E3568" t="s">
        <v>3814</v>
      </c>
      <c r="F3568" t="s">
        <v>3814</v>
      </c>
    </row>
    <row r="3569" spans="1:6" x14ac:dyDescent="0.3">
      <c r="A3569" t="s">
        <v>5899</v>
      </c>
      <c r="B3569" t="s">
        <v>5900</v>
      </c>
      <c r="C3569" t="s">
        <v>5212</v>
      </c>
      <c r="D3569">
        <v>60629479</v>
      </c>
      <c r="E3569">
        <v>15.16</v>
      </c>
      <c r="F3569">
        <v>6.69</v>
      </c>
    </row>
    <row r="3570" spans="1:6" x14ac:dyDescent="0.3">
      <c r="A3570" t="s">
        <v>3202</v>
      </c>
      <c r="B3570" t="s">
        <v>5901</v>
      </c>
      <c r="C3570" t="s">
        <v>3952</v>
      </c>
      <c r="D3570">
        <v>60641526</v>
      </c>
      <c r="E3570">
        <v>3.26</v>
      </c>
      <c r="F3570">
        <v>6.11</v>
      </c>
    </row>
    <row r="3571" spans="1:6" x14ac:dyDescent="0.3">
      <c r="A3571" t="s">
        <v>5902</v>
      </c>
      <c r="B3571" t="s">
        <v>49</v>
      </c>
      <c r="C3571" t="s">
        <v>1205</v>
      </c>
      <c r="D3571">
        <v>60642651</v>
      </c>
      <c r="E3571">
        <v>18.79</v>
      </c>
      <c r="F3571">
        <v>8.15</v>
      </c>
    </row>
    <row r="3572" spans="1:6" x14ac:dyDescent="0.3">
      <c r="A3572" t="s">
        <v>5903</v>
      </c>
      <c r="B3572" t="s">
        <v>1559</v>
      </c>
      <c r="C3572" t="s">
        <v>5904</v>
      </c>
      <c r="D3572">
        <v>60650168</v>
      </c>
      <c r="E3572">
        <v>3.71</v>
      </c>
      <c r="F3572">
        <v>6.16</v>
      </c>
    </row>
    <row r="3573" spans="1:6" x14ac:dyDescent="0.3">
      <c r="A3573" t="s">
        <v>1714</v>
      </c>
      <c r="B3573" t="s">
        <v>3730</v>
      </c>
      <c r="C3573" t="s">
        <v>1752</v>
      </c>
      <c r="D3573">
        <v>60653465</v>
      </c>
      <c r="E3573">
        <v>7.25</v>
      </c>
      <c r="F3573">
        <v>6.67</v>
      </c>
    </row>
    <row r="3574" spans="1:6" x14ac:dyDescent="0.3">
      <c r="A3574" t="s">
        <v>5905</v>
      </c>
      <c r="B3574" t="s">
        <v>2843</v>
      </c>
      <c r="C3574" t="s">
        <v>5906</v>
      </c>
      <c r="D3574">
        <v>60660086</v>
      </c>
      <c r="E3574">
        <v>22.6</v>
      </c>
      <c r="F3574">
        <v>6.8</v>
      </c>
    </row>
    <row r="3575" spans="1:6" x14ac:dyDescent="0.3">
      <c r="A3575" t="s">
        <v>5907</v>
      </c>
      <c r="B3575" t="s">
        <v>5908</v>
      </c>
      <c r="C3575" t="s">
        <v>2456</v>
      </c>
      <c r="D3575">
        <v>60675665</v>
      </c>
      <c r="E3575">
        <v>6.69</v>
      </c>
      <c r="F3575">
        <v>5.43</v>
      </c>
    </row>
    <row r="3576" spans="1:6" x14ac:dyDescent="0.3">
      <c r="A3576" t="s">
        <v>5909</v>
      </c>
      <c r="B3576" t="s">
        <v>5034</v>
      </c>
      <c r="C3576" t="s">
        <v>5910</v>
      </c>
      <c r="D3576">
        <v>60681918</v>
      </c>
      <c r="E3576">
        <v>2.52</v>
      </c>
      <c r="F3576">
        <v>6.45</v>
      </c>
    </row>
    <row r="3577" spans="1:6" x14ac:dyDescent="0.3">
      <c r="A3577" t="s">
        <v>5911</v>
      </c>
      <c r="B3577" t="s">
        <v>336</v>
      </c>
      <c r="C3577" t="s">
        <v>5912</v>
      </c>
      <c r="D3577">
        <v>60698556</v>
      </c>
      <c r="E3577">
        <v>9.5</v>
      </c>
      <c r="F3577">
        <v>5</v>
      </c>
    </row>
    <row r="3578" spans="1:6" x14ac:dyDescent="0.3">
      <c r="A3578" t="s">
        <v>5913</v>
      </c>
      <c r="B3578" t="s">
        <v>4770</v>
      </c>
      <c r="C3578" t="s">
        <v>2679</v>
      </c>
      <c r="D3578">
        <v>60698989</v>
      </c>
      <c r="E3578">
        <v>30</v>
      </c>
      <c r="F3578">
        <v>6.2</v>
      </c>
    </row>
    <row r="3579" spans="1:6" x14ac:dyDescent="0.3">
      <c r="A3579" t="s">
        <v>5914</v>
      </c>
      <c r="B3579" t="s">
        <v>5915</v>
      </c>
      <c r="C3579" t="s">
        <v>1719</v>
      </c>
      <c r="D3579">
        <v>60708266</v>
      </c>
      <c r="E3579">
        <v>3.15</v>
      </c>
      <c r="F3579">
        <v>4.38</v>
      </c>
    </row>
    <row r="3580" spans="1:6" x14ac:dyDescent="0.3">
      <c r="A3580" t="s">
        <v>5916</v>
      </c>
      <c r="B3580" t="s">
        <v>5917</v>
      </c>
      <c r="C3580" t="s">
        <v>5918</v>
      </c>
      <c r="D3580">
        <v>60708767</v>
      </c>
      <c r="E3580">
        <v>20.8</v>
      </c>
      <c r="F3580">
        <v>6.3</v>
      </c>
    </row>
    <row r="3581" spans="1:6" x14ac:dyDescent="0.3">
      <c r="A3581" t="s">
        <v>5919</v>
      </c>
      <c r="B3581" t="s">
        <v>2423</v>
      </c>
      <c r="C3581" t="s">
        <v>36</v>
      </c>
      <c r="D3581">
        <v>60714734</v>
      </c>
      <c r="E3581">
        <v>26.75</v>
      </c>
      <c r="F3581">
        <v>8</v>
      </c>
    </row>
    <row r="3582" spans="1:6" x14ac:dyDescent="0.3">
      <c r="A3582" t="s">
        <v>2078</v>
      </c>
      <c r="B3582" t="s">
        <v>3634</v>
      </c>
      <c r="C3582" t="s">
        <v>2079</v>
      </c>
      <c r="D3582">
        <v>60720365</v>
      </c>
      <c r="E3582">
        <v>7.86</v>
      </c>
      <c r="F3582">
        <v>7.83</v>
      </c>
    </row>
    <row r="3583" spans="1:6" x14ac:dyDescent="0.3">
      <c r="A3583" t="s">
        <v>5920</v>
      </c>
      <c r="B3583" t="s">
        <v>5921</v>
      </c>
      <c r="C3583" t="s">
        <v>5356</v>
      </c>
      <c r="D3583">
        <v>60722591</v>
      </c>
      <c r="E3583">
        <v>8.74</v>
      </c>
      <c r="F3583">
        <v>6.5</v>
      </c>
    </row>
    <row r="3584" spans="1:6" x14ac:dyDescent="0.3">
      <c r="A3584" t="s">
        <v>5922</v>
      </c>
      <c r="B3584" t="s">
        <v>1110</v>
      </c>
      <c r="C3584" t="s">
        <v>5923</v>
      </c>
      <c r="D3584">
        <v>60726930</v>
      </c>
      <c r="E3584">
        <v>21.84</v>
      </c>
      <c r="F3584">
        <v>7.85</v>
      </c>
    </row>
    <row r="3585" spans="1:6" x14ac:dyDescent="0.3">
      <c r="A3585" t="s">
        <v>5924</v>
      </c>
      <c r="B3585" t="s">
        <v>4971</v>
      </c>
      <c r="C3585" t="s">
        <v>5925</v>
      </c>
      <c r="D3585">
        <v>60727549</v>
      </c>
      <c r="E3585">
        <v>2.14</v>
      </c>
      <c r="F3585">
        <v>7.24</v>
      </c>
    </row>
    <row r="3586" spans="1:6" x14ac:dyDescent="0.3">
      <c r="A3586" t="s">
        <v>5926</v>
      </c>
      <c r="B3586" t="s">
        <v>2614</v>
      </c>
      <c r="C3586" t="s">
        <v>1039</v>
      </c>
      <c r="D3586">
        <v>60740290</v>
      </c>
      <c r="E3586">
        <v>31.67</v>
      </c>
      <c r="F3586">
        <v>5.67</v>
      </c>
    </row>
    <row r="3587" spans="1:6" x14ac:dyDescent="0.3">
      <c r="A3587" t="s">
        <v>5927</v>
      </c>
      <c r="B3587" t="s">
        <v>5928</v>
      </c>
      <c r="C3587" s="1" t="s">
        <v>5929</v>
      </c>
      <c r="D3587">
        <v>60741930</v>
      </c>
      <c r="E3587">
        <v>2.83</v>
      </c>
      <c r="F3587">
        <v>6.94</v>
      </c>
    </row>
    <row r="3588" spans="1:6" x14ac:dyDescent="0.3">
      <c r="A3588" t="s">
        <v>5930</v>
      </c>
      <c r="B3588" t="s">
        <v>5931</v>
      </c>
      <c r="C3588" t="s">
        <v>2860</v>
      </c>
      <c r="D3588">
        <v>60744317</v>
      </c>
      <c r="E3588">
        <v>18.399999999999999</v>
      </c>
      <c r="F3588">
        <v>1.8</v>
      </c>
    </row>
    <row r="3589" spans="1:6" x14ac:dyDescent="0.3">
      <c r="A3589" t="s">
        <v>5932</v>
      </c>
      <c r="B3589" t="s">
        <v>3469</v>
      </c>
      <c r="C3589" t="s">
        <v>175</v>
      </c>
      <c r="D3589">
        <v>60745211</v>
      </c>
      <c r="E3589">
        <v>3.71</v>
      </c>
      <c r="F3589">
        <v>6.58</v>
      </c>
    </row>
    <row r="3590" spans="1:6" x14ac:dyDescent="0.3">
      <c r="A3590" t="s">
        <v>5933</v>
      </c>
      <c r="B3590" t="s">
        <v>4215</v>
      </c>
      <c r="C3590" t="s">
        <v>5887</v>
      </c>
      <c r="D3590">
        <v>60752687</v>
      </c>
      <c r="E3590">
        <v>7.75</v>
      </c>
      <c r="F3590">
        <v>5</v>
      </c>
    </row>
    <row r="3591" spans="1:6" x14ac:dyDescent="0.3">
      <c r="A3591" t="s">
        <v>5934</v>
      </c>
      <c r="B3591" t="s">
        <v>5075</v>
      </c>
      <c r="C3591" t="s">
        <v>4222</v>
      </c>
      <c r="D3591">
        <v>60769720</v>
      </c>
      <c r="E3591">
        <v>4</v>
      </c>
      <c r="F3591">
        <v>5.43</v>
      </c>
    </row>
    <row r="3592" spans="1:6" x14ac:dyDescent="0.3">
      <c r="A3592" t="s">
        <v>2797</v>
      </c>
      <c r="B3592" t="s">
        <v>4366</v>
      </c>
      <c r="C3592" t="s">
        <v>3677</v>
      </c>
      <c r="D3592">
        <v>60784748</v>
      </c>
      <c r="E3592">
        <v>12.23</v>
      </c>
      <c r="F3592">
        <v>4.22</v>
      </c>
    </row>
    <row r="3593" spans="1:6" x14ac:dyDescent="0.3">
      <c r="A3593" t="s">
        <v>5935</v>
      </c>
      <c r="B3593" t="s">
        <v>4479</v>
      </c>
      <c r="C3593" t="s">
        <v>3470</v>
      </c>
      <c r="D3593">
        <v>60787499</v>
      </c>
      <c r="E3593">
        <v>5.69</v>
      </c>
      <c r="F3593">
        <v>5.55</v>
      </c>
    </row>
    <row r="3594" spans="1:6" x14ac:dyDescent="0.3">
      <c r="A3594" t="s">
        <v>5936</v>
      </c>
      <c r="B3594" t="s">
        <v>1589</v>
      </c>
      <c r="C3594" t="s">
        <v>1042</v>
      </c>
      <c r="D3594">
        <v>60810066</v>
      </c>
      <c r="E3594">
        <v>25</v>
      </c>
      <c r="F3594">
        <v>2.25</v>
      </c>
    </row>
    <row r="3595" spans="1:6" x14ac:dyDescent="0.3">
      <c r="A3595" t="s">
        <v>5937</v>
      </c>
      <c r="B3595" t="s">
        <v>4493</v>
      </c>
      <c r="C3595" t="s">
        <v>5938</v>
      </c>
      <c r="D3595">
        <v>60828519</v>
      </c>
      <c r="E3595">
        <v>16.5</v>
      </c>
      <c r="F3595">
        <v>7</v>
      </c>
    </row>
    <row r="3596" spans="1:6" x14ac:dyDescent="0.3">
      <c r="A3596" t="s">
        <v>2072</v>
      </c>
      <c r="B3596" t="s">
        <v>5140</v>
      </c>
      <c r="C3596" t="s">
        <v>2323</v>
      </c>
      <c r="D3596">
        <v>60830850</v>
      </c>
      <c r="E3596">
        <v>2.2200000000000002</v>
      </c>
      <c r="F3596">
        <v>6.3</v>
      </c>
    </row>
    <row r="3597" spans="1:6" x14ac:dyDescent="0.3">
      <c r="A3597" t="s">
        <v>5939</v>
      </c>
      <c r="B3597" t="s">
        <v>3181</v>
      </c>
      <c r="C3597" t="s">
        <v>5940</v>
      </c>
      <c r="D3597">
        <v>60839828</v>
      </c>
      <c r="E3597">
        <v>7.21</v>
      </c>
      <c r="F3597">
        <v>7.9</v>
      </c>
    </row>
    <row r="3598" spans="1:6" x14ac:dyDescent="0.3">
      <c r="A3598" t="s">
        <v>5941</v>
      </c>
      <c r="B3598" t="s">
        <v>4271</v>
      </c>
      <c r="C3598" t="s">
        <v>5780</v>
      </c>
      <c r="D3598">
        <v>60858722</v>
      </c>
      <c r="E3598">
        <v>5.71</v>
      </c>
      <c r="F3598">
        <v>7.59</v>
      </c>
    </row>
    <row r="3599" spans="1:6" x14ac:dyDescent="0.3">
      <c r="A3599" t="s">
        <v>5942</v>
      </c>
      <c r="B3599" t="s">
        <v>138</v>
      </c>
      <c r="C3599" t="s">
        <v>4045</v>
      </c>
      <c r="D3599">
        <v>60869851</v>
      </c>
      <c r="E3599">
        <v>10.27</v>
      </c>
      <c r="F3599">
        <v>6.92</v>
      </c>
    </row>
    <row r="3600" spans="1:6" x14ac:dyDescent="0.3">
      <c r="A3600" t="s">
        <v>5943</v>
      </c>
      <c r="B3600" t="s">
        <v>4441</v>
      </c>
      <c r="C3600" t="s">
        <v>349</v>
      </c>
      <c r="D3600">
        <v>60870688</v>
      </c>
      <c r="E3600">
        <v>32</v>
      </c>
      <c r="F3600">
        <v>8</v>
      </c>
    </row>
    <row r="3601" spans="1:6" x14ac:dyDescent="0.3">
      <c r="A3601" t="s">
        <v>5944</v>
      </c>
      <c r="B3601" t="s">
        <v>4604</v>
      </c>
      <c r="C3601" t="s">
        <v>5945</v>
      </c>
      <c r="D3601">
        <v>60878509</v>
      </c>
      <c r="E3601">
        <v>6.11</v>
      </c>
      <c r="F3601">
        <v>9.25</v>
      </c>
    </row>
    <row r="3602" spans="1:6" x14ac:dyDescent="0.3">
      <c r="A3602" t="s">
        <v>5946</v>
      </c>
      <c r="B3602" t="s">
        <v>5947</v>
      </c>
      <c r="C3602" t="s">
        <v>5948</v>
      </c>
      <c r="D3602">
        <v>60879801</v>
      </c>
      <c r="E3602">
        <v>2.09</v>
      </c>
      <c r="F3602">
        <v>6.32</v>
      </c>
    </row>
    <row r="3603" spans="1:6" x14ac:dyDescent="0.3">
      <c r="A3603" t="s">
        <v>5949</v>
      </c>
      <c r="B3603" t="s">
        <v>4076</v>
      </c>
      <c r="C3603" t="s">
        <v>5950</v>
      </c>
      <c r="D3603">
        <v>60887211</v>
      </c>
      <c r="E3603">
        <v>7.18</v>
      </c>
      <c r="F3603">
        <v>8.0500000000000007</v>
      </c>
    </row>
    <row r="3604" spans="1:6" x14ac:dyDescent="0.3">
      <c r="A3604" t="s">
        <v>5951</v>
      </c>
      <c r="B3604" t="s">
        <v>5952</v>
      </c>
      <c r="C3604" t="s">
        <v>1336</v>
      </c>
      <c r="D3604">
        <v>60888922</v>
      </c>
      <c r="E3604">
        <v>8.3699999999999992</v>
      </c>
      <c r="F3604">
        <v>6.25</v>
      </c>
    </row>
    <row r="3605" spans="1:6" x14ac:dyDescent="0.3">
      <c r="A3605" t="s">
        <v>5953</v>
      </c>
      <c r="B3605" t="s">
        <v>609</v>
      </c>
      <c r="C3605" t="s">
        <v>5954</v>
      </c>
      <c r="D3605">
        <v>60923124</v>
      </c>
      <c r="E3605">
        <v>24.33</v>
      </c>
      <c r="F3605">
        <v>4.2</v>
      </c>
    </row>
    <row r="3606" spans="1:6" x14ac:dyDescent="0.3">
      <c r="A3606" t="s">
        <v>5955</v>
      </c>
      <c r="B3606" t="s">
        <v>3631</v>
      </c>
      <c r="C3606" t="s">
        <v>969</v>
      </c>
      <c r="D3606">
        <v>60927479</v>
      </c>
      <c r="E3606">
        <v>6.71</v>
      </c>
      <c r="F3606">
        <v>5.38</v>
      </c>
    </row>
    <row r="3607" spans="1:6" x14ac:dyDescent="0.3">
      <c r="A3607" t="s">
        <v>5956</v>
      </c>
      <c r="B3607" t="s">
        <v>2042</v>
      </c>
      <c r="C3607" t="s">
        <v>5957</v>
      </c>
      <c r="D3607">
        <v>60927712</v>
      </c>
      <c r="E3607">
        <v>10.17</v>
      </c>
      <c r="F3607">
        <v>5.2</v>
      </c>
    </row>
    <row r="3608" spans="1:6" x14ac:dyDescent="0.3">
      <c r="A3608" t="s">
        <v>5958</v>
      </c>
      <c r="B3608" t="s">
        <v>5192</v>
      </c>
      <c r="C3608" t="s">
        <v>5959</v>
      </c>
      <c r="D3608">
        <v>60943458</v>
      </c>
      <c r="E3608">
        <v>2.5499999999999998</v>
      </c>
      <c r="F3608">
        <v>8.31</v>
      </c>
    </row>
    <row r="3609" spans="1:6" x14ac:dyDescent="0.3">
      <c r="A3609" t="s">
        <v>5960</v>
      </c>
      <c r="B3609" t="s">
        <v>5961</v>
      </c>
      <c r="C3609" t="s">
        <v>5904</v>
      </c>
      <c r="D3609">
        <v>60952893</v>
      </c>
      <c r="E3609">
        <v>24</v>
      </c>
      <c r="F3609">
        <v>7.5</v>
      </c>
    </row>
    <row r="3610" spans="1:6" x14ac:dyDescent="0.3">
      <c r="A3610" t="s">
        <v>1946</v>
      </c>
      <c r="B3610" t="s">
        <v>5634</v>
      </c>
      <c r="C3610" t="s">
        <v>1008</v>
      </c>
      <c r="D3610">
        <v>60960827</v>
      </c>
      <c r="E3610">
        <v>13.12</v>
      </c>
      <c r="F3610">
        <v>6.02</v>
      </c>
    </row>
    <row r="3611" spans="1:6" x14ac:dyDescent="0.3">
      <c r="A3611" t="s">
        <v>5962</v>
      </c>
      <c r="B3611" t="s">
        <v>5963</v>
      </c>
      <c r="C3611" t="s">
        <v>1483</v>
      </c>
      <c r="D3611">
        <v>60978746</v>
      </c>
      <c r="E3611">
        <v>34</v>
      </c>
      <c r="F3611">
        <v>8.14</v>
      </c>
    </row>
    <row r="3612" spans="1:6" x14ac:dyDescent="0.3">
      <c r="A3612" t="s">
        <v>5964</v>
      </c>
      <c r="B3612" t="s">
        <v>4927</v>
      </c>
      <c r="C3612" t="s">
        <v>1317</v>
      </c>
      <c r="D3612">
        <v>60993841</v>
      </c>
      <c r="E3612">
        <v>3.04</v>
      </c>
      <c r="F3612">
        <v>6.9</v>
      </c>
    </row>
    <row r="3613" spans="1:6" x14ac:dyDescent="0.3">
      <c r="A3613" t="s">
        <v>5965</v>
      </c>
      <c r="B3613" t="s">
        <v>5966</v>
      </c>
      <c r="C3613" t="s">
        <v>3701</v>
      </c>
      <c r="D3613">
        <v>61011250</v>
      </c>
      <c r="E3613">
        <v>2.89</v>
      </c>
      <c r="F3613">
        <v>4.57</v>
      </c>
    </row>
    <row r="3614" spans="1:6" x14ac:dyDescent="0.3">
      <c r="A3614" t="s">
        <v>5967</v>
      </c>
      <c r="B3614" t="s">
        <v>2843</v>
      </c>
      <c r="C3614" t="s">
        <v>3391</v>
      </c>
      <c r="D3614">
        <v>61036328</v>
      </c>
      <c r="E3614">
        <v>11.05</v>
      </c>
      <c r="F3614">
        <v>7.43</v>
      </c>
    </row>
    <row r="3615" spans="1:6" x14ac:dyDescent="0.3">
      <c r="A3615" t="s">
        <v>5968</v>
      </c>
      <c r="B3615" t="s">
        <v>5969</v>
      </c>
      <c r="C3615" t="s">
        <v>5970</v>
      </c>
      <c r="D3615">
        <v>61040643</v>
      </c>
      <c r="E3615">
        <v>2.6</v>
      </c>
      <c r="F3615">
        <v>7</v>
      </c>
    </row>
    <row r="3616" spans="1:6" x14ac:dyDescent="0.3">
      <c r="A3616" t="s">
        <v>5885</v>
      </c>
      <c r="B3616" t="s">
        <v>4100</v>
      </c>
      <c r="C3616" t="s">
        <v>5971</v>
      </c>
      <c r="D3616">
        <v>61050275</v>
      </c>
      <c r="E3616">
        <v>8</v>
      </c>
      <c r="F3616">
        <v>6</v>
      </c>
    </row>
    <row r="3617" spans="1:6" x14ac:dyDescent="0.3">
      <c r="A3617" t="s">
        <v>5972</v>
      </c>
      <c r="B3617" t="s">
        <v>4911</v>
      </c>
      <c r="C3617" t="s">
        <v>5973</v>
      </c>
      <c r="D3617">
        <v>61059008</v>
      </c>
      <c r="E3617">
        <v>3.32</v>
      </c>
      <c r="F3617">
        <v>6.22</v>
      </c>
    </row>
    <row r="3618" spans="1:6" x14ac:dyDescent="0.3">
      <c r="A3618" t="s">
        <v>5974</v>
      </c>
      <c r="B3618" t="s">
        <v>5975</v>
      </c>
      <c r="C3618" t="s">
        <v>4621</v>
      </c>
      <c r="D3618">
        <v>61060065</v>
      </c>
      <c r="E3618">
        <v>2.93</v>
      </c>
      <c r="F3618">
        <v>6.38</v>
      </c>
    </row>
    <row r="3619" spans="1:6" x14ac:dyDescent="0.3">
      <c r="A3619" t="s">
        <v>5976</v>
      </c>
      <c r="B3619" t="s">
        <v>5373</v>
      </c>
      <c r="C3619" t="s">
        <v>5977</v>
      </c>
      <c r="D3619">
        <v>61066811</v>
      </c>
      <c r="E3619">
        <v>17.02</v>
      </c>
      <c r="F3619">
        <v>6.6</v>
      </c>
    </row>
    <row r="3620" spans="1:6" x14ac:dyDescent="0.3">
      <c r="A3620" t="s">
        <v>5978</v>
      </c>
      <c r="B3620" t="s">
        <v>2193</v>
      </c>
      <c r="C3620" t="s">
        <v>845</v>
      </c>
      <c r="D3620">
        <v>61067595</v>
      </c>
      <c r="E3620">
        <v>15.9</v>
      </c>
      <c r="F3620">
        <v>7.5</v>
      </c>
    </row>
    <row r="3621" spans="1:6" x14ac:dyDescent="0.3">
      <c r="A3621" t="s">
        <v>5979</v>
      </c>
      <c r="B3621" t="s">
        <v>4005</v>
      </c>
      <c r="C3621" t="s">
        <v>3852</v>
      </c>
      <c r="D3621">
        <v>61079355</v>
      </c>
      <c r="E3621">
        <v>20.34</v>
      </c>
      <c r="F3621">
        <v>7.65</v>
      </c>
    </row>
    <row r="3622" spans="1:6" x14ac:dyDescent="0.3">
      <c r="A3622" t="s">
        <v>5980</v>
      </c>
      <c r="B3622" t="s">
        <v>5981</v>
      </c>
      <c r="C3622" t="s">
        <v>2231</v>
      </c>
      <c r="D3622">
        <v>61081283</v>
      </c>
      <c r="E3622">
        <v>15.08</v>
      </c>
      <c r="F3622">
        <v>5.64</v>
      </c>
    </row>
    <row r="3623" spans="1:6" x14ac:dyDescent="0.3">
      <c r="A3623" t="s">
        <v>5982</v>
      </c>
      <c r="B3623" t="s">
        <v>4814</v>
      </c>
      <c r="C3623" t="s">
        <v>1787</v>
      </c>
      <c r="D3623">
        <v>61082419</v>
      </c>
      <c r="E3623">
        <v>4.95</v>
      </c>
      <c r="F3623">
        <v>7.06</v>
      </c>
    </row>
    <row r="3624" spans="1:6" x14ac:dyDescent="0.3">
      <c r="A3624" t="s">
        <v>5983</v>
      </c>
      <c r="B3624" t="s">
        <v>509</v>
      </c>
      <c r="C3624" t="s">
        <v>1350</v>
      </c>
      <c r="D3624">
        <v>61090121</v>
      </c>
      <c r="E3624">
        <v>6.19</v>
      </c>
      <c r="F3624">
        <v>6.88</v>
      </c>
    </row>
    <row r="3625" spans="1:6" x14ac:dyDescent="0.3">
      <c r="A3625" t="s">
        <v>5984</v>
      </c>
      <c r="B3625" t="s">
        <v>3411</v>
      </c>
      <c r="C3625" t="s">
        <v>3297</v>
      </c>
      <c r="D3625">
        <v>61112549</v>
      </c>
      <c r="E3625">
        <v>7.48</v>
      </c>
      <c r="F3625">
        <v>5.71</v>
      </c>
    </row>
    <row r="3626" spans="1:6" x14ac:dyDescent="0.3">
      <c r="A3626" t="s">
        <v>5985</v>
      </c>
      <c r="B3626" t="s">
        <v>5986</v>
      </c>
      <c r="C3626" t="s">
        <v>5987</v>
      </c>
      <c r="D3626">
        <v>61113579</v>
      </c>
      <c r="E3626">
        <v>6.8</v>
      </c>
      <c r="F3626">
        <v>6.33</v>
      </c>
    </row>
    <row r="3627" spans="1:6" x14ac:dyDescent="0.3">
      <c r="A3627" t="s">
        <v>5988</v>
      </c>
      <c r="B3627" t="s">
        <v>4787</v>
      </c>
      <c r="C3627" t="s">
        <v>5989</v>
      </c>
      <c r="D3627">
        <v>61127840</v>
      </c>
      <c r="E3627">
        <v>27</v>
      </c>
      <c r="F3627">
        <v>8.36</v>
      </c>
    </row>
    <row r="3628" spans="1:6" x14ac:dyDescent="0.3">
      <c r="A3628" t="s">
        <v>5990</v>
      </c>
      <c r="B3628" t="s">
        <v>5486</v>
      </c>
      <c r="C3628" t="s">
        <v>1030</v>
      </c>
      <c r="D3628">
        <v>61130389</v>
      </c>
      <c r="E3628">
        <v>2.83</v>
      </c>
      <c r="F3628">
        <v>6</v>
      </c>
    </row>
    <row r="3629" spans="1:6" x14ac:dyDescent="0.3">
      <c r="A3629" t="s">
        <v>5991</v>
      </c>
      <c r="B3629" t="s">
        <v>2999</v>
      </c>
      <c r="C3629" t="s">
        <v>2535</v>
      </c>
      <c r="D3629">
        <v>61130746</v>
      </c>
      <c r="E3629">
        <v>3.38</v>
      </c>
      <c r="F3629">
        <v>6.4</v>
      </c>
    </row>
    <row r="3630" spans="1:6" x14ac:dyDescent="0.3">
      <c r="A3630" t="s">
        <v>5992</v>
      </c>
      <c r="B3630" t="s">
        <v>3472</v>
      </c>
      <c r="C3630" t="s">
        <v>5600</v>
      </c>
      <c r="D3630">
        <v>61131925</v>
      </c>
      <c r="E3630">
        <v>1.93</v>
      </c>
      <c r="F3630">
        <v>6.89</v>
      </c>
    </row>
    <row r="3631" spans="1:6" x14ac:dyDescent="0.3">
      <c r="A3631" t="s">
        <v>5993</v>
      </c>
      <c r="B3631" t="s">
        <v>2462</v>
      </c>
      <c r="C3631" t="s">
        <v>2287</v>
      </c>
      <c r="D3631">
        <v>61132152</v>
      </c>
      <c r="E3631">
        <v>8.36</v>
      </c>
      <c r="F3631">
        <v>6.88</v>
      </c>
    </row>
    <row r="3632" spans="1:6" x14ac:dyDescent="0.3">
      <c r="A3632" t="s">
        <v>5994</v>
      </c>
      <c r="B3632" t="s">
        <v>5995</v>
      </c>
      <c r="C3632" t="s">
        <v>1555</v>
      </c>
      <c r="D3632">
        <v>61132346</v>
      </c>
      <c r="E3632">
        <v>24.37</v>
      </c>
      <c r="F3632">
        <v>6.75</v>
      </c>
    </row>
    <row r="3633" spans="1:6" x14ac:dyDescent="0.3">
      <c r="A3633" t="s">
        <v>5996</v>
      </c>
      <c r="B3633" t="s">
        <v>5997</v>
      </c>
      <c r="C3633" t="s">
        <v>5998</v>
      </c>
      <c r="D3633">
        <v>61133350</v>
      </c>
      <c r="E3633">
        <v>8</v>
      </c>
      <c r="F3633">
        <v>6.13</v>
      </c>
    </row>
    <row r="3634" spans="1:6" x14ac:dyDescent="0.3">
      <c r="A3634" t="s">
        <v>5999</v>
      </c>
      <c r="B3634" t="s">
        <v>3598</v>
      </c>
      <c r="C3634" t="s">
        <v>6000</v>
      </c>
      <c r="D3634">
        <v>61137742</v>
      </c>
      <c r="E3634">
        <v>18.16</v>
      </c>
      <c r="F3634">
        <v>8.2100000000000009</v>
      </c>
    </row>
    <row r="3635" spans="1:6" x14ac:dyDescent="0.3">
      <c r="A3635" t="s">
        <v>6001</v>
      </c>
      <c r="B3635" t="s">
        <v>6002</v>
      </c>
      <c r="C3635" t="s">
        <v>4682</v>
      </c>
      <c r="D3635">
        <v>61139219</v>
      </c>
      <c r="E3635">
        <v>6.58</v>
      </c>
      <c r="F3635">
        <v>6.93</v>
      </c>
    </row>
    <row r="3636" spans="1:6" x14ac:dyDescent="0.3">
      <c r="A3636" t="s">
        <v>6003</v>
      </c>
      <c r="B3636" t="s">
        <v>3495</v>
      </c>
      <c r="C3636" t="s">
        <v>2590</v>
      </c>
      <c r="D3636">
        <v>61151935</v>
      </c>
      <c r="E3636">
        <v>25.17</v>
      </c>
      <c r="F3636">
        <v>7.8</v>
      </c>
    </row>
    <row r="3637" spans="1:6" x14ac:dyDescent="0.3">
      <c r="A3637" t="s">
        <v>6004</v>
      </c>
      <c r="B3637" t="s">
        <v>5107</v>
      </c>
      <c r="C3637" t="s">
        <v>3997</v>
      </c>
      <c r="D3637">
        <v>61156119</v>
      </c>
      <c r="E3637">
        <v>2.42</v>
      </c>
      <c r="F3637">
        <v>5.22</v>
      </c>
    </row>
    <row r="3638" spans="1:6" x14ac:dyDescent="0.3">
      <c r="A3638" t="s">
        <v>6005</v>
      </c>
      <c r="B3638" t="s">
        <v>6006</v>
      </c>
      <c r="C3638" t="s">
        <v>6007</v>
      </c>
      <c r="D3638">
        <v>61156397</v>
      </c>
      <c r="E3638">
        <v>8.33</v>
      </c>
      <c r="F3638">
        <v>4.5</v>
      </c>
    </row>
    <row r="3639" spans="1:6" x14ac:dyDescent="0.3">
      <c r="A3639" t="s">
        <v>6008</v>
      </c>
      <c r="B3639" t="s">
        <v>3880</v>
      </c>
      <c r="C3639" t="s">
        <v>2948</v>
      </c>
      <c r="D3639">
        <v>61159132</v>
      </c>
      <c r="E3639">
        <v>3.82</v>
      </c>
      <c r="F3639">
        <v>5.75</v>
      </c>
    </row>
    <row r="3640" spans="1:6" x14ac:dyDescent="0.3">
      <c r="A3640" t="s">
        <v>6009</v>
      </c>
      <c r="B3640" t="s">
        <v>5654</v>
      </c>
      <c r="C3640" t="s">
        <v>6010</v>
      </c>
      <c r="D3640">
        <v>61164979</v>
      </c>
      <c r="E3640">
        <v>2.66</v>
      </c>
      <c r="F3640">
        <v>6.89</v>
      </c>
    </row>
    <row r="3641" spans="1:6" x14ac:dyDescent="0.3">
      <c r="A3641" t="s">
        <v>1717</v>
      </c>
      <c r="B3641" t="s">
        <v>6011</v>
      </c>
      <c r="C3641" t="s">
        <v>1717</v>
      </c>
      <c r="D3641">
        <v>61168641</v>
      </c>
      <c r="E3641">
        <v>1.23</v>
      </c>
      <c r="F3641">
        <v>6.08</v>
      </c>
    </row>
    <row r="3642" spans="1:6" x14ac:dyDescent="0.3">
      <c r="A3642" t="s">
        <v>6012</v>
      </c>
      <c r="B3642" t="s">
        <v>6013</v>
      </c>
      <c r="C3642" t="s">
        <v>6014</v>
      </c>
      <c r="D3642">
        <v>61184991</v>
      </c>
      <c r="E3642">
        <v>2.96</v>
      </c>
      <c r="F3642">
        <v>6.24</v>
      </c>
    </row>
    <row r="3643" spans="1:6" x14ac:dyDescent="0.3">
      <c r="A3643" t="s">
        <v>6015</v>
      </c>
      <c r="B3643" t="s">
        <v>1691</v>
      </c>
      <c r="C3643" t="s">
        <v>847</v>
      </c>
      <c r="D3643">
        <v>61218838</v>
      </c>
      <c r="E3643">
        <v>3.76</v>
      </c>
      <c r="F3643">
        <v>6.54</v>
      </c>
    </row>
    <row r="3644" spans="1:6" x14ac:dyDescent="0.3">
      <c r="A3644" t="s">
        <v>6016</v>
      </c>
      <c r="B3644" t="s">
        <v>4100</v>
      </c>
      <c r="C3644" t="s">
        <v>6017</v>
      </c>
      <c r="D3644">
        <v>61233006</v>
      </c>
      <c r="E3644">
        <v>3.14</v>
      </c>
      <c r="F3644">
        <v>6.55</v>
      </c>
    </row>
    <row r="3645" spans="1:6" x14ac:dyDescent="0.3">
      <c r="A3645" t="s">
        <v>6018</v>
      </c>
      <c r="B3645" t="s">
        <v>4044</v>
      </c>
      <c r="C3645" t="s">
        <v>1030</v>
      </c>
      <c r="D3645">
        <v>61234515</v>
      </c>
      <c r="E3645">
        <v>9.36</v>
      </c>
      <c r="F3645">
        <v>7.1</v>
      </c>
    </row>
    <row r="3646" spans="1:6" x14ac:dyDescent="0.3">
      <c r="A3646" t="s">
        <v>6019</v>
      </c>
      <c r="B3646" t="s">
        <v>5163</v>
      </c>
      <c r="C3646" t="s">
        <v>6020</v>
      </c>
      <c r="D3646">
        <v>61239231</v>
      </c>
      <c r="E3646">
        <v>3.14</v>
      </c>
      <c r="F3646">
        <v>5.1100000000000003</v>
      </c>
    </row>
    <row r="3647" spans="1:6" x14ac:dyDescent="0.3">
      <c r="A3647" t="s">
        <v>6021</v>
      </c>
      <c r="B3647" t="s">
        <v>5060</v>
      </c>
      <c r="C3647" t="s">
        <v>4766</v>
      </c>
      <c r="D3647">
        <v>61267336</v>
      </c>
      <c r="E3647">
        <v>10.34</v>
      </c>
      <c r="F3647">
        <v>7.15</v>
      </c>
    </row>
    <row r="3648" spans="1:6" x14ac:dyDescent="0.3">
      <c r="A3648" t="s">
        <v>6022</v>
      </c>
      <c r="B3648" t="s">
        <v>4218</v>
      </c>
      <c r="C3648" t="s">
        <v>1467</v>
      </c>
      <c r="D3648">
        <v>61282752</v>
      </c>
      <c r="E3648">
        <v>11.17</v>
      </c>
      <c r="F3648">
        <v>4</v>
      </c>
    </row>
    <row r="3649" spans="1:6" x14ac:dyDescent="0.3">
      <c r="A3649" t="s">
        <v>6023</v>
      </c>
      <c r="B3649" t="s">
        <v>1477</v>
      </c>
      <c r="C3649" t="s">
        <v>1651</v>
      </c>
      <c r="D3649">
        <v>61297761</v>
      </c>
      <c r="E3649">
        <v>5.28</v>
      </c>
      <c r="F3649">
        <v>7.66</v>
      </c>
    </row>
    <row r="3650" spans="1:6" x14ac:dyDescent="0.3">
      <c r="A3650" t="s">
        <v>6024</v>
      </c>
      <c r="B3650" t="s">
        <v>4730</v>
      </c>
      <c r="C3650" t="s">
        <v>2507</v>
      </c>
      <c r="D3650">
        <v>61305181</v>
      </c>
      <c r="E3650">
        <v>13.52</v>
      </c>
      <c r="F3650">
        <v>3.33</v>
      </c>
    </row>
    <row r="3651" spans="1:6" x14ac:dyDescent="0.3">
      <c r="A3651" t="s">
        <v>6025</v>
      </c>
      <c r="B3651" t="s">
        <v>6026</v>
      </c>
      <c r="C3651" t="s">
        <v>6027</v>
      </c>
      <c r="D3651">
        <v>61307738</v>
      </c>
      <c r="E3651">
        <v>3.71</v>
      </c>
      <c r="F3651">
        <v>5.82</v>
      </c>
    </row>
    <row r="3652" spans="1:6" x14ac:dyDescent="0.3">
      <c r="A3652" t="s">
        <v>6028</v>
      </c>
      <c r="B3652" t="s">
        <v>277</v>
      </c>
      <c r="C3652" t="s">
        <v>6029</v>
      </c>
      <c r="D3652">
        <v>61320043</v>
      </c>
      <c r="E3652">
        <v>3</v>
      </c>
      <c r="F3652">
        <v>6.95</v>
      </c>
    </row>
    <row r="3653" spans="1:6" x14ac:dyDescent="0.3">
      <c r="A3653" t="s">
        <v>6030</v>
      </c>
      <c r="B3653" t="s">
        <v>6031</v>
      </c>
      <c r="C3653" t="s">
        <v>6032</v>
      </c>
      <c r="D3653">
        <v>61348317</v>
      </c>
      <c r="E3653">
        <v>1.25</v>
      </c>
      <c r="F3653">
        <v>7.56</v>
      </c>
    </row>
    <row r="3654" spans="1:6" x14ac:dyDescent="0.3">
      <c r="A3654" t="s">
        <v>6033</v>
      </c>
      <c r="B3654" t="s">
        <v>5486</v>
      </c>
      <c r="C3654" t="e">
        <f>-Miami Hotline- Vol.3</f>
        <v>#NAME?</v>
      </c>
      <c r="D3654">
        <v>61350256</v>
      </c>
      <c r="E3654">
        <v>22</v>
      </c>
      <c r="F3654">
        <v>7.5</v>
      </c>
    </row>
    <row r="3655" spans="1:6" x14ac:dyDescent="0.3">
      <c r="A3655" t="s">
        <v>6034</v>
      </c>
      <c r="B3655" t="s">
        <v>6035</v>
      </c>
      <c r="C3655" t="s">
        <v>1355</v>
      </c>
      <c r="D3655">
        <v>61351079</v>
      </c>
      <c r="E3655">
        <v>14.67</v>
      </c>
      <c r="F3655">
        <v>8</v>
      </c>
    </row>
    <row r="3656" spans="1:6" x14ac:dyDescent="0.3">
      <c r="A3656" t="s">
        <v>6036</v>
      </c>
      <c r="B3656" t="s">
        <v>6037</v>
      </c>
      <c r="C3656" t="s">
        <v>2907</v>
      </c>
      <c r="D3656">
        <v>61357205</v>
      </c>
      <c r="E3656">
        <v>4.82</v>
      </c>
      <c r="F3656">
        <v>4.5999999999999996</v>
      </c>
    </row>
    <row r="3657" spans="1:6" x14ac:dyDescent="0.3">
      <c r="A3657" t="s">
        <v>6038</v>
      </c>
      <c r="B3657" t="s">
        <v>3803</v>
      </c>
      <c r="C3657" t="s">
        <v>4411</v>
      </c>
      <c r="D3657">
        <v>61366260</v>
      </c>
      <c r="E3657">
        <v>18.760000000000002</v>
      </c>
      <c r="F3657">
        <v>7.98</v>
      </c>
    </row>
    <row r="3658" spans="1:6" x14ac:dyDescent="0.3">
      <c r="A3658" t="s">
        <v>6039</v>
      </c>
      <c r="B3658" t="s">
        <v>6040</v>
      </c>
      <c r="C3658" t="s">
        <v>6041</v>
      </c>
      <c r="D3658">
        <v>61366470</v>
      </c>
      <c r="E3658">
        <v>30.4</v>
      </c>
      <c r="F3658">
        <v>7.25</v>
      </c>
    </row>
    <row r="3659" spans="1:6" x14ac:dyDescent="0.3">
      <c r="A3659" t="s">
        <v>6042</v>
      </c>
      <c r="B3659" t="s">
        <v>3692</v>
      </c>
      <c r="C3659" t="s">
        <v>5959</v>
      </c>
      <c r="D3659">
        <v>61370333</v>
      </c>
      <c r="E3659">
        <v>4.8499999999999996</v>
      </c>
      <c r="F3659">
        <v>5.94</v>
      </c>
    </row>
    <row r="3660" spans="1:6" x14ac:dyDescent="0.3">
      <c r="A3660" t="s">
        <v>6043</v>
      </c>
      <c r="B3660" t="s">
        <v>3120</v>
      </c>
      <c r="C3660" t="s">
        <v>12</v>
      </c>
      <c r="D3660">
        <v>61417747</v>
      </c>
      <c r="E3660">
        <v>7.39</v>
      </c>
      <c r="F3660">
        <v>5.13</v>
      </c>
    </row>
    <row r="3661" spans="1:6" x14ac:dyDescent="0.3">
      <c r="A3661" t="s">
        <v>6044</v>
      </c>
      <c r="B3661" t="s">
        <v>3255</v>
      </c>
      <c r="C3661" t="s">
        <v>6045</v>
      </c>
      <c r="D3661">
        <v>61417841</v>
      </c>
      <c r="E3661">
        <v>18.21</v>
      </c>
      <c r="F3661">
        <v>7.94</v>
      </c>
    </row>
    <row r="3662" spans="1:6" x14ac:dyDescent="0.3">
      <c r="A3662" t="s">
        <v>6046</v>
      </c>
      <c r="B3662" t="s">
        <v>6047</v>
      </c>
      <c r="C3662" t="s">
        <v>6048</v>
      </c>
      <c r="D3662">
        <v>61444209</v>
      </c>
      <c r="E3662">
        <v>7.45</v>
      </c>
      <c r="F3662">
        <v>7.5</v>
      </c>
    </row>
    <row r="3663" spans="1:6" x14ac:dyDescent="0.3">
      <c r="A3663" t="s">
        <v>6049</v>
      </c>
      <c r="B3663" t="s">
        <v>3944</v>
      </c>
      <c r="C3663" t="s">
        <v>3291</v>
      </c>
      <c r="D3663">
        <v>61456298</v>
      </c>
      <c r="E3663">
        <v>7.8</v>
      </c>
      <c r="F3663">
        <v>6.6</v>
      </c>
    </row>
    <row r="3664" spans="1:6" x14ac:dyDescent="0.3">
      <c r="A3664" t="s">
        <v>6050</v>
      </c>
      <c r="B3664" t="s">
        <v>2624</v>
      </c>
      <c r="C3664" t="s">
        <v>736</v>
      </c>
      <c r="D3664">
        <v>61467876</v>
      </c>
      <c r="E3664">
        <v>4.75</v>
      </c>
      <c r="F3664">
        <v>6.42</v>
      </c>
    </row>
    <row r="3665" spans="1:6" x14ac:dyDescent="0.3">
      <c r="A3665" t="s">
        <v>6051</v>
      </c>
      <c r="B3665" t="s">
        <v>4010</v>
      </c>
      <c r="C3665" t="s">
        <v>707</v>
      </c>
      <c r="D3665">
        <v>61478652</v>
      </c>
      <c r="E3665">
        <v>6.71</v>
      </c>
      <c r="F3665">
        <v>5.6</v>
      </c>
    </row>
    <row r="3666" spans="1:6" x14ac:dyDescent="0.3">
      <c r="A3666" t="s">
        <v>6052</v>
      </c>
      <c r="B3666" t="s">
        <v>6053</v>
      </c>
      <c r="C3666" t="s">
        <v>4986</v>
      </c>
      <c r="D3666">
        <v>61483007</v>
      </c>
      <c r="E3666">
        <v>16.18</v>
      </c>
      <c r="F3666">
        <v>6.09</v>
      </c>
    </row>
    <row r="3667" spans="1:6" x14ac:dyDescent="0.3">
      <c r="A3667" t="s">
        <v>6054</v>
      </c>
      <c r="B3667" t="s">
        <v>968</v>
      </c>
      <c r="C3667" t="s">
        <v>5530</v>
      </c>
      <c r="D3667">
        <v>61490127</v>
      </c>
      <c r="E3667">
        <v>8.4</v>
      </c>
      <c r="F3667">
        <v>7.2</v>
      </c>
    </row>
    <row r="3668" spans="1:6" x14ac:dyDescent="0.3">
      <c r="A3668" t="s">
        <v>6055</v>
      </c>
      <c r="B3668" t="s">
        <v>6056</v>
      </c>
      <c r="C3668" t="s">
        <v>349</v>
      </c>
      <c r="D3668">
        <v>61493110</v>
      </c>
      <c r="E3668">
        <v>17.329999999999998</v>
      </c>
      <c r="F3668">
        <v>7</v>
      </c>
    </row>
    <row r="3669" spans="1:6" x14ac:dyDescent="0.3">
      <c r="A3669" t="s">
        <v>6057</v>
      </c>
      <c r="B3669" t="s">
        <v>1584</v>
      </c>
      <c r="C3669" t="s">
        <v>6058</v>
      </c>
      <c r="D3669">
        <v>61513869</v>
      </c>
      <c r="E3669">
        <v>6.37</v>
      </c>
      <c r="F3669">
        <v>5.78</v>
      </c>
    </row>
    <row r="3670" spans="1:6" x14ac:dyDescent="0.3">
      <c r="A3670" t="s">
        <v>6059</v>
      </c>
      <c r="B3670" t="s">
        <v>3283</v>
      </c>
      <c r="C3670" t="s">
        <v>6060</v>
      </c>
      <c r="D3670">
        <v>61520965</v>
      </c>
      <c r="E3670">
        <v>5.8</v>
      </c>
      <c r="F3670">
        <v>7</v>
      </c>
    </row>
    <row r="3671" spans="1:6" x14ac:dyDescent="0.3">
      <c r="A3671" t="s">
        <v>6061</v>
      </c>
      <c r="B3671" t="s">
        <v>1358</v>
      </c>
      <c r="C3671" t="s">
        <v>1329</v>
      </c>
      <c r="D3671">
        <v>61522604</v>
      </c>
      <c r="E3671">
        <v>1.89</v>
      </c>
      <c r="F3671">
        <v>8.15</v>
      </c>
    </row>
    <row r="3672" spans="1:6" x14ac:dyDescent="0.3">
      <c r="A3672" t="s">
        <v>6062</v>
      </c>
      <c r="B3672" t="s">
        <v>5782</v>
      </c>
      <c r="C3672" t="s">
        <v>6063</v>
      </c>
      <c r="D3672">
        <v>61527354</v>
      </c>
      <c r="E3672">
        <v>3.77</v>
      </c>
      <c r="F3672">
        <v>6.22</v>
      </c>
    </row>
    <row r="3673" spans="1:6" x14ac:dyDescent="0.3">
      <c r="A3673" t="s">
        <v>6064</v>
      </c>
      <c r="B3673" t="s">
        <v>2519</v>
      </c>
      <c r="C3673" t="s">
        <v>2679</v>
      </c>
      <c r="D3673">
        <v>61529436</v>
      </c>
      <c r="E3673">
        <v>18.239999999999998</v>
      </c>
      <c r="F3673">
        <v>6.91</v>
      </c>
    </row>
    <row r="3674" spans="1:6" x14ac:dyDescent="0.3">
      <c r="A3674" t="s">
        <v>6065</v>
      </c>
      <c r="B3674" t="s">
        <v>5616</v>
      </c>
      <c r="C3674" t="s">
        <v>3839</v>
      </c>
      <c r="D3674">
        <v>61531210</v>
      </c>
      <c r="E3674">
        <v>27.21</v>
      </c>
      <c r="F3674">
        <v>5.77</v>
      </c>
    </row>
    <row r="3675" spans="1:6" x14ac:dyDescent="0.3">
      <c r="A3675" t="s">
        <v>6066</v>
      </c>
      <c r="B3675" t="s">
        <v>2892</v>
      </c>
      <c r="C3675" t="s">
        <v>6067</v>
      </c>
      <c r="D3675">
        <v>61535896</v>
      </c>
      <c r="E3675">
        <v>12.5</v>
      </c>
      <c r="F3675">
        <v>5</v>
      </c>
    </row>
    <row r="3676" spans="1:6" x14ac:dyDescent="0.3">
      <c r="A3676" t="s">
        <v>6068</v>
      </c>
      <c r="B3676" t="s">
        <v>192</v>
      </c>
      <c r="C3676" t="s">
        <v>989</v>
      </c>
      <c r="D3676">
        <v>61537537</v>
      </c>
      <c r="E3676">
        <v>20.9</v>
      </c>
      <c r="F3676">
        <v>4.38</v>
      </c>
    </row>
    <row r="3677" spans="1:6" x14ac:dyDescent="0.3">
      <c r="A3677" t="s">
        <v>6069</v>
      </c>
      <c r="B3677" t="s">
        <v>6070</v>
      </c>
      <c r="C3677" t="s">
        <v>2794</v>
      </c>
      <c r="D3677">
        <v>61565852</v>
      </c>
      <c r="E3677">
        <v>12.64</v>
      </c>
      <c r="F3677">
        <v>6.64</v>
      </c>
    </row>
    <row r="3678" spans="1:6" x14ac:dyDescent="0.3">
      <c r="A3678" t="s">
        <v>6071</v>
      </c>
      <c r="B3678" t="s">
        <v>5711</v>
      </c>
      <c r="C3678" t="s">
        <v>6072</v>
      </c>
      <c r="D3678">
        <v>61591522</v>
      </c>
      <c r="E3678">
        <v>23.06</v>
      </c>
      <c r="F3678">
        <v>5.43</v>
      </c>
    </row>
    <row r="3679" spans="1:6" x14ac:dyDescent="0.3">
      <c r="A3679" t="s">
        <v>6073</v>
      </c>
      <c r="B3679" t="s">
        <v>6074</v>
      </c>
      <c r="C3679" t="s">
        <v>4504</v>
      </c>
      <c r="D3679">
        <v>61598653</v>
      </c>
      <c r="E3679">
        <v>31</v>
      </c>
      <c r="F3679">
        <v>9.75</v>
      </c>
    </row>
    <row r="3680" spans="1:6" x14ac:dyDescent="0.3">
      <c r="A3680" t="s">
        <v>6075</v>
      </c>
      <c r="B3680" t="s">
        <v>6076</v>
      </c>
      <c r="C3680" t="s">
        <v>6077</v>
      </c>
      <c r="D3680">
        <v>61603693</v>
      </c>
      <c r="E3680">
        <v>16.8</v>
      </c>
      <c r="F3680">
        <v>6</v>
      </c>
    </row>
    <row r="3681" spans="1:6" x14ac:dyDescent="0.3">
      <c r="A3681" t="s">
        <v>6078</v>
      </c>
      <c r="B3681" t="s">
        <v>6079</v>
      </c>
      <c r="C3681" t="s">
        <v>769</v>
      </c>
      <c r="D3681">
        <v>61607636</v>
      </c>
      <c r="E3681">
        <v>1.9</v>
      </c>
      <c r="F3681">
        <v>6.34</v>
      </c>
    </row>
    <row r="3682" spans="1:6" x14ac:dyDescent="0.3">
      <c r="A3682" t="s">
        <v>6080</v>
      </c>
      <c r="B3682" t="s">
        <v>6081</v>
      </c>
      <c r="C3682" t="s">
        <v>6082</v>
      </c>
      <c r="D3682">
        <v>61608380</v>
      </c>
      <c r="E3682">
        <v>9</v>
      </c>
      <c r="F3682">
        <v>5.67</v>
      </c>
    </row>
    <row r="3683" spans="1:6" x14ac:dyDescent="0.3">
      <c r="A3683" t="s">
        <v>6083</v>
      </c>
      <c r="B3683" t="s">
        <v>4911</v>
      </c>
      <c r="C3683" t="s">
        <v>6084</v>
      </c>
      <c r="D3683">
        <v>61618507</v>
      </c>
      <c r="E3683">
        <v>1.06</v>
      </c>
      <c r="F3683">
        <v>6.79</v>
      </c>
    </row>
    <row r="3684" spans="1:6" x14ac:dyDescent="0.3">
      <c r="A3684" t="s">
        <v>6085</v>
      </c>
      <c r="B3684" t="s">
        <v>4055</v>
      </c>
      <c r="C3684" t="s">
        <v>6086</v>
      </c>
      <c r="D3684">
        <v>61624694</v>
      </c>
      <c r="E3684">
        <v>16</v>
      </c>
      <c r="F3684">
        <v>9.83</v>
      </c>
    </row>
    <row r="3685" spans="1:6" x14ac:dyDescent="0.3">
      <c r="A3685" t="s">
        <v>6087</v>
      </c>
      <c r="B3685" t="s">
        <v>6088</v>
      </c>
      <c r="C3685" t="s">
        <v>6089</v>
      </c>
      <c r="D3685">
        <v>61638215</v>
      </c>
      <c r="E3685">
        <v>3.34</v>
      </c>
      <c r="F3685">
        <v>5.95</v>
      </c>
    </row>
    <row r="3686" spans="1:6" x14ac:dyDescent="0.3">
      <c r="A3686" t="s">
        <v>6090</v>
      </c>
      <c r="B3686" t="s">
        <v>3805</v>
      </c>
      <c r="C3686" t="s">
        <v>6091</v>
      </c>
      <c r="D3686">
        <v>61644725</v>
      </c>
      <c r="E3686">
        <v>20.100000000000001</v>
      </c>
      <c r="F3686">
        <v>3.81</v>
      </c>
    </row>
    <row r="3687" spans="1:6" x14ac:dyDescent="0.3">
      <c r="A3687" t="s">
        <v>6092</v>
      </c>
      <c r="B3687" t="s">
        <v>5570</v>
      </c>
      <c r="C3687" t="s">
        <v>6093</v>
      </c>
      <c r="D3687">
        <v>61651910</v>
      </c>
      <c r="E3687">
        <v>8.25</v>
      </c>
      <c r="F3687">
        <v>6.25</v>
      </c>
    </row>
    <row r="3688" spans="1:6" x14ac:dyDescent="0.3">
      <c r="A3688" t="s">
        <v>6094</v>
      </c>
      <c r="B3688" t="s">
        <v>2519</v>
      </c>
      <c r="C3688" t="s">
        <v>6095</v>
      </c>
      <c r="D3688">
        <v>61654476</v>
      </c>
      <c r="E3688">
        <v>6.7</v>
      </c>
      <c r="F3688">
        <v>6</v>
      </c>
    </row>
    <row r="3689" spans="1:6" x14ac:dyDescent="0.3">
      <c r="A3689" t="s">
        <v>6096</v>
      </c>
      <c r="B3689" t="s">
        <v>6097</v>
      </c>
      <c r="C3689" t="s">
        <v>6098</v>
      </c>
      <c r="D3689">
        <v>61656103</v>
      </c>
      <c r="E3689">
        <v>4.13</v>
      </c>
      <c r="F3689">
        <v>7.73</v>
      </c>
    </row>
    <row r="3690" spans="1:6" x14ac:dyDescent="0.3">
      <c r="A3690" t="s">
        <v>6099</v>
      </c>
      <c r="B3690" t="s">
        <v>6100</v>
      </c>
      <c r="C3690" t="s">
        <v>5489</v>
      </c>
      <c r="D3690">
        <v>61688882</v>
      </c>
      <c r="E3690">
        <v>17.5</v>
      </c>
      <c r="F3690">
        <v>6.33</v>
      </c>
    </row>
    <row r="3691" spans="1:6" x14ac:dyDescent="0.3">
      <c r="A3691" t="s">
        <v>6101</v>
      </c>
      <c r="B3691" t="s">
        <v>6102</v>
      </c>
      <c r="C3691" t="s">
        <v>4489</v>
      </c>
      <c r="D3691">
        <v>61705658</v>
      </c>
      <c r="E3691">
        <v>1.7</v>
      </c>
      <c r="F3691">
        <v>5.74</v>
      </c>
    </row>
    <row r="3692" spans="1:6" x14ac:dyDescent="0.3">
      <c r="A3692" t="s">
        <v>6103</v>
      </c>
      <c r="B3692" t="s">
        <v>3973</v>
      </c>
      <c r="C3692" t="s">
        <v>2347</v>
      </c>
      <c r="D3692">
        <v>61707531</v>
      </c>
      <c r="E3692">
        <v>6.3</v>
      </c>
      <c r="F3692">
        <v>5.88</v>
      </c>
    </row>
    <row r="3693" spans="1:6" x14ac:dyDescent="0.3">
      <c r="A3693" t="s">
        <v>6104</v>
      </c>
      <c r="B3693" t="s">
        <v>6047</v>
      </c>
      <c r="C3693" t="s">
        <v>6105</v>
      </c>
      <c r="D3693">
        <v>61710344</v>
      </c>
      <c r="E3693">
        <v>14.69</v>
      </c>
      <c r="F3693">
        <v>6.37</v>
      </c>
    </row>
    <row r="3694" spans="1:6" x14ac:dyDescent="0.3">
      <c r="A3694" t="s">
        <v>6106</v>
      </c>
      <c r="B3694" t="s">
        <v>2899</v>
      </c>
      <c r="C3694" t="s">
        <v>4228</v>
      </c>
      <c r="D3694">
        <v>61722550</v>
      </c>
      <c r="E3694">
        <v>9.33</v>
      </c>
      <c r="F3694">
        <v>6.6</v>
      </c>
    </row>
    <row r="3695" spans="1:6" x14ac:dyDescent="0.3">
      <c r="A3695" t="s">
        <v>6107</v>
      </c>
      <c r="B3695" t="s">
        <v>5928</v>
      </c>
      <c r="C3695" t="s">
        <v>2938</v>
      </c>
      <c r="D3695">
        <v>61737998</v>
      </c>
      <c r="E3695">
        <v>3.77</v>
      </c>
      <c r="F3695">
        <v>6.02</v>
      </c>
    </row>
    <row r="3696" spans="1:6" x14ac:dyDescent="0.3">
      <c r="A3696" t="s">
        <v>6108</v>
      </c>
      <c r="B3696" t="s">
        <v>4988</v>
      </c>
      <c r="C3696" t="s">
        <v>1300</v>
      </c>
      <c r="D3696">
        <v>61743184</v>
      </c>
      <c r="E3696">
        <v>15.99</v>
      </c>
      <c r="F3696">
        <v>6.36</v>
      </c>
    </row>
    <row r="3697" spans="1:6" x14ac:dyDescent="0.3">
      <c r="A3697" t="s">
        <v>6109</v>
      </c>
      <c r="B3697" t="s">
        <v>4561</v>
      </c>
      <c r="C3697" s="1" t="s">
        <v>5929</v>
      </c>
      <c r="D3697">
        <v>61749328</v>
      </c>
      <c r="E3697">
        <v>3.15</v>
      </c>
      <c r="F3697">
        <v>6</v>
      </c>
    </row>
    <row r="3698" spans="1:6" x14ac:dyDescent="0.3">
      <c r="A3698" t="s">
        <v>6110</v>
      </c>
      <c r="B3698" t="s">
        <v>1083</v>
      </c>
      <c r="C3698" t="s">
        <v>878</v>
      </c>
      <c r="D3698">
        <v>61753017</v>
      </c>
      <c r="E3698">
        <v>3.21</v>
      </c>
      <c r="F3698">
        <v>5.89</v>
      </c>
    </row>
    <row r="3699" spans="1:6" x14ac:dyDescent="0.3">
      <c r="A3699" t="s">
        <v>6111</v>
      </c>
      <c r="B3699" t="s">
        <v>5492</v>
      </c>
      <c r="C3699" t="s">
        <v>1925</v>
      </c>
      <c r="D3699">
        <v>61776726</v>
      </c>
      <c r="E3699">
        <v>2.4</v>
      </c>
      <c r="F3699">
        <v>4.91</v>
      </c>
    </row>
    <row r="3700" spans="1:6" x14ac:dyDescent="0.3">
      <c r="A3700" t="s">
        <v>6112</v>
      </c>
      <c r="B3700" t="s">
        <v>6113</v>
      </c>
      <c r="C3700" t="s">
        <v>5186</v>
      </c>
      <c r="D3700">
        <v>61792235</v>
      </c>
      <c r="E3700">
        <v>5</v>
      </c>
      <c r="F3700">
        <v>5.5</v>
      </c>
    </row>
    <row r="3701" spans="1:6" x14ac:dyDescent="0.3">
      <c r="A3701" t="s">
        <v>6114</v>
      </c>
      <c r="B3701" t="s">
        <v>6115</v>
      </c>
      <c r="C3701" t="s">
        <v>5959</v>
      </c>
      <c r="D3701">
        <v>61797635</v>
      </c>
      <c r="E3701">
        <v>2.71</v>
      </c>
      <c r="F3701">
        <v>6.74</v>
      </c>
    </row>
    <row r="3702" spans="1:6" x14ac:dyDescent="0.3">
      <c r="A3702" t="s">
        <v>6116</v>
      </c>
      <c r="B3702" t="s">
        <v>1110</v>
      </c>
      <c r="C3702" t="s">
        <v>6117</v>
      </c>
      <c r="D3702">
        <v>61799411</v>
      </c>
      <c r="E3702">
        <v>17.73</v>
      </c>
      <c r="F3702">
        <v>7.21</v>
      </c>
    </row>
    <row r="3703" spans="1:6" x14ac:dyDescent="0.3">
      <c r="A3703" t="s">
        <v>6118</v>
      </c>
      <c r="B3703" t="s">
        <v>6119</v>
      </c>
      <c r="C3703" t="s">
        <v>2295</v>
      </c>
      <c r="D3703">
        <v>61817096</v>
      </c>
      <c r="E3703">
        <v>2.81</v>
      </c>
      <c r="F3703">
        <v>6.63</v>
      </c>
    </row>
    <row r="3704" spans="1:6" x14ac:dyDescent="0.3">
      <c r="A3704" t="s">
        <v>6120</v>
      </c>
      <c r="B3704" t="s">
        <v>6121</v>
      </c>
      <c r="C3704" t="s">
        <v>4776</v>
      </c>
      <c r="D3704">
        <v>61823101</v>
      </c>
      <c r="E3704">
        <v>2.72</v>
      </c>
      <c r="F3704">
        <v>5.45</v>
      </c>
    </row>
    <row r="3705" spans="1:6" x14ac:dyDescent="0.3">
      <c r="A3705" t="s">
        <v>6122</v>
      </c>
      <c r="B3705" t="s">
        <v>5554</v>
      </c>
      <c r="C3705" t="s">
        <v>4902</v>
      </c>
      <c r="D3705">
        <v>61852385</v>
      </c>
      <c r="E3705">
        <v>11.75</v>
      </c>
      <c r="F3705">
        <v>7</v>
      </c>
    </row>
    <row r="3706" spans="1:6" x14ac:dyDescent="0.3">
      <c r="A3706" t="s">
        <v>6123</v>
      </c>
      <c r="B3706" t="s">
        <v>6124</v>
      </c>
      <c r="C3706" t="s">
        <v>6091</v>
      </c>
      <c r="D3706">
        <v>61852507</v>
      </c>
      <c r="E3706">
        <v>3.06</v>
      </c>
      <c r="F3706">
        <v>6</v>
      </c>
    </row>
    <row r="3707" spans="1:6" x14ac:dyDescent="0.3">
      <c r="A3707" t="s">
        <v>6125</v>
      </c>
      <c r="B3707" t="s">
        <v>6126</v>
      </c>
      <c r="C3707" t="s">
        <v>4972</v>
      </c>
      <c r="D3707">
        <v>61854281</v>
      </c>
      <c r="E3707">
        <v>9.73</v>
      </c>
      <c r="F3707">
        <v>7.33</v>
      </c>
    </row>
    <row r="3708" spans="1:6" x14ac:dyDescent="0.3">
      <c r="A3708" t="s">
        <v>6127</v>
      </c>
      <c r="B3708" t="s">
        <v>6128</v>
      </c>
      <c r="C3708" t="s">
        <v>1062</v>
      </c>
      <c r="D3708">
        <v>61878155</v>
      </c>
      <c r="E3708">
        <v>1.74</v>
      </c>
      <c r="F3708">
        <v>7.05</v>
      </c>
    </row>
    <row r="3709" spans="1:6" x14ac:dyDescent="0.3">
      <c r="A3709" t="s">
        <v>6129</v>
      </c>
      <c r="B3709" t="s">
        <v>6130</v>
      </c>
      <c r="C3709" t="s">
        <v>6131</v>
      </c>
      <c r="D3709">
        <v>61881279</v>
      </c>
      <c r="E3709">
        <v>5.81</v>
      </c>
      <c r="F3709">
        <v>8.3000000000000007</v>
      </c>
    </row>
    <row r="3710" spans="1:6" x14ac:dyDescent="0.3">
      <c r="A3710" t="s">
        <v>6132</v>
      </c>
      <c r="B3710" t="s">
        <v>6133</v>
      </c>
      <c r="C3710" t="s">
        <v>6134</v>
      </c>
      <c r="D3710">
        <v>61890877</v>
      </c>
      <c r="E3710">
        <v>26</v>
      </c>
      <c r="F3710">
        <v>6.5</v>
      </c>
    </row>
    <row r="3711" spans="1:6" x14ac:dyDescent="0.3">
      <c r="A3711" t="s">
        <v>6135</v>
      </c>
      <c r="B3711" t="s">
        <v>6102</v>
      </c>
      <c r="C3711" t="s">
        <v>3557</v>
      </c>
      <c r="D3711">
        <v>61899248</v>
      </c>
      <c r="E3711">
        <v>5.92</v>
      </c>
      <c r="F3711">
        <v>6.52</v>
      </c>
    </row>
    <row r="3712" spans="1:6" x14ac:dyDescent="0.3">
      <c r="A3712" t="s">
        <v>6136</v>
      </c>
      <c r="B3712" t="s">
        <v>2756</v>
      </c>
      <c r="C3712" t="s">
        <v>5635</v>
      </c>
      <c r="D3712">
        <v>61910810</v>
      </c>
      <c r="E3712">
        <v>20.87</v>
      </c>
      <c r="F3712">
        <v>5.67</v>
      </c>
    </row>
    <row r="3713" spans="1:6" x14ac:dyDescent="0.3">
      <c r="A3713" t="s">
        <v>6137</v>
      </c>
      <c r="B3713" t="s">
        <v>6138</v>
      </c>
      <c r="C3713" t="s">
        <v>6139</v>
      </c>
      <c r="D3713">
        <v>61913580</v>
      </c>
      <c r="E3713">
        <v>4.1500000000000004</v>
      </c>
      <c r="F3713">
        <v>4.9400000000000004</v>
      </c>
    </row>
    <row r="3714" spans="1:6" x14ac:dyDescent="0.3">
      <c r="A3714" t="s">
        <v>6140</v>
      </c>
      <c r="B3714" t="s">
        <v>3864</v>
      </c>
      <c r="C3714" t="s">
        <v>3696</v>
      </c>
      <c r="D3714">
        <v>61924175</v>
      </c>
      <c r="E3714">
        <v>2.89</v>
      </c>
      <c r="F3714">
        <v>7.27</v>
      </c>
    </row>
    <row r="3715" spans="1:6" x14ac:dyDescent="0.3">
      <c r="A3715" t="s">
        <v>6141</v>
      </c>
      <c r="B3715" t="s">
        <v>2843</v>
      </c>
      <c r="C3715" t="s">
        <v>6142</v>
      </c>
      <c r="D3715">
        <v>61927721</v>
      </c>
      <c r="E3715">
        <v>8.44</v>
      </c>
      <c r="F3715">
        <v>5.57</v>
      </c>
    </row>
    <row r="3716" spans="1:6" x14ac:dyDescent="0.3">
      <c r="A3716" t="s">
        <v>6143</v>
      </c>
      <c r="B3716" t="s">
        <v>3538</v>
      </c>
      <c r="C3716" t="s">
        <v>1531</v>
      </c>
      <c r="D3716">
        <v>61936205</v>
      </c>
      <c r="E3716">
        <v>20.350000000000001</v>
      </c>
      <c r="F3716">
        <v>8.48</v>
      </c>
    </row>
    <row r="3717" spans="1:6" x14ac:dyDescent="0.3">
      <c r="A3717" t="s">
        <v>6144</v>
      </c>
      <c r="B3717" t="s">
        <v>6145</v>
      </c>
      <c r="C3717" t="s">
        <v>3551</v>
      </c>
      <c r="D3717">
        <v>61947309</v>
      </c>
      <c r="E3717">
        <v>3.58</v>
      </c>
      <c r="F3717">
        <v>7.56</v>
      </c>
    </row>
    <row r="3718" spans="1:6" x14ac:dyDescent="0.3">
      <c r="A3718" t="s">
        <v>6146</v>
      </c>
      <c r="B3718" t="s">
        <v>3609</v>
      </c>
      <c r="C3718" t="s">
        <v>3801</v>
      </c>
      <c r="D3718">
        <v>61953375</v>
      </c>
      <c r="E3718">
        <v>1.93</v>
      </c>
      <c r="F3718">
        <v>6.91</v>
      </c>
    </row>
    <row r="3719" spans="1:6" x14ac:dyDescent="0.3">
      <c r="A3719" t="s">
        <v>6147</v>
      </c>
      <c r="B3719" t="s">
        <v>6148</v>
      </c>
      <c r="C3719" t="s">
        <v>6149</v>
      </c>
      <c r="D3719">
        <v>61958177</v>
      </c>
      <c r="E3719">
        <v>4.17</v>
      </c>
      <c r="F3719">
        <v>6.17</v>
      </c>
    </row>
    <row r="3720" spans="1:6" x14ac:dyDescent="0.3">
      <c r="A3720" t="s">
        <v>6150</v>
      </c>
      <c r="B3720" t="s">
        <v>6151</v>
      </c>
      <c r="C3720" t="s">
        <v>6152</v>
      </c>
      <c r="D3720">
        <v>61958738</v>
      </c>
      <c r="E3720">
        <v>1.64</v>
      </c>
      <c r="F3720">
        <v>6.47</v>
      </c>
    </row>
    <row r="3721" spans="1:6" x14ac:dyDescent="0.3">
      <c r="A3721" t="s">
        <v>6153</v>
      </c>
      <c r="B3721" t="s">
        <v>6154</v>
      </c>
      <c r="C3721" t="s">
        <v>6155</v>
      </c>
      <c r="D3721">
        <v>61960823</v>
      </c>
      <c r="E3721">
        <v>5.75</v>
      </c>
      <c r="F3721">
        <v>6.33</v>
      </c>
    </row>
    <row r="3722" spans="1:6" x14ac:dyDescent="0.3">
      <c r="A3722" t="s">
        <v>6156</v>
      </c>
      <c r="B3722" t="s">
        <v>6157</v>
      </c>
      <c r="C3722" t="s">
        <v>5742</v>
      </c>
      <c r="D3722">
        <v>61966306</v>
      </c>
      <c r="E3722">
        <v>2.2400000000000002</v>
      </c>
      <c r="F3722">
        <v>6.46</v>
      </c>
    </row>
    <row r="3723" spans="1:6" x14ac:dyDescent="0.3">
      <c r="A3723" t="s">
        <v>6158</v>
      </c>
      <c r="B3723" t="s">
        <v>5238</v>
      </c>
      <c r="C3723" t="s">
        <v>6159</v>
      </c>
      <c r="D3723">
        <v>61972018</v>
      </c>
      <c r="E3723">
        <v>4</v>
      </c>
      <c r="F3723">
        <v>7.18</v>
      </c>
    </row>
    <row r="3724" spans="1:6" x14ac:dyDescent="0.3">
      <c r="A3724" t="s">
        <v>6160</v>
      </c>
      <c r="B3724" t="s">
        <v>58</v>
      </c>
      <c r="C3724" t="s">
        <v>6161</v>
      </c>
      <c r="D3724">
        <v>61972363</v>
      </c>
      <c r="E3724">
        <v>2.0099999999999998</v>
      </c>
      <c r="F3724">
        <v>6.47</v>
      </c>
    </row>
    <row r="3725" spans="1:6" x14ac:dyDescent="0.3">
      <c r="A3725" t="s">
        <v>6162</v>
      </c>
      <c r="B3725" t="s">
        <v>6133</v>
      </c>
      <c r="C3725" t="s">
        <v>4986</v>
      </c>
      <c r="D3725">
        <v>61974149</v>
      </c>
      <c r="E3725">
        <v>17.3</v>
      </c>
      <c r="F3725">
        <v>7.27</v>
      </c>
    </row>
    <row r="3726" spans="1:6" x14ac:dyDescent="0.3">
      <c r="A3726" t="s">
        <v>6163</v>
      </c>
      <c r="B3726" t="s">
        <v>1605</v>
      </c>
      <c r="C3726" t="s">
        <v>1850</v>
      </c>
      <c r="D3726">
        <v>61974257</v>
      </c>
      <c r="E3726">
        <v>16.37</v>
      </c>
      <c r="F3726">
        <v>7.57</v>
      </c>
    </row>
    <row r="3727" spans="1:6" x14ac:dyDescent="0.3">
      <c r="A3727" t="s">
        <v>6164</v>
      </c>
      <c r="B3727" t="s">
        <v>5143</v>
      </c>
      <c r="C3727" t="s">
        <v>6165</v>
      </c>
      <c r="D3727">
        <v>61997741</v>
      </c>
      <c r="E3727">
        <v>24.25</v>
      </c>
      <c r="F3727">
        <v>7.31</v>
      </c>
    </row>
    <row r="3728" spans="1:6" x14ac:dyDescent="0.3">
      <c r="A3728" t="s">
        <v>6166</v>
      </c>
      <c r="B3728" t="s">
        <v>6102</v>
      </c>
      <c r="C3728" t="s">
        <v>6167</v>
      </c>
      <c r="D3728">
        <v>62013727</v>
      </c>
      <c r="E3728">
        <v>1.83</v>
      </c>
      <c r="F3728">
        <v>6.12</v>
      </c>
    </row>
    <row r="3729" spans="1:6" x14ac:dyDescent="0.3">
      <c r="A3729" t="s">
        <v>6168</v>
      </c>
      <c r="B3729" t="s">
        <v>2612</v>
      </c>
      <c r="C3729" t="s">
        <v>3039</v>
      </c>
      <c r="D3729">
        <v>62014477</v>
      </c>
      <c r="E3729">
        <v>2.93</v>
      </c>
      <c r="F3729">
        <v>6.86</v>
      </c>
    </row>
    <row r="3730" spans="1:6" x14ac:dyDescent="0.3">
      <c r="A3730" t="s">
        <v>6169</v>
      </c>
      <c r="B3730" t="s">
        <v>5484</v>
      </c>
      <c r="C3730" t="s">
        <v>3696</v>
      </c>
      <c r="D3730">
        <v>62016496</v>
      </c>
      <c r="E3730">
        <v>16.75</v>
      </c>
      <c r="F3730">
        <v>6</v>
      </c>
    </row>
    <row r="3731" spans="1:6" x14ac:dyDescent="0.3">
      <c r="A3731" t="s">
        <v>6170</v>
      </c>
      <c r="B3731" t="s">
        <v>4115</v>
      </c>
      <c r="C3731" t="s">
        <v>2979</v>
      </c>
      <c r="D3731">
        <v>62018521</v>
      </c>
      <c r="E3731">
        <v>7.83</v>
      </c>
      <c r="F3731">
        <v>7.25</v>
      </c>
    </row>
    <row r="3732" spans="1:6" x14ac:dyDescent="0.3">
      <c r="A3732" t="s">
        <v>738</v>
      </c>
      <c r="B3732" t="s">
        <v>6171</v>
      </c>
      <c r="C3732" t="s">
        <v>739</v>
      </c>
      <c r="D3732">
        <v>62024889</v>
      </c>
      <c r="E3732">
        <v>3.26</v>
      </c>
      <c r="F3732">
        <v>6.56</v>
      </c>
    </row>
    <row r="3733" spans="1:6" x14ac:dyDescent="0.3">
      <c r="A3733" t="s">
        <v>6172</v>
      </c>
      <c r="B3733" t="s">
        <v>88</v>
      </c>
      <c r="C3733" t="s">
        <v>6173</v>
      </c>
      <c r="D3733">
        <v>62026882</v>
      </c>
      <c r="E3733">
        <v>15.7</v>
      </c>
      <c r="F3733">
        <v>8.11</v>
      </c>
    </row>
    <row r="3734" spans="1:6" x14ac:dyDescent="0.3">
      <c r="A3734" t="s">
        <v>6174</v>
      </c>
      <c r="B3734" t="s">
        <v>3189</v>
      </c>
      <c r="C3734" t="s">
        <v>6175</v>
      </c>
      <c r="D3734">
        <v>62028241</v>
      </c>
      <c r="E3734">
        <v>13</v>
      </c>
      <c r="F3734">
        <v>8.15</v>
      </c>
    </row>
    <row r="3735" spans="1:6" x14ac:dyDescent="0.3">
      <c r="A3735" t="s">
        <v>6176</v>
      </c>
      <c r="B3735" t="s">
        <v>4078</v>
      </c>
      <c r="C3735" t="s">
        <v>6177</v>
      </c>
      <c r="D3735">
        <v>62040387</v>
      </c>
      <c r="E3735">
        <v>18.8</v>
      </c>
      <c r="F3735">
        <v>6.2</v>
      </c>
    </row>
    <row r="3736" spans="1:6" x14ac:dyDescent="0.3">
      <c r="A3736" t="s">
        <v>6178</v>
      </c>
      <c r="B3736" t="s">
        <v>4662</v>
      </c>
      <c r="C3736" t="s">
        <v>718</v>
      </c>
      <c r="D3736">
        <v>62052640</v>
      </c>
      <c r="E3736">
        <v>14</v>
      </c>
      <c r="F3736">
        <v>6.5</v>
      </c>
    </row>
    <row r="3737" spans="1:6" x14ac:dyDescent="0.3">
      <c r="A3737" t="s">
        <v>6179</v>
      </c>
      <c r="B3737" t="s">
        <v>3944</v>
      </c>
      <c r="C3737" t="s">
        <v>65</v>
      </c>
      <c r="D3737">
        <v>62067918</v>
      </c>
      <c r="E3737">
        <v>3.85</v>
      </c>
      <c r="F3737">
        <v>5.33</v>
      </c>
    </row>
    <row r="3738" spans="1:6" x14ac:dyDescent="0.3">
      <c r="A3738" t="s">
        <v>6180</v>
      </c>
      <c r="B3738" t="s">
        <v>4843</v>
      </c>
      <c r="C3738" t="s">
        <v>1165</v>
      </c>
      <c r="D3738">
        <v>62072176</v>
      </c>
      <c r="E3738">
        <v>12.6</v>
      </c>
      <c r="F3738">
        <v>7.11</v>
      </c>
    </row>
    <row r="3739" spans="1:6" x14ac:dyDescent="0.3">
      <c r="A3739" t="s">
        <v>6181</v>
      </c>
      <c r="B3739" t="s">
        <v>2362</v>
      </c>
      <c r="C3739" t="s">
        <v>4667</v>
      </c>
      <c r="D3739">
        <v>62076828</v>
      </c>
      <c r="E3739">
        <v>8</v>
      </c>
      <c r="F3739">
        <v>6.5</v>
      </c>
    </row>
    <row r="3740" spans="1:6" x14ac:dyDescent="0.3">
      <c r="A3740" t="s">
        <v>6182</v>
      </c>
      <c r="B3740" t="s">
        <v>2798</v>
      </c>
      <c r="C3740" t="s">
        <v>1689</v>
      </c>
      <c r="D3740">
        <v>62077194</v>
      </c>
      <c r="E3740">
        <v>15</v>
      </c>
      <c r="F3740">
        <v>6.59</v>
      </c>
    </row>
    <row r="3741" spans="1:6" x14ac:dyDescent="0.3">
      <c r="A3741" t="s">
        <v>738</v>
      </c>
      <c r="B3741" t="s">
        <v>3238</v>
      </c>
      <c r="C3741" t="s">
        <v>739</v>
      </c>
      <c r="D3741">
        <v>62088344</v>
      </c>
      <c r="E3741">
        <v>3.8</v>
      </c>
      <c r="F3741">
        <v>6.43</v>
      </c>
    </row>
    <row r="3742" spans="1:6" x14ac:dyDescent="0.3">
      <c r="A3742" t="s">
        <v>6183</v>
      </c>
      <c r="B3742" t="s">
        <v>2899</v>
      </c>
      <c r="C3742" t="s">
        <v>1103</v>
      </c>
      <c r="D3742">
        <v>62100870</v>
      </c>
      <c r="E3742">
        <v>25</v>
      </c>
      <c r="F3742">
        <v>5.4</v>
      </c>
    </row>
    <row r="3743" spans="1:6" x14ac:dyDescent="0.3">
      <c r="A3743" t="s">
        <v>6184</v>
      </c>
      <c r="B3743" t="s">
        <v>712</v>
      </c>
      <c r="C3743" t="s">
        <v>5219</v>
      </c>
      <c r="D3743">
        <v>62119245</v>
      </c>
      <c r="E3743">
        <v>28</v>
      </c>
      <c r="F3743">
        <v>7.75</v>
      </c>
    </row>
    <row r="3744" spans="1:6" x14ac:dyDescent="0.3">
      <c r="A3744" t="s">
        <v>6185</v>
      </c>
      <c r="B3744" t="s">
        <v>3255</v>
      </c>
      <c r="C3744" t="s">
        <v>4003</v>
      </c>
      <c r="D3744">
        <v>62120180</v>
      </c>
      <c r="E3744">
        <v>6.2</v>
      </c>
      <c r="F3744">
        <v>8.5</v>
      </c>
    </row>
    <row r="3745" spans="1:6" x14ac:dyDescent="0.3">
      <c r="A3745" t="s">
        <v>6186</v>
      </c>
      <c r="B3745" t="s">
        <v>6187</v>
      </c>
      <c r="C3745" t="s">
        <v>771</v>
      </c>
      <c r="D3745">
        <v>62133870</v>
      </c>
      <c r="E3745">
        <v>7.23</v>
      </c>
      <c r="F3745">
        <v>5.5</v>
      </c>
    </row>
    <row r="3746" spans="1:6" x14ac:dyDescent="0.3">
      <c r="A3746" t="s">
        <v>6188</v>
      </c>
      <c r="B3746" t="s">
        <v>6189</v>
      </c>
      <c r="C3746" t="s">
        <v>5904</v>
      </c>
      <c r="D3746">
        <v>62136907</v>
      </c>
      <c r="E3746">
        <v>7.56</v>
      </c>
      <c r="F3746">
        <v>5.67</v>
      </c>
    </row>
    <row r="3747" spans="1:6" x14ac:dyDescent="0.3">
      <c r="A3747" t="s">
        <v>6190</v>
      </c>
      <c r="B3747" t="s">
        <v>1554</v>
      </c>
      <c r="C3747" t="s">
        <v>1934</v>
      </c>
      <c r="D3747">
        <v>62138313</v>
      </c>
      <c r="E3747">
        <v>30.67</v>
      </c>
      <c r="F3747">
        <v>7</v>
      </c>
    </row>
    <row r="3748" spans="1:6" x14ac:dyDescent="0.3">
      <c r="A3748" t="s">
        <v>6191</v>
      </c>
      <c r="B3748" t="s">
        <v>1863</v>
      </c>
      <c r="C3748" t="s">
        <v>969</v>
      </c>
      <c r="D3748">
        <v>62140642</v>
      </c>
      <c r="E3748">
        <v>5.12</v>
      </c>
      <c r="F3748">
        <v>7.26</v>
      </c>
    </row>
    <row r="3749" spans="1:6" x14ac:dyDescent="0.3">
      <c r="A3749" t="s">
        <v>6192</v>
      </c>
      <c r="B3749" t="s">
        <v>2284</v>
      </c>
      <c r="C3749" t="s">
        <v>6193</v>
      </c>
      <c r="D3749">
        <v>62148167</v>
      </c>
      <c r="E3749">
        <v>14.33</v>
      </c>
      <c r="F3749">
        <v>7.33</v>
      </c>
    </row>
    <row r="3750" spans="1:6" x14ac:dyDescent="0.3">
      <c r="A3750" t="s">
        <v>6194</v>
      </c>
      <c r="B3750" t="s">
        <v>6195</v>
      </c>
      <c r="C3750" t="s">
        <v>6196</v>
      </c>
      <c r="D3750">
        <v>62151546</v>
      </c>
      <c r="E3750">
        <v>22.36</v>
      </c>
      <c r="F3750">
        <v>4.5999999999999996</v>
      </c>
    </row>
    <row r="3751" spans="1:6" x14ac:dyDescent="0.3">
      <c r="A3751" t="s">
        <v>6197</v>
      </c>
      <c r="B3751" t="s">
        <v>6102</v>
      </c>
      <c r="C3751" t="s">
        <v>5906</v>
      </c>
      <c r="D3751">
        <v>62173396</v>
      </c>
      <c r="E3751">
        <v>2.92</v>
      </c>
      <c r="F3751">
        <v>6.94</v>
      </c>
    </row>
    <row r="3752" spans="1:6" x14ac:dyDescent="0.3">
      <c r="A3752" t="s">
        <v>6198</v>
      </c>
      <c r="B3752" t="s">
        <v>3181</v>
      </c>
      <c r="C3752" t="s">
        <v>4788</v>
      </c>
      <c r="D3752">
        <v>62195944</v>
      </c>
      <c r="E3752">
        <v>7.01</v>
      </c>
      <c r="F3752">
        <v>7.18</v>
      </c>
    </row>
    <row r="3753" spans="1:6" x14ac:dyDescent="0.3">
      <c r="A3753" t="s">
        <v>6199</v>
      </c>
      <c r="B3753" t="s">
        <v>6200</v>
      </c>
      <c r="C3753" t="s">
        <v>2224</v>
      </c>
      <c r="D3753">
        <v>62200114</v>
      </c>
      <c r="E3753">
        <v>8.67</v>
      </c>
      <c r="F3753">
        <v>7</v>
      </c>
    </row>
    <row r="3754" spans="1:6" x14ac:dyDescent="0.3">
      <c r="A3754" t="s">
        <v>6201</v>
      </c>
      <c r="B3754" t="s">
        <v>6202</v>
      </c>
      <c r="C3754" t="s">
        <v>878</v>
      </c>
      <c r="D3754">
        <v>62202760</v>
      </c>
      <c r="E3754">
        <v>2.86</v>
      </c>
      <c r="F3754">
        <v>6.92</v>
      </c>
    </row>
    <row r="3755" spans="1:6" x14ac:dyDescent="0.3">
      <c r="A3755" t="s">
        <v>5695</v>
      </c>
      <c r="B3755" t="s">
        <v>3120</v>
      </c>
      <c r="C3755" t="s">
        <v>767</v>
      </c>
      <c r="D3755">
        <v>62214792</v>
      </c>
      <c r="E3755">
        <v>20.81</v>
      </c>
      <c r="F3755">
        <v>5.89</v>
      </c>
    </row>
    <row r="3756" spans="1:6" x14ac:dyDescent="0.3">
      <c r="A3756" t="s">
        <v>6203</v>
      </c>
      <c r="B3756" t="s">
        <v>6204</v>
      </c>
      <c r="C3756" t="s">
        <v>3706</v>
      </c>
      <c r="D3756">
        <v>62216283</v>
      </c>
      <c r="E3756">
        <v>15.57</v>
      </c>
      <c r="F3756">
        <v>6.73</v>
      </c>
    </row>
    <row r="3757" spans="1:6" x14ac:dyDescent="0.3">
      <c r="A3757" t="s">
        <v>6205</v>
      </c>
      <c r="B3757" t="s">
        <v>6002</v>
      </c>
      <c r="C3757" t="s">
        <v>1087</v>
      </c>
      <c r="D3757">
        <v>62218969</v>
      </c>
      <c r="E3757">
        <v>6</v>
      </c>
      <c r="F3757">
        <v>6</v>
      </c>
    </row>
    <row r="3758" spans="1:6" x14ac:dyDescent="0.3">
      <c r="A3758" t="s">
        <v>6206</v>
      </c>
      <c r="B3758" t="s">
        <v>6207</v>
      </c>
      <c r="C3758" t="s">
        <v>4986</v>
      </c>
      <c r="D3758">
        <v>62225875</v>
      </c>
      <c r="E3758">
        <v>4.82</v>
      </c>
      <c r="F3758">
        <v>6.29</v>
      </c>
    </row>
    <row r="3759" spans="1:6" x14ac:dyDescent="0.3">
      <c r="A3759" t="s">
        <v>6208</v>
      </c>
      <c r="B3759" t="s">
        <v>5051</v>
      </c>
      <c r="C3759" t="s">
        <v>2970</v>
      </c>
      <c r="D3759">
        <v>62242123</v>
      </c>
      <c r="E3759">
        <v>18.399999999999999</v>
      </c>
      <c r="F3759">
        <v>6.4</v>
      </c>
    </row>
    <row r="3760" spans="1:6" x14ac:dyDescent="0.3">
      <c r="A3760" t="s">
        <v>6209</v>
      </c>
      <c r="B3760" t="s">
        <v>6210</v>
      </c>
      <c r="C3760" t="s">
        <v>2295</v>
      </c>
      <c r="D3760">
        <v>62258138</v>
      </c>
      <c r="E3760">
        <v>5.92</v>
      </c>
      <c r="F3760">
        <v>7.2</v>
      </c>
    </row>
    <row r="3761" spans="1:6" x14ac:dyDescent="0.3">
      <c r="A3761" t="s">
        <v>6211</v>
      </c>
      <c r="B3761" t="s">
        <v>4960</v>
      </c>
      <c r="C3761" t="s">
        <v>4665</v>
      </c>
      <c r="D3761">
        <v>62264495</v>
      </c>
      <c r="E3761">
        <v>2.78</v>
      </c>
      <c r="F3761">
        <v>6.23</v>
      </c>
    </row>
    <row r="3762" spans="1:6" x14ac:dyDescent="0.3">
      <c r="A3762" t="s">
        <v>6212</v>
      </c>
      <c r="B3762" t="s">
        <v>2899</v>
      </c>
      <c r="C3762" t="s">
        <v>2112</v>
      </c>
      <c r="D3762">
        <v>62272735</v>
      </c>
      <c r="E3762">
        <v>4.12</v>
      </c>
      <c r="F3762">
        <v>6.15</v>
      </c>
    </row>
    <row r="3763" spans="1:6" x14ac:dyDescent="0.3">
      <c r="A3763" t="s">
        <v>6213</v>
      </c>
      <c r="B3763" t="s">
        <v>6070</v>
      </c>
      <c r="C3763" t="s">
        <v>3548</v>
      </c>
      <c r="D3763">
        <v>62279521</v>
      </c>
      <c r="E3763">
        <v>6.71</v>
      </c>
      <c r="F3763">
        <v>6.5</v>
      </c>
    </row>
    <row r="3764" spans="1:6" x14ac:dyDescent="0.3">
      <c r="A3764" t="s">
        <v>6214</v>
      </c>
      <c r="B3764" t="s">
        <v>3512</v>
      </c>
      <c r="C3764" t="s">
        <v>5003</v>
      </c>
      <c r="D3764">
        <v>62280618</v>
      </c>
      <c r="E3764">
        <v>6.29</v>
      </c>
      <c r="F3764">
        <v>6.5</v>
      </c>
    </row>
    <row r="3765" spans="1:6" x14ac:dyDescent="0.3">
      <c r="A3765" t="s">
        <v>6215</v>
      </c>
      <c r="B3765" t="s">
        <v>5006</v>
      </c>
      <c r="C3765" t="s">
        <v>6216</v>
      </c>
      <c r="D3765">
        <v>62280843</v>
      </c>
      <c r="E3765">
        <v>3.25</v>
      </c>
      <c r="F3765">
        <v>6.06</v>
      </c>
    </row>
    <row r="3766" spans="1:6" x14ac:dyDescent="0.3">
      <c r="A3766" t="s">
        <v>6217</v>
      </c>
      <c r="B3766" t="s">
        <v>6102</v>
      </c>
      <c r="C3766" t="s">
        <v>932</v>
      </c>
      <c r="D3766">
        <v>62282482</v>
      </c>
      <c r="E3766">
        <v>15.42</v>
      </c>
      <c r="F3766">
        <v>3.73</v>
      </c>
    </row>
    <row r="3767" spans="1:6" x14ac:dyDescent="0.3">
      <c r="A3767" t="s">
        <v>6218</v>
      </c>
      <c r="B3767" t="s">
        <v>6079</v>
      </c>
      <c r="C3767" t="s">
        <v>5555</v>
      </c>
      <c r="D3767">
        <v>62285738</v>
      </c>
      <c r="E3767">
        <v>13.08</v>
      </c>
      <c r="F3767">
        <v>6.9</v>
      </c>
    </row>
    <row r="3768" spans="1:6" x14ac:dyDescent="0.3">
      <c r="A3768" t="s">
        <v>6219</v>
      </c>
      <c r="B3768" t="s">
        <v>6220</v>
      </c>
      <c r="C3768" t="s">
        <v>6221</v>
      </c>
      <c r="D3768">
        <v>62294737</v>
      </c>
      <c r="E3768">
        <v>3.49</v>
      </c>
      <c r="F3768">
        <v>7</v>
      </c>
    </row>
    <row r="3769" spans="1:6" x14ac:dyDescent="0.3">
      <c r="A3769" t="s">
        <v>6222</v>
      </c>
      <c r="B3769" t="s">
        <v>5760</v>
      </c>
      <c r="C3769" t="s">
        <v>6223</v>
      </c>
      <c r="D3769">
        <v>62305536</v>
      </c>
      <c r="E3769">
        <v>6.01</v>
      </c>
      <c r="F3769">
        <v>7.85</v>
      </c>
    </row>
    <row r="3770" spans="1:6" x14ac:dyDescent="0.3">
      <c r="A3770" t="s">
        <v>6224</v>
      </c>
      <c r="B3770" t="s">
        <v>5060</v>
      </c>
      <c r="C3770" t="s">
        <v>6224</v>
      </c>
      <c r="D3770">
        <v>62305972</v>
      </c>
      <c r="E3770">
        <v>11.73</v>
      </c>
      <c r="F3770">
        <v>7.56</v>
      </c>
    </row>
    <row r="3771" spans="1:6" x14ac:dyDescent="0.3">
      <c r="A3771" t="s">
        <v>6225</v>
      </c>
      <c r="B3771" t="s">
        <v>6226</v>
      </c>
      <c r="C3771" t="s">
        <v>5959</v>
      </c>
      <c r="D3771">
        <v>62307519</v>
      </c>
      <c r="E3771">
        <v>9.2799999999999994</v>
      </c>
      <c r="F3771">
        <v>6.76</v>
      </c>
    </row>
    <row r="3772" spans="1:6" x14ac:dyDescent="0.3">
      <c r="A3772" t="s">
        <v>6227</v>
      </c>
      <c r="B3772" t="s">
        <v>6228</v>
      </c>
      <c r="C3772" t="s">
        <v>2304</v>
      </c>
      <c r="D3772">
        <v>62315442</v>
      </c>
      <c r="E3772">
        <v>9.43</v>
      </c>
      <c r="F3772">
        <v>7</v>
      </c>
    </row>
    <row r="3773" spans="1:6" x14ac:dyDescent="0.3">
      <c r="A3773" t="s">
        <v>6229</v>
      </c>
      <c r="B3773" t="s">
        <v>6230</v>
      </c>
      <c r="C3773" t="s">
        <v>5126</v>
      </c>
      <c r="D3773">
        <v>62323796</v>
      </c>
      <c r="E3773">
        <v>6.01</v>
      </c>
      <c r="F3773">
        <v>6.4</v>
      </c>
    </row>
    <row r="3774" spans="1:6" x14ac:dyDescent="0.3">
      <c r="A3774" t="s">
        <v>6231</v>
      </c>
      <c r="B3774" t="s">
        <v>4948</v>
      </c>
      <c r="C3774" t="s">
        <v>6020</v>
      </c>
      <c r="D3774">
        <v>62328773</v>
      </c>
      <c r="E3774">
        <v>2.08</v>
      </c>
      <c r="F3774">
        <v>7.59</v>
      </c>
    </row>
    <row r="3775" spans="1:6" x14ac:dyDescent="0.3">
      <c r="A3775" t="s">
        <v>6232</v>
      </c>
      <c r="B3775" t="s">
        <v>6233</v>
      </c>
      <c r="C3775" t="s">
        <v>4639</v>
      </c>
      <c r="D3775">
        <v>62339829</v>
      </c>
      <c r="E3775">
        <v>14.43</v>
      </c>
      <c r="F3775">
        <v>7.71</v>
      </c>
    </row>
    <row r="3776" spans="1:6" x14ac:dyDescent="0.3">
      <c r="A3776" t="s">
        <v>6234</v>
      </c>
      <c r="B3776" t="s">
        <v>6235</v>
      </c>
      <c r="C3776" t="s">
        <v>6236</v>
      </c>
      <c r="D3776">
        <v>62340218</v>
      </c>
      <c r="E3776">
        <v>3.94</v>
      </c>
      <c r="F3776">
        <v>6.93</v>
      </c>
    </row>
    <row r="3777" spans="1:6" x14ac:dyDescent="0.3">
      <c r="A3777" t="s">
        <v>6237</v>
      </c>
      <c r="B3777" t="s">
        <v>6238</v>
      </c>
      <c r="C3777" t="s">
        <v>2781</v>
      </c>
      <c r="D3777">
        <v>62345670</v>
      </c>
      <c r="E3777">
        <v>12</v>
      </c>
      <c r="F3777">
        <v>7</v>
      </c>
    </row>
    <row r="3778" spans="1:6" x14ac:dyDescent="0.3">
      <c r="A3778" t="s">
        <v>6239</v>
      </c>
      <c r="B3778" t="s">
        <v>5498</v>
      </c>
      <c r="C3778" t="s">
        <v>5717</v>
      </c>
      <c r="D3778">
        <v>62364298</v>
      </c>
      <c r="E3778">
        <v>2.62</v>
      </c>
      <c r="F3778">
        <v>7.15</v>
      </c>
    </row>
    <row r="3779" spans="1:6" x14ac:dyDescent="0.3">
      <c r="A3779" t="s">
        <v>6240</v>
      </c>
      <c r="B3779" t="s">
        <v>6241</v>
      </c>
      <c r="C3779" t="s">
        <v>6242</v>
      </c>
      <c r="D3779">
        <v>62378908</v>
      </c>
      <c r="E3779">
        <v>6.32</v>
      </c>
      <c r="F3779">
        <v>6.85</v>
      </c>
    </row>
    <row r="3780" spans="1:6" x14ac:dyDescent="0.3">
      <c r="A3780" t="s">
        <v>6243</v>
      </c>
      <c r="B3780" t="s">
        <v>6244</v>
      </c>
      <c r="C3780" t="s">
        <v>2526</v>
      </c>
      <c r="D3780">
        <v>62383282</v>
      </c>
      <c r="E3780">
        <v>3.15</v>
      </c>
      <c r="F3780">
        <v>6.25</v>
      </c>
    </row>
    <row r="3781" spans="1:6" x14ac:dyDescent="0.3">
      <c r="A3781" t="s">
        <v>6245</v>
      </c>
      <c r="B3781" t="s">
        <v>6246</v>
      </c>
      <c r="C3781" t="s">
        <v>6247</v>
      </c>
      <c r="D3781">
        <v>62388026</v>
      </c>
      <c r="E3781">
        <v>7.29</v>
      </c>
      <c r="F3781">
        <v>4</v>
      </c>
    </row>
    <row r="3782" spans="1:6" x14ac:dyDescent="0.3">
      <c r="A3782" t="s">
        <v>6248</v>
      </c>
      <c r="B3782" t="s">
        <v>4739</v>
      </c>
      <c r="C3782" t="s">
        <v>6249</v>
      </c>
      <c r="D3782">
        <v>62390000</v>
      </c>
      <c r="E3782">
        <v>3.35</v>
      </c>
      <c r="F3782">
        <v>5.55</v>
      </c>
    </row>
    <row r="3783" spans="1:6" x14ac:dyDescent="0.3">
      <c r="A3783" t="s">
        <v>6250</v>
      </c>
      <c r="B3783" t="s">
        <v>3864</v>
      </c>
      <c r="C3783" t="s">
        <v>6251</v>
      </c>
      <c r="D3783">
        <v>62401364</v>
      </c>
      <c r="E3783">
        <v>2.66</v>
      </c>
      <c r="F3783">
        <v>6.95</v>
      </c>
    </row>
    <row r="3784" spans="1:6" x14ac:dyDescent="0.3">
      <c r="A3784" t="s">
        <v>6252</v>
      </c>
      <c r="B3784" t="s">
        <v>3512</v>
      </c>
      <c r="C3784" t="s">
        <v>1787</v>
      </c>
      <c r="D3784">
        <v>62402940</v>
      </c>
      <c r="E3784">
        <v>7.63</v>
      </c>
      <c r="F3784">
        <v>4.7300000000000004</v>
      </c>
    </row>
    <row r="3785" spans="1:6" x14ac:dyDescent="0.3">
      <c r="A3785" t="s">
        <v>6253</v>
      </c>
      <c r="B3785" t="s">
        <v>2771</v>
      </c>
      <c r="C3785" t="s">
        <v>6254</v>
      </c>
      <c r="D3785">
        <v>62409314</v>
      </c>
      <c r="E3785">
        <v>9</v>
      </c>
      <c r="F3785">
        <v>6.67</v>
      </c>
    </row>
    <row r="3786" spans="1:6" x14ac:dyDescent="0.3">
      <c r="A3786" t="s">
        <v>6255</v>
      </c>
      <c r="B3786" t="s">
        <v>4120</v>
      </c>
      <c r="C3786" t="s">
        <v>6256</v>
      </c>
      <c r="D3786">
        <v>62413095</v>
      </c>
      <c r="E3786">
        <v>7.14</v>
      </c>
      <c r="F3786">
        <v>6.88</v>
      </c>
    </row>
    <row r="3787" spans="1:6" x14ac:dyDescent="0.3">
      <c r="A3787" t="s">
        <v>6257</v>
      </c>
      <c r="B3787" t="s">
        <v>5730</v>
      </c>
      <c r="C3787" t="s">
        <v>65</v>
      </c>
      <c r="D3787">
        <v>62418569</v>
      </c>
      <c r="E3787">
        <v>8.5</v>
      </c>
      <c r="F3787">
        <v>8</v>
      </c>
    </row>
    <row r="3788" spans="1:6" x14ac:dyDescent="0.3">
      <c r="A3788" t="s">
        <v>6258</v>
      </c>
      <c r="B3788" t="s">
        <v>6259</v>
      </c>
      <c r="C3788" t="s">
        <v>6260</v>
      </c>
      <c r="D3788">
        <v>62419473</v>
      </c>
      <c r="E3788">
        <v>22.19</v>
      </c>
      <c r="F3788">
        <v>7.94</v>
      </c>
    </row>
    <row r="3789" spans="1:6" x14ac:dyDescent="0.3">
      <c r="A3789" t="s">
        <v>6261</v>
      </c>
      <c r="B3789" t="s">
        <v>6262</v>
      </c>
      <c r="C3789" t="s">
        <v>6260</v>
      </c>
      <c r="D3789">
        <v>62419475</v>
      </c>
      <c r="E3789">
        <v>21.76</v>
      </c>
      <c r="F3789">
        <v>7.41</v>
      </c>
    </row>
    <row r="3790" spans="1:6" x14ac:dyDescent="0.3">
      <c r="A3790" t="s">
        <v>6263</v>
      </c>
      <c r="B3790" t="s">
        <v>6264</v>
      </c>
      <c r="C3790" t="s">
        <v>6260</v>
      </c>
      <c r="D3790">
        <v>62419638</v>
      </c>
      <c r="E3790">
        <v>20.67</v>
      </c>
      <c r="F3790">
        <v>5.76</v>
      </c>
    </row>
    <row r="3791" spans="1:6" x14ac:dyDescent="0.3">
      <c r="A3791" t="s">
        <v>6265</v>
      </c>
      <c r="B3791" t="s">
        <v>4936</v>
      </c>
      <c r="C3791" t="s">
        <v>4504</v>
      </c>
      <c r="D3791">
        <v>62434757</v>
      </c>
      <c r="E3791">
        <v>11.64</v>
      </c>
      <c r="F3791">
        <v>8.41</v>
      </c>
    </row>
    <row r="3792" spans="1:6" x14ac:dyDescent="0.3">
      <c r="A3792" t="s">
        <v>6266</v>
      </c>
      <c r="B3792" t="s">
        <v>6267</v>
      </c>
      <c r="C3792" t="s">
        <v>5010</v>
      </c>
      <c r="D3792">
        <v>62439877</v>
      </c>
      <c r="E3792">
        <v>2.2000000000000002</v>
      </c>
      <c r="F3792">
        <v>6.57</v>
      </c>
    </row>
    <row r="3793" spans="1:6" x14ac:dyDescent="0.3">
      <c r="A3793" t="s">
        <v>6268</v>
      </c>
      <c r="B3793" t="s">
        <v>6269</v>
      </c>
      <c r="C3793" t="s">
        <v>2758</v>
      </c>
      <c r="D3793">
        <v>62442348</v>
      </c>
      <c r="E3793">
        <v>3.07</v>
      </c>
      <c r="F3793">
        <v>7.17</v>
      </c>
    </row>
    <row r="3794" spans="1:6" x14ac:dyDescent="0.3">
      <c r="A3794" t="s">
        <v>6270</v>
      </c>
      <c r="B3794" t="s">
        <v>5358</v>
      </c>
      <c r="C3794" t="s">
        <v>2523</v>
      </c>
      <c r="D3794">
        <v>62444283</v>
      </c>
      <c r="E3794">
        <v>15.72</v>
      </c>
      <c r="F3794">
        <v>4.2699999999999996</v>
      </c>
    </row>
    <row r="3795" spans="1:6" x14ac:dyDescent="0.3">
      <c r="A3795" t="s">
        <v>6271</v>
      </c>
      <c r="B3795" t="s">
        <v>6272</v>
      </c>
      <c r="C3795" t="s">
        <v>4808</v>
      </c>
      <c r="D3795">
        <v>62444479</v>
      </c>
      <c r="E3795">
        <v>5.99</v>
      </c>
      <c r="F3795">
        <v>6.59</v>
      </c>
    </row>
    <row r="3796" spans="1:6" x14ac:dyDescent="0.3">
      <c r="A3796" t="s">
        <v>6273</v>
      </c>
      <c r="B3796" t="s">
        <v>4925</v>
      </c>
      <c r="C3796" t="s">
        <v>6274</v>
      </c>
      <c r="D3796">
        <v>62463489</v>
      </c>
      <c r="E3796">
        <v>20.57</v>
      </c>
      <c r="F3796">
        <v>6</v>
      </c>
    </row>
    <row r="3797" spans="1:6" x14ac:dyDescent="0.3">
      <c r="A3797" t="s">
        <v>6275</v>
      </c>
      <c r="B3797" t="s">
        <v>6276</v>
      </c>
      <c r="C3797" t="s">
        <v>5356</v>
      </c>
      <c r="D3797">
        <v>62474151</v>
      </c>
      <c r="E3797">
        <v>13.6</v>
      </c>
      <c r="F3797">
        <v>7.56</v>
      </c>
    </row>
    <row r="3798" spans="1:6" x14ac:dyDescent="0.3">
      <c r="A3798" t="s">
        <v>6277</v>
      </c>
      <c r="B3798" t="s">
        <v>6278</v>
      </c>
      <c r="C3798" t="s">
        <v>6175</v>
      </c>
      <c r="D3798">
        <v>62489329</v>
      </c>
      <c r="E3798">
        <v>3.78</v>
      </c>
      <c r="F3798">
        <v>5.29</v>
      </c>
    </row>
    <row r="3799" spans="1:6" x14ac:dyDescent="0.3">
      <c r="A3799" t="s">
        <v>6279</v>
      </c>
      <c r="B3799" t="s">
        <v>6280</v>
      </c>
      <c r="C3799" t="s">
        <v>6281</v>
      </c>
      <c r="D3799">
        <v>62490698</v>
      </c>
      <c r="E3799">
        <v>4.7300000000000004</v>
      </c>
      <c r="F3799">
        <v>7.22</v>
      </c>
    </row>
    <row r="3800" spans="1:6" x14ac:dyDescent="0.3">
      <c r="A3800" t="s">
        <v>6282</v>
      </c>
      <c r="B3800" t="s">
        <v>6121</v>
      </c>
      <c r="C3800" t="s">
        <v>4131</v>
      </c>
      <c r="D3800">
        <v>62495334</v>
      </c>
      <c r="E3800">
        <v>3.13</v>
      </c>
      <c r="F3800">
        <v>6.33</v>
      </c>
    </row>
    <row r="3801" spans="1:6" x14ac:dyDescent="0.3">
      <c r="A3801" t="s">
        <v>6283</v>
      </c>
      <c r="B3801" t="s">
        <v>2043</v>
      </c>
      <c r="C3801" t="s">
        <v>6284</v>
      </c>
      <c r="D3801">
        <v>62497003</v>
      </c>
      <c r="E3801">
        <v>21.33</v>
      </c>
      <c r="F3801">
        <v>8.3000000000000007</v>
      </c>
    </row>
    <row r="3802" spans="1:6" x14ac:dyDescent="0.3">
      <c r="A3802" t="s">
        <v>6285</v>
      </c>
      <c r="B3802" t="s">
        <v>6286</v>
      </c>
      <c r="C3802" t="s">
        <v>3349</v>
      </c>
      <c r="D3802">
        <v>62503564</v>
      </c>
      <c r="E3802">
        <v>3.75</v>
      </c>
      <c r="F3802">
        <v>5.5</v>
      </c>
    </row>
    <row r="3803" spans="1:6" x14ac:dyDescent="0.3">
      <c r="A3803" t="s">
        <v>6287</v>
      </c>
      <c r="B3803" t="s">
        <v>5292</v>
      </c>
      <c r="C3803" t="s">
        <v>1381</v>
      </c>
      <c r="D3803">
        <v>62508554</v>
      </c>
      <c r="E3803">
        <v>3.08</v>
      </c>
      <c r="F3803">
        <v>5.56</v>
      </c>
    </row>
    <row r="3804" spans="1:6" x14ac:dyDescent="0.3">
      <c r="A3804" t="s">
        <v>6288</v>
      </c>
      <c r="B3804" t="s">
        <v>6289</v>
      </c>
      <c r="C3804" t="s">
        <v>2711</v>
      </c>
      <c r="D3804">
        <v>62515418</v>
      </c>
      <c r="E3804">
        <v>17.43</v>
      </c>
      <c r="F3804">
        <v>5.88</v>
      </c>
    </row>
    <row r="3805" spans="1:6" x14ac:dyDescent="0.3">
      <c r="A3805" t="s">
        <v>6290</v>
      </c>
      <c r="B3805" t="s">
        <v>2433</v>
      </c>
      <c r="C3805" t="s">
        <v>6291</v>
      </c>
      <c r="D3805">
        <v>62521060</v>
      </c>
      <c r="E3805">
        <v>13.02</v>
      </c>
      <c r="F3805">
        <v>7.55</v>
      </c>
    </row>
    <row r="3806" spans="1:6" x14ac:dyDescent="0.3">
      <c r="A3806" t="s">
        <v>6292</v>
      </c>
      <c r="B3806" t="s">
        <v>4044</v>
      </c>
      <c r="C3806" t="s">
        <v>6293</v>
      </c>
      <c r="D3806">
        <v>62522134</v>
      </c>
      <c r="E3806">
        <v>3.16</v>
      </c>
      <c r="F3806">
        <v>6.7</v>
      </c>
    </row>
    <row r="3807" spans="1:6" x14ac:dyDescent="0.3">
      <c r="A3807" t="s">
        <v>6294</v>
      </c>
      <c r="B3807" t="s">
        <v>6295</v>
      </c>
      <c r="C3807" t="s">
        <v>6296</v>
      </c>
      <c r="D3807">
        <v>62524823</v>
      </c>
      <c r="E3807">
        <v>13.86</v>
      </c>
      <c r="F3807">
        <v>2.67</v>
      </c>
    </row>
    <row r="3808" spans="1:6" x14ac:dyDescent="0.3">
      <c r="A3808" t="s">
        <v>6297</v>
      </c>
      <c r="B3808" t="s">
        <v>6298</v>
      </c>
      <c r="C3808" t="s">
        <v>3030</v>
      </c>
      <c r="D3808">
        <v>62545045</v>
      </c>
      <c r="E3808">
        <v>7</v>
      </c>
      <c r="F3808">
        <v>4.5</v>
      </c>
    </row>
    <row r="3809" spans="1:6" x14ac:dyDescent="0.3">
      <c r="A3809" t="s">
        <v>6299</v>
      </c>
      <c r="B3809" t="s">
        <v>6300</v>
      </c>
      <c r="C3809" t="s">
        <v>6301</v>
      </c>
      <c r="D3809">
        <v>62547663</v>
      </c>
      <c r="E3809">
        <v>9</v>
      </c>
      <c r="F3809">
        <v>6</v>
      </c>
    </row>
    <row r="3810" spans="1:6" x14ac:dyDescent="0.3">
      <c r="A3810" t="s">
        <v>6302</v>
      </c>
      <c r="B3810" t="s">
        <v>2342</v>
      </c>
      <c r="C3810" t="s">
        <v>6303</v>
      </c>
      <c r="D3810">
        <v>62551239</v>
      </c>
      <c r="E3810">
        <v>23.61</v>
      </c>
      <c r="F3810">
        <v>6.64</v>
      </c>
    </row>
    <row r="3811" spans="1:6" x14ac:dyDescent="0.3">
      <c r="A3811" t="s">
        <v>6304</v>
      </c>
      <c r="B3811" t="s">
        <v>3966</v>
      </c>
      <c r="C3811" t="s">
        <v>2961</v>
      </c>
      <c r="D3811">
        <v>62556400</v>
      </c>
      <c r="E3811">
        <v>34</v>
      </c>
      <c r="F3811">
        <v>6</v>
      </c>
    </row>
    <row r="3812" spans="1:6" x14ac:dyDescent="0.3">
      <c r="A3812" t="s">
        <v>6305</v>
      </c>
      <c r="B3812" t="s">
        <v>5373</v>
      </c>
      <c r="C3812" t="s">
        <v>4069</v>
      </c>
      <c r="D3812">
        <v>62557486</v>
      </c>
      <c r="E3812">
        <v>28</v>
      </c>
      <c r="F3812">
        <v>7</v>
      </c>
    </row>
    <row r="3813" spans="1:6" x14ac:dyDescent="0.3">
      <c r="A3813" t="s">
        <v>6306</v>
      </c>
      <c r="B3813" t="s">
        <v>5790</v>
      </c>
      <c r="C3813" t="s">
        <v>6307</v>
      </c>
      <c r="D3813">
        <v>62572688</v>
      </c>
      <c r="E3813">
        <v>2.68</v>
      </c>
      <c r="F3813">
        <v>7.5</v>
      </c>
    </row>
    <row r="3814" spans="1:6" x14ac:dyDescent="0.3">
      <c r="A3814" t="s">
        <v>6308</v>
      </c>
      <c r="B3814" t="s">
        <v>3948</v>
      </c>
      <c r="C3814" t="s">
        <v>6139</v>
      </c>
      <c r="D3814">
        <v>62575654</v>
      </c>
      <c r="E3814">
        <v>6.86</v>
      </c>
      <c r="F3814">
        <v>7.55</v>
      </c>
    </row>
    <row r="3815" spans="1:6" x14ac:dyDescent="0.3">
      <c r="A3815" t="s">
        <v>6309</v>
      </c>
      <c r="B3815" t="s">
        <v>5145</v>
      </c>
      <c r="C3815" t="s">
        <v>2996</v>
      </c>
      <c r="D3815">
        <v>62577516</v>
      </c>
      <c r="E3815">
        <v>8.01</v>
      </c>
      <c r="F3815">
        <v>7.8</v>
      </c>
    </row>
    <row r="3816" spans="1:6" x14ac:dyDescent="0.3">
      <c r="A3816" t="s">
        <v>6310</v>
      </c>
      <c r="B3816" t="s">
        <v>6311</v>
      </c>
      <c r="C3816" t="s">
        <v>3854</v>
      </c>
      <c r="D3816">
        <v>62584112</v>
      </c>
      <c r="E3816">
        <v>6.52</v>
      </c>
      <c r="F3816">
        <v>5.82</v>
      </c>
    </row>
    <row r="3817" spans="1:6" x14ac:dyDescent="0.3">
      <c r="A3817" t="s">
        <v>6312</v>
      </c>
      <c r="B3817" t="s">
        <v>4432</v>
      </c>
      <c r="C3817" t="s">
        <v>6313</v>
      </c>
      <c r="D3817">
        <v>62592746</v>
      </c>
      <c r="E3817">
        <v>24.93</v>
      </c>
      <c r="F3817">
        <v>6.45</v>
      </c>
    </row>
    <row r="3818" spans="1:6" x14ac:dyDescent="0.3">
      <c r="A3818" t="s">
        <v>6314</v>
      </c>
      <c r="B3818" t="s">
        <v>4960</v>
      </c>
      <c r="C3818" t="s">
        <v>5535</v>
      </c>
      <c r="D3818">
        <v>62596928</v>
      </c>
      <c r="E3818">
        <v>3</v>
      </c>
      <c r="F3818">
        <v>7.4</v>
      </c>
    </row>
    <row r="3819" spans="1:6" x14ac:dyDescent="0.3">
      <c r="A3819" t="s">
        <v>6315</v>
      </c>
      <c r="B3819" t="s">
        <v>6316</v>
      </c>
      <c r="C3819" t="s">
        <v>5440</v>
      </c>
      <c r="D3819">
        <v>62603583</v>
      </c>
      <c r="E3819">
        <v>3.74</v>
      </c>
      <c r="F3819">
        <v>4.2699999999999996</v>
      </c>
    </row>
    <row r="3820" spans="1:6" x14ac:dyDescent="0.3">
      <c r="A3820" t="s">
        <v>6317</v>
      </c>
      <c r="B3820" t="s">
        <v>3538</v>
      </c>
      <c r="C3820" t="s">
        <v>6317</v>
      </c>
      <c r="D3820">
        <v>62604132</v>
      </c>
      <c r="E3820">
        <v>6.7</v>
      </c>
      <c r="F3820">
        <v>5.89</v>
      </c>
    </row>
    <row r="3821" spans="1:6" x14ac:dyDescent="0.3">
      <c r="A3821" t="s">
        <v>6318</v>
      </c>
      <c r="B3821" t="s">
        <v>6319</v>
      </c>
      <c r="C3821" t="s">
        <v>1761</v>
      </c>
      <c r="D3821">
        <v>62628615</v>
      </c>
      <c r="E3821">
        <v>13.26</v>
      </c>
      <c r="F3821">
        <v>4.71</v>
      </c>
    </row>
    <row r="3822" spans="1:6" x14ac:dyDescent="0.3">
      <c r="A3822" t="s">
        <v>6308</v>
      </c>
      <c r="B3822" t="s">
        <v>6320</v>
      </c>
      <c r="C3822" t="s">
        <v>6139</v>
      </c>
      <c r="D3822">
        <v>62661780</v>
      </c>
      <c r="E3822">
        <v>15.79</v>
      </c>
      <c r="F3822">
        <v>7.07</v>
      </c>
    </row>
    <row r="3823" spans="1:6" x14ac:dyDescent="0.3">
      <c r="A3823" t="s">
        <v>6321</v>
      </c>
      <c r="B3823" t="s">
        <v>5299</v>
      </c>
      <c r="C3823" t="s">
        <v>6322</v>
      </c>
      <c r="D3823">
        <v>62676629</v>
      </c>
      <c r="E3823">
        <v>18.32</v>
      </c>
      <c r="F3823">
        <v>8.11</v>
      </c>
    </row>
    <row r="3824" spans="1:6" x14ac:dyDescent="0.3">
      <c r="A3824" t="s">
        <v>6323</v>
      </c>
      <c r="B3824" t="s">
        <v>6324</v>
      </c>
      <c r="C3824" t="s">
        <v>6260</v>
      </c>
      <c r="D3824">
        <v>62711206</v>
      </c>
      <c r="E3824">
        <v>3.08</v>
      </c>
      <c r="F3824">
        <v>7.36</v>
      </c>
    </row>
    <row r="3825" spans="1:6" x14ac:dyDescent="0.3">
      <c r="A3825" t="s">
        <v>6325</v>
      </c>
      <c r="B3825" t="s">
        <v>3948</v>
      </c>
      <c r="C3825" t="s">
        <v>4641</v>
      </c>
      <c r="D3825">
        <v>62713916</v>
      </c>
      <c r="E3825">
        <v>8</v>
      </c>
      <c r="F3825">
        <v>5.5</v>
      </c>
    </row>
    <row r="3826" spans="1:6" x14ac:dyDescent="0.3">
      <c r="A3826" t="s">
        <v>1495</v>
      </c>
      <c r="B3826" t="s">
        <v>6326</v>
      </c>
      <c r="C3826" t="s">
        <v>1495</v>
      </c>
      <c r="D3826">
        <v>62717112</v>
      </c>
      <c r="E3826">
        <v>15.85</v>
      </c>
      <c r="F3826">
        <v>8.11</v>
      </c>
    </row>
    <row r="3827" spans="1:6" x14ac:dyDescent="0.3">
      <c r="A3827" t="s">
        <v>6327</v>
      </c>
      <c r="B3827" t="s">
        <v>4305</v>
      </c>
      <c r="C3827" t="s">
        <v>1213</v>
      </c>
      <c r="D3827">
        <v>62722670</v>
      </c>
      <c r="E3827">
        <v>3.05</v>
      </c>
      <c r="F3827">
        <v>5.25</v>
      </c>
    </row>
    <row r="3828" spans="1:6" x14ac:dyDescent="0.3">
      <c r="A3828" t="s">
        <v>6328</v>
      </c>
      <c r="B3828" t="s">
        <v>4479</v>
      </c>
      <c r="C3828" t="s">
        <v>6329</v>
      </c>
      <c r="D3828">
        <v>62723620</v>
      </c>
      <c r="E3828">
        <v>2.12</v>
      </c>
      <c r="F3828">
        <v>5.52</v>
      </c>
    </row>
    <row r="3829" spans="1:6" x14ac:dyDescent="0.3">
      <c r="A3829" t="s">
        <v>6330</v>
      </c>
      <c r="B3829" t="s">
        <v>6331</v>
      </c>
      <c r="C3829" t="s">
        <v>6332</v>
      </c>
      <c r="D3829">
        <v>62725327</v>
      </c>
      <c r="E3829">
        <v>17.7</v>
      </c>
      <c r="F3829">
        <v>6.67</v>
      </c>
    </row>
    <row r="3830" spans="1:6" x14ac:dyDescent="0.3">
      <c r="A3830" t="s">
        <v>6333</v>
      </c>
      <c r="B3830" t="s">
        <v>5415</v>
      </c>
      <c r="C3830" t="s">
        <v>6334</v>
      </c>
      <c r="D3830">
        <v>62757869</v>
      </c>
      <c r="E3830">
        <v>5.25</v>
      </c>
      <c r="F3830">
        <v>7</v>
      </c>
    </row>
    <row r="3831" spans="1:6" x14ac:dyDescent="0.3">
      <c r="A3831" t="s">
        <v>6335</v>
      </c>
      <c r="B3831" t="s">
        <v>4171</v>
      </c>
      <c r="C3831" t="s">
        <v>2979</v>
      </c>
      <c r="D3831">
        <v>62758900</v>
      </c>
      <c r="E3831">
        <v>1.63</v>
      </c>
      <c r="F3831">
        <v>7.29</v>
      </c>
    </row>
    <row r="3832" spans="1:6" x14ac:dyDescent="0.3">
      <c r="A3832" t="s">
        <v>6336</v>
      </c>
      <c r="B3832" t="s">
        <v>6337</v>
      </c>
      <c r="C3832" t="s">
        <v>6338</v>
      </c>
      <c r="D3832">
        <v>62759650</v>
      </c>
      <c r="E3832">
        <v>24.83</v>
      </c>
      <c r="F3832">
        <v>6.88</v>
      </c>
    </row>
    <row r="3833" spans="1:6" x14ac:dyDescent="0.3">
      <c r="A3833" t="s">
        <v>6339</v>
      </c>
      <c r="B3833" t="s">
        <v>6340</v>
      </c>
      <c r="C3833" t="s">
        <v>4356</v>
      </c>
      <c r="D3833">
        <v>62760284</v>
      </c>
      <c r="E3833">
        <v>12</v>
      </c>
      <c r="F3833">
        <v>7.5</v>
      </c>
    </row>
    <row r="3834" spans="1:6" x14ac:dyDescent="0.3">
      <c r="A3834" t="s">
        <v>6341</v>
      </c>
      <c r="B3834" t="s">
        <v>5782</v>
      </c>
      <c r="C3834" t="s">
        <v>6342</v>
      </c>
      <c r="D3834">
        <v>62763027</v>
      </c>
      <c r="E3834">
        <v>1.92</v>
      </c>
      <c r="F3834">
        <v>6.56</v>
      </c>
    </row>
    <row r="3835" spans="1:6" x14ac:dyDescent="0.3">
      <c r="A3835" t="s">
        <v>6343</v>
      </c>
      <c r="B3835" t="s">
        <v>6344</v>
      </c>
      <c r="C3835" t="s">
        <v>5356</v>
      </c>
      <c r="D3835">
        <v>62767008</v>
      </c>
      <c r="E3835">
        <v>2.31</v>
      </c>
      <c r="F3835">
        <v>6.71</v>
      </c>
    </row>
    <row r="3836" spans="1:6" x14ac:dyDescent="0.3">
      <c r="A3836" t="s">
        <v>173</v>
      </c>
      <c r="B3836" t="s">
        <v>1477</v>
      </c>
      <c r="C3836" t="s">
        <v>782</v>
      </c>
      <c r="D3836">
        <v>62781860</v>
      </c>
      <c r="E3836">
        <v>22.63</v>
      </c>
      <c r="F3836">
        <v>6.86</v>
      </c>
    </row>
    <row r="3837" spans="1:6" x14ac:dyDescent="0.3">
      <c r="A3837" t="s">
        <v>6345</v>
      </c>
      <c r="B3837" t="s">
        <v>6346</v>
      </c>
      <c r="C3837" t="s">
        <v>6347</v>
      </c>
      <c r="D3837">
        <v>62796672</v>
      </c>
      <c r="E3837">
        <v>6.67</v>
      </c>
      <c r="F3837">
        <v>4.33</v>
      </c>
    </row>
    <row r="3838" spans="1:6" x14ac:dyDescent="0.3">
      <c r="A3838" t="s">
        <v>6348</v>
      </c>
      <c r="B3838" t="s">
        <v>6349</v>
      </c>
      <c r="C3838" t="s">
        <v>4951</v>
      </c>
      <c r="D3838">
        <v>62800354</v>
      </c>
      <c r="E3838">
        <v>12</v>
      </c>
      <c r="F3838">
        <v>7.8</v>
      </c>
    </row>
    <row r="3839" spans="1:6" x14ac:dyDescent="0.3">
      <c r="A3839" t="s">
        <v>6350</v>
      </c>
      <c r="B3839" t="s">
        <v>4962</v>
      </c>
      <c r="C3839" t="s">
        <v>4244</v>
      </c>
      <c r="D3839">
        <v>62808265</v>
      </c>
      <c r="E3839">
        <v>5.44</v>
      </c>
      <c r="F3839">
        <v>5.33</v>
      </c>
    </row>
    <row r="3840" spans="1:6" x14ac:dyDescent="0.3">
      <c r="A3840" t="s">
        <v>6351</v>
      </c>
      <c r="B3840" t="s">
        <v>5143</v>
      </c>
      <c r="C3840" t="s">
        <v>6352</v>
      </c>
      <c r="D3840">
        <v>62809982</v>
      </c>
      <c r="E3840">
        <v>19.91</v>
      </c>
      <c r="F3840">
        <v>6.93</v>
      </c>
    </row>
    <row r="3841" spans="1:6" x14ac:dyDescent="0.3">
      <c r="A3841" t="s">
        <v>6353</v>
      </c>
      <c r="B3841" t="s">
        <v>1663</v>
      </c>
      <c r="C3841" t="s">
        <v>2076</v>
      </c>
      <c r="D3841">
        <v>62817170</v>
      </c>
      <c r="E3841">
        <v>28.97</v>
      </c>
      <c r="F3841">
        <v>8.83</v>
      </c>
    </row>
    <row r="3842" spans="1:6" x14ac:dyDescent="0.3">
      <c r="A3842" t="s">
        <v>6354</v>
      </c>
      <c r="B3842" t="s">
        <v>6355</v>
      </c>
      <c r="C3842" t="s">
        <v>6356</v>
      </c>
      <c r="D3842">
        <v>62819687</v>
      </c>
      <c r="E3842">
        <v>8.51</v>
      </c>
      <c r="F3842">
        <v>5.29</v>
      </c>
    </row>
    <row r="3843" spans="1:6" x14ac:dyDescent="0.3">
      <c r="A3843" t="s">
        <v>6357</v>
      </c>
      <c r="B3843" t="s">
        <v>1890</v>
      </c>
      <c r="C3843" t="s">
        <v>782</v>
      </c>
      <c r="D3843">
        <v>62823500</v>
      </c>
      <c r="E3843">
        <v>18.13</v>
      </c>
      <c r="F3843">
        <v>6.54</v>
      </c>
    </row>
    <row r="3844" spans="1:6" x14ac:dyDescent="0.3">
      <c r="A3844" t="s">
        <v>6358</v>
      </c>
      <c r="B3844" t="s">
        <v>6359</v>
      </c>
      <c r="C3844" t="s">
        <v>911</v>
      </c>
      <c r="D3844">
        <v>62824218</v>
      </c>
      <c r="E3844">
        <v>8.8000000000000007</v>
      </c>
      <c r="F3844">
        <v>4</v>
      </c>
    </row>
    <row r="3845" spans="1:6" x14ac:dyDescent="0.3">
      <c r="A3845" t="s">
        <v>6360</v>
      </c>
      <c r="B3845" t="s">
        <v>6361</v>
      </c>
      <c r="C3845" t="s">
        <v>5489</v>
      </c>
      <c r="D3845">
        <v>62830795</v>
      </c>
      <c r="E3845">
        <v>4.5</v>
      </c>
      <c r="F3845">
        <v>5.33</v>
      </c>
    </row>
    <row r="3846" spans="1:6" x14ac:dyDescent="0.3">
      <c r="A3846" t="s">
        <v>6362</v>
      </c>
      <c r="B3846" t="s">
        <v>6363</v>
      </c>
      <c r="C3846" t="s">
        <v>4186</v>
      </c>
      <c r="D3846">
        <v>62840218</v>
      </c>
      <c r="E3846">
        <v>7.23</v>
      </c>
      <c r="F3846">
        <v>7.9</v>
      </c>
    </row>
    <row r="3847" spans="1:6" x14ac:dyDescent="0.3">
      <c r="A3847" t="s">
        <v>6364</v>
      </c>
      <c r="B3847" t="s">
        <v>6195</v>
      </c>
      <c r="C3847" t="s">
        <v>898</v>
      </c>
      <c r="D3847">
        <v>62848833</v>
      </c>
      <c r="E3847">
        <v>6.2</v>
      </c>
      <c r="F3847">
        <v>6.2</v>
      </c>
    </row>
    <row r="3848" spans="1:6" x14ac:dyDescent="0.3">
      <c r="A3848" t="s">
        <v>6365</v>
      </c>
      <c r="B3848" t="s">
        <v>6366</v>
      </c>
      <c r="C3848" t="s">
        <v>3190</v>
      </c>
      <c r="D3848">
        <v>62857306</v>
      </c>
      <c r="E3848">
        <v>12.04</v>
      </c>
      <c r="F3848">
        <v>7.75</v>
      </c>
    </row>
    <row r="3849" spans="1:6" x14ac:dyDescent="0.3">
      <c r="A3849" t="s">
        <v>6367</v>
      </c>
      <c r="B3849" t="s">
        <v>4711</v>
      </c>
      <c r="C3849" t="s">
        <v>6368</v>
      </c>
      <c r="D3849">
        <v>62859186</v>
      </c>
      <c r="E3849">
        <v>3</v>
      </c>
      <c r="F3849">
        <v>6.63</v>
      </c>
    </row>
    <row r="3850" spans="1:6" x14ac:dyDescent="0.3">
      <c r="A3850" t="s">
        <v>6369</v>
      </c>
      <c r="B3850" t="s">
        <v>4990</v>
      </c>
      <c r="C3850" t="s">
        <v>1531</v>
      </c>
      <c r="D3850">
        <v>62863825</v>
      </c>
      <c r="E3850">
        <v>2.5</v>
      </c>
      <c r="F3850">
        <v>6.67</v>
      </c>
    </row>
    <row r="3851" spans="1:6" x14ac:dyDescent="0.3">
      <c r="A3851" t="s">
        <v>6370</v>
      </c>
      <c r="B3851" t="s">
        <v>3803</v>
      </c>
      <c r="C3851" t="s">
        <v>6072</v>
      </c>
      <c r="D3851">
        <v>62869408</v>
      </c>
      <c r="E3851">
        <v>29.17</v>
      </c>
      <c r="F3851">
        <v>8.02</v>
      </c>
    </row>
    <row r="3852" spans="1:6" x14ac:dyDescent="0.3">
      <c r="A3852" t="s">
        <v>6371</v>
      </c>
      <c r="B3852" t="s">
        <v>6366</v>
      </c>
      <c r="C3852" t="s">
        <v>6372</v>
      </c>
      <c r="D3852">
        <v>62869476</v>
      </c>
      <c r="E3852">
        <v>2.02</v>
      </c>
      <c r="F3852">
        <v>7.22</v>
      </c>
    </row>
    <row r="3853" spans="1:6" x14ac:dyDescent="0.3">
      <c r="A3853" t="s">
        <v>6373</v>
      </c>
      <c r="B3853" t="s">
        <v>5401</v>
      </c>
      <c r="C3853" t="s">
        <v>2979</v>
      </c>
      <c r="D3853">
        <v>62874130</v>
      </c>
      <c r="E3853">
        <v>2.93</v>
      </c>
      <c r="F3853">
        <v>7.52</v>
      </c>
    </row>
    <row r="3854" spans="1:6" x14ac:dyDescent="0.3">
      <c r="A3854" t="s">
        <v>6374</v>
      </c>
      <c r="B3854" t="s">
        <v>4765</v>
      </c>
      <c r="C3854" t="s">
        <v>4164</v>
      </c>
      <c r="D3854">
        <v>62875785</v>
      </c>
      <c r="E3854">
        <v>18.43</v>
      </c>
      <c r="F3854">
        <v>7.36</v>
      </c>
    </row>
    <row r="3855" spans="1:6" x14ac:dyDescent="0.3">
      <c r="A3855" t="s">
        <v>4009</v>
      </c>
      <c r="B3855" t="s">
        <v>6375</v>
      </c>
      <c r="C3855" t="s">
        <v>2535</v>
      </c>
      <c r="D3855">
        <v>62878645</v>
      </c>
      <c r="E3855">
        <v>2.15</v>
      </c>
      <c r="F3855">
        <v>6.81</v>
      </c>
    </row>
    <row r="3856" spans="1:6" x14ac:dyDescent="0.3">
      <c r="A3856" t="s">
        <v>6376</v>
      </c>
      <c r="B3856" t="s">
        <v>5093</v>
      </c>
      <c r="C3856" t="s">
        <v>3085</v>
      </c>
      <c r="D3856">
        <v>62878742</v>
      </c>
      <c r="E3856">
        <v>6.95</v>
      </c>
      <c r="F3856">
        <v>7.29</v>
      </c>
    </row>
    <row r="3857" spans="1:6" x14ac:dyDescent="0.3">
      <c r="A3857" t="s">
        <v>6377</v>
      </c>
      <c r="B3857" t="s">
        <v>4120</v>
      </c>
      <c r="C3857" t="s">
        <v>4244</v>
      </c>
      <c r="D3857">
        <v>62881514</v>
      </c>
      <c r="E3857">
        <v>18</v>
      </c>
      <c r="F3857">
        <v>6.13</v>
      </c>
    </row>
    <row r="3858" spans="1:6" x14ac:dyDescent="0.3">
      <c r="A3858" t="s">
        <v>6378</v>
      </c>
      <c r="B3858" t="s">
        <v>6379</v>
      </c>
      <c r="C3858" t="s">
        <v>6368</v>
      </c>
      <c r="D3858">
        <v>62885022</v>
      </c>
      <c r="E3858">
        <v>5.88</v>
      </c>
      <c r="F3858">
        <v>7.33</v>
      </c>
    </row>
    <row r="3859" spans="1:6" x14ac:dyDescent="0.3">
      <c r="A3859" t="s">
        <v>6380</v>
      </c>
      <c r="B3859" t="s">
        <v>3037</v>
      </c>
      <c r="C3859" t="s">
        <v>2979</v>
      </c>
      <c r="D3859">
        <v>62887124</v>
      </c>
      <c r="E3859">
        <v>6.93</v>
      </c>
      <c r="F3859">
        <v>6.8</v>
      </c>
    </row>
    <row r="3860" spans="1:6" x14ac:dyDescent="0.3">
      <c r="A3860" t="s">
        <v>6381</v>
      </c>
      <c r="B3860" t="s">
        <v>6382</v>
      </c>
      <c r="C3860" t="s">
        <v>6383</v>
      </c>
      <c r="D3860">
        <v>62893300</v>
      </c>
      <c r="E3860">
        <v>4.33</v>
      </c>
      <c r="F3860">
        <v>6.06</v>
      </c>
    </row>
    <row r="3861" spans="1:6" x14ac:dyDescent="0.3">
      <c r="A3861" t="s">
        <v>6384</v>
      </c>
      <c r="B3861" t="s">
        <v>2864</v>
      </c>
      <c r="C3861" t="s">
        <v>6385</v>
      </c>
      <c r="D3861">
        <v>62895423</v>
      </c>
      <c r="E3861">
        <v>3.71</v>
      </c>
      <c r="F3861">
        <v>6.56</v>
      </c>
    </row>
    <row r="3862" spans="1:6" x14ac:dyDescent="0.3">
      <c r="A3862" t="s">
        <v>6386</v>
      </c>
      <c r="B3862" t="s">
        <v>6387</v>
      </c>
      <c r="C3862" t="s">
        <v>6388</v>
      </c>
      <c r="D3862">
        <v>62896391</v>
      </c>
      <c r="E3862">
        <v>4.67</v>
      </c>
      <c r="F3862">
        <v>6</v>
      </c>
    </row>
    <row r="3863" spans="1:6" x14ac:dyDescent="0.3">
      <c r="A3863" t="s">
        <v>6389</v>
      </c>
      <c r="B3863" t="s">
        <v>3933</v>
      </c>
      <c r="C3863" t="s">
        <v>2004</v>
      </c>
      <c r="D3863">
        <v>62897680</v>
      </c>
      <c r="E3863">
        <v>5.88</v>
      </c>
      <c r="F3863">
        <v>6.83</v>
      </c>
    </row>
    <row r="3864" spans="1:6" x14ac:dyDescent="0.3">
      <c r="A3864" t="s">
        <v>6390</v>
      </c>
      <c r="B3864" t="s">
        <v>4234</v>
      </c>
      <c r="C3864" t="s">
        <v>3389</v>
      </c>
      <c r="D3864">
        <v>62907249</v>
      </c>
      <c r="E3864">
        <v>5.19</v>
      </c>
      <c r="F3864">
        <v>6.38</v>
      </c>
    </row>
    <row r="3865" spans="1:6" x14ac:dyDescent="0.3">
      <c r="A3865" t="s">
        <v>6391</v>
      </c>
      <c r="B3865" t="s">
        <v>6392</v>
      </c>
      <c r="C3865" t="s">
        <v>6393</v>
      </c>
      <c r="D3865">
        <v>62908294</v>
      </c>
      <c r="E3865">
        <v>12.63</v>
      </c>
      <c r="F3865">
        <v>6.17</v>
      </c>
    </row>
    <row r="3866" spans="1:6" x14ac:dyDescent="0.3">
      <c r="A3866" t="s">
        <v>6394</v>
      </c>
      <c r="B3866" t="s">
        <v>3120</v>
      </c>
      <c r="C3866" t="s">
        <v>3375</v>
      </c>
      <c r="D3866">
        <v>62909889</v>
      </c>
      <c r="E3866">
        <v>10.54</v>
      </c>
      <c r="F3866">
        <v>6.13</v>
      </c>
    </row>
    <row r="3867" spans="1:6" x14ac:dyDescent="0.3">
      <c r="A3867" t="s">
        <v>6395</v>
      </c>
      <c r="B3867" t="s">
        <v>6396</v>
      </c>
      <c r="C3867" t="s">
        <v>3548</v>
      </c>
      <c r="D3867">
        <v>62912159</v>
      </c>
      <c r="E3867">
        <v>7.05</v>
      </c>
      <c r="F3867">
        <v>6.94</v>
      </c>
    </row>
    <row r="3868" spans="1:6" x14ac:dyDescent="0.3">
      <c r="A3868" t="s">
        <v>6397</v>
      </c>
      <c r="B3868" t="s">
        <v>6398</v>
      </c>
      <c r="C3868" t="s">
        <v>6399</v>
      </c>
      <c r="D3868">
        <v>62913596</v>
      </c>
      <c r="E3868">
        <v>8.3000000000000007</v>
      </c>
      <c r="F3868">
        <v>7</v>
      </c>
    </row>
    <row r="3869" spans="1:6" x14ac:dyDescent="0.3">
      <c r="A3869" t="s">
        <v>6400</v>
      </c>
      <c r="B3869" t="s">
        <v>3283</v>
      </c>
      <c r="C3869" t="s">
        <v>3030</v>
      </c>
      <c r="D3869">
        <v>62920198</v>
      </c>
      <c r="E3869">
        <v>8.17</v>
      </c>
      <c r="F3869">
        <v>6.4</v>
      </c>
    </row>
    <row r="3870" spans="1:6" x14ac:dyDescent="0.3">
      <c r="A3870" t="s">
        <v>6401</v>
      </c>
      <c r="B3870" t="s">
        <v>3166</v>
      </c>
      <c r="C3870" t="s">
        <v>1157</v>
      </c>
      <c r="D3870">
        <v>62921109</v>
      </c>
      <c r="E3870">
        <v>5.34</v>
      </c>
      <c r="F3870">
        <v>7.57</v>
      </c>
    </row>
    <row r="3871" spans="1:6" x14ac:dyDescent="0.3">
      <c r="A3871" t="s">
        <v>6402</v>
      </c>
      <c r="B3871" t="s">
        <v>6403</v>
      </c>
      <c r="C3871" t="s">
        <v>6404</v>
      </c>
      <c r="D3871">
        <v>62923992</v>
      </c>
      <c r="E3871">
        <v>13.25</v>
      </c>
      <c r="F3871">
        <v>7.64</v>
      </c>
    </row>
    <row r="3872" spans="1:6" x14ac:dyDescent="0.3">
      <c r="A3872" t="s">
        <v>6405</v>
      </c>
      <c r="B3872" t="s">
        <v>6406</v>
      </c>
      <c r="C3872" t="s">
        <v>2911</v>
      </c>
      <c r="D3872">
        <v>62927036</v>
      </c>
      <c r="E3872">
        <v>13.07</v>
      </c>
      <c r="F3872">
        <v>7.55</v>
      </c>
    </row>
    <row r="3873" spans="1:6" x14ac:dyDescent="0.3">
      <c r="A3873" t="s">
        <v>6407</v>
      </c>
      <c r="B3873" t="s">
        <v>2433</v>
      </c>
      <c r="C3873" t="s">
        <v>893</v>
      </c>
      <c r="D3873">
        <v>62928150</v>
      </c>
      <c r="E3873">
        <v>16.87</v>
      </c>
      <c r="F3873">
        <v>8.94</v>
      </c>
    </row>
    <row r="3874" spans="1:6" x14ac:dyDescent="0.3">
      <c r="A3874" t="s">
        <v>6408</v>
      </c>
      <c r="B3874" t="s">
        <v>4208</v>
      </c>
      <c r="C3874" t="s">
        <v>6409</v>
      </c>
      <c r="D3874">
        <v>62930423</v>
      </c>
      <c r="E3874">
        <v>2.93</v>
      </c>
      <c r="F3874">
        <v>5.75</v>
      </c>
    </row>
    <row r="3875" spans="1:6" x14ac:dyDescent="0.3">
      <c r="A3875" t="s">
        <v>6410</v>
      </c>
      <c r="B3875" t="s">
        <v>3538</v>
      </c>
      <c r="C3875" t="s">
        <v>593</v>
      </c>
      <c r="D3875">
        <v>62932710</v>
      </c>
      <c r="E3875">
        <v>11.86</v>
      </c>
      <c r="F3875">
        <v>7.43</v>
      </c>
    </row>
    <row r="3876" spans="1:6" x14ac:dyDescent="0.3">
      <c r="A3876" t="s">
        <v>6411</v>
      </c>
      <c r="B3876" t="s">
        <v>5449</v>
      </c>
      <c r="C3876" t="s">
        <v>6412</v>
      </c>
      <c r="D3876">
        <v>62943165</v>
      </c>
      <c r="E3876">
        <v>5</v>
      </c>
      <c r="F3876">
        <v>5.88</v>
      </c>
    </row>
    <row r="3877" spans="1:6" x14ac:dyDescent="0.3">
      <c r="A3877" t="s">
        <v>6413</v>
      </c>
      <c r="B3877" t="s">
        <v>6414</v>
      </c>
      <c r="C3877" t="s">
        <v>6415</v>
      </c>
      <c r="D3877">
        <v>62964138</v>
      </c>
      <c r="E3877">
        <v>4.93</v>
      </c>
      <c r="F3877">
        <v>7.81</v>
      </c>
    </row>
    <row r="3878" spans="1:6" x14ac:dyDescent="0.3">
      <c r="A3878" t="s">
        <v>6416</v>
      </c>
      <c r="B3878" t="s">
        <v>4561</v>
      </c>
      <c r="C3878" t="s">
        <v>3910</v>
      </c>
      <c r="D3878">
        <v>62968868</v>
      </c>
      <c r="E3878">
        <v>2.76</v>
      </c>
      <c r="F3878">
        <v>7.22</v>
      </c>
    </row>
    <row r="3879" spans="1:6" x14ac:dyDescent="0.3">
      <c r="A3879" t="s">
        <v>6417</v>
      </c>
      <c r="B3879" t="s">
        <v>3755</v>
      </c>
      <c r="C3879" t="s">
        <v>818</v>
      </c>
      <c r="D3879">
        <v>62985452</v>
      </c>
      <c r="E3879">
        <v>5.3</v>
      </c>
      <c r="F3879">
        <v>6.2</v>
      </c>
    </row>
    <row r="3880" spans="1:6" x14ac:dyDescent="0.3">
      <c r="A3880" t="s">
        <v>6418</v>
      </c>
      <c r="B3880" t="s">
        <v>4920</v>
      </c>
      <c r="C3880" t="s">
        <v>2192</v>
      </c>
      <c r="D3880">
        <v>62994769</v>
      </c>
      <c r="E3880">
        <v>3.81</v>
      </c>
      <c r="F3880">
        <v>6.71</v>
      </c>
    </row>
    <row r="3881" spans="1:6" x14ac:dyDescent="0.3">
      <c r="A3881" t="s">
        <v>6419</v>
      </c>
      <c r="B3881" t="s">
        <v>4100</v>
      </c>
      <c r="C3881" t="s">
        <v>4249</v>
      </c>
      <c r="D3881">
        <v>63017399</v>
      </c>
      <c r="E3881">
        <v>2</v>
      </c>
      <c r="F3881">
        <v>6.83</v>
      </c>
    </row>
    <row r="3882" spans="1:6" x14ac:dyDescent="0.3">
      <c r="A3882" t="s">
        <v>6420</v>
      </c>
      <c r="B3882" t="s">
        <v>6421</v>
      </c>
      <c r="C3882" t="s">
        <v>6422</v>
      </c>
      <c r="D3882">
        <v>63018665</v>
      </c>
      <c r="E3882">
        <v>3.66</v>
      </c>
      <c r="F3882">
        <v>6.77</v>
      </c>
    </row>
    <row r="3883" spans="1:6" x14ac:dyDescent="0.3">
      <c r="A3883" t="s">
        <v>6423</v>
      </c>
      <c r="B3883" t="s">
        <v>6424</v>
      </c>
      <c r="C3883" t="s">
        <v>4224</v>
      </c>
      <c r="D3883">
        <v>63030868</v>
      </c>
      <c r="E3883">
        <v>4.2300000000000004</v>
      </c>
      <c r="F3883">
        <v>5.24</v>
      </c>
    </row>
    <row r="3884" spans="1:6" x14ac:dyDescent="0.3">
      <c r="A3884" t="s">
        <v>6425</v>
      </c>
      <c r="B3884" t="s">
        <v>5591</v>
      </c>
      <c r="C3884" t="s">
        <v>762</v>
      </c>
      <c r="D3884">
        <v>63045458</v>
      </c>
      <c r="E3884">
        <v>22.96</v>
      </c>
      <c r="F3884">
        <v>4.91</v>
      </c>
    </row>
    <row r="3885" spans="1:6" x14ac:dyDescent="0.3">
      <c r="A3885" t="s">
        <v>6426</v>
      </c>
      <c r="B3885" t="s">
        <v>5464</v>
      </c>
      <c r="C3885" t="s">
        <v>6427</v>
      </c>
      <c r="D3885">
        <v>63068474</v>
      </c>
      <c r="E3885">
        <v>23.83</v>
      </c>
      <c r="F3885">
        <v>8.25</v>
      </c>
    </row>
    <row r="3886" spans="1:6" x14ac:dyDescent="0.3">
      <c r="A3886" t="s">
        <v>6428</v>
      </c>
      <c r="B3886" t="s">
        <v>4886</v>
      </c>
      <c r="C3886" t="s">
        <v>3852</v>
      </c>
      <c r="D3886">
        <v>63074393</v>
      </c>
      <c r="E3886">
        <v>8.43</v>
      </c>
      <c r="F3886">
        <v>6.6</v>
      </c>
    </row>
    <row r="3887" spans="1:6" x14ac:dyDescent="0.3">
      <c r="A3887" t="s">
        <v>6429</v>
      </c>
      <c r="B3887" t="s">
        <v>4120</v>
      </c>
      <c r="C3887" t="s">
        <v>6430</v>
      </c>
      <c r="D3887">
        <v>63075323</v>
      </c>
      <c r="E3887">
        <v>10.75</v>
      </c>
      <c r="F3887">
        <v>7.95</v>
      </c>
    </row>
    <row r="3888" spans="1:6" x14ac:dyDescent="0.3">
      <c r="A3888" t="s">
        <v>6431</v>
      </c>
      <c r="B3888" t="s">
        <v>2387</v>
      </c>
      <c r="C3888" t="s">
        <v>6432</v>
      </c>
      <c r="D3888">
        <v>63087691</v>
      </c>
      <c r="E3888">
        <v>1.25</v>
      </c>
      <c r="F3888">
        <v>7.92</v>
      </c>
    </row>
    <row r="3889" spans="1:6" x14ac:dyDescent="0.3">
      <c r="A3889" t="s">
        <v>6433</v>
      </c>
      <c r="B3889" t="s">
        <v>3274</v>
      </c>
      <c r="C3889" t="s">
        <v>2711</v>
      </c>
      <c r="D3889">
        <v>63097287</v>
      </c>
      <c r="E3889">
        <v>4.16</v>
      </c>
      <c r="F3889">
        <v>6.87</v>
      </c>
    </row>
    <row r="3890" spans="1:6" x14ac:dyDescent="0.3">
      <c r="A3890" t="s">
        <v>6434</v>
      </c>
      <c r="B3890" t="s">
        <v>2519</v>
      </c>
      <c r="C3890" t="s">
        <v>227</v>
      </c>
      <c r="D3890">
        <v>63099157</v>
      </c>
      <c r="E3890">
        <v>3.05</v>
      </c>
      <c r="F3890">
        <v>6.57</v>
      </c>
    </row>
    <row r="3891" spans="1:6" x14ac:dyDescent="0.3">
      <c r="A3891" t="s">
        <v>6435</v>
      </c>
      <c r="B3891" t="s">
        <v>4580</v>
      </c>
      <c r="C3891" t="s">
        <v>6432</v>
      </c>
      <c r="D3891">
        <v>63107944</v>
      </c>
      <c r="E3891">
        <v>12.02</v>
      </c>
      <c r="F3891">
        <v>7.69</v>
      </c>
    </row>
    <row r="3892" spans="1:6" x14ac:dyDescent="0.3">
      <c r="A3892" t="s">
        <v>6436</v>
      </c>
      <c r="B3892" t="s">
        <v>4936</v>
      </c>
      <c r="C3892" t="s">
        <v>4489</v>
      </c>
      <c r="D3892">
        <v>63113581</v>
      </c>
      <c r="E3892">
        <v>7.91</v>
      </c>
      <c r="F3892">
        <v>8.2899999999999991</v>
      </c>
    </row>
    <row r="3893" spans="1:6" x14ac:dyDescent="0.3">
      <c r="A3893" t="s">
        <v>6437</v>
      </c>
      <c r="B3893" t="s">
        <v>6438</v>
      </c>
      <c r="C3893" t="s">
        <v>950</v>
      </c>
      <c r="D3893">
        <v>63144572</v>
      </c>
      <c r="E3893">
        <v>12.12</v>
      </c>
      <c r="F3893">
        <v>5.5</v>
      </c>
    </row>
    <row r="3894" spans="1:6" x14ac:dyDescent="0.3">
      <c r="A3894" t="s">
        <v>6439</v>
      </c>
      <c r="B3894" t="s">
        <v>4797</v>
      </c>
      <c r="C3894" t="s">
        <v>6440</v>
      </c>
      <c r="D3894">
        <v>63179094</v>
      </c>
      <c r="E3894">
        <v>4.62</v>
      </c>
      <c r="F3894">
        <v>6.82</v>
      </c>
    </row>
    <row r="3895" spans="1:6" x14ac:dyDescent="0.3">
      <c r="A3895" t="s">
        <v>6441</v>
      </c>
      <c r="B3895" t="s">
        <v>4814</v>
      </c>
      <c r="C3895" t="s">
        <v>6442</v>
      </c>
      <c r="D3895">
        <v>63209473</v>
      </c>
      <c r="E3895">
        <v>1.17</v>
      </c>
      <c r="F3895">
        <v>6.7</v>
      </c>
    </row>
    <row r="3896" spans="1:6" x14ac:dyDescent="0.3">
      <c r="A3896" t="s">
        <v>6443</v>
      </c>
      <c r="B3896" t="s">
        <v>6444</v>
      </c>
      <c r="C3896" t="s">
        <v>6445</v>
      </c>
      <c r="D3896">
        <v>63226132</v>
      </c>
      <c r="E3896">
        <v>5</v>
      </c>
      <c r="F3896">
        <v>4.4000000000000004</v>
      </c>
    </row>
    <row r="3897" spans="1:6" x14ac:dyDescent="0.3">
      <c r="A3897" t="s">
        <v>6446</v>
      </c>
      <c r="B3897" t="s">
        <v>1196</v>
      </c>
      <c r="C3897" t="s">
        <v>2781</v>
      </c>
      <c r="D3897">
        <v>63232525</v>
      </c>
      <c r="E3897">
        <v>3.76</v>
      </c>
      <c r="F3897">
        <v>7.55</v>
      </c>
    </row>
    <row r="3898" spans="1:6" x14ac:dyDescent="0.3">
      <c r="A3898" t="s">
        <v>6447</v>
      </c>
      <c r="B3898" t="s">
        <v>6448</v>
      </c>
      <c r="C3898" t="s">
        <v>6449</v>
      </c>
      <c r="D3898">
        <v>63245800</v>
      </c>
      <c r="E3898">
        <v>3.14</v>
      </c>
      <c r="F3898">
        <v>7.93</v>
      </c>
    </row>
    <row r="3899" spans="1:6" x14ac:dyDescent="0.3">
      <c r="A3899" t="s">
        <v>6450</v>
      </c>
      <c r="B3899" t="s">
        <v>4893</v>
      </c>
      <c r="C3899" t="s">
        <v>1850</v>
      </c>
      <c r="D3899">
        <v>63245954</v>
      </c>
      <c r="E3899">
        <v>16.760000000000002</v>
      </c>
      <c r="F3899">
        <v>7.44</v>
      </c>
    </row>
    <row r="3900" spans="1:6" x14ac:dyDescent="0.3">
      <c r="A3900" t="s">
        <v>6451</v>
      </c>
      <c r="B3900">
        <v>45744574</v>
      </c>
      <c r="C3900" t="s">
        <v>6452</v>
      </c>
      <c r="D3900">
        <v>63255133</v>
      </c>
      <c r="E3900">
        <v>7.67</v>
      </c>
      <c r="F3900">
        <v>6</v>
      </c>
    </row>
    <row r="3901" spans="1:6" x14ac:dyDescent="0.3">
      <c r="A3901" t="s">
        <v>6453</v>
      </c>
      <c r="B3901" t="s">
        <v>5093</v>
      </c>
      <c r="C3901" t="s">
        <v>6454</v>
      </c>
      <c r="D3901">
        <v>63258554</v>
      </c>
      <c r="E3901">
        <v>6.16</v>
      </c>
      <c r="F3901">
        <v>6.9</v>
      </c>
    </row>
    <row r="3902" spans="1:6" x14ac:dyDescent="0.3">
      <c r="A3902" t="s">
        <v>6455</v>
      </c>
      <c r="B3902" t="s">
        <v>6456</v>
      </c>
      <c r="C3902" t="s">
        <v>6457</v>
      </c>
      <c r="D3902">
        <v>63263369</v>
      </c>
      <c r="E3902">
        <v>11</v>
      </c>
      <c r="F3902">
        <v>6.67</v>
      </c>
    </row>
    <row r="3903" spans="1:6" x14ac:dyDescent="0.3">
      <c r="A3903" t="s">
        <v>6458</v>
      </c>
      <c r="B3903" t="s">
        <v>5760</v>
      </c>
      <c r="C3903" t="s">
        <v>1658</v>
      </c>
      <c r="D3903">
        <v>63277477</v>
      </c>
      <c r="E3903">
        <v>3.9</v>
      </c>
      <c r="F3903">
        <v>6.7</v>
      </c>
    </row>
    <row r="3904" spans="1:6" x14ac:dyDescent="0.3">
      <c r="A3904" t="s">
        <v>6459</v>
      </c>
      <c r="B3904" t="s">
        <v>3830</v>
      </c>
      <c r="C3904" t="s">
        <v>1803</v>
      </c>
      <c r="D3904">
        <v>63306336</v>
      </c>
      <c r="E3904">
        <v>3.78</v>
      </c>
      <c r="F3904">
        <v>6.5</v>
      </c>
    </row>
    <row r="3905" spans="1:6" x14ac:dyDescent="0.3">
      <c r="A3905" t="s">
        <v>6460</v>
      </c>
      <c r="B3905" t="s">
        <v>2913</v>
      </c>
      <c r="C3905" t="s">
        <v>6461</v>
      </c>
      <c r="D3905">
        <v>63333766</v>
      </c>
      <c r="E3905">
        <v>7.93</v>
      </c>
      <c r="F3905">
        <v>6.4</v>
      </c>
    </row>
    <row r="3906" spans="1:6" x14ac:dyDescent="0.3">
      <c r="A3906" t="s">
        <v>6462</v>
      </c>
      <c r="B3906" t="s">
        <v>6463</v>
      </c>
      <c r="C3906" t="s">
        <v>6464</v>
      </c>
      <c r="D3906">
        <v>63345122</v>
      </c>
      <c r="E3906">
        <v>6.25</v>
      </c>
      <c r="F3906">
        <v>5.67</v>
      </c>
    </row>
    <row r="3907" spans="1:6" x14ac:dyDescent="0.3">
      <c r="A3907" t="s">
        <v>6465</v>
      </c>
      <c r="B3907" t="s">
        <v>4154</v>
      </c>
      <c r="C3907" t="s">
        <v>6466</v>
      </c>
      <c r="D3907">
        <v>63354496</v>
      </c>
      <c r="E3907">
        <v>24</v>
      </c>
      <c r="F3907">
        <v>7.75</v>
      </c>
    </row>
    <row r="3908" spans="1:6" x14ac:dyDescent="0.3">
      <c r="A3908" t="s">
        <v>6467</v>
      </c>
      <c r="B3908" t="s">
        <v>6468</v>
      </c>
      <c r="C3908" t="s">
        <v>5440</v>
      </c>
      <c r="D3908">
        <v>63374417</v>
      </c>
      <c r="E3908">
        <v>1.18</v>
      </c>
      <c r="F3908">
        <v>6.67</v>
      </c>
    </row>
    <row r="3909" spans="1:6" x14ac:dyDescent="0.3">
      <c r="A3909" t="s">
        <v>6469</v>
      </c>
      <c r="B3909" t="s">
        <v>6470</v>
      </c>
      <c r="C3909" t="s">
        <v>6471</v>
      </c>
      <c r="D3909">
        <v>63377357</v>
      </c>
      <c r="E3909">
        <v>22.13</v>
      </c>
      <c r="F3909">
        <v>7.73</v>
      </c>
    </row>
    <row r="3910" spans="1:6" x14ac:dyDescent="0.3">
      <c r="A3910" t="s">
        <v>6472</v>
      </c>
      <c r="B3910" t="s">
        <v>6473</v>
      </c>
      <c r="C3910" t="s">
        <v>3409</v>
      </c>
      <c r="D3910">
        <v>63387755</v>
      </c>
      <c r="E3910">
        <v>7.88</v>
      </c>
      <c r="F3910">
        <v>6</v>
      </c>
    </row>
    <row r="3911" spans="1:6" x14ac:dyDescent="0.3">
      <c r="A3911" t="s">
        <v>6474</v>
      </c>
      <c r="B3911" t="s">
        <v>5890</v>
      </c>
      <c r="C3911" t="s">
        <v>6475</v>
      </c>
      <c r="D3911">
        <v>63405062</v>
      </c>
      <c r="E3911">
        <v>4.75</v>
      </c>
      <c r="F3911">
        <v>6.81</v>
      </c>
    </row>
    <row r="3912" spans="1:6" x14ac:dyDescent="0.3">
      <c r="A3912" t="s">
        <v>6476</v>
      </c>
      <c r="B3912" t="s">
        <v>4234</v>
      </c>
      <c r="C3912" t="s">
        <v>1875</v>
      </c>
      <c r="D3912">
        <v>63406224</v>
      </c>
      <c r="E3912">
        <v>3.7</v>
      </c>
      <c r="F3912">
        <v>6.72</v>
      </c>
    </row>
    <row r="3913" spans="1:6" x14ac:dyDescent="0.3">
      <c r="A3913" t="s">
        <v>6477</v>
      </c>
      <c r="B3913" t="s">
        <v>6478</v>
      </c>
      <c r="C3913" t="s">
        <v>2958</v>
      </c>
      <c r="D3913">
        <v>63418659</v>
      </c>
      <c r="E3913">
        <v>7.25</v>
      </c>
      <c r="F3913">
        <v>4.67</v>
      </c>
    </row>
    <row r="3914" spans="1:6" x14ac:dyDescent="0.3">
      <c r="A3914" t="s">
        <v>6479</v>
      </c>
      <c r="B3914" t="s">
        <v>4159</v>
      </c>
      <c r="C3914" t="s">
        <v>6480</v>
      </c>
      <c r="D3914">
        <v>63422509</v>
      </c>
      <c r="E3914">
        <v>14.89</v>
      </c>
      <c r="F3914">
        <v>8.5399999999999991</v>
      </c>
    </row>
    <row r="3915" spans="1:6" x14ac:dyDescent="0.3">
      <c r="A3915" t="s">
        <v>6481</v>
      </c>
      <c r="B3915" t="s">
        <v>3634</v>
      </c>
      <c r="C3915" t="s">
        <v>6482</v>
      </c>
      <c r="D3915">
        <v>63430978</v>
      </c>
      <c r="E3915">
        <v>5.21</v>
      </c>
      <c r="F3915">
        <v>8.33</v>
      </c>
    </row>
    <row r="3916" spans="1:6" x14ac:dyDescent="0.3">
      <c r="A3916" t="s">
        <v>6483</v>
      </c>
      <c r="B3916" t="s">
        <v>5796</v>
      </c>
      <c r="C3916" t="s">
        <v>1185</v>
      </c>
      <c r="D3916">
        <v>63433024</v>
      </c>
      <c r="E3916">
        <v>21.92</v>
      </c>
      <c r="F3916">
        <v>7.64</v>
      </c>
    </row>
    <row r="3917" spans="1:6" x14ac:dyDescent="0.3">
      <c r="A3917" t="s">
        <v>6484</v>
      </c>
      <c r="B3917" t="s">
        <v>3142</v>
      </c>
      <c r="C3917" t="s">
        <v>6485</v>
      </c>
      <c r="D3917">
        <v>63454332</v>
      </c>
      <c r="E3917">
        <v>20.3</v>
      </c>
      <c r="F3917">
        <v>6</v>
      </c>
    </row>
    <row r="3918" spans="1:6" x14ac:dyDescent="0.3">
      <c r="A3918" t="s">
        <v>6486</v>
      </c>
      <c r="B3918" t="s">
        <v>6487</v>
      </c>
      <c r="C3918" t="s">
        <v>3371</v>
      </c>
      <c r="D3918">
        <v>63454575</v>
      </c>
      <c r="E3918">
        <v>2.23</v>
      </c>
      <c r="F3918">
        <v>5.53</v>
      </c>
    </row>
    <row r="3919" spans="1:6" x14ac:dyDescent="0.3">
      <c r="A3919" t="s">
        <v>6488</v>
      </c>
      <c r="B3919" t="s">
        <v>1890</v>
      </c>
      <c r="C3919" t="s">
        <v>6117</v>
      </c>
      <c r="D3919">
        <v>63454942</v>
      </c>
      <c r="E3919">
        <v>7.86</v>
      </c>
      <c r="F3919">
        <v>6.36</v>
      </c>
    </row>
    <row r="3920" spans="1:6" x14ac:dyDescent="0.3">
      <c r="A3920" t="s">
        <v>6489</v>
      </c>
      <c r="B3920" t="s">
        <v>6490</v>
      </c>
      <c r="C3920" t="s">
        <v>1843</v>
      </c>
      <c r="D3920">
        <v>63462716</v>
      </c>
      <c r="E3920">
        <v>16.579999999999998</v>
      </c>
      <c r="F3920">
        <v>7.07</v>
      </c>
    </row>
    <row r="3921" spans="1:6" x14ac:dyDescent="0.3">
      <c r="A3921" t="s">
        <v>6491</v>
      </c>
      <c r="B3921" t="s">
        <v>5143</v>
      </c>
      <c r="C3921" t="s">
        <v>2092</v>
      </c>
      <c r="D3921">
        <v>63471387</v>
      </c>
      <c r="E3921">
        <v>23.44</v>
      </c>
      <c r="F3921">
        <v>8.6</v>
      </c>
    </row>
    <row r="3922" spans="1:6" x14ac:dyDescent="0.3">
      <c r="A3922" t="s">
        <v>6492</v>
      </c>
      <c r="B3922" t="s">
        <v>3803</v>
      </c>
      <c r="C3922" t="s">
        <v>4986</v>
      </c>
      <c r="D3922">
        <v>63476401</v>
      </c>
      <c r="E3922">
        <v>10.85</v>
      </c>
      <c r="F3922">
        <v>4.5599999999999996</v>
      </c>
    </row>
    <row r="3923" spans="1:6" x14ac:dyDescent="0.3">
      <c r="A3923" t="s">
        <v>6493</v>
      </c>
      <c r="B3923" t="s">
        <v>5908</v>
      </c>
      <c r="C3923" t="s">
        <v>2015</v>
      </c>
      <c r="D3923">
        <v>63482186</v>
      </c>
      <c r="E3923">
        <v>26</v>
      </c>
      <c r="F3923">
        <v>7</v>
      </c>
    </row>
    <row r="3924" spans="1:6" x14ac:dyDescent="0.3">
      <c r="A3924" t="s">
        <v>6494</v>
      </c>
      <c r="B3924" t="s">
        <v>4073</v>
      </c>
      <c r="C3924" t="s">
        <v>6495</v>
      </c>
      <c r="D3924">
        <v>63490401</v>
      </c>
      <c r="E3924">
        <v>2.0499999999999998</v>
      </c>
      <c r="F3924">
        <v>7.09</v>
      </c>
    </row>
    <row r="3925" spans="1:6" x14ac:dyDescent="0.3">
      <c r="A3925" t="s">
        <v>6496</v>
      </c>
      <c r="B3925" t="s">
        <v>6497</v>
      </c>
      <c r="C3925" t="s">
        <v>2280</v>
      </c>
      <c r="D3925">
        <v>63493335</v>
      </c>
      <c r="E3925">
        <v>11</v>
      </c>
      <c r="F3925">
        <v>4</v>
      </c>
    </row>
    <row r="3926" spans="1:6" x14ac:dyDescent="0.3">
      <c r="A3926" t="s">
        <v>6270</v>
      </c>
      <c r="B3926" t="s">
        <v>6498</v>
      </c>
      <c r="C3926" t="s">
        <v>2523</v>
      </c>
      <c r="D3926">
        <v>63494389</v>
      </c>
      <c r="E3926">
        <v>17</v>
      </c>
      <c r="F3926">
        <v>7</v>
      </c>
    </row>
    <row r="3927" spans="1:6" x14ac:dyDescent="0.3">
      <c r="A3927" t="s">
        <v>6499</v>
      </c>
      <c r="B3927" t="s">
        <v>4120</v>
      </c>
      <c r="C3927" t="s">
        <v>6500</v>
      </c>
      <c r="D3927">
        <v>63500550</v>
      </c>
      <c r="E3927">
        <v>16.11</v>
      </c>
      <c r="F3927">
        <v>7.6</v>
      </c>
    </row>
    <row r="3928" spans="1:6" x14ac:dyDescent="0.3">
      <c r="A3928" t="s">
        <v>6501</v>
      </c>
      <c r="B3928" t="s">
        <v>1984</v>
      </c>
      <c r="C3928" t="s">
        <v>1018</v>
      </c>
      <c r="D3928">
        <v>63514295</v>
      </c>
      <c r="E3928">
        <v>27.17</v>
      </c>
      <c r="F3928">
        <v>6.83</v>
      </c>
    </row>
    <row r="3929" spans="1:6" x14ac:dyDescent="0.3">
      <c r="A3929" t="s">
        <v>6502</v>
      </c>
      <c r="B3929" t="s">
        <v>3805</v>
      </c>
      <c r="C3929" t="s">
        <v>6503</v>
      </c>
      <c r="D3929">
        <v>63521602</v>
      </c>
      <c r="E3929">
        <v>2.2200000000000002</v>
      </c>
      <c r="F3929">
        <v>6.43</v>
      </c>
    </row>
    <row r="3930" spans="1:6" x14ac:dyDescent="0.3">
      <c r="A3930" t="s">
        <v>6504</v>
      </c>
      <c r="B3930" t="s">
        <v>6505</v>
      </c>
      <c r="C3930" t="s">
        <v>5112</v>
      </c>
      <c r="D3930">
        <v>63530612</v>
      </c>
      <c r="E3930">
        <v>1.2</v>
      </c>
      <c r="F3930">
        <v>5.66</v>
      </c>
    </row>
    <row r="3931" spans="1:6" x14ac:dyDescent="0.3">
      <c r="A3931" t="s">
        <v>6506</v>
      </c>
      <c r="B3931" t="s">
        <v>6507</v>
      </c>
      <c r="C3931" t="s">
        <v>3126</v>
      </c>
      <c r="D3931">
        <v>63531642</v>
      </c>
      <c r="E3931">
        <v>6.24</v>
      </c>
      <c r="F3931">
        <v>7.16</v>
      </c>
    </row>
    <row r="3932" spans="1:6" x14ac:dyDescent="0.3">
      <c r="A3932" t="s">
        <v>6508</v>
      </c>
      <c r="B3932" t="s">
        <v>6204</v>
      </c>
      <c r="C3932" t="s">
        <v>3487</v>
      </c>
      <c r="D3932">
        <v>63537098</v>
      </c>
      <c r="E3932">
        <v>5</v>
      </c>
      <c r="F3932">
        <v>6.38</v>
      </c>
    </row>
    <row r="3933" spans="1:6" x14ac:dyDescent="0.3">
      <c r="A3933" t="s">
        <v>6509</v>
      </c>
      <c r="B3933" t="s">
        <v>6510</v>
      </c>
      <c r="C3933" t="s">
        <v>4045</v>
      </c>
      <c r="D3933">
        <v>63545759</v>
      </c>
      <c r="E3933">
        <v>5.53</v>
      </c>
      <c r="F3933">
        <v>8</v>
      </c>
    </row>
    <row r="3934" spans="1:6" x14ac:dyDescent="0.3">
      <c r="A3934" t="s">
        <v>6511</v>
      </c>
      <c r="B3934" t="s">
        <v>4293</v>
      </c>
      <c r="C3934" t="s">
        <v>6512</v>
      </c>
      <c r="D3934">
        <v>63559860</v>
      </c>
      <c r="E3934">
        <v>23.75</v>
      </c>
      <c r="F3934">
        <v>9.25</v>
      </c>
    </row>
    <row r="3935" spans="1:6" x14ac:dyDescent="0.3">
      <c r="A3935" t="s">
        <v>2303</v>
      </c>
      <c r="B3935" t="s">
        <v>4366</v>
      </c>
      <c r="C3935" t="s">
        <v>5025</v>
      </c>
      <c r="D3935">
        <v>63560498</v>
      </c>
      <c r="E3935">
        <v>28</v>
      </c>
      <c r="F3935">
        <v>9.2200000000000006</v>
      </c>
    </row>
    <row r="3936" spans="1:6" x14ac:dyDescent="0.3">
      <c r="A3936" t="s">
        <v>6513</v>
      </c>
      <c r="B3936" t="s">
        <v>5443</v>
      </c>
      <c r="C3936" t="s">
        <v>6514</v>
      </c>
      <c r="D3936">
        <v>63564063</v>
      </c>
      <c r="E3936">
        <v>9.1999999999999993</v>
      </c>
      <c r="F3936">
        <v>4.33</v>
      </c>
    </row>
    <row r="3937" spans="1:6" x14ac:dyDescent="0.3">
      <c r="A3937" t="s">
        <v>6515</v>
      </c>
      <c r="B3937" t="s">
        <v>6516</v>
      </c>
      <c r="C3937" t="s">
        <v>1355</v>
      </c>
      <c r="D3937">
        <v>63564659</v>
      </c>
      <c r="E3937">
        <v>14.84</v>
      </c>
      <c r="F3937">
        <v>6.94</v>
      </c>
    </row>
    <row r="3938" spans="1:6" x14ac:dyDescent="0.3">
      <c r="A3938" t="s">
        <v>2506</v>
      </c>
      <c r="B3938" t="s">
        <v>6517</v>
      </c>
      <c r="C3938" t="s">
        <v>5356</v>
      </c>
      <c r="D3938">
        <v>63568941</v>
      </c>
      <c r="E3938">
        <v>7</v>
      </c>
      <c r="F3938">
        <v>7.14</v>
      </c>
    </row>
    <row r="3939" spans="1:6" x14ac:dyDescent="0.3">
      <c r="A3939" t="s">
        <v>6518</v>
      </c>
      <c r="B3939" t="s">
        <v>4377</v>
      </c>
      <c r="C3939" t="s">
        <v>5749</v>
      </c>
      <c r="D3939">
        <v>63587711</v>
      </c>
      <c r="E3939">
        <v>2.08</v>
      </c>
      <c r="F3939">
        <v>6</v>
      </c>
    </row>
    <row r="3940" spans="1:6" x14ac:dyDescent="0.3">
      <c r="A3940" t="s">
        <v>6519</v>
      </c>
      <c r="B3940" t="s">
        <v>5760</v>
      </c>
      <c r="C3940" t="s">
        <v>5257</v>
      </c>
      <c r="D3940">
        <v>63593437</v>
      </c>
      <c r="E3940">
        <v>17.04</v>
      </c>
      <c r="F3940">
        <v>7.73</v>
      </c>
    </row>
    <row r="3941" spans="1:6" x14ac:dyDescent="0.3">
      <c r="A3941" t="s">
        <v>6520</v>
      </c>
      <c r="B3941" t="s">
        <v>6521</v>
      </c>
      <c r="C3941" t="s">
        <v>1719</v>
      </c>
      <c r="D3941">
        <v>63617716</v>
      </c>
      <c r="E3941">
        <v>16.86</v>
      </c>
      <c r="F3941">
        <v>5.85</v>
      </c>
    </row>
    <row r="3942" spans="1:6" x14ac:dyDescent="0.3">
      <c r="A3942" t="s">
        <v>6522</v>
      </c>
      <c r="B3942" t="s">
        <v>6523</v>
      </c>
      <c r="C3942" t="s">
        <v>961</v>
      </c>
      <c r="D3942">
        <v>63620783</v>
      </c>
      <c r="E3942">
        <v>16</v>
      </c>
      <c r="F3942">
        <v>8</v>
      </c>
    </row>
    <row r="3943" spans="1:6" x14ac:dyDescent="0.3">
      <c r="A3943" t="s">
        <v>6524</v>
      </c>
      <c r="B3943" t="s">
        <v>6525</v>
      </c>
      <c r="C3943" t="s">
        <v>6526</v>
      </c>
      <c r="D3943">
        <v>63644607</v>
      </c>
      <c r="E3943">
        <v>16.23</v>
      </c>
      <c r="F3943">
        <v>8.86</v>
      </c>
    </row>
    <row r="3944" spans="1:6" x14ac:dyDescent="0.3">
      <c r="A3944" t="s">
        <v>6527</v>
      </c>
      <c r="B3944" t="s">
        <v>5449</v>
      </c>
      <c r="C3944" t="s">
        <v>6528</v>
      </c>
      <c r="D3944">
        <v>63666089</v>
      </c>
      <c r="E3944">
        <v>7.05</v>
      </c>
      <c r="F3944">
        <v>7</v>
      </c>
    </row>
    <row r="3945" spans="1:6" x14ac:dyDescent="0.3">
      <c r="A3945" t="s">
        <v>6529</v>
      </c>
      <c r="B3945" t="s">
        <v>4962</v>
      </c>
      <c r="C3945" t="s">
        <v>4388</v>
      </c>
      <c r="D3945">
        <v>63666215</v>
      </c>
      <c r="E3945">
        <v>1.92</v>
      </c>
      <c r="F3945">
        <v>5.19</v>
      </c>
    </row>
    <row r="3946" spans="1:6" x14ac:dyDescent="0.3">
      <c r="A3946" t="s">
        <v>6530</v>
      </c>
      <c r="B3946" t="s">
        <v>6531</v>
      </c>
      <c r="C3946" t="s">
        <v>6532</v>
      </c>
      <c r="D3946">
        <v>63733585</v>
      </c>
      <c r="E3946">
        <v>24.5</v>
      </c>
      <c r="F3946">
        <v>8.5</v>
      </c>
    </row>
    <row r="3947" spans="1:6" x14ac:dyDescent="0.3">
      <c r="A3947" t="s">
        <v>6533</v>
      </c>
      <c r="B3947" t="s">
        <v>5328</v>
      </c>
      <c r="C3947" t="s">
        <v>6534</v>
      </c>
      <c r="D3947">
        <v>63738416</v>
      </c>
      <c r="E3947">
        <v>2.52</v>
      </c>
      <c r="F3947">
        <v>6.25</v>
      </c>
    </row>
    <row r="3948" spans="1:6" x14ac:dyDescent="0.3">
      <c r="A3948" t="s">
        <v>6535</v>
      </c>
      <c r="B3948" t="s">
        <v>1576</v>
      </c>
      <c r="C3948" t="s">
        <v>6536</v>
      </c>
      <c r="D3948">
        <v>63744781</v>
      </c>
      <c r="E3948">
        <v>6.31</v>
      </c>
      <c r="F3948">
        <v>7.77</v>
      </c>
    </row>
    <row r="3949" spans="1:6" x14ac:dyDescent="0.3">
      <c r="A3949" t="s">
        <v>6537</v>
      </c>
      <c r="B3949" t="s">
        <v>6538</v>
      </c>
      <c r="C3949" t="s">
        <v>6539</v>
      </c>
      <c r="D3949">
        <v>63753778</v>
      </c>
      <c r="E3949">
        <v>19.02</v>
      </c>
      <c r="F3949">
        <v>7.13</v>
      </c>
    </row>
    <row r="3950" spans="1:6" x14ac:dyDescent="0.3">
      <c r="A3950" t="s">
        <v>6540</v>
      </c>
      <c r="B3950" t="s">
        <v>1276</v>
      </c>
      <c r="C3950" t="s">
        <v>1044</v>
      </c>
      <c r="D3950">
        <v>63760885</v>
      </c>
      <c r="E3950">
        <v>9.33</v>
      </c>
      <c r="F3950">
        <v>7.74</v>
      </c>
    </row>
    <row r="3951" spans="1:6" x14ac:dyDescent="0.3">
      <c r="A3951" t="s">
        <v>6541</v>
      </c>
      <c r="B3951" t="s">
        <v>3120</v>
      </c>
      <c r="C3951" t="s">
        <v>2675</v>
      </c>
      <c r="D3951">
        <v>63775846</v>
      </c>
      <c r="E3951">
        <v>20.91</v>
      </c>
      <c r="F3951">
        <v>5.61</v>
      </c>
    </row>
    <row r="3952" spans="1:6" x14ac:dyDescent="0.3">
      <c r="A3952" t="s">
        <v>6542</v>
      </c>
      <c r="B3952" t="s">
        <v>5591</v>
      </c>
      <c r="C3952" t="s">
        <v>222</v>
      </c>
      <c r="D3952">
        <v>63806270</v>
      </c>
      <c r="E3952">
        <v>8</v>
      </c>
      <c r="F3952">
        <v>6.86</v>
      </c>
    </row>
    <row r="3953" spans="1:6" x14ac:dyDescent="0.3">
      <c r="A3953" t="s">
        <v>6543</v>
      </c>
      <c r="B3953" t="s">
        <v>1589</v>
      </c>
      <c r="C3953" t="s">
        <v>6544</v>
      </c>
      <c r="D3953">
        <v>63809982</v>
      </c>
      <c r="E3953">
        <v>6.5</v>
      </c>
      <c r="F3953">
        <v>4</v>
      </c>
    </row>
    <row r="3954" spans="1:6" x14ac:dyDescent="0.3">
      <c r="A3954" t="s">
        <v>6545</v>
      </c>
      <c r="B3954" t="s">
        <v>5142</v>
      </c>
      <c r="C3954" t="s">
        <v>2347</v>
      </c>
      <c r="D3954">
        <v>63816833</v>
      </c>
      <c r="E3954">
        <v>17</v>
      </c>
      <c r="F3954">
        <v>6.33</v>
      </c>
    </row>
    <row r="3955" spans="1:6" x14ac:dyDescent="0.3">
      <c r="A3955" t="s">
        <v>6546</v>
      </c>
      <c r="B3955" t="s">
        <v>6547</v>
      </c>
      <c r="C3955" t="s">
        <v>767</v>
      </c>
      <c r="D3955">
        <v>63842337</v>
      </c>
      <c r="E3955">
        <v>12.75</v>
      </c>
      <c r="F3955">
        <v>7.25</v>
      </c>
    </row>
    <row r="3956" spans="1:6" x14ac:dyDescent="0.3">
      <c r="A3956" t="s">
        <v>6548</v>
      </c>
      <c r="B3956" t="s">
        <v>6361</v>
      </c>
      <c r="C3956" t="s">
        <v>4744</v>
      </c>
      <c r="D3956">
        <v>63843386</v>
      </c>
      <c r="E3956">
        <v>1.69</v>
      </c>
      <c r="F3956">
        <v>6.85</v>
      </c>
    </row>
    <row r="3957" spans="1:6" x14ac:dyDescent="0.3">
      <c r="A3957" t="s">
        <v>6549</v>
      </c>
      <c r="B3957" t="s">
        <v>6550</v>
      </c>
      <c r="C3957" t="s">
        <v>6551</v>
      </c>
      <c r="D3957">
        <v>63848989</v>
      </c>
      <c r="E3957">
        <v>9.24</v>
      </c>
      <c r="F3957">
        <v>4.33</v>
      </c>
    </row>
    <row r="3958" spans="1:6" x14ac:dyDescent="0.3">
      <c r="A3958" t="s">
        <v>6552</v>
      </c>
      <c r="B3958" t="s">
        <v>5434</v>
      </c>
      <c r="C3958" t="s">
        <v>6553</v>
      </c>
      <c r="D3958">
        <v>63850265</v>
      </c>
      <c r="E3958">
        <v>2.8</v>
      </c>
      <c r="F3958">
        <v>6.78</v>
      </c>
    </row>
    <row r="3959" spans="1:6" x14ac:dyDescent="0.3">
      <c r="A3959" t="s">
        <v>6554</v>
      </c>
      <c r="B3959" t="s">
        <v>3072</v>
      </c>
      <c r="C3959" t="s">
        <v>5841</v>
      </c>
      <c r="D3959">
        <v>63851728</v>
      </c>
      <c r="E3959">
        <v>28.5</v>
      </c>
      <c r="F3959">
        <v>7</v>
      </c>
    </row>
    <row r="3960" spans="1:6" x14ac:dyDescent="0.3">
      <c r="A3960" t="s">
        <v>6555</v>
      </c>
      <c r="B3960" t="s">
        <v>6556</v>
      </c>
      <c r="C3960" t="s">
        <v>1483</v>
      </c>
      <c r="D3960">
        <v>63858842</v>
      </c>
      <c r="E3960">
        <v>29</v>
      </c>
      <c r="F3960">
        <v>4.5</v>
      </c>
    </row>
    <row r="3961" spans="1:6" x14ac:dyDescent="0.3">
      <c r="A3961" t="s">
        <v>6557</v>
      </c>
      <c r="B3961" t="s">
        <v>3514</v>
      </c>
      <c r="C3961" t="s">
        <v>5891</v>
      </c>
      <c r="D3961">
        <v>63862905</v>
      </c>
      <c r="E3961">
        <v>21.82</v>
      </c>
      <c r="F3961">
        <v>7.95</v>
      </c>
    </row>
    <row r="3962" spans="1:6" x14ac:dyDescent="0.3">
      <c r="A3962" t="s">
        <v>6558</v>
      </c>
      <c r="B3962" t="s">
        <v>4799</v>
      </c>
      <c r="C3962" t="s">
        <v>3839</v>
      </c>
      <c r="D3962">
        <v>63863242</v>
      </c>
      <c r="E3962">
        <v>13.53</v>
      </c>
      <c r="F3962">
        <v>5.67</v>
      </c>
    </row>
    <row r="3963" spans="1:6" x14ac:dyDescent="0.3">
      <c r="A3963" t="s">
        <v>6020</v>
      </c>
      <c r="B3963" t="s">
        <v>4797</v>
      </c>
      <c r="C3963" t="s">
        <v>6020</v>
      </c>
      <c r="D3963">
        <v>63873244</v>
      </c>
      <c r="E3963">
        <v>5</v>
      </c>
      <c r="F3963">
        <v>3</v>
      </c>
    </row>
    <row r="3964" spans="1:6" x14ac:dyDescent="0.3">
      <c r="A3964" t="s">
        <v>6559</v>
      </c>
      <c r="B3964" t="s">
        <v>4690</v>
      </c>
      <c r="C3964" t="s">
        <v>5959</v>
      </c>
      <c r="D3964">
        <v>63875114</v>
      </c>
      <c r="E3964">
        <v>3.92</v>
      </c>
      <c r="F3964">
        <v>6.75</v>
      </c>
    </row>
    <row r="3965" spans="1:6" x14ac:dyDescent="0.3">
      <c r="A3965" t="s">
        <v>6560</v>
      </c>
      <c r="B3965" t="s">
        <v>6561</v>
      </c>
      <c r="C3965" t="s">
        <v>5868</v>
      </c>
      <c r="D3965">
        <v>63910792</v>
      </c>
      <c r="E3965">
        <v>3.81</v>
      </c>
      <c r="F3965">
        <v>6.77</v>
      </c>
    </row>
    <row r="3966" spans="1:6" x14ac:dyDescent="0.3">
      <c r="A3966" t="s">
        <v>2785</v>
      </c>
      <c r="B3966" t="s">
        <v>3820</v>
      </c>
      <c r="C3966" t="s">
        <v>2785</v>
      </c>
      <c r="D3966">
        <v>63915746</v>
      </c>
      <c r="E3966">
        <v>20</v>
      </c>
      <c r="F3966">
        <v>8.4700000000000006</v>
      </c>
    </row>
    <row r="3967" spans="1:6" x14ac:dyDescent="0.3">
      <c r="A3967" t="s">
        <v>6562</v>
      </c>
      <c r="B3967" t="s">
        <v>6563</v>
      </c>
      <c r="C3967" t="s">
        <v>6564</v>
      </c>
      <c r="D3967">
        <v>63948529</v>
      </c>
      <c r="E3967">
        <v>2.0499999999999998</v>
      </c>
      <c r="F3967">
        <v>6.43</v>
      </c>
    </row>
    <row r="3968" spans="1:6" x14ac:dyDescent="0.3">
      <c r="A3968" t="s">
        <v>6565</v>
      </c>
      <c r="B3968" t="s">
        <v>6566</v>
      </c>
      <c r="C3968" t="s">
        <v>6567</v>
      </c>
      <c r="D3968">
        <v>63959337</v>
      </c>
      <c r="E3968">
        <v>28</v>
      </c>
      <c r="F3968">
        <v>8</v>
      </c>
    </row>
    <row r="3969" spans="1:6" x14ac:dyDescent="0.3">
      <c r="A3969" t="s">
        <v>6568</v>
      </c>
      <c r="B3969" t="s">
        <v>6569</v>
      </c>
      <c r="C3969" t="s">
        <v>6570</v>
      </c>
      <c r="D3969">
        <v>63963560</v>
      </c>
      <c r="E3969">
        <v>6.58</v>
      </c>
      <c r="F3969">
        <v>6</v>
      </c>
    </row>
    <row r="3970" spans="1:6" x14ac:dyDescent="0.3">
      <c r="A3970" t="s">
        <v>6571</v>
      </c>
      <c r="B3970" t="s">
        <v>4718</v>
      </c>
      <c r="C3970" t="s">
        <v>5657</v>
      </c>
      <c r="D3970">
        <v>63968341</v>
      </c>
      <c r="E3970">
        <v>16.670000000000002</v>
      </c>
      <c r="F3970">
        <v>7</v>
      </c>
    </row>
    <row r="3971" spans="1:6" x14ac:dyDescent="0.3">
      <c r="A3971" t="s">
        <v>6572</v>
      </c>
      <c r="B3971" t="s">
        <v>5975</v>
      </c>
      <c r="C3971" t="s">
        <v>6573</v>
      </c>
      <c r="D3971">
        <v>63976273</v>
      </c>
      <c r="E3971">
        <v>12.98</v>
      </c>
      <c r="F3971">
        <v>4.9000000000000004</v>
      </c>
    </row>
    <row r="3972" spans="1:6" x14ac:dyDescent="0.3">
      <c r="A3972" t="s">
        <v>6574</v>
      </c>
      <c r="B3972" t="s">
        <v>5464</v>
      </c>
      <c r="C3972" t="s">
        <v>6575</v>
      </c>
      <c r="D3972">
        <v>63996127</v>
      </c>
      <c r="E3972">
        <v>33</v>
      </c>
      <c r="F3972">
        <v>7.83</v>
      </c>
    </row>
    <row r="3973" spans="1:6" x14ac:dyDescent="0.3">
      <c r="A3973" t="s">
        <v>6576</v>
      </c>
      <c r="B3973" t="s">
        <v>6011</v>
      </c>
      <c r="C3973" t="s">
        <v>6577</v>
      </c>
      <c r="D3973">
        <v>64015193</v>
      </c>
      <c r="E3973">
        <v>6.6</v>
      </c>
      <c r="F3973">
        <v>4</v>
      </c>
    </row>
    <row r="3974" spans="1:6" x14ac:dyDescent="0.3">
      <c r="A3974" t="s">
        <v>6578</v>
      </c>
      <c r="B3974" t="s">
        <v>4536</v>
      </c>
      <c r="C3974" t="s">
        <v>5444</v>
      </c>
      <c r="D3974">
        <v>64015686</v>
      </c>
      <c r="E3974">
        <v>7.8</v>
      </c>
      <c r="F3974">
        <v>4.67</v>
      </c>
    </row>
    <row r="3975" spans="1:6" x14ac:dyDescent="0.3">
      <c r="A3975" t="s">
        <v>6579</v>
      </c>
      <c r="B3975" t="s">
        <v>6269</v>
      </c>
      <c r="C3975" t="s">
        <v>6580</v>
      </c>
      <c r="D3975">
        <v>64049807</v>
      </c>
      <c r="E3975">
        <v>15.69</v>
      </c>
      <c r="F3975">
        <v>7.32</v>
      </c>
    </row>
    <row r="3976" spans="1:6" x14ac:dyDescent="0.3">
      <c r="A3976" t="s">
        <v>6581</v>
      </c>
      <c r="B3976" t="s">
        <v>1513</v>
      </c>
      <c r="C3976" t="s">
        <v>6291</v>
      </c>
      <c r="D3976">
        <v>64051003</v>
      </c>
      <c r="E3976">
        <v>26.5</v>
      </c>
      <c r="F3976">
        <v>6.5</v>
      </c>
    </row>
    <row r="3977" spans="1:6" x14ac:dyDescent="0.3">
      <c r="A3977" t="s">
        <v>6582</v>
      </c>
      <c r="B3977" t="s">
        <v>5616</v>
      </c>
      <c r="C3977" t="s">
        <v>6583</v>
      </c>
      <c r="D3977">
        <v>64066032</v>
      </c>
      <c r="E3977">
        <v>24.67</v>
      </c>
      <c r="F3977">
        <v>6.53</v>
      </c>
    </row>
    <row r="3978" spans="1:6" x14ac:dyDescent="0.3">
      <c r="A3978" t="s">
        <v>6584</v>
      </c>
      <c r="B3978" t="s">
        <v>6585</v>
      </c>
      <c r="C3978" t="s">
        <v>2020</v>
      </c>
      <c r="D3978">
        <v>64081544</v>
      </c>
      <c r="E3978">
        <v>7.63</v>
      </c>
      <c r="F3978">
        <v>6.33</v>
      </c>
    </row>
    <row r="3979" spans="1:6" x14ac:dyDescent="0.3">
      <c r="A3979" t="s">
        <v>5667</v>
      </c>
      <c r="B3979" t="s">
        <v>5614</v>
      </c>
      <c r="C3979" t="s">
        <v>5668</v>
      </c>
      <c r="D3979">
        <v>64087507</v>
      </c>
      <c r="E3979">
        <v>2.96</v>
      </c>
      <c r="F3979">
        <v>5.96</v>
      </c>
    </row>
    <row r="3980" spans="1:6" x14ac:dyDescent="0.3">
      <c r="A3980" t="s">
        <v>6586</v>
      </c>
      <c r="B3980" t="s">
        <v>4883</v>
      </c>
      <c r="C3980" t="s">
        <v>3891</v>
      </c>
      <c r="D3980">
        <v>64089730</v>
      </c>
      <c r="E3980">
        <v>18.559999999999999</v>
      </c>
      <c r="F3980">
        <v>6.86</v>
      </c>
    </row>
    <row r="3981" spans="1:6" x14ac:dyDescent="0.3">
      <c r="A3981" t="s">
        <v>6587</v>
      </c>
      <c r="B3981" t="s">
        <v>3692</v>
      </c>
      <c r="C3981" t="s">
        <v>6588</v>
      </c>
      <c r="D3981">
        <v>64097272</v>
      </c>
      <c r="E3981">
        <v>2.63</v>
      </c>
      <c r="F3981">
        <v>5.58</v>
      </c>
    </row>
    <row r="3982" spans="1:6" x14ac:dyDescent="0.3">
      <c r="A3982" t="s">
        <v>6589</v>
      </c>
      <c r="B3982" t="s">
        <v>5407</v>
      </c>
      <c r="C3982" t="s">
        <v>4570</v>
      </c>
      <c r="D3982">
        <v>64107885</v>
      </c>
      <c r="E3982">
        <v>7.64</v>
      </c>
      <c r="F3982">
        <v>5.8</v>
      </c>
    </row>
    <row r="3983" spans="1:6" x14ac:dyDescent="0.3">
      <c r="A3983" t="s">
        <v>6590</v>
      </c>
      <c r="B3983" t="s">
        <v>4761</v>
      </c>
      <c r="C3983" t="s">
        <v>1916</v>
      </c>
      <c r="D3983">
        <v>64115973</v>
      </c>
      <c r="E3983">
        <v>6</v>
      </c>
      <c r="F3983">
        <v>6.5</v>
      </c>
    </row>
    <row r="3984" spans="1:6" x14ac:dyDescent="0.3">
      <c r="A3984" t="s">
        <v>6591</v>
      </c>
      <c r="B3984" t="s">
        <v>6592</v>
      </c>
      <c r="C3984" t="s">
        <v>6014</v>
      </c>
      <c r="D3984">
        <v>64116359</v>
      </c>
      <c r="E3984">
        <v>2.58</v>
      </c>
      <c r="F3984">
        <v>6.13</v>
      </c>
    </row>
    <row r="3985" spans="1:6" x14ac:dyDescent="0.3">
      <c r="A3985" t="s">
        <v>6593</v>
      </c>
      <c r="B3985" t="s">
        <v>6594</v>
      </c>
      <c r="C3985" t="s">
        <v>6595</v>
      </c>
      <c r="D3985">
        <v>64127397</v>
      </c>
      <c r="E3985">
        <v>2.75</v>
      </c>
      <c r="F3985">
        <v>5.79</v>
      </c>
    </row>
    <row r="3986" spans="1:6" x14ac:dyDescent="0.3">
      <c r="A3986" t="s">
        <v>6596</v>
      </c>
      <c r="B3986" t="s">
        <v>6597</v>
      </c>
      <c r="C3986" t="s">
        <v>4241</v>
      </c>
      <c r="D3986">
        <v>64132348</v>
      </c>
      <c r="E3986">
        <v>3.08</v>
      </c>
      <c r="F3986">
        <v>6.08</v>
      </c>
    </row>
    <row r="3987" spans="1:6" x14ac:dyDescent="0.3">
      <c r="A3987" t="s">
        <v>6598</v>
      </c>
      <c r="B3987" t="s">
        <v>4483</v>
      </c>
      <c r="C3987" t="s">
        <v>5959</v>
      </c>
      <c r="D3987">
        <v>64139296</v>
      </c>
      <c r="E3987">
        <v>1.01</v>
      </c>
      <c r="F3987">
        <v>7.61</v>
      </c>
    </row>
    <row r="3988" spans="1:6" x14ac:dyDescent="0.3">
      <c r="A3988" t="s">
        <v>6599</v>
      </c>
      <c r="B3988" t="s">
        <v>6600</v>
      </c>
      <c r="C3988" t="s">
        <v>6601</v>
      </c>
      <c r="D3988">
        <v>64139303</v>
      </c>
      <c r="E3988">
        <v>1.94</v>
      </c>
      <c r="F3988">
        <v>6.48</v>
      </c>
    </row>
    <row r="3989" spans="1:6" x14ac:dyDescent="0.3">
      <c r="A3989" t="s">
        <v>6602</v>
      </c>
      <c r="B3989" t="s">
        <v>6603</v>
      </c>
      <c r="C3989" t="s">
        <v>6604</v>
      </c>
      <c r="D3989">
        <v>64140451</v>
      </c>
      <c r="E3989">
        <v>8.99</v>
      </c>
      <c r="F3989">
        <v>3.63</v>
      </c>
    </row>
    <row r="3990" spans="1:6" x14ac:dyDescent="0.3">
      <c r="A3990" t="s">
        <v>5366</v>
      </c>
      <c r="B3990" t="s">
        <v>5512</v>
      </c>
      <c r="C3990" t="s">
        <v>6605</v>
      </c>
      <c r="D3990">
        <v>64144098</v>
      </c>
      <c r="E3990">
        <v>7.2</v>
      </c>
      <c r="F3990">
        <v>4.2</v>
      </c>
    </row>
    <row r="3991" spans="1:6" x14ac:dyDescent="0.3">
      <c r="A3991" t="s">
        <v>6606</v>
      </c>
      <c r="B3991" t="s">
        <v>5156</v>
      </c>
      <c r="C3991" t="s">
        <v>3658</v>
      </c>
      <c r="D3991">
        <v>64148732</v>
      </c>
      <c r="E3991">
        <v>24.73</v>
      </c>
      <c r="F3991">
        <v>6.9</v>
      </c>
    </row>
    <row r="3992" spans="1:6" x14ac:dyDescent="0.3">
      <c r="A3992" t="s">
        <v>6607</v>
      </c>
      <c r="B3992" t="s">
        <v>4761</v>
      </c>
      <c r="C3992" t="s">
        <v>5780</v>
      </c>
      <c r="D3992">
        <v>64151517</v>
      </c>
      <c r="E3992">
        <v>2.69</v>
      </c>
      <c r="F3992">
        <v>6.74</v>
      </c>
    </row>
    <row r="3993" spans="1:6" x14ac:dyDescent="0.3">
      <c r="A3993" t="s">
        <v>6608</v>
      </c>
      <c r="B3993" t="s">
        <v>6609</v>
      </c>
      <c r="C3993" t="s">
        <v>3002</v>
      </c>
      <c r="D3993">
        <v>64161645</v>
      </c>
      <c r="E3993">
        <v>14.6</v>
      </c>
      <c r="F3993">
        <v>7.42</v>
      </c>
    </row>
    <row r="3994" spans="1:6" x14ac:dyDescent="0.3">
      <c r="A3994" t="s">
        <v>6610</v>
      </c>
      <c r="B3994" t="s">
        <v>6611</v>
      </c>
      <c r="C3994" t="s">
        <v>5833</v>
      </c>
      <c r="D3994">
        <v>64170439</v>
      </c>
      <c r="E3994">
        <v>11.14</v>
      </c>
      <c r="F3994">
        <v>5.38</v>
      </c>
    </row>
    <row r="3995" spans="1:6" x14ac:dyDescent="0.3">
      <c r="A3995" t="s">
        <v>6612</v>
      </c>
      <c r="B3995" t="s">
        <v>6613</v>
      </c>
      <c r="C3995" t="s">
        <v>5489</v>
      </c>
      <c r="D3995">
        <v>64187337</v>
      </c>
      <c r="E3995">
        <v>16.11</v>
      </c>
      <c r="F3995">
        <v>6.29</v>
      </c>
    </row>
    <row r="3996" spans="1:6" x14ac:dyDescent="0.3">
      <c r="A3996" t="s">
        <v>6614</v>
      </c>
      <c r="B3996" t="s">
        <v>6615</v>
      </c>
      <c r="C3996" t="s">
        <v>4370</v>
      </c>
      <c r="D3996">
        <v>64217230</v>
      </c>
      <c r="E3996">
        <v>13.56</v>
      </c>
      <c r="F3996">
        <v>6.22</v>
      </c>
    </row>
    <row r="3997" spans="1:6" x14ac:dyDescent="0.3">
      <c r="A3997" t="s">
        <v>6616</v>
      </c>
      <c r="B3997" t="s">
        <v>6097</v>
      </c>
      <c r="C3997" t="s">
        <v>6617</v>
      </c>
      <c r="D3997">
        <v>64228802</v>
      </c>
      <c r="E3997">
        <v>9.5399999999999991</v>
      </c>
      <c r="F3997">
        <v>7.08</v>
      </c>
    </row>
    <row r="3998" spans="1:6" x14ac:dyDescent="0.3">
      <c r="A3998" t="s">
        <v>6618</v>
      </c>
      <c r="B3998" t="s">
        <v>1003</v>
      </c>
      <c r="C3998" t="s">
        <v>6619</v>
      </c>
      <c r="D3998">
        <v>64229424</v>
      </c>
      <c r="E3998">
        <v>1.88</v>
      </c>
      <c r="F3998">
        <v>5.96</v>
      </c>
    </row>
    <row r="3999" spans="1:6" x14ac:dyDescent="0.3">
      <c r="A3999" t="s">
        <v>6620</v>
      </c>
      <c r="B3999" t="s">
        <v>3803</v>
      </c>
      <c r="C3999" t="s">
        <v>6621</v>
      </c>
      <c r="D3999">
        <v>64234974</v>
      </c>
      <c r="E3999">
        <v>3.09</v>
      </c>
      <c r="F3999">
        <v>6.6</v>
      </c>
    </row>
    <row r="4000" spans="1:6" x14ac:dyDescent="0.3">
      <c r="A4000" t="s">
        <v>6622</v>
      </c>
      <c r="B4000" t="s">
        <v>6623</v>
      </c>
      <c r="C4000" t="s">
        <v>5025</v>
      </c>
      <c r="D4000">
        <v>64239577</v>
      </c>
      <c r="E4000">
        <v>22</v>
      </c>
      <c r="F4000">
        <v>8.25</v>
      </c>
    </row>
    <row r="4001" spans="1:6" x14ac:dyDescent="0.3">
      <c r="A4001" t="s">
        <v>6624</v>
      </c>
      <c r="B4001" t="s">
        <v>5006</v>
      </c>
      <c r="C4001" t="s">
        <v>1411</v>
      </c>
      <c r="D4001">
        <v>64240771</v>
      </c>
      <c r="E4001">
        <v>4.09</v>
      </c>
      <c r="F4001">
        <v>6</v>
      </c>
    </row>
    <row r="4002" spans="1:6" x14ac:dyDescent="0.3">
      <c r="A4002" t="s">
        <v>6625</v>
      </c>
      <c r="B4002" t="s">
        <v>5711</v>
      </c>
      <c r="C4002" t="s">
        <v>4144</v>
      </c>
      <c r="D4002">
        <v>64244272</v>
      </c>
      <c r="E4002">
        <v>2.2599999999999998</v>
      </c>
      <c r="F4002">
        <v>7.23</v>
      </c>
    </row>
    <row r="4003" spans="1:6" x14ac:dyDescent="0.3">
      <c r="A4003" t="s">
        <v>4931</v>
      </c>
      <c r="B4003" t="s">
        <v>6626</v>
      </c>
      <c r="C4003" t="s">
        <v>6575</v>
      </c>
      <c r="D4003">
        <v>64246771</v>
      </c>
      <c r="E4003">
        <v>7.97</v>
      </c>
      <c r="F4003">
        <v>7.72</v>
      </c>
    </row>
    <row r="4004" spans="1:6" x14ac:dyDescent="0.3">
      <c r="A4004" t="s">
        <v>1200</v>
      </c>
      <c r="B4004" t="s">
        <v>3227</v>
      </c>
      <c r="C4004" t="s">
        <v>1200</v>
      </c>
      <c r="D4004">
        <v>64282538</v>
      </c>
      <c r="E4004">
        <v>2.81</v>
      </c>
      <c r="F4004">
        <v>7.5</v>
      </c>
    </row>
    <row r="4005" spans="1:6" x14ac:dyDescent="0.3">
      <c r="A4005" t="s">
        <v>6627</v>
      </c>
      <c r="B4005" t="s">
        <v>2565</v>
      </c>
      <c r="C4005" t="s">
        <v>5450</v>
      </c>
      <c r="D4005">
        <v>64302902</v>
      </c>
      <c r="E4005">
        <v>3.84</v>
      </c>
      <c r="F4005">
        <v>7.53</v>
      </c>
    </row>
    <row r="4006" spans="1:6" x14ac:dyDescent="0.3">
      <c r="A4006" t="s">
        <v>6628</v>
      </c>
      <c r="B4006" t="s">
        <v>6510</v>
      </c>
      <c r="C4006" t="s">
        <v>4863</v>
      </c>
      <c r="D4006">
        <v>64347494</v>
      </c>
      <c r="E4006">
        <v>4.46</v>
      </c>
      <c r="F4006">
        <v>8.3699999999999992</v>
      </c>
    </row>
    <row r="4007" spans="1:6" x14ac:dyDescent="0.3">
      <c r="A4007" t="s">
        <v>6629</v>
      </c>
      <c r="B4007" t="s">
        <v>6630</v>
      </c>
      <c r="C4007" t="s">
        <v>4665</v>
      </c>
      <c r="D4007">
        <v>64351195</v>
      </c>
      <c r="E4007">
        <v>6.78</v>
      </c>
      <c r="F4007">
        <v>6.8</v>
      </c>
    </row>
    <row r="4008" spans="1:6" x14ac:dyDescent="0.3">
      <c r="A4008" t="s">
        <v>2492</v>
      </c>
      <c r="B4008" t="s">
        <v>6631</v>
      </c>
      <c r="C4008" t="s">
        <v>4131</v>
      </c>
      <c r="D4008">
        <v>64357931</v>
      </c>
      <c r="E4008">
        <v>3.27</v>
      </c>
      <c r="F4008">
        <v>5.64</v>
      </c>
    </row>
    <row r="4009" spans="1:6" x14ac:dyDescent="0.3">
      <c r="A4009" t="s">
        <v>6632</v>
      </c>
      <c r="B4009" t="s">
        <v>6633</v>
      </c>
      <c r="C4009" t="s">
        <v>2744</v>
      </c>
      <c r="D4009">
        <v>64363436</v>
      </c>
      <c r="E4009">
        <v>2.13</v>
      </c>
      <c r="F4009">
        <v>7.7</v>
      </c>
    </row>
    <row r="4010" spans="1:6" x14ac:dyDescent="0.3">
      <c r="A4010" t="s">
        <v>6634</v>
      </c>
      <c r="B4010" t="s">
        <v>6635</v>
      </c>
      <c r="C4010" t="s">
        <v>5887</v>
      </c>
      <c r="D4010">
        <v>64365485</v>
      </c>
      <c r="E4010">
        <v>1.92</v>
      </c>
      <c r="F4010">
        <v>6.62</v>
      </c>
    </row>
    <row r="4011" spans="1:6" x14ac:dyDescent="0.3">
      <c r="A4011" t="s">
        <v>6636</v>
      </c>
      <c r="B4011" t="s">
        <v>6637</v>
      </c>
      <c r="C4011" t="s">
        <v>4400</v>
      </c>
      <c r="D4011">
        <v>64375427</v>
      </c>
      <c r="E4011">
        <v>6.01</v>
      </c>
      <c r="F4011">
        <v>6.29</v>
      </c>
    </row>
    <row r="4012" spans="1:6" x14ac:dyDescent="0.3">
      <c r="A4012" t="s">
        <v>6638</v>
      </c>
      <c r="B4012" t="s">
        <v>6639</v>
      </c>
      <c r="C4012" t="s">
        <v>6303</v>
      </c>
      <c r="D4012">
        <v>64376246</v>
      </c>
      <c r="E4012">
        <v>1.66</v>
      </c>
      <c r="F4012">
        <v>6.58</v>
      </c>
    </row>
    <row r="4013" spans="1:6" x14ac:dyDescent="0.3">
      <c r="A4013" t="s">
        <v>6640</v>
      </c>
      <c r="B4013" t="s">
        <v>6641</v>
      </c>
      <c r="C4013" t="s">
        <v>6642</v>
      </c>
      <c r="D4013">
        <v>64378960</v>
      </c>
      <c r="E4013">
        <v>5.43</v>
      </c>
      <c r="F4013">
        <v>5.8</v>
      </c>
    </row>
    <row r="4014" spans="1:6" x14ac:dyDescent="0.3">
      <c r="A4014" t="s">
        <v>6643</v>
      </c>
      <c r="B4014" t="s">
        <v>6644</v>
      </c>
      <c r="C4014" t="s">
        <v>6645</v>
      </c>
      <c r="D4014">
        <v>64379252</v>
      </c>
      <c r="E4014">
        <v>1.78</v>
      </c>
      <c r="F4014">
        <v>7.98</v>
      </c>
    </row>
    <row r="4015" spans="1:6" x14ac:dyDescent="0.3">
      <c r="A4015" t="s">
        <v>6646</v>
      </c>
      <c r="B4015" t="s">
        <v>3255</v>
      </c>
      <c r="C4015" t="s">
        <v>2907</v>
      </c>
      <c r="D4015">
        <v>64405105</v>
      </c>
      <c r="E4015">
        <v>17.079999999999998</v>
      </c>
      <c r="F4015">
        <v>5.45</v>
      </c>
    </row>
    <row r="4016" spans="1:6" x14ac:dyDescent="0.3">
      <c r="A4016" t="s">
        <v>6647</v>
      </c>
      <c r="B4016" t="s">
        <v>6648</v>
      </c>
      <c r="C4016" t="s">
        <v>2335</v>
      </c>
      <c r="D4016">
        <v>64409835</v>
      </c>
      <c r="E4016">
        <v>7.38</v>
      </c>
      <c r="F4016">
        <v>6.89</v>
      </c>
    </row>
    <row r="4017" spans="1:6" x14ac:dyDescent="0.3">
      <c r="A4017" t="s">
        <v>6649</v>
      </c>
      <c r="B4017" t="s">
        <v>6650</v>
      </c>
      <c r="C4017" t="s">
        <v>3731</v>
      </c>
      <c r="D4017">
        <v>64417712</v>
      </c>
      <c r="E4017">
        <v>15.98</v>
      </c>
      <c r="F4017">
        <v>8.08</v>
      </c>
    </row>
    <row r="4018" spans="1:6" x14ac:dyDescent="0.3">
      <c r="A4018" t="s">
        <v>6651</v>
      </c>
      <c r="B4018" t="s">
        <v>2614</v>
      </c>
      <c r="C4018" t="s">
        <v>799</v>
      </c>
      <c r="D4018">
        <v>64465211</v>
      </c>
      <c r="E4018">
        <v>11.67</v>
      </c>
      <c r="F4018">
        <v>6.38</v>
      </c>
    </row>
    <row r="4019" spans="1:6" x14ac:dyDescent="0.3">
      <c r="A4019" t="s">
        <v>3202</v>
      </c>
      <c r="B4019" t="s">
        <v>2433</v>
      </c>
      <c r="C4019" t="s">
        <v>5555</v>
      </c>
      <c r="D4019">
        <v>64483875</v>
      </c>
      <c r="E4019">
        <v>9.18</v>
      </c>
      <c r="F4019">
        <v>5.92</v>
      </c>
    </row>
    <row r="4020" spans="1:6" x14ac:dyDescent="0.3">
      <c r="A4020" t="s">
        <v>6652</v>
      </c>
      <c r="B4020" t="s">
        <v>6517</v>
      </c>
      <c r="C4020" t="s">
        <v>6653</v>
      </c>
      <c r="D4020">
        <v>64514259</v>
      </c>
      <c r="E4020">
        <v>2.83</v>
      </c>
      <c r="F4020">
        <v>5.67</v>
      </c>
    </row>
    <row r="4021" spans="1:6" x14ac:dyDescent="0.3">
      <c r="A4021" t="s">
        <v>6654</v>
      </c>
      <c r="B4021" t="s">
        <v>6655</v>
      </c>
      <c r="C4021" t="s">
        <v>2436</v>
      </c>
      <c r="D4021">
        <v>64525203</v>
      </c>
      <c r="E4021">
        <v>4.96</v>
      </c>
      <c r="F4021">
        <v>6.83</v>
      </c>
    </row>
    <row r="4022" spans="1:6" x14ac:dyDescent="0.3">
      <c r="A4022" t="s">
        <v>6656</v>
      </c>
      <c r="B4022" t="s">
        <v>6657</v>
      </c>
      <c r="C4022" t="s">
        <v>6658</v>
      </c>
      <c r="D4022">
        <v>64554339</v>
      </c>
      <c r="E4022">
        <v>29.5</v>
      </c>
      <c r="F4022">
        <v>3.5</v>
      </c>
    </row>
    <row r="4023" spans="1:6" x14ac:dyDescent="0.3">
      <c r="A4023" t="s">
        <v>6659</v>
      </c>
      <c r="B4023" t="s">
        <v>6421</v>
      </c>
      <c r="C4023" t="s">
        <v>4241</v>
      </c>
      <c r="D4023">
        <v>64566674</v>
      </c>
      <c r="E4023">
        <v>2.27</v>
      </c>
      <c r="F4023">
        <v>6.55</v>
      </c>
    </row>
    <row r="4024" spans="1:6" x14ac:dyDescent="0.3">
      <c r="A4024" t="s">
        <v>6660</v>
      </c>
      <c r="B4024" t="s">
        <v>3692</v>
      </c>
      <c r="C4024" t="s">
        <v>6661</v>
      </c>
      <c r="D4024">
        <v>64570967</v>
      </c>
      <c r="E4024">
        <v>7.78</v>
      </c>
      <c r="F4024">
        <v>5.93</v>
      </c>
    </row>
    <row r="4025" spans="1:6" x14ac:dyDescent="0.3">
      <c r="A4025" t="s">
        <v>6662</v>
      </c>
      <c r="B4025" t="s">
        <v>2910</v>
      </c>
      <c r="C4025" t="s">
        <v>5987</v>
      </c>
      <c r="D4025">
        <v>64582461</v>
      </c>
      <c r="E4025">
        <v>6.75</v>
      </c>
      <c r="F4025">
        <v>8.44</v>
      </c>
    </row>
    <row r="4026" spans="1:6" x14ac:dyDescent="0.3">
      <c r="A4026" t="s">
        <v>6663</v>
      </c>
      <c r="B4026" t="s">
        <v>6664</v>
      </c>
      <c r="C4026" t="s">
        <v>6665</v>
      </c>
      <c r="D4026">
        <v>64590400</v>
      </c>
      <c r="E4026">
        <v>2.77</v>
      </c>
      <c r="F4026">
        <v>6.7</v>
      </c>
    </row>
    <row r="4027" spans="1:6" x14ac:dyDescent="0.3">
      <c r="A4027" t="s">
        <v>6666</v>
      </c>
      <c r="B4027" t="s">
        <v>6667</v>
      </c>
      <c r="C4027" t="s">
        <v>845</v>
      </c>
      <c r="D4027">
        <v>64593242</v>
      </c>
      <c r="E4027">
        <v>11.27</v>
      </c>
      <c r="F4027">
        <v>8.24</v>
      </c>
    </row>
    <row r="4028" spans="1:6" x14ac:dyDescent="0.3">
      <c r="A4028" t="s">
        <v>6668</v>
      </c>
      <c r="B4028" t="s">
        <v>2791</v>
      </c>
      <c r="C4028" t="s">
        <v>3677</v>
      </c>
      <c r="D4028">
        <v>64596463</v>
      </c>
      <c r="E4028">
        <v>8.25</v>
      </c>
      <c r="F4028">
        <v>5.6</v>
      </c>
    </row>
    <row r="4029" spans="1:6" x14ac:dyDescent="0.3">
      <c r="A4029" t="s">
        <v>6513</v>
      </c>
      <c r="B4029" t="s">
        <v>3405</v>
      </c>
      <c r="C4029" t="s">
        <v>5162</v>
      </c>
      <c r="D4029">
        <v>64596769</v>
      </c>
      <c r="E4029">
        <v>3.01</v>
      </c>
      <c r="F4029">
        <v>6.32</v>
      </c>
    </row>
    <row r="4030" spans="1:6" x14ac:dyDescent="0.3">
      <c r="A4030" t="s">
        <v>6221</v>
      </c>
      <c r="B4030" t="s">
        <v>6639</v>
      </c>
      <c r="C4030" t="s">
        <v>3665</v>
      </c>
      <c r="D4030">
        <v>64603974</v>
      </c>
      <c r="E4030">
        <v>3.96</v>
      </c>
      <c r="F4030">
        <v>5.3</v>
      </c>
    </row>
    <row r="4031" spans="1:6" x14ac:dyDescent="0.3">
      <c r="A4031" t="s">
        <v>6669</v>
      </c>
      <c r="B4031" t="s">
        <v>5407</v>
      </c>
      <c r="C4031" t="s">
        <v>6583</v>
      </c>
      <c r="D4031">
        <v>64612787</v>
      </c>
      <c r="E4031">
        <v>16.82</v>
      </c>
      <c r="F4031">
        <v>7.61</v>
      </c>
    </row>
    <row r="4032" spans="1:6" x14ac:dyDescent="0.3">
      <c r="A4032" t="s">
        <v>6670</v>
      </c>
      <c r="B4032" t="s">
        <v>2719</v>
      </c>
      <c r="C4032" t="s">
        <v>3910</v>
      </c>
      <c r="D4032">
        <v>64618054</v>
      </c>
      <c r="E4032">
        <v>12.17</v>
      </c>
      <c r="F4032">
        <v>7.82</v>
      </c>
    </row>
    <row r="4033" spans="1:6" x14ac:dyDescent="0.3">
      <c r="A4033" t="s">
        <v>6671</v>
      </c>
      <c r="B4033" t="s">
        <v>6403</v>
      </c>
      <c r="C4033" t="s">
        <v>6672</v>
      </c>
      <c r="D4033">
        <v>64618205</v>
      </c>
      <c r="E4033">
        <v>1.52</v>
      </c>
      <c r="F4033">
        <v>7.8</v>
      </c>
    </row>
    <row r="4034" spans="1:6" x14ac:dyDescent="0.3">
      <c r="A4034" t="s">
        <v>6673</v>
      </c>
      <c r="B4034" t="s">
        <v>6674</v>
      </c>
      <c r="C4034" t="s">
        <v>2726</v>
      </c>
      <c r="D4034">
        <v>64622145</v>
      </c>
      <c r="E4034">
        <v>8.75</v>
      </c>
      <c r="F4034">
        <v>7</v>
      </c>
    </row>
    <row r="4035" spans="1:6" x14ac:dyDescent="0.3">
      <c r="A4035" t="s">
        <v>6675</v>
      </c>
      <c r="B4035" t="s">
        <v>6676</v>
      </c>
      <c r="C4035" t="s">
        <v>6677</v>
      </c>
      <c r="D4035">
        <v>64641313</v>
      </c>
      <c r="E4035">
        <v>1.08</v>
      </c>
      <c r="F4035">
        <v>5.99</v>
      </c>
    </row>
    <row r="4036" spans="1:6" x14ac:dyDescent="0.3">
      <c r="A4036" t="s">
        <v>6678</v>
      </c>
      <c r="B4036" t="s">
        <v>2199</v>
      </c>
      <c r="C4036" t="s">
        <v>6679</v>
      </c>
      <c r="D4036">
        <v>64643464</v>
      </c>
      <c r="E4036">
        <v>13.67</v>
      </c>
      <c r="F4036">
        <v>4</v>
      </c>
    </row>
    <row r="4037" spans="1:6" x14ac:dyDescent="0.3">
      <c r="A4037" t="s">
        <v>6680</v>
      </c>
      <c r="B4037" t="s">
        <v>5784</v>
      </c>
      <c r="C4037" t="s">
        <v>2802</v>
      </c>
      <c r="D4037">
        <v>64646463</v>
      </c>
      <c r="E4037">
        <v>1.74</v>
      </c>
      <c r="F4037">
        <v>6.26</v>
      </c>
    </row>
    <row r="4038" spans="1:6" x14ac:dyDescent="0.3">
      <c r="A4038" t="s">
        <v>6681</v>
      </c>
      <c r="B4038" t="s">
        <v>6682</v>
      </c>
      <c r="C4038" t="s">
        <v>5025</v>
      </c>
      <c r="D4038">
        <v>64655831</v>
      </c>
      <c r="E4038">
        <v>13.2</v>
      </c>
      <c r="F4038">
        <v>7.5</v>
      </c>
    </row>
    <row r="4039" spans="1:6" x14ac:dyDescent="0.3">
      <c r="A4039" t="s">
        <v>6683</v>
      </c>
      <c r="B4039" t="s">
        <v>3037</v>
      </c>
      <c r="C4039" t="s">
        <v>6684</v>
      </c>
      <c r="D4039">
        <v>64658786</v>
      </c>
      <c r="E4039">
        <v>30.9</v>
      </c>
      <c r="F4039">
        <v>7.21</v>
      </c>
    </row>
    <row r="4040" spans="1:6" x14ac:dyDescent="0.3">
      <c r="A4040" t="s">
        <v>6685</v>
      </c>
      <c r="B4040" t="s">
        <v>1605</v>
      </c>
      <c r="C4040" t="s">
        <v>6686</v>
      </c>
      <c r="D4040">
        <v>64663238</v>
      </c>
      <c r="E4040">
        <v>2.88</v>
      </c>
      <c r="F4040">
        <v>6.67</v>
      </c>
    </row>
    <row r="4041" spans="1:6" x14ac:dyDescent="0.3">
      <c r="A4041" t="s">
        <v>6687</v>
      </c>
      <c r="B4041" t="s">
        <v>6688</v>
      </c>
      <c r="C4041" t="s">
        <v>6689</v>
      </c>
      <c r="D4041">
        <v>64680297</v>
      </c>
      <c r="E4041">
        <v>21.93</v>
      </c>
      <c r="F4041">
        <v>7.67</v>
      </c>
    </row>
    <row r="4042" spans="1:6" x14ac:dyDescent="0.3">
      <c r="A4042" t="s">
        <v>6690</v>
      </c>
      <c r="B4042" t="s">
        <v>3181</v>
      </c>
      <c r="C4042" t="s">
        <v>2089</v>
      </c>
      <c r="D4042">
        <v>64697194</v>
      </c>
      <c r="E4042">
        <v>2.02</v>
      </c>
      <c r="F4042">
        <v>7.66</v>
      </c>
    </row>
    <row r="4043" spans="1:6" x14ac:dyDescent="0.3">
      <c r="A4043" t="s">
        <v>6691</v>
      </c>
      <c r="B4043" t="s">
        <v>6692</v>
      </c>
      <c r="C4043" t="s">
        <v>1401</v>
      </c>
      <c r="D4043">
        <v>64720714</v>
      </c>
      <c r="E4043">
        <v>5.41</v>
      </c>
      <c r="F4043">
        <v>6.93</v>
      </c>
    </row>
    <row r="4044" spans="1:6" x14ac:dyDescent="0.3">
      <c r="A4044" t="s">
        <v>6693</v>
      </c>
      <c r="B4044" t="s">
        <v>6694</v>
      </c>
      <c r="C4044" t="s">
        <v>5025</v>
      </c>
      <c r="D4044">
        <v>64755144</v>
      </c>
      <c r="E4044">
        <v>15.19</v>
      </c>
      <c r="F4044">
        <v>7.5</v>
      </c>
    </row>
    <row r="4045" spans="1:6" x14ac:dyDescent="0.3">
      <c r="A4045" t="s">
        <v>6695</v>
      </c>
      <c r="B4045" t="s">
        <v>1513</v>
      </c>
      <c r="C4045" t="s">
        <v>6696</v>
      </c>
      <c r="D4045">
        <v>64757601</v>
      </c>
      <c r="E4045">
        <v>4.63</v>
      </c>
      <c r="F4045">
        <v>6.33</v>
      </c>
    </row>
    <row r="4046" spans="1:6" x14ac:dyDescent="0.3">
      <c r="A4046" t="s">
        <v>6697</v>
      </c>
      <c r="B4046" t="s">
        <v>6698</v>
      </c>
      <c r="C4046" t="s">
        <v>6699</v>
      </c>
      <c r="D4046">
        <v>64766514</v>
      </c>
      <c r="E4046">
        <v>31</v>
      </c>
      <c r="F4046">
        <v>8</v>
      </c>
    </row>
    <row r="4047" spans="1:6" x14ac:dyDescent="0.3">
      <c r="A4047" t="s">
        <v>6700</v>
      </c>
      <c r="B4047" t="s">
        <v>6701</v>
      </c>
      <c r="C4047" t="s">
        <v>3641</v>
      </c>
      <c r="D4047">
        <v>64776866</v>
      </c>
      <c r="E4047">
        <v>5.4</v>
      </c>
      <c r="F4047">
        <v>6.5</v>
      </c>
    </row>
    <row r="4048" spans="1:6" x14ac:dyDescent="0.3">
      <c r="A4048" t="s">
        <v>6702</v>
      </c>
      <c r="B4048" t="s">
        <v>4032</v>
      </c>
      <c r="C4048" t="s">
        <v>6703</v>
      </c>
      <c r="D4048">
        <v>64785760</v>
      </c>
      <c r="E4048">
        <v>2.63</v>
      </c>
      <c r="F4048">
        <v>6.41</v>
      </c>
    </row>
    <row r="4049" spans="1:6" x14ac:dyDescent="0.3">
      <c r="A4049" t="s">
        <v>6704</v>
      </c>
      <c r="B4049" t="s">
        <v>6705</v>
      </c>
      <c r="C4049" t="s">
        <v>5308</v>
      </c>
      <c r="D4049">
        <v>64791183</v>
      </c>
      <c r="E4049">
        <v>8.5299999999999994</v>
      </c>
      <c r="F4049">
        <v>5.33</v>
      </c>
    </row>
    <row r="4050" spans="1:6" x14ac:dyDescent="0.3">
      <c r="A4050" t="s">
        <v>6706</v>
      </c>
      <c r="B4050" t="s">
        <v>1110</v>
      </c>
      <c r="C4050" t="s">
        <v>4504</v>
      </c>
      <c r="D4050">
        <v>64797168</v>
      </c>
      <c r="E4050">
        <v>9.2100000000000009</v>
      </c>
      <c r="F4050">
        <v>6.25</v>
      </c>
    </row>
    <row r="4051" spans="1:6" x14ac:dyDescent="0.3">
      <c r="A4051" t="s">
        <v>6707</v>
      </c>
      <c r="B4051" t="s">
        <v>6424</v>
      </c>
      <c r="C4051" t="s">
        <v>6175</v>
      </c>
      <c r="D4051">
        <v>64803414</v>
      </c>
      <c r="E4051">
        <v>8.1999999999999993</v>
      </c>
      <c r="F4051">
        <v>5.25</v>
      </c>
    </row>
    <row r="4052" spans="1:6" x14ac:dyDescent="0.3">
      <c r="A4052" t="s">
        <v>6708</v>
      </c>
      <c r="B4052" t="s">
        <v>6709</v>
      </c>
      <c r="C4052" t="s">
        <v>898</v>
      </c>
      <c r="D4052">
        <v>64817383</v>
      </c>
      <c r="E4052">
        <v>2.0699999999999998</v>
      </c>
      <c r="F4052">
        <v>6.83</v>
      </c>
    </row>
    <row r="4053" spans="1:6" x14ac:dyDescent="0.3">
      <c r="A4053" t="s">
        <v>6710</v>
      </c>
      <c r="B4053" t="s">
        <v>4660</v>
      </c>
      <c r="C4053" t="s">
        <v>5954</v>
      </c>
      <c r="D4053">
        <v>64825099</v>
      </c>
      <c r="E4053">
        <v>6.09</v>
      </c>
      <c r="F4053">
        <v>5.75</v>
      </c>
    </row>
    <row r="4054" spans="1:6" x14ac:dyDescent="0.3">
      <c r="A4054" t="s">
        <v>6711</v>
      </c>
      <c r="B4054" t="s">
        <v>6079</v>
      </c>
      <c r="C4054" t="s">
        <v>313</v>
      </c>
      <c r="D4054">
        <v>64843746</v>
      </c>
      <c r="E4054">
        <v>19.37</v>
      </c>
      <c r="F4054">
        <v>5.75</v>
      </c>
    </row>
    <row r="4055" spans="1:6" x14ac:dyDescent="0.3">
      <c r="A4055" t="s">
        <v>6712</v>
      </c>
      <c r="B4055" t="s">
        <v>6713</v>
      </c>
      <c r="C4055" t="s">
        <v>5661</v>
      </c>
      <c r="D4055">
        <v>64860066</v>
      </c>
      <c r="E4055">
        <v>5.08</v>
      </c>
      <c r="F4055">
        <v>5.36</v>
      </c>
    </row>
    <row r="4056" spans="1:6" x14ac:dyDescent="0.3">
      <c r="A4056" t="s">
        <v>6714</v>
      </c>
      <c r="B4056" t="s">
        <v>6414</v>
      </c>
      <c r="C4056" t="s">
        <v>6715</v>
      </c>
      <c r="D4056">
        <v>64878339</v>
      </c>
      <c r="E4056">
        <v>16.649999999999999</v>
      </c>
      <c r="F4056">
        <v>7.76</v>
      </c>
    </row>
    <row r="4057" spans="1:6" x14ac:dyDescent="0.3">
      <c r="A4057" t="s">
        <v>6716</v>
      </c>
      <c r="B4057" t="s">
        <v>1899</v>
      </c>
      <c r="C4057" t="s">
        <v>6717</v>
      </c>
      <c r="D4057">
        <v>64884486</v>
      </c>
      <c r="E4057">
        <v>5.5</v>
      </c>
      <c r="F4057">
        <v>7</v>
      </c>
    </row>
    <row r="4058" spans="1:6" x14ac:dyDescent="0.3">
      <c r="A4058" t="s">
        <v>6718</v>
      </c>
      <c r="B4058" t="s">
        <v>6719</v>
      </c>
      <c r="C4058" t="s">
        <v>3565</v>
      </c>
      <c r="D4058">
        <v>64889954</v>
      </c>
      <c r="E4058">
        <v>16.82</v>
      </c>
      <c r="F4058">
        <v>7.93</v>
      </c>
    </row>
    <row r="4059" spans="1:6" x14ac:dyDescent="0.3">
      <c r="A4059" t="s">
        <v>6720</v>
      </c>
      <c r="B4059" t="s">
        <v>5006</v>
      </c>
      <c r="C4059" t="s">
        <v>6372</v>
      </c>
      <c r="D4059">
        <v>64890042</v>
      </c>
      <c r="E4059">
        <v>6.68</v>
      </c>
      <c r="F4059">
        <v>6.57</v>
      </c>
    </row>
    <row r="4060" spans="1:6" x14ac:dyDescent="0.3">
      <c r="A4060" t="s">
        <v>6721</v>
      </c>
      <c r="B4060" t="s">
        <v>4267</v>
      </c>
      <c r="C4060" t="s">
        <v>916</v>
      </c>
      <c r="D4060">
        <v>64902117</v>
      </c>
      <c r="E4060">
        <v>6.91</v>
      </c>
      <c r="F4060">
        <v>6.5</v>
      </c>
    </row>
    <row r="4061" spans="1:6" x14ac:dyDescent="0.3">
      <c r="A4061" t="s">
        <v>6722</v>
      </c>
      <c r="B4061" t="s">
        <v>4100</v>
      </c>
      <c r="C4061" t="s">
        <v>6117</v>
      </c>
      <c r="D4061">
        <v>64907326</v>
      </c>
      <c r="E4061">
        <v>3.2</v>
      </c>
      <c r="F4061">
        <v>6.4</v>
      </c>
    </row>
    <row r="4062" spans="1:6" x14ac:dyDescent="0.3">
      <c r="A4062" t="s">
        <v>6015</v>
      </c>
      <c r="B4062" t="s">
        <v>4100</v>
      </c>
      <c r="C4062" t="s">
        <v>4139</v>
      </c>
      <c r="D4062">
        <v>64907610</v>
      </c>
      <c r="E4062">
        <v>8.1999999999999993</v>
      </c>
      <c r="F4062">
        <v>5.2</v>
      </c>
    </row>
    <row r="4063" spans="1:6" x14ac:dyDescent="0.3">
      <c r="A4063" t="s">
        <v>6723</v>
      </c>
      <c r="B4063" t="s">
        <v>6724</v>
      </c>
      <c r="C4063" t="s">
        <v>4498</v>
      </c>
      <c r="D4063">
        <v>64913045</v>
      </c>
      <c r="E4063">
        <v>8.31</v>
      </c>
      <c r="F4063">
        <v>8.69</v>
      </c>
    </row>
    <row r="4064" spans="1:6" x14ac:dyDescent="0.3">
      <c r="A4064" t="s">
        <v>6725</v>
      </c>
      <c r="B4064" t="s">
        <v>6726</v>
      </c>
      <c r="C4064" t="s">
        <v>6727</v>
      </c>
      <c r="D4064">
        <v>64925696</v>
      </c>
      <c r="E4064" t="s">
        <v>3814</v>
      </c>
      <c r="F4064" t="s">
        <v>3814</v>
      </c>
    </row>
    <row r="4065" spans="1:6" x14ac:dyDescent="0.3">
      <c r="A4065" t="s">
        <v>6728</v>
      </c>
      <c r="B4065" t="s">
        <v>3554</v>
      </c>
      <c r="C4065" t="s">
        <v>6729</v>
      </c>
      <c r="D4065">
        <v>64928703</v>
      </c>
      <c r="E4065">
        <v>7.24</v>
      </c>
      <c r="F4065">
        <v>5.17</v>
      </c>
    </row>
    <row r="4066" spans="1:6" x14ac:dyDescent="0.3">
      <c r="A4066" t="s">
        <v>6730</v>
      </c>
      <c r="B4066" t="s">
        <v>5423</v>
      </c>
      <c r="C4066" t="s">
        <v>6731</v>
      </c>
      <c r="D4066">
        <v>64930910</v>
      </c>
      <c r="E4066">
        <v>11.73</v>
      </c>
      <c r="F4066">
        <v>7.1</v>
      </c>
    </row>
    <row r="4067" spans="1:6" x14ac:dyDescent="0.3">
      <c r="A4067" t="s">
        <v>6732</v>
      </c>
      <c r="B4067" t="s">
        <v>5709</v>
      </c>
      <c r="C4067" t="s">
        <v>6601</v>
      </c>
      <c r="D4067">
        <v>64931860</v>
      </c>
      <c r="E4067">
        <v>2.79</v>
      </c>
      <c r="F4067">
        <v>5.91</v>
      </c>
    </row>
    <row r="4068" spans="1:6" x14ac:dyDescent="0.3">
      <c r="A4068" t="s">
        <v>6733</v>
      </c>
      <c r="B4068" t="s">
        <v>3070</v>
      </c>
      <c r="C4068" t="e">
        <f>-Hidden Path- (Rapid Route mix)</f>
        <v>#NAME?</v>
      </c>
      <c r="D4068">
        <v>64943957</v>
      </c>
      <c r="E4068">
        <v>1.93</v>
      </c>
      <c r="F4068">
        <v>7.24</v>
      </c>
    </row>
    <row r="4069" spans="1:6" x14ac:dyDescent="0.3">
      <c r="A4069" t="s">
        <v>6734</v>
      </c>
      <c r="B4069" t="s">
        <v>4184</v>
      </c>
      <c r="C4069" t="s">
        <v>6715</v>
      </c>
      <c r="D4069">
        <v>64947616</v>
      </c>
      <c r="E4069">
        <v>13.08</v>
      </c>
      <c r="F4069">
        <v>6.25</v>
      </c>
    </row>
    <row r="4070" spans="1:6" x14ac:dyDescent="0.3">
      <c r="A4070" t="s">
        <v>6735</v>
      </c>
      <c r="B4070" t="s">
        <v>5022</v>
      </c>
      <c r="C4070" t="s">
        <v>2388</v>
      </c>
      <c r="D4070">
        <v>64980575</v>
      </c>
      <c r="E4070">
        <v>5.33</v>
      </c>
      <c r="F4070">
        <v>6.46</v>
      </c>
    </row>
    <row r="4071" spans="1:6" x14ac:dyDescent="0.3">
      <c r="A4071" t="s">
        <v>6736</v>
      </c>
      <c r="B4071" t="s">
        <v>6737</v>
      </c>
      <c r="C4071" t="s">
        <v>6091</v>
      </c>
      <c r="D4071">
        <v>64983517</v>
      </c>
      <c r="E4071">
        <v>9.33</v>
      </c>
      <c r="F4071">
        <v>6</v>
      </c>
    </row>
    <row r="4072" spans="1:6" x14ac:dyDescent="0.3">
      <c r="A4072" t="s">
        <v>6738</v>
      </c>
      <c r="B4072" t="s">
        <v>1576</v>
      </c>
      <c r="C4072" t="s">
        <v>6739</v>
      </c>
      <c r="D4072">
        <v>65044525</v>
      </c>
      <c r="E4072">
        <v>6.57</v>
      </c>
      <c r="F4072">
        <v>6.71</v>
      </c>
    </row>
    <row r="4073" spans="1:6" x14ac:dyDescent="0.3">
      <c r="A4073" t="s">
        <v>6740</v>
      </c>
      <c r="B4073" t="s">
        <v>2166</v>
      </c>
      <c r="C4073" t="s">
        <v>1008</v>
      </c>
      <c r="D4073">
        <v>65046970</v>
      </c>
      <c r="E4073">
        <v>18.43</v>
      </c>
      <c r="F4073">
        <v>6.81</v>
      </c>
    </row>
    <row r="4074" spans="1:6" x14ac:dyDescent="0.3">
      <c r="A4074" t="s">
        <v>6741</v>
      </c>
      <c r="B4074" t="s">
        <v>4053</v>
      </c>
      <c r="C4074" t="s">
        <v>6742</v>
      </c>
      <c r="D4074">
        <v>65068636</v>
      </c>
      <c r="E4074">
        <v>3.94</v>
      </c>
      <c r="F4074">
        <v>6</v>
      </c>
    </row>
    <row r="4075" spans="1:6" x14ac:dyDescent="0.3">
      <c r="A4075" t="s">
        <v>4938</v>
      </c>
      <c r="B4075" t="s">
        <v>5053</v>
      </c>
      <c r="C4075" t="s">
        <v>5186</v>
      </c>
      <c r="D4075">
        <v>65125096</v>
      </c>
      <c r="E4075">
        <v>23</v>
      </c>
      <c r="F4075">
        <v>8</v>
      </c>
    </row>
    <row r="4076" spans="1:6" x14ac:dyDescent="0.3">
      <c r="A4076" t="s">
        <v>6743</v>
      </c>
      <c r="B4076" t="s">
        <v>5782</v>
      </c>
      <c r="C4076" t="s">
        <v>3852</v>
      </c>
      <c r="D4076">
        <v>65125478</v>
      </c>
      <c r="E4076">
        <v>7.37</v>
      </c>
      <c r="F4076">
        <v>7.29</v>
      </c>
    </row>
    <row r="4077" spans="1:6" x14ac:dyDescent="0.3">
      <c r="A4077" t="s">
        <v>6744</v>
      </c>
      <c r="B4077" t="s">
        <v>6079</v>
      </c>
      <c r="C4077" t="s">
        <v>6745</v>
      </c>
      <c r="D4077">
        <v>65129353</v>
      </c>
      <c r="E4077">
        <v>17.47</v>
      </c>
      <c r="F4077">
        <v>7.92</v>
      </c>
    </row>
    <row r="4078" spans="1:6" x14ac:dyDescent="0.3">
      <c r="A4078" t="s">
        <v>6746</v>
      </c>
      <c r="B4078" t="s">
        <v>4395</v>
      </c>
      <c r="C4078" t="s">
        <v>5076</v>
      </c>
      <c r="D4078">
        <v>65129704</v>
      </c>
      <c r="E4078">
        <v>2.71</v>
      </c>
      <c r="F4078">
        <v>7.26</v>
      </c>
    </row>
    <row r="4079" spans="1:6" x14ac:dyDescent="0.3">
      <c r="A4079" t="s">
        <v>6747</v>
      </c>
      <c r="B4079" t="s">
        <v>6748</v>
      </c>
      <c r="C4079" t="s">
        <v>3013</v>
      </c>
      <c r="D4079">
        <v>65135475</v>
      </c>
      <c r="E4079">
        <v>6.11</v>
      </c>
      <c r="F4079">
        <v>5.69</v>
      </c>
    </row>
    <row r="4080" spans="1:6" x14ac:dyDescent="0.3">
      <c r="A4080" t="s">
        <v>6749</v>
      </c>
      <c r="B4080" t="s">
        <v>6204</v>
      </c>
      <c r="C4080" t="s">
        <v>5467</v>
      </c>
      <c r="D4080">
        <v>65157862</v>
      </c>
      <c r="E4080">
        <v>1.67</v>
      </c>
      <c r="F4080">
        <v>6.95</v>
      </c>
    </row>
    <row r="4081" spans="1:6" x14ac:dyDescent="0.3">
      <c r="A4081" t="s">
        <v>6750</v>
      </c>
      <c r="B4081" t="s">
        <v>6751</v>
      </c>
      <c r="C4081" t="s">
        <v>1055</v>
      </c>
      <c r="D4081">
        <v>65161401</v>
      </c>
      <c r="E4081">
        <v>3.94</v>
      </c>
      <c r="F4081">
        <v>4.67</v>
      </c>
    </row>
    <row r="4082" spans="1:6" x14ac:dyDescent="0.3">
      <c r="A4082" t="s">
        <v>6752</v>
      </c>
      <c r="B4082" t="s">
        <v>6138</v>
      </c>
      <c r="C4082" t="s">
        <v>4972</v>
      </c>
      <c r="D4082">
        <v>65166626</v>
      </c>
      <c r="E4082">
        <v>2.79</v>
      </c>
      <c r="F4082">
        <v>6.77</v>
      </c>
    </row>
    <row r="4083" spans="1:6" x14ac:dyDescent="0.3">
      <c r="A4083" t="s">
        <v>6753</v>
      </c>
      <c r="B4083" t="s">
        <v>6754</v>
      </c>
      <c r="C4083" t="s">
        <v>6755</v>
      </c>
      <c r="D4083">
        <v>65169909</v>
      </c>
      <c r="E4083">
        <v>2.19</v>
      </c>
      <c r="F4083">
        <v>5.1100000000000003</v>
      </c>
    </row>
    <row r="4084" spans="1:6" x14ac:dyDescent="0.3">
      <c r="A4084" t="s">
        <v>6756</v>
      </c>
      <c r="B4084" t="s">
        <v>4234</v>
      </c>
      <c r="C4084" t="s">
        <v>6757</v>
      </c>
      <c r="D4084">
        <v>65170724</v>
      </c>
      <c r="E4084">
        <v>2.84</v>
      </c>
      <c r="F4084">
        <v>6.64</v>
      </c>
    </row>
    <row r="4085" spans="1:6" x14ac:dyDescent="0.3">
      <c r="A4085" t="s">
        <v>6758</v>
      </c>
      <c r="B4085" t="s">
        <v>5425</v>
      </c>
      <c r="C4085" t="s">
        <v>5129</v>
      </c>
      <c r="D4085">
        <v>65184140</v>
      </c>
      <c r="E4085">
        <v>8</v>
      </c>
      <c r="F4085">
        <v>7.33</v>
      </c>
    </row>
    <row r="4086" spans="1:6" x14ac:dyDescent="0.3">
      <c r="A4086" t="s">
        <v>6759</v>
      </c>
      <c r="B4086" t="s">
        <v>6760</v>
      </c>
      <c r="C4086" t="s">
        <v>6251</v>
      </c>
      <c r="D4086">
        <v>65186488</v>
      </c>
      <c r="E4086">
        <v>3.53</v>
      </c>
      <c r="F4086">
        <v>5.73</v>
      </c>
    </row>
    <row r="4087" spans="1:6" x14ac:dyDescent="0.3">
      <c r="A4087" t="s">
        <v>6761</v>
      </c>
      <c r="B4087" t="s">
        <v>4578</v>
      </c>
      <c r="C4087" t="s">
        <v>1152</v>
      </c>
      <c r="D4087">
        <v>65195077</v>
      </c>
      <c r="E4087">
        <v>11.89</v>
      </c>
      <c r="F4087">
        <v>8.18</v>
      </c>
    </row>
    <row r="4088" spans="1:6" x14ac:dyDescent="0.3">
      <c r="A4088" t="s">
        <v>6762</v>
      </c>
      <c r="B4088" t="s">
        <v>6763</v>
      </c>
      <c r="C4088" t="s">
        <v>4504</v>
      </c>
      <c r="D4088">
        <v>65197969</v>
      </c>
      <c r="E4088">
        <v>5.54</v>
      </c>
      <c r="F4088">
        <v>6.34</v>
      </c>
    </row>
    <row r="4089" spans="1:6" x14ac:dyDescent="0.3">
      <c r="A4089" t="s">
        <v>6764</v>
      </c>
      <c r="B4089" t="s">
        <v>4857</v>
      </c>
      <c r="C4089" t="s">
        <v>6765</v>
      </c>
      <c r="D4089">
        <v>65205944</v>
      </c>
      <c r="E4089">
        <v>11.2</v>
      </c>
      <c r="F4089">
        <v>7.44</v>
      </c>
    </row>
    <row r="4090" spans="1:6" x14ac:dyDescent="0.3">
      <c r="A4090" t="s">
        <v>6766</v>
      </c>
      <c r="B4090" t="s">
        <v>6694</v>
      </c>
      <c r="C4090" t="s">
        <v>6645</v>
      </c>
      <c r="D4090">
        <v>65213344</v>
      </c>
      <c r="E4090">
        <v>1.1399999999999999</v>
      </c>
      <c r="F4090">
        <v>7.18</v>
      </c>
    </row>
    <row r="4091" spans="1:6" x14ac:dyDescent="0.3">
      <c r="A4091" t="s">
        <v>6767</v>
      </c>
      <c r="B4091" t="s">
        <v>3041</v>
      </c>
      <c r="C4091" t="s">
        <v>6768</v>
      </c>
      <c r="D4091">
        <v>65222188</v>
      </c>
      <c r="E4091">
        <v>6.16</v>
      </c>
      <c r="F4091">
        <v>7.57</v>
      </c>
    </row>
    <row r="4092" spans="1:6" x14ac:dyDescent="0.3">
      <c r="A4092" t="s">
        <v>6769</v>
      </c>
      <c r="B4092" t="s">
        <v>4076</v>
      </c>
      <c r="C4092" t="s">
        <v>6770</v>
      </c>
      <c r="D4092">
        <v>65227464</v>
      </c>
      <c r="E4092">
        <v>3.7</v>
      </c>
      <c r="F4092">
        <v>8.9</v>
      </c>
    </row>
    <row r="4093" spans="1:6" x14ac:dyDescent="0.3">
      <c r="A4093" t="s">
        <v>1873</v>
      </c>
      <c r="B4093" t="s">
        <v>6771</v>
      </c>
      <c r="C4093" t="s">
        <v>4443</v>
      </c>
      <c r="D4093">
        <v>65243377</v>
      </c>
      <c r="E4093">
        <v>2.85</v>
      </c>
      <c r="F4093">
        <v>6.43</v>
      </c>
    </row>
    <row r="4094" spans="1:6" x14ac:dyDescent="0.3">
      <c r="A4094" t="s">
        <v>6772</v>
      </c>
      <c r="B4094" t="s">
        <v>4005</v>
      </c>
      <c r="C4094" t="s">
        <v>6773</v>
      </c>
      <c r="D4094">
        <v>65244783</v>
      </c>
      <c r="E4094">
        <v>3.01</v>
      </c>
      <c r="F4094">
        <v>8.41</v>
      </c>
    </row>
    <row r="4095" spans="1:6" x14ac:dyDescent="0.3">
      <c r="A4095" t="s">
        <v>6774</v>
      </c>
      <c r="B4095" t="s">
        <v>5760</v>
      </c>
      <c r="C4095" t="s">
        <v>1904</v>
      </c>
      <c r="D4095">
        <v>65249358</v>
      </c>
      <c r="E4095">
        <v>15.9</v>
      </c>
      <c r="F4095">
        <v>6.41</v>
      </c>
    </row>
    <row r="4096" spans="1:6" x14ac:dyDescent="0.3">
      <c r="A4096" t="s">
        <v>1542</v>
      </c>
      <c r="B4096" t="s">
        <v>4690</v>
      </c>
      <c r="C4096" t="s">
        <v>6442</v>
      </c>
      <c r="D4096">
        <v>65249411</v>
      </c>
      <c r="E4096">
        <v>24.22</v>
      </c>
      <c r="F4096">
        <v>6.57</v>
      </c>
    </row>
    <row r="4097" spans="1:6" x14ac:dyDescent="0.3">
      <c r="A4097" t="s">
        <v>6775</v>
      </c>
      <c r="B4097" t="s">
        <v>5642</v>
      </c>
      <c r="C4097" t="s">
        <v>6776</v>
      </c>
      <c r="D4097">
        <v>65251794</v>
      </c>
      <c r="E4097">
        <v>2.15</v>
      </c>
      <c r="F4097">
        <v>6.67</v>
      </c>
    </row>
    <row r="4098" spans="1:6" x14ac:dyDescent="0.3">
      <c r="A4098" t="s">
        <v>6777</v>
      </c>
      <c r="B4098" t="s">
        <v>6778</v>
      </c>
      <c r="C4098" t="s">
        <v>5833</v>
      </c>
      <c r="D4098">
        <v>65266309</v>
      </c>
      <c r="E4098">
        <v>11.05</v>
      </c>
      <c r="F4098">
        <v>5.74</v>
      </c>
    </row>
    <row r="4099" spans="1:6" x14ac:dyDescent="0.3">
      <c r="A4099" t="s">
        <v>6779</v>
      </c>
      <c r="B4099" t="s">
        <v>6780</v>
      </c>
      <c r="C4099" t="s">
        <v>6781</v>
      </c>
      <c r="D4099">
        <v>65269826</v>
      </c>
      <c r="E4099">
        <v>16.98</v>
      </c>
      <c r="F4099">
        <v>7.44</v>
      </c>
    </row>
    <row r="4100" spans="1:6" x14ac:dyDescent="0.3">
      <c r="A4100" t="s">
        <v>6782</v>
      </c>
      <c r="B4100" t="s">
        <v>4100</v>
      </c>
      <c r="C4100" t="s">
        <v>6783</v>
      </c>
      <c r="D4100">
        <v>65305796</v>
      </c>
      <c r="E4100">
        <v>2.13</v>
      </c>
      <c r="F4100">
        <v>6.53</v>
      </c>
    </row>
    <row r="4101" spans="1:6" x14ac:dyDescent="0.3">
      <c r="A4101" t="s">
        <v>6784</v>
      </c>
      <c r="B4101" t="s">
        <v>6785</v>
      </c>
      <c r="C4101" t="s">
        <v>6786</v>
      </c>
      <c r="D4101">
        <v>65319183</v>
      </c>
      <c r="E4101">
        <v>4.18</v>
      </c>
      <c r="F4101">
        <v>6</v>
      </c>
    </row>
    <row r="4102" spans="1:6" x14ac:dyDescent="0.3">
      <c r="A4102" t="s">
        <v>6787</v>
      </c>
      <c r="B4102" t="s">
        <v>6788</v>
      </c>
      <c r="C4102" t="s">
        <v>6789</v>
      </c>
      <c r="D4102">
        <v>65331828</v>
      </c>
      <c r="E4102">
        <v>11.88</v>
      </c>
      <c r="F4102">
        <v>6.13</v>
      </c>
    </row>
    <row r="4103" spans="1:6" x14ac:dyDescent="0.3">
      <c r="A4103" t="s">
        <v>6790</v>
      </c>
      <c r="B4103" t="s">
        <v>5512</v>
      </c>
      <c r="C4103" t="s">
        <v>6791</v>
      </c>
      <c r="D4103">
        <v>65332454</v>
      </c>
      <c r="E4103">
        <v>28.94</v>
      </c>
      <c r="F4103">
        <v>7.25</v>
      </c>
    </row>
    <row r="4104" spans="1:6" x14ac:dyDescent="0.3">
      <c r="A4104" t="s">
        <v>6792</v>
      </c>
      <c r="B4104" t="s">
        <v>6793</v>
      </c>
      <c r="C4104" t="s">
        <v>3172</v>
      </c>
      <c r="D4104">
        <v>65334644</v>
      </c>
      <c r="E4104">
        <v>2.4700000000000002</v>
      </c>
      <c r="F4104">
        <v>5.87</v>
      </c>
    </row>
    <row r="4105" spans="1:6" x14ac:dyDescent="0.3">
      <c r="A4105" t="s">
        <v>6794</v>
      </c>
      <c r="B4105" t="s">
        <v>6795</v>
      </c>
      <c r="C4105" t="s">
        <v>6796</v>
      </c>
      <c r="D4105">
        <v>65345104</v>
      </c>
      <c r="E4105">
        <v>6.93</v>
      </c>
      <c r="F4105">
        <v>6.2</v>
      </c>
    </row>
    <row r="4106" spans="1:6" x14ac:dyDescent="0.3">
      <c r="A4106" t="s">
        <v>6797</v>
      </c>
      <c r="B4106" t="s">
        <v>4305</v>
      </c>
      <c r="C4106" t="s">
        <v>6798</v>
      </c>
      <c r="D4106">
        <v>65346417</v>
      </c>
      <c r="E4106">
        <v>7.2</v>
      </c>
      <c r="F4106">
        <v>6.75</v>
      </c>
    </row>
    <row r="4107" spans="1:6" x14ac:dyDescent="0.3">
      <c r="A4107" t="s">
        <v>6799</v>
      </c>
      <c r="B4107" t="s">
        <v>4128</v>
      </c>
      <c r="C4107" t="s">
        <v>2738</v>
      </c>
      <c r="D4107">
        <v>65349913</v>
      </c>
      <c r="E4107">
        <v>6.86</v>
      </c>
      <c r="F4107">
        <v>7.33</v>
      </c>
    </row>
    <row r="4108" spans="1:6" x14ac:dyDescent="0.3">
      <c r="A4108" t="s">
        <v>4131</v>
      </c>
      <c r="B4108" t="s">
        <v>5075</v>
      </c>
      <c r="C4108" t="s">
        <v>4131</v>
      </c>
      <c r="D4108">
        <v>65373001</v>
      </c>
      <c r="E4108">
        <v>12.27</v>
      </c>
      <c r="F4108">
        <v>8.3000000000000007</v>
      </c>
    </row>
    <row r="4109" spans="1:6" x14ac:dyDescent="0.3">
      <c r="A4109" t="s">
        <v>6800</v>
      </c>
      <c r="B4109" t="s">
        <v>4432</v>
      </c>
      <c r="C4109" t="s">
        <v>6801</v>
      </c>
      <c r="D4109">
        <v>65381970</v>
      </c>
      <c r="E4109">
        <v>9</v>
      </c>
      <c r="F4109">
        <v>3.86</v>
      </c>
    </row>
    <row r="4110" spans="1:6" x14ac:dyDescent="0.3">
      <c r="A4110" t="s">
        <v>6802</v>
      </c>
      <c r="B4110" t="s">
        <v>6674</v>
      </c>
      <c r="C4110" t="s">
        <v>4972</v>
      </c>
      <c r="D4110">
        <v>65383974</v>
      </c>
      <c r="E4110">
        <v>2.5099999999999998</v>
      </c>
      <c r="F4110">
        <v>6.9</v>
      </c>
    </row>
    <row r="4111" spans="1:6" x14ac:dyDescent="0.3">
      <c r="A4111" t="s">
        <v>6803</v>
      </c>
      <c r="B4111" t="s">
        <v>1736</v>
      </c>
      <c r="C4111" t="s">
        <v>2467</v>
      </c>
      <c r="D4111">
        <v>65389304</v>
      </c>
      <c r="E4111">
        <v>10</v>
      </c>
      <c r="F4111">
        <v>7.25</v>
      </c>
    </row>
    <row r="4112" spans="1:6" x14ac:dyDescent="0.3">
      <c r="A4112" t="s">
        <v>6804</v>
      </c>
      <c r="B4112" t="s">
        <v>6805</v>
      </c>
      <c r="C4112" t="s">
        <v>3369</v>
      </c>
      <c r="D4112">
        <v>65389510</v>
      </c>
      <c r="E4112">
        <v>8.75</v>
      </c>
      <c r="F4112">
        <v>3.5</v>
      </c>
    </row>
    <row r="4113" spans="1:6" x14ac:dyDescent="0.3">
      <c r="A4113" t="s">
        <v>6806</v>
      </c>
      <c r="B4113" t="s">
        <v>4936</v>
      </c>
      <c r="C4113" t="s">
        <v>6063</v>
      </c>
      <c r="D4113">
        <v>65412304</v>
      </c>
      <c r="E4113">
        <v>12.37</v>
      </c>
      <c r="F4113">
        <v>8.1</v>
      </c>
    </row>
    <row r="4114" spans="1:6" x14ac:dyDescent="0.3">
      <c r="A4114" t="s">
        <v>6807</v>
      </c>
      <c r="B4114" t="s">
        <v>6808</v>
      </c>
      <c r="C4114" t="s">
        <v>6809</v>
      </c>
      <c r="D4114">
        <v>65466142</v>
      </c>
      <c r="E4114">
        <v>2.2599999999999998</v>
      </c>
      <c r="F4114">
        <v>5.71</v>
      </c>
    </row>
    <row r="4115" spans="1:6" x14ac:dyDescent="0.3">
      <c r="A4115" t="s">
        <v>6810</v>
      </c>
      <c r="B4115" t="s">
        <v>6811</v>
      </c>
      <c r="C4115" t="s">
        <v>5291</v>
      </c>
      <c r="D4115">
        <v>65477123</v>
      </c>
      <c r="E4115">
        <v>11.73</v>
      </c>
      <c r="F4115">
        <v>6.3</v>
      </c>
    </row>
    <row r="4116" spans="1:6" x14ac:dyDescent="0.3">
      <c r="A4116" t="s">
        <v>6812</v>
      </c>
      <c r="B4116" t="s">
        <v>3109</v>
      </c>
      <c r="C4116" t="s">
        <v>5523</v>
      </c>
      <c r="D4116">
        <v>65496280</v>
      </c>
      <c r="E4116">
        <v>16.11</v>
      </c>
      <c r="F4116">
        <v>7.51</v>
      </c>
    </row>
    <row r="4117" spans="1:6" x14ac:dyDescent="0.3">
      <c r="A4117" t="s">
        <v>6813</v>
      </c>
      <c r="B4117" t="s">
        <v>4728</v>
      </c>
      <c r="C4117" t="s">
        <v>2640</v>
      </c>
      <c r="D4117">
        <v>65526474</v>
      </c>
      <c r="E4117">
        <v>5.81</v>
      </c>
      <c r="F4117">
        <v>6.71</v>
      </c>
    </row>
    <row r="4118" spans="1:6" x14ac:dyDescent="0.3">
      <c r="A4118" t="s">
        <v>5150</v>
      </c>
      <c r="B4118" t="s">
        <v>6814</v>
      </c>
      <c r="C4118" t="s">
        <v>5150</v>
      </c>
      <c r="D4118">
        <v>65544467</v>
      </c>
      <c r="E4118">
        <v>5</v>
      </c>
      <c r="F4118">
        <v>7.17</v>
      </c>
    </row>
    <row r="4119" spans="1:6" x14ac:dyDescent="0.3">
      <c r="A4119" t="s">
        <v>6815</v>
      </c>
      <c r="B4119" t="s">
        <v>3125</v>
      </c>
      <c r="C4119" t="s">
        <v>5555</v>
      </c>
      <c r="D4119">
        <v>65547937</v>
      </c>
      <c r="E4119">
        <v>15.36</v>
      </c>
      <c r="F4119">
        <v>7.71</v>
      </c>
    </row>
    <row r="4120" spans="1:6" x14ac:dyDescent="0.3">
      <c r="A4120" t="s">
        <v>6816</v>
      </c>
      <c r="B4120" t="s">
        <v>5262</v>
      </c>
      <c r="C4120" t="s">
        <v>3415</v>
      </c>
      <c r="D4120">
        <v>65548275</v>
      </c>
      <c r="E4120">
        <v>4.04</v>
      </c>
      <c r="F4120">
        <v>6</v>
      </c>
    </row>
    <row r="4121" spans="1:6" x14ac:dyDescent="0.3">
      <c r="A4121" t="s">
        <v>6817</v>
      </c>
      <c r="B4121" t="s">
        <v>5410</v>
      </c>
      <c r="C4121" t="s">
        <v>6818</v>
      </c>
      <c r="D4121">
        <v>65555265</v>
      </c>
      <c r="E4121">
        <v>2.0699999999999998</v>
      </c>
      <c r="F4121">
        <v>7.49</v>
      </c>
    </row>
    <row r="4122" spans="1:6" x14ac:dyDescent="0.3">
      <c r="A4122" t="s">
        <v>6819</v>
      </c>
      <c r="B4122" t="s">
        <v>3944</v>
      </c>
      <c r="C4122" t="s">
        <v>4411</v>
      </c>
      <c r="D4122">
        <v>65557220</v>
      </c>
      <c r="E4122">
        <v>15.78</v>
      </c>
      <c r="F4122">
        <v>6.41</v>
      </c>
    </row>
    <row r="4123" spans="1:6" x14ac:dyDescent="0.3">
      <c r="A4123" t="s">
        <v>6820</v>
      </c>
      <c r="B4123" t="s">
        <v>6821</v>
      </c>
      <c r="C4123" t="s">
        <v>2970</v>
      </c>
      <c r="D4123">
        <v>65559945</v>
      </c>
      <c r="E4123">
        <v>2.13</v>
      </c>
      <c r="F4123">
        <v>7.24</v>
      </c>
    </row>
    <row r="4124" spans="1:6" x14ac:dyDescent="0.3">
      <c r="A4124" t="s">
        <v>6822</v>
      </c>
      <c r="B4124" t="s">
        <v>3348</v>
      </c>
      <c r="C4124" t="s">
        <v>4998</v>
      </c>
      <c r="D4124">
        <v>65561437</v>
      </c>
      <c r="E4124">
        <v>21.64</v>
      </c>
      <c r="F4124">
        <v>7.83</v>
      </c>
    </row>
    <row r="4125" spans="1:6" x14ac:dyDescent="0.3">
      <c r="A4125" t="s">
        <v>6823</v>
      </c>
      <c r="B4125" t="s">
        <v>6824</v>
      </c>
      <c r="C4125" t="s">
        <v>2144</v>
      </c>
      <c r="D4125">
        <v>65566814</v>
      </c>
      <c r="E4125">
        <v>3.07</v>
      </c>
      <c r="F4125">
        <v>5.67</v>
      </c>
    </row>
    <row r="4126" spans="1:6" x14ac:dyDescent="0.3">
      <c r="A4126" t="s">
        <v>6825</v>
      </c>
      <c r="B4126" t="s">
        <v>5449</v>
      </c>
      <c r="C4126" t="s">
        <v>6826</v>
      </c>
      <c r="D4126">
        <v>65583415</v>
      </c>
      <c r="E4126">
        <v>2.15</v>
      </c>
      <c r="F4126">
        <v>7</v>
      </c>
    </row>
    <row r="4127" spans="1:6" x14ac:dyDescent="0.3">
      <c r="A4127" t="s">
        <v>6827</v>
      </c>
      <c r="B4127" t="s">
        <v>2614</v>
      </c>
      <c r="C4127" t="s">
        <v>3901</v>
      </c>
      <c r="D4127">
        <v>65588448</v>
      </c>
      <c r="E4127">
        <v>33</v>
      </c>
      <c r="F4127">
        <v>9</v>
      </c>
    </row>
    <row r="4128" spans="1:6" x14ac:dyDescent="0.3">
      <c r="A4128" t="s">
        <v>6828</v>
      </c>
      <c r="B4128" t="s">
        <v>3803</v>
      </c>
      <c r="C4128" t="s">
        <v>6332</v>
      </c>
      <c r="D4128">
        <v>65588712</v>
      </c>
      <c r="E4128">
        <v>9.4600000000000009</v>
      </c>
      <c r="F4128">
        <v>7.32</v>
      </c>
    </row>
    <row r="4129" spans="1:6" x14ac:dyDescent="0.3">
      <c r="A4129" t="s">
        <v>6829</v>
      </c>
      <c r="B4129" t="s">
        <v>1394</v>
      </c>
      <c r="C4129" t="s">
        <v>474</v>
      </c>
      <c r="D4129">
        <v>65626791</v>
      </c>
      <c r="E4129">
        <v>2.87</v>
      </c>
      <c r="F4129">
        <v>7.38</v>
      </c>
    </row>
    <row r="4130" spans="1:6" x14ac:dyDescent="0.3">
      <c r="A4130" t="s">
        <v>6830</v>
      </c>
      <c r="B4130" t="s">
        <v>3830</v>
      </c>
      <c r="C4130" t="s">
        <v>6831</v>
      </c>
      <c r="D4130">
        <v>65633532</v>
      </c>
      <c r="E4130">
        <v>22.63</v>
      </c>
      <c r="F4130">
        <v>7.53</v>
      </c>
    </row>
    <row r="4131" spans="1:6" x14ac:dyDescent="0.3">
      <c r="A4131" t="s">
        <v>6832</v>
      </c>
      <c r="B4131" t="s">
        <v>5158</v>
      </c>
      <c r="C4131" t="s">
        <v>4416</v>
      </c>
      <c r="D4131">
        <v>65634069</v>
      </c>
      <c r="E4131">
        <v>6.37</v>
      </c>
      <c r="F4131">
        <v>6.14</v>
      </c>
    </row>
    <row r="4132" spans="1:6" x14ac:dyDescent="0.3">
      <c r="A4132" t="s">
        <v>6833</v>
      </c>
      <c r="B4132" t="s">
        <v>6834</v>
      </c>
      <c r="C4132" t="s">
        <v>3389</v>
      </c>
      <c r="D4132">
        <v>65672667</v>
      </c>
      <c r="E4132">
        <v>9.25</v>
      </c>
      <c r="F4132">
        <v>6.75</v>
      </c>
    </row>
    <row r="4133" spans="1:6" x14ac:dyDescent="0.3">
      <c r="A4133" t="s">
        <v>6835</v>
      </c>
      <c r="B4133" t="s">
        <v>6836</v>
      </c>
      <c r="C4133" t="s">
        <v>6837</v>
      </c>
      <c r="D4133">
        <v>65682928</v>
      </c>
      <c r="E4133">
        <v>5.81</v>
      </c>
      <c r="F4133">
        <v>5.63</v>
      </c>
    </row>
    <row r="4134" spans="1:6" x14ac:dyDescent="0.3">
      <c r="A4134" t="s">
        <v>6838</v>
      </c>
      <c r="B4134" t="s">
        <v>6839</v>
      </c>
      <c r="C4134" t="s">
        <v>6840</v>
      </c>
      <c r="D4134">
        <v>65693576</v>
      </c>
      <c r="E4134">
        <v>7.5</v>
      </c>
      <c r="F4134">
        <v>6</v>
      </c>
    </row>
    <row r="4135" spans="1:6" x14ac:dyDescent="0.3">
      <c r="A4135" t="s">
        <v>6773</v>
      </c>
      <c r="B4135" t="s">
        <v>6841</v>
      </c>
      <c r="C4135" t="s">
        <v>6773</v>
      </c>
      <c r="D4135">
        <v>65725681</v>
      </c>
      <c r="E4135">
        <v>9.8000000000000007</v>
      </c>
      <c r="F4135">
        <v>7.5</v>
      </c>
    </row>
    <row r="4136" spans="1:6" x14ac:dyDescent="0.3">
      <c r="A4136">
        <v>64</v>
      </c>
      <c r="B4136" t="s">
        <v>3120</v>
      </c>
      <c r="C4136" t="s">
        <v>6842</v>
      </c>
      <c r="D4136">
        <v>65731116</v>
      </c>
      <c r="E4136">
        <v>14.44</v>
      </c>
      <c r="F4136">
        <v>5.34</v>
      </c>
    </row>
    <row r="4137" spans="1:6" x14ac:dyDescent="0.3">
      <c r="A4137" t="s">
        <v>6843</v>
      </c>
      <c r="B4137" t="s">
        <v>6844</v>
      </c>
      <c r="C4137" t="s">
        <v>6845</v>
      </c>
      <c r="D4137">
        <v>65738322</v>
      </c>
      <c r="E4137">
        <v>10.73</v>
      </c>
      <c r="F4137">
        <v>7.75</v>
      </c>
    </row>
    <row r="4138" spans="1:6" x14ac:dyDescent="0.3">
      <c r="A4138" t="s">
        <v>6846</v>
      </c>
      <c r="B4138" t="s">
        <v>6709</v>
      </c>
      <c r="C4138" t="s">
        <v>1355</v>
      </c>
      <c r="D4138">
        <v>65758400</v>
      </c>
      <c r="E4138">
        <v>18</v>
      </c>
      <c r="F4138">
        <v>4.5</v>
      </c>
    </row>
    <row r="4139" spans="1:6" x14ac:dyDescent="0.3">
      <c r="A4139" t="s">
        <v>651</v>
      </c>
      <c r="B4139" t="s">
        <v>1479</v>
      </c>
      <c r="C4139" t="s">
        <v>2254</v>
      </c>
      <c r="D4139">
        <v>65760631</v>
      </c>
      <c r="E4139">
        <v>2.2799999999999998</v>
      </c>
      <c r="F4139">
        <v>6.81</v>
      </c>
    </row>
    <row r="4140" spans="1:6" x14ac:dyDescent="0.3">
      <c r="A4140" t="s">
        <v>6847</v>
      </c>
      <c r="B4140" t="s">
        <v>6848</v>
      </c>
      <c r="C4140" t="s">
        <v>3085</v>
      </c>
      <c r="D4140">
        <v>65761419</v>
      </c>
      <c r="E4140">
        <v>7.04</v>
      </c>
      <c r="F4140">
        <v>7.1</v>
      </c>
    </row>
    <row r="4141" spans="1:6" x14ac:dyDescent="0.3">
      <c r="A4141" t="s">
        <v>6849</v>
      </c>
      <c r="B4141" t="s">
        <v>3880</v>
      </c>
      <c r="C4141" t="s">
        <v>3446</v>
      </c>
      <c r="D4141">
        <v>65761944</v>
      </c>
      <c r="E4141">
        <v>3.92</v>
      </c>
      <c r="F4141">
        <v>6.55</v>
      </c>
    </row>
    <row r="4142" spans="1:6" x14ac:dyDescent="0.3">
      <c r="A4142" t="s">
        <v>6850</v>
      </c>
      <c r="B4142" t="s">
        <v>6267</v>
      </c>
      <c r="C4142" t="s">
        <v>6851</v>
      </c>
      <c r="D4142">
        <v>65765662</v>
      </c>
      <c r="E4142">
        <v>1.1499999999999999</v>
      </c>
      <c r="F4142">
        <v>6.86</v>
      </c>
    </row>
    <row r="4143" spans="1:6" x14ac:dyDescent="0.3">
      <c r="A4143" t="s">
        <v>6852</v>
      </c>
      <c r="B4143" t="s">
        <v>3212</v>
      </c>
      <c r="C4143" t="s">
        <v>845</v>
      </c>
      <c r="D4143">
        <v>65767443</v>
      </c>
      <c r="E4143">
        <v>3.71</v>
      </c>
      <c r="F4143">
        <v>6.39</v>
      </c>
    </row>
    <row r="4144" spans="1:6" x14ac:dyDescent="0.3">
      <c r="A4144" t="s">
        <v>6853</v>
      </c>
      <c r="B4144" t="s">
        <v>6854</v>
      </c>
      <c r="C4144" t="s">
        <v>3728</v>
      </c>
      <c r="D4144">
        <v>65768845</v>
      </c>
      <c r="E4144">
        <v>12.9</v>
      </c>
      <c r="F4144">
        <v>7.79</v>
      </c>
    </row>
    <row r="4145" spans="1:6" x14ac:dyDescent="0.3">
      <c r="A4145" t="s">
        <v>6855</v>
      </c>
      <c r="B4145" t="s">
        <v>6856</v>
      </c>
      <c r="C4145" t="s">
        <v>805</v>
      </c>
      <c r="D4145">
        <v>65770872</v>
      </c>
      <c r="E4145">
        <v>13.99</v>
      </c>
      <c r="F4145">
        <v>6.21</v>
      </c>
    </row>
    <row r="4146" spans="1:6" x14ac:dyDescent="0.3">
      <c r="A4146" t="s">
        <v>1204</v>
      </c>
      <c r="B4146" t="s">
        <v>5685</v>
      </c>
      <c r="C4146" t="s">
        <v>1205</v>
      </c>
      <c r="D4146">
        <v>65822047</v>
      </c>
      <c r="E4146">
        <v>10.5</v>
      </c>
      <c r="F4146">
        <v>7.5</v>
      </c>
    </row>
    <row r="4147" spans="1:6" x14ac:dyDescent="0.3">
      <c r="A4147" t="s">
        <v>6857</v>
      </c>
      <c r="B4147" t="s">
        <v>6563</v>
      </c>
      <c r="C4147" t="s">
        <v>4241</v>
      </c>
      <c r="D4147">
        <v>65824040</v>
      </c>
      <c r="E4147">
        <v>6.32</v>
      </c>
      <c r="F4147">
        <v>5.5</v>
      </c>
    </row>
    <row r="4148" spans="1:6" x14ac:dyDescent="0.3">
      <c r="A4148" t="s">
        <v>6858</v>
      </c>
      <c r="B4148" t="s">
        <v>6859</v>
      </c>
      <c r="C4148" t="s">
        <v>6551</v>
      </c>
      <c r="D4148">
        <v>65834899</v>
      </c>
      <c r="E4148">
        <v>14.91</v>
      </c>
      <c r="F4148">
        <v>7.14</v>
      </c>
    </row>
    <row r="4149" spans="1:6" x14ac:dyDescent="0.3">
      <c r="A4149" t="s">
        <v>6860</v>
      </c>
      <c r="B4149" t="s">
        <v>6031</v>
      </c>
      <c r="C4149" t="s">
        <v>6861</v>
      </c>
      <c r="D4149">
        <v>65842614</v>
      </c>
      <c r="E4149">
        <v>2.66</v>
      </c>
      <c r="F4149">
        <v>6.98</v>
      </c>
    </row>
    <row r="4150" spans="1:6" x14ac:dyDescent="0.3">
      <c r="A4150" t="s">
        <v>6862</v>
      </c>
      <c r="B4150" t="s">
        <v>2342</v>
      </c>
      <c r="C4150" t="s">
        <v>1747</v>
      </c>
      <c r="D4150">
        <v>65860142</v>
      </c>
      <c r="E4150">
        <v>26.18</v>
      </c>
      <c r="F4150">
        <v>6.48</v>
      </c>
    </row>
    <row r="4151" spans="1:6" x14ac:dyDescent="0.3">
      <c r="A4151" t="s">
        <v>6863</v>
      </c>
      <c r="B4151" t="s">
        <v>6864</v>
      </c>
      <c r="C4151" t="s">
        <v>6865</v>
      </c>
      <c r="D4151">
        <v>65891374</v>
      </c>
      <c r="E4151">
        <v>16.14</v>
      </c>
      <c r="F4151">
        <v>5.27</v>
      </c>
    </row>
    <row r="4152" spans="1:6" x14ac:dyDescent="0.3">
      <c r="A4152" t="s">
        <v>6866</v>
      </c>
      <c r="B4152" t="s">
        <v>6867</v>
      </c>
      <c r="C4152" t="s">
        <v>6868</v>
      </c>
      <c r="D4152">
        <v>65894262</v>
      </c>
      <c r="E4152">
        <v>1.78</v>
      </c>
      <c r="F4152">
        <v>7.27</v>
      </c>
    </row>
    <row r="4153" spans="1:6" x14ac:dyDescent="0.3">
      <c r="A4153" t="s">
        <v>6869</v>
      </c>
      <c r="B4153" t="s">
        <v>5698</v>
      </c>
      <c r="C4153" t="s">
        <v>4863</v>
      </c>
      <c r="D4153">
        <v>65894695</v>
      </c>
      <c r="E4153">
        <v>18.8</v>
      </c>
      <c r="F4153">
        <v>7.56</v>
      </c>
    </row>
    <row r="4154" spans="1:6" x14ac:dyDescent="0.3">
      <c r="A4154" t="s">
        <v>6870</v>
      </c>
      <c r="B4154" t="s">
        <v>6871</v>
      </c>
      <c r="C4154" t="s">
        <v>6872</v>
      </c>
      <c r="D4154">
        <v>65895089</v>
      </c>
      <c r="E4154">
        <v>7.67</v>
      </c>
      <c r="F4154">
        <v>9</v>
      </c>
    </row>
    <row r="4155" spans="1:6" x14ac:dyDescent="0.3">
      <c r="A4155" t="s">
        <v>6873</v>
      </c>
      <c r="B4155" t="s">
        <v>6874</v>
      </c>
      <c r="C4155" t="s">
        <v>6551</v>
      </c>
      <c r="D4155">
        <v>65902567</v>
      </c>
      <c r="E4155">
        <v>15.88</v>
      </c>
      <c r="F4155">
        <v>7.24</v>
      </c>
    </row>
    <row r="4156" spans="1:6" x14ac:dyDescent="0.3">
      <c r="A4156" t="s">
        <v>6875</v>
      </c>
      <c r="B4156" t="s">
        <v>6876</v>
      </c>
      <c r="C4156" t="s">
        <v>6877</v>
      </c>
      <c r="D4156">
        <v>65905010</v>
      </c>
      <c r="E4156">
        <v>7.88</v>
      </c>
      <c r="F4156">
        <v>6.3</v>
      </c>
    </row>
    <row r="4157" spans="1:6" x14ac:dyDescent="0.3">
      <c r="A4157" t="s">
        <v>6878</v>
      </c>
      <c r="B4157" t="s">
        <v>5093</v>
      </c>
      <c r="C4157" t="s">
        <v>3344</v>
      </c>
      <c r="D4157">
        <v>65911655</v>
      </c>
      <c r="E4157">
        <v>7.29</v>
      </c>
      <c r="F4157">
        <v>4</v>
      </c>
    </row>
    <row r="4158" spans="1:6" x14ac:dyDescent="0.3">
      <c r="A4158" t="s">
        <v>6879</v>
      </c>
      <c r="B4158" t="s">
        <v>6880</v>
      </c>
      <c r="C4158" t="s">
        <v>6020</v>
      </c>
      <c r="D4158">
        <v>65924800</v>
      </c>
      <c r="E4158">
        <v>6.5</v>
      </c>
      <c r="F4158">
        <v>6</v>
      </c>
    </row>
    <row r="4159" spans="1:6" x14ac:dyDescent="0.3">
      <c r="A4159" t="s">
        <v>6881</v>
      </c>
      <c r="B4159" t="s">
        <v>6882</v>
      </c>
      <c r="C4159" t="s">
        <v>845</v>
      </c>
      <c r="D4159">
        <v>65939901</v>
      </c>
      <c r="E4159">
        <v>2.52</v>
      </c>
      <c r="F4159">
        <v>6.41</v>
      </c>
    </row>
    <row r="4160" spans="1:6" x14ac:dyDescent="0.3">
      <c r="A4160" t="s">
        <v>6883</v>
      </c>
      <c r="B4160" t="s">
        <v>6884</v>
      </c>
      <c r="C4160" t="s">
        <v>780</v>
      </c>
      <c r="D4160">
        <v>65944249</v>
      </c>
      <c r="E4160">
        <v>17.329999999999998</v>
      </c>
      <c r="F4160">
        <v>8</v>
      </c>
    </row>
    <row r="4161" spans="1:6" x14ac:dyDescent="0.3">
      <c r="A4161" t="s">
        <v>6885</v>
      </c>
      <c r="B4161" t="s">
        <v>4948</v>
      </c>
      <c r="C4161" t="s">
        <v>5622</v>
      </c>
      <c r="D4161">
        <v>65947116</v>
      </c>
      <c r="E4161">
        <v>1.82</v>
      </c>
      <c r="F4161">
        <v>7.51</v>
      </c>
    </row>
    <row r="4162" spans="1:6" x14ac:dyDescent="0.3">
      <c r="A4162" t="s">
        <v>6886</v>
      </c>
      <c r="B4162" t="s">
        <v>6887</v>
      </c>
      <c r="C4162" t="s">
        <v>6888</v>
      </c>
      <c r="D4162">
        <v>65947591</v>
      </c>
      <c r="E4162">
        <v>2.74</v>
      </c>
      <c r="F4162">
        <v>6.14</v>
      </c>
    </row>
    <row r="4163" spans="1:6" x14ac:dyDescent="0.3">
      <c r="A4163" t="s">
        <v>6889</v>
      </c>
      <c r="B4163" t="s">
        <v>6262</v>
      </c>
      <c r="C4163" t="s">
        <v>6890</v>
      </c>
      <c r="D4163">
        <v>65949625</v>
      </c>
      <c r="E4163">
        <v>12.55</v>
      </c>
      <c r="F4163">
        <v>7.8</v>
      </c>
    </row>
    <row r="4164" spans="1:6" x14ac:dyDescent="0.3">
      <c r="A4164" t="s">
        <v>6891</v>
      </c>
      <c r="B4164" t="s">
        <v>5512</v>
      </c>
      <c r="C4164" t="s">
        <v>89</v>
      </c>
      <c r="D4164">
        <v>65952945</v>
      </c>
      <c r="E4164">
        <v>4.38</v>
      </c>
      <c r="F4164">
        <v>6.93</v>
      </c>
    </row>
    <row r="4165" spans="1:6" x14ac:dyDescent="0.3">
      <c r="A4165" t="s">
        <v>6892</v>
      </c>
      <c r="B4165" t="s">
        <v>5654</v>
      </c>
      <c r="C4165" t="s">
        <v>6893</v>
      </c>
      <c r="D4165">
        <v>65967205</v>
      </c>
      <c r="E4165">
        <v>2.95</v>
      </c>
      <c r="F4165">
        <v>6.33</v>
      </c>
    </row>
    <row r="4166" spans="1:6" x14ac:dyDescent="0.3">
      <c r="A4166" t="s">
        <v>6894</v>
      </c>
      <c r="B4166" t="s">
        <v>3554</v>
      </c>
      <c r="C4166" t="s">
        <v>349</v>
      </c>
      <c r="D4166">
        <v>65968514</v>
      </c>
      <c r="E4166">
        <v>12.25</v>
      </c>
      <c r="F4166">
        <v>7</v>
      </c>
    </row>
    <row r="4167" spans="1:6" x14ac:dyDescent="0.3">
      <c r="A4167" t="s">
        <v>6895</v>
      </c>
      <c r="B4167" t="s">
        <v>5961</v>
      </c>
      <c r="C4167" t="s">
        <v>6896</v>
      </c>
      <c r="D4167">
        <v>65969451</v>
      </c>
      <c r="E4167">
        <v>29</v>
      </c>
      <c r="F4167">
        <v>7.1</v>
      </c>
    </row>
    <row r="4168" spans="1:6" x14ac:dyDescent="0.3">
      <c r="A4168" t="s">
        <v>6897</v>
      </c>
      <c r="B4168" t="s">
        <v>6898</v>
      </c>
      <c r="C4168" t="s">
        <v>6899</v>
      </c>
      <c r="D4168">
        <v>65977127</v>
      </c>
      <c r="E4168">
        <v>2.29</v>
      </c>
      <c r="F4168">
        <v>6.05</v>
      </c>
    </row>
    <row r="4169" spans="1:6" x14ac:dyDescent="0.3">
      <c r="A4169" t="s">
        <v>6900</v>
      </c>
      <c r="B4169" t="s">
        <v>4154</v>
      </c>
      <c r="C4169" t="s">
        <v>6901</v>
      </c>
      <c r="D4169">
        <v>65982096</v>
      </c>
      <c r="E4169">
        <v>7.89</v>
      </c>
      <c r="F4169">
        <v>7.49</v>
      </c>
    </row>
    <row r="4170" spans="1:6" x14ac:dyDescent="0.3">
      <c r="A4170" t="s">
        <v>6902</v>
      </c>
      <c r="B4170" t="s">
        <v>6903</v>
      </c>
      <c r="C4170" t="s">
        <v>6904</v>
      </c>
      <c r="D4170">
        <v>65982725</v>
      </c>
      <c r="E4170">
        <v>23.23</v>
      </c>
      <c r="F4170">
        <v>7.38</v>
      </c>
    </row>
    <row r="4171" spans="1:6" x14ac:dyDescent="0.3">
      <c r="A4171" t="s">
        <v>6905</v>
      </c>
      <c r="B4171" t="s">
        <v>6906</v>
      </c>
      <c r="C4171" t="s">
        <v>6907</v>
      </c>
      <c r="D4171">
        <v>65983055</v>
      </c>
      <c r="E4171">
        <v>2.96</v>
      </c>
      <c r="F4171">
        <v>6.55</v>
      </c>
    </row>
    <row r="4172" spans="1:6" x14ac:dyDescent="0.3">
      <c r="A4172" t="s">
        <v>6908</v>
      </c>
      <c r="B4172" t="s">
        <v>6694</v>
      </c>
      <c r="C4172" t="s">
        <v>6909</v>
      </c>
      <c r="D4172">
        <v>65984971</v>
      </c>
      <c r="E4172">
        <v>17.04</v>
      </c>
      <c r="F4172">
        <v>7.14</v>
      </c>
    </row>
    <row r="4173" spans="1:6" x14ac:dyDescent="0.3">
      <c r="A4173" t="s">
        <v>6910</v>
      </c>
      <c r="B4173" t="s">
        <v>4366</v>
      </c>
      <c r="C4173" t="s">
        <v>769</v>
      </c>
      <c r="D4173">
        <v>65986433</v>
      </c>
      <c r="E4173">
        <v>18.329999999999998</v>
      </c>
      <c r="F4173">
        <v>5.33</v>
      </c>
    </row>
    <row r="4174" spans="1:6" x14ac:dyDescent="0.3">
      <c r="A4174" t="s">
        <v>6911</v>
      </c>
      <c r="B4174" t="s">
        <v>4930</v>
      </c>
      <c r="C4174" t="s">
        <v>6912</v>
      </c>
      <c r="D4174">
        <v>65990474</v>
      </c>
      <c r="E4174">
        <v>2.81</v>
      </c>
      <c r="F4174">
        <v>7.35</v>
      </c>
    </row>
    <row r="4175" spans="1:6" x14ac:dyDescent="0.3">
      <c r="A4175" t="s">
        <v>6913</v>
      </c>
      <c r="B4175" t="s">
        <v>5685</v>
      </c>
      <c r="C4175" t="s">
        <v>6914</v>
      </c>
      <c r="D4175">
        <v>65993186</v>
      </c>
      <c r="E4175">
        <v>6.62</v>
      </c>
      <c r="F4175">
        <v>6.37</v>
      </c>
    </row>
    <row r="4176" spans="1:6" x14ac:dyDescent="0.3">
      <c r="A4176" t="s">
        <v>6915</v>
      </c>
      <c r="B4176" t="s">
        <v>5790</v>
      </c>
      <c r="C4176" t="s">
        <v>6916</v>
      </c>
      <c r="D4176">
        <v>65999215</v>
      </c>
      <c r="E4176">
        <v>3.05</v>
      </c>
      <c r="F4176">
        <v>6.44</v>
      </c>
    </row>
    <row r="4177" spans="1:6" x14ac:dyDescent="0.3">
      <c r="A4177" t="s">
        <v>6917</v>
      </c>
      <c r="B4177" t="s">
        <v>5616</v>
      </c>
      <c r="C4177" t="s">
        <v>1028</v>
      </c>
      <c r="D4177">
        <v>66004550</v>
      </c>
      <c r="E4177">
        <v>27.4</v>
      </c>
      <c r="F4177">
        <v>7.4</v>
      </c>
    </row>
    <row r="4178" spans="1:6" x14ac:dyDescent="0.3">
      <c r="A4178" t="s">
        <v>6918</v>
      </c>
      <c r="B4178" t="s">
        <v>6919</v>
      </c>
      <c r="C4178" t="s">
        <v>6920</v>
      </c>
      <c r="D4178">
        <v>66007905</v>
      </c>
      <c r="E4178">
        <v>7.54</v>
      </c>
      <c r="F4178">
        <v>6.71</v>
      </c>
    </row>
    <row r="4179" spans="1:6" x14ac:dyDescent="0.3">
      <c r="A4179">
        <v>2021</v>
      </c>
      <c r="B4179" t="s">
        <v>2843</v>
      </c>
      <c r="C4179">
        <v>2010</v>
      </c>
      <c r="D4179">
        <v>66017025</v>
      </c>
      <c r="E4179">
        <v>3.35</v>
      </c>
      <c r="F4179">
        <v>7.13</v>
      </c>
    </row>
    <row r="4180" spans="1:6" x14ac:dyDescent="0.3">
      <c r="A4180" t="s">
        <v>6921</v>
      </c>
      <c r="B4180" t="s">
        <v>2203</v>
      </c>
      <c r="C4180" t="s">
        <v>6922</v>
      </c>
      <c r="D4180">
        <v>66028983</v>
      </c>
      <c r="E4180">
        <v>13.56</v>
      </c>
      <c r="F4180">
        <v>7.25</v>
      </c>
    </row>
    <row r="4181" spans="1:6" x14ac:dyDescent="0.3">
      <c r="A4181" t="s">
        <v>6923</v>
      </c>
      <c r="B4181" t="s">
        <v>6189</v>
      </c>
      <c r="C4181" t="s">
        <v>6924</v>
      </c>
      <c r="D4181">
        <v>66044291</v>
      </c>
      <c r="E4181">
        <v>22</v>
      </c>
      <c r="F4181">
        <v>10</v>
      </c>
    </row>
    <row r="4182" spans="1:6" x14ac:dyDescent="0.3">
      <c r="A4182" t="s">
        <v>6925</v>
      </c>
      <c r="B4182" t="s">
        <v>1853</v>
      </c>
      <c r="C4182" t="s">
        <v>2779</v>
      </c>
      <c r="D4182">
        <v>66047016</v>
      </c>
      <c r="E4182">
        <v>3.2</v>
      </c>
      <c r="F4182">
        <v>7.09</v>
      </c>
    </row>
    <row r="4183" spans="1:6" x14ac:dyDescent="0.3">
      <c r="A4183" t="s">
        <v>6926</v>
      </c>
      <c r="B4183" t="s">
        <v>4377</v>
      </c>
      <c r="C4183" t="s">
        <v>5440</v>
      </c>
      <c r="D4183">
        <v>66064435</v>
      </c>
      <c r="E4183">
        <v>19.75</v>
      </c>
      <c r="F4183">
        <v>7.5</v>
      </c>
    </row>
    <row r="4184" spans="1:6" x14ac:dyDescent="0.3">
      <c r="A4184" t="s">
        <v>6927</v>
      </c>
      <c r="B4184" t="s">
        <v>6928</v>
      </c>
      <c r="C4184" t="s">
        <v>6927</v>
      </c>
      <c r="D4184">
        <v>66066342</v>
      </c>
      <c r="E4184">
        <v>1.07</v>
      </c>
      <c r="F4184">
        <v>7.31</v>
      </c>
    </row>
    <row r="4185" spans="1:6" x14ac:dyDescent="0.3">
      <c r="A4185" t="s">
        <v>6929</v>
      </c>
      <c r="B4185" t="s">
        <v>3238</v>
      </c>
      <c r="C4185" t="s">
        <v>2523</v>
      </c>
      <c r="D4185">
        <v>66070646</v>
      </c>
      <c r="E4185">
        <v>2.21</v>
      </c>
      <c r="F4185">
        <v>7.31</v>
      </c>
    </row>
    <row r="4186" spans="1:6" x14ac:dyDescent="0.3">
      <c r="A4186" t="s">
        <v>6930</v>
      </c>
      <c r="B4186" t="s">
        <v>1110</v>
      </c>
      <c r="C4186" t="s">
        <v>6342</v>
      </c>
      <c r="D4186">
        <v>66085306</v>
      </c>
      <c r="E4186">
        <v>25.34</v>
      </c>
      <c r="F4186">
        <v>6.94</v>
      </c>
    </row>
    <row r="4187" spans="1:6" x14ac:dyDescent="0.3">
      <c r="A4187" t="s">
        <v>6931</v>
      </c>
      <c r="B4187" t="s">
        <v>6932</v>
      </c>
      <c r="C4187" t="s">
        <v>3375</v>
      </c>
      <c r="D4187">
        <v>66094927</v>
      </c>
      <c r="E4187">
        <v>8.75</v>
      </c>
      <c r="F4187">
        <v>6.5</v>
      </c>
    </row>
    <row r="4188" spans="1:6" x14ac:dyDescent="0.3">
      <c r="A4188" t="s">
        <v>6933</v>
      </c>
      <c r="B4188" t="s">
        <v>6639</v>
      </c>
      <c r="C4188" t="s">
        <v>5025</v>
      </c>
      <c r="D4188">
        <v>66098370</v>
      </c>
      <c r="E4188">
        <v>2.2799999999999998</v>
      </c>
      <c r="F4188">
        <v>6.74</v>
      </c>
    </row>
    <row r="4189" spans="1:6" x14ac:dyDescent="0.3">
      <c r="A4189" t="s">
        <v>6934</v>
      </c>
      <c r="B4189" t="s">
        <v>5384</v>
      </c>
      <c r="C4189" t="s">
        <v>5581</v>
      </c>
      <c r="D4189">
        <v>66098858</v>
      </c>
      <c r="E4189">
        <v>8.5500000000000007</v>
      </c>
      <c r="F4189">
        <v>5.91</v>
      </c>
    </row>
    <row r="4190" spans="1:6" x14ac:dyDescent="0.3">
      <c r="A4190" t="s">
        <v>6935</v>
      </c>
      <c r="B4190" t="s">
        <v>4471</v>
      </c>
      <c r="C4190" t="s">
        <v>3039</v>
      </c>
      <c r="D4190">
        <v>66125502</v>
      </c>
      <c r="E4190">
        <v>13.1</v>
      </c>
      <c r="F4190">
        <v>6.2</v>
      </c>
    </row>
    <row r="4191" spans="1:6" x14ac:dyDescent="0.3">
      <c r="A4191" t="s">
        <v>1955</v>
      </c>
      <c r="B4191" t="s">
        <v>6709</v>
      </c>
      <c r="C4191" t="s">
        <v>1955</v>
      </c>
      <c r="D4191">
        <v>66133800</v>
      </c>
      <c r="E4191">
        <v>18.72</v>
      </c>
      <c r="F4191">
        <v>6.73</v>
      </c>
    </row>
    <row r="4192" spans="1:6" x14ac:dyDescent="0.3">
      <c r="A4192" t="s">
        <v>6936</v>
      </c>
      <c r="B4192" t="s">
        <v>5782</v>
      </c>
      <c r="C4192" t="s">
        <v>4723</v>
      </c>
      <c r="D4192">
        <v>66137938</v>
      </c>
      <c r="E4192">
        <v>12.27</v>
      </c>
      <c r="F4192">
        <v>5.17</v>
      </c>
    </row>
    <row r="4193" spans="1:6" x14ac:dyDescent="0.3">
      <c r="A4193" t="s">
        <v>6937</v>
      </c>
      <c r="B4193" t="s">
        <v>1305</v>
      </c>
      <c r="C4193" t="s">
        <v>6938</v>
      </c>
      <c r="D4193">
        <v>66140149</v>
      </c>
      <c r="E4193">
        <v>10</v>
      </c>
      <c r="F4193">
        <v>6</v>
      </c>
    </row>
    <row r="4194" spans="1:6" x14ac:dyDescent="0.3">
      <c r="A4194" t="s">
        <v>6939</v>
      </c>
      <c r="B4194" t="s">
        <v>6940</v>
      </c>
      <c r="C4194" t="s">
        <v>6941</v>
      </c>
      <c r="D4194">
        <v>66145351</v>
      </c>
      <c r="E4194">
        <v>3.93</v>
      </c>
      <c r="F4194">
        <v>7.07</v>
      </c>
    </row>
    <row r="4195" spans="1:6" x14ac:dyDescent="0.3">
      <c r="A4195" t="s">
        <v>6942</v>
      </c>
      <c r="B4195" t="s">
        <v>6943</v>
      </c>
      <c r="C4195" t="s">
        <v>121</v>
      </c>
      <c r="D4195">
        <v>66146066</v>
      </c>
      <c r="E4195">
        <v>4.09</v>
      </c>
      <c r="F4195">
        <v>5.79</v>
      </c>
    </row>
    <row r="4196" spans="1:6" x14ac:dyDescent="0.3">
      <c r="A4196" t="s">
        <v>6944</v>
      </c>
      <c r="B4196" t="s">
        <v>6945</v>
      </c>
      <c r="C4196" t="s">
        <v>1481</v>
      </c>
      <c r="D4196">
        <v>66154965</v>
      </c>
      <c r="E4196">
        <v>15.64</v>
      </c>
      <c r="F4196">
        <v>4.9400000000000004</v>
      </c>
    </row>
    <row r="4197" spans="1:6" x14ac:dyDescent="0.3">
      <c r="A4197" t="s">
        <v>6946</v>
      </c>
      <c r="B4197" t="s">
        <v>6947</v>
      </c>
      <c r="C4197" t="s">
        <v>2950</v>
      </c>
      <c r="D4197">
        <v>66160112</v>
      </c>
      <c r="E4197">
        <v>8</v>
      </c>
      <c r="F4197">
        <v>7.5</v>
      </c>
    </row>
    <row r="4198" spans="1:6" x14ac:dyDescent="0.3">
      <c r="A4198" t="s">
        <v>6948</v>
      </c>
      <c r="B4198" t="s">
        <v>6949</v>
      </c>
      <c r="C4198" t="s">
        <v>3945</v>
      </c>
      <c r="D4198">
        <v>66162208</v>
      </c>
      <c r="E4198">
        <v>2.16</v>
      </c>
      <c r="F4198">
        <v>7.2</v>
      </c>
    </row>
    <row r="4199" spans="1:6" x14ac:dyDescent="0.3">
      <c r="A4199" t="s">
        <v>6950</v>
      </c>
      <c r="B4199" t="s">
        <v>6505</v>
      </c>
      <c r="C4199" t="s">
        <v>1174</v>
      </c>
      <c r="D4199">
        <v>66199261</v>
      </c>
      <c r="E4199">
        <v>2.5</v>
      </c>
      <c r="F4199">
        <v>7.22</v>
      </c>
    </row>
    <row r="4200" spans="1:6" x14ac:dyDescent="0.3">
      <c r="A4200" t="s">
        <v>6951</v>
      </c>
      <c r="B4200" t="s">
        <v>2716</v>
      </c>
      <c r="C4200" t="s">
        <v>1545</v>
      </c>
      <c r="D4200">
        <v>66203074</v>
      </c>
      <c r="E4200">
        <v>30</v>
      </c>
      <c r="F4200">
        <v>7</v>
      </c>
    </row>
    <row r="4201" spans="1:6" x14ac:dyDescent="0.3">
      <c r="A4201" t="s">
        <v>6952</v>
      </c>
      <c r="B4201" t="s">
        <v>6953</v>
      </c>
      <c r="C4201" t="s">
        <v>5772</v>
      </c>
      <c r="D4201">
        <v>66203839</v>
      </c>
      <c r="E4201">
        <v>3.17</v>
      </c>
      <c r="F4201">
        <v>5.89</v>
      </c>
    </row>
    <row r="4202" spans="1:6" x14ac:dyDescent="0.3">
      <c r="A4202" t="s">
        <v>6954</v>
      </c>
      <c r="B4202" t="s">
        <v>6955</v>
      </c>
      <c r="C4202" t="s">
        <v>5555</v>
      </c>
      <c r="D4202">
        <v>66209130</v>
      </c>
      <c r="E4202">
        <v>2.29</v>
      </c>
      <c r="F4202">
        <v>5.4</v>
      </c>
    </row>
    <row r="4203" spans="1:6" x14ac:dyDescent="0.3">
      <c r="A4203" t="s">
        <v>6956</v>
      </c>
      <c r="B4203" t="s">
        <v>6525</v>
      </c>
      <c r="C4203" t="s">
        <v>1157</v>
      </c>
      <c r="D4203">
        <v>66212145</v>
      </c>
      <c r="E4203">
        <v>19.96</v>
      </c>
      <c r="F4203">
        <v>7.64</v>
      </c>
    </row>
    <row r="4204" spans="1:6" x14ac:dyDescent="0.3">
      <c r="A4204" t="s">
        <v>6957</v>
      </c>
      <c r="B4204" t="s">
        <v>4073</v>
      </c>
      <c r="C4204" t="s">
        <v>6958</v>
      </c>
      <c r="D4204">
        <v>66217891</v>
      </c>
      <c r="E4204">
        <v>1.53</v>
      </c>
      <c r="F4204">
        <v>6.13</v>
      </c>
    </row>
    <row r="4205" spans="1:6" x14ac:dyDescent="0.3">
      <c r="A4205" t="s">
        <v>6959</v>
      </c>
      <c r="B4205" t="s">
        <v>2791</v>
      </c>
      <c r="C4205" t="s">
        <v>4164</v>
      </c>
      <c r="D4205">
        <v>66237554</v>
      </c>
      <c r="E4205">
        <v>9.06</v>
      </c>
      <c r="F4205">
        <v>4.07</v>
      </c>
    </row>
    <row r="4206" spans="1:6" x14ac:dyDescent="0.3">
      <c r="A4206" t="s">
        <v>6960</v>
      </c>
      <c r="B4206" t="s">
        <v>4662</v>
      </c>
      <c r="C4206" t="s">
        <v>6961</v>
      </c>
      <c r="D4206">
        <v>66262984</v>
      </c>
      <c r="E4206">
        <v>2.0099999999999998</v>
      </c>
      <c r="F4206">
        <v>7.59</v>
      </c>
    </row>
    <row r="4207" spans="1:6" x14ac:dyDescent="0.3">
      <c r="A4207" t="s">
        <v>6962</v>
      </c>
      <c r="B4207" t="s">
        <v>6963</v>
      </c>
      <c r="C4207" t="s">
        <v>6964</v>
      </c>
      <c r="D4207">
        <v>66267175</v>
      </c>
      <c r="E4207">
        <v>4.1100000000000003</v>
      </c>
      <c r="F4207">
        <v>5.86</v>
      </c>
    </row>
    <row r="4208" spans="1:6" x14ac:dyDescent="0.3">
      <c r="A4208" t="s">
        <v>6965</v>
      </c>
      <c r="B4208" t="s">
        <v>6966</v>
      </c>
      <c r="C4208" t="s">
        <v>4488</v>
      </c>
      <c r="D4208">
        <v>66270815</v>
      </c>
      <c r="E4208">
        <v>6.17</v>
      </c>
      <c r="F4208">
        <v>7.5</v>
      </c>
    </row>
    <row r="4209" spans="1:6" x14ac:dyDescent="0.3">
      <c r="A4209" t="s">
        <v>6967</v>
      </c>
      <c r="B4209" t="s">
        <v>5784</v>
      </c>
      <c r="C4209" t="s">
        <v>6868</v>
      </c>
      <c r="D4209">
        <v>66274157</v>
      </c>
      <c r="E4209">
        <v>2.91</v>
      </c>
      <c r="F4209">
        <v>7.37</v>
      </c>
    </row>
    <row r="4210" spans="1:6" x14ac:dyDescent="0.3">
      <c r="A4210" t="s">
        <v>6968</v>
      </c>
      <c r="B4210" t="s">
        <v>2976</v>
      </c>
      <c r="C4210" t="s">
        <v>4473</v>
      </c>
      <c r="D4210">
        <v>66278569</v>
      </c>
      <c r="E4210">
        <v>4.0599999999999996</v>
      </c>
      <c r="F4210">
        <v>5.69</v>
      </c>
    </row>
    <row r="4211" spans="1:6" x14ac:dyDescent="0.3">
      <c r="A4211" t="s">
        <v>6969</v>
      </c>
      <c r="B4211" t="s">
        <v>4317</v>
      </c>
      <c r="C4211" t="s">
        <v>3817</v>
      </c>
      <c r="D4211">
        <v>66288190</v>
      </c>
      <c r="E4211">
        <v>2.79</v>
      </c>
      <c r="F4211">
        <v>6</v>
      </c>
    </row>
    <row r="4212" spans="1:6" x14ac:dyDescent="0.3">
      <c r="A4212" t="s">
        <v>6970</v>
      </c>
      <c r="B4212" t="s">
        <v>6971</v>
      </c>
      <c r="C4212" t="s">
        <v>2454</v>
      </c>
      <c r="D4212">
        <v>66288875</v>
      </c>
      <c r="E4212">
        <v>6.44</v>
      </c>
      <c r="F4212">
        <v>8.75</v>
      </c>
    </row>
    <row r="4213" spans="1:6" x14ac:dyDescent="0.3">
      <c r="A4213" t="s">
        <v>6972</v>
      </c>
      <c r="B4213" t="s">
        <v>463</v>
      </c>
      <c r="C4213" t="s">
        <v>5555</v>
      </c>
      <c r="D4213">
        <v>66291197</v>
      </c>
      <c r="E4213">
        <v>30.98</v>
      </c>
      <c r="F4213">
        <v>6.43</v>
      </c>
    </row>
    <row r="4214" spans="1:6" x14ac:dyDescent="0.3">
      <c r="A4214" t="s">
        <v>6973</v>
      </c>
      <c r="B4214" t="s">
        <v>6694</v>
      </c>
      <c r="C4214" t="s">
        <v>6332</v>
      </c>
      <c r="D4214">
        <v>66292864</v>
      </c>
      <c r="E4214">
        <v>16.149999999999999</v>
      </c>
      <c r="F4214">
        <v>6.31</v>
      </c>
    </row>
    <row r="4215" spans="1:6" x14ac:dyDescent="0.3">
      <c r="A4215" t="s">
        <v>6974</v>
      </c>
      <c r="B4215" t="s">
        <v>5928</v>
      </c>
      <c r="C4215" t="s">
        <v>6975</v>
      </c>
      <c r="D4215">
        <v>66311444</v>
      </c>
      <c r="E4215">
        <v>2.1800000000000002</v>
      </c>
      <c r="F4215">
        <v>6.45</v>
      </c>
    </row>
    <row r="4216" spans="1:6" x14ac:dyDescent="0.3">
      <c r="A4216" t="s">
        <v>6976</v>
      </c>
      <c r="B4216" t="s">
        <v>6977</v>
      </c>
      <c r="C4216" t="s">
        <v>2231</v>
      </c>
      <c r="D4216">
        <v>66313184</v>
      </c>
      <c r="E4216">
        <v>7.71</v>
      </c>
      <c r="F4216">
        <v>6.71</v>
      </c>
    </row>
    <row r="4217" spans="1:6" x14ac:dyDescent="0.3">
      <c r="A4217" t="s">
        <v>6978</v>
      </c>
      <c r="B4217" t="s">
        <v>5711</v>
      </c>
      <c r="C4217" t="s">
        <v>5596</v>
      </c>
      <c r="D4217">
        <v>66315180</v>
      </c>
      <c r="E4217">
        <v>22.92</v>
      </c>
      <c r="F4217">
        <v>6.94</v>
      </c>
    </row>
    <row r="4218" spans="1:6" x14ac:dyDescent="0.3">
      <c r="A4218" t="s">
        <v>6979</v>
      </c>
      <c r="B4218" t="s">
        <v>6980</v>
      </c>
      <c r="C4218" t="s">
        <v>3744</v>
      </c>
      <c r="D4218">
        <v>66315290</v>
      </c>
      <c r="E4218">
        <v>12.33</v>
      </c>
      <c r="F4218">
        <v>7.1</v>
      </c>
    </row>
    <row r="4219" spans="1:6" x14ac:dyDescent="0.3">
      <c r="A4219" t="s">
        <v>6981</v>
      </c>
      <c r="B4219" t="s">
        <v>2203</v>
      </c>
      <c r="C4219" t="s">
        <v>6982</v>
      </c>
      <c r="D4219">
        <v>66316884</v>
      </c>
      <c r="E4219">
        <v>6.67</v>
      </c>
      <c r="F4219">
        <v>6.4</v>
      </c>
    </row>
    <row r="4220" spans="1:6" x14ac:dyDescent="0.3">
      <c r="A4220" t="s">
        <v>6983</v>
      </c>
      <c r="B4220" t="s">
        <v>5328</v>
      </c>
      <c r="C4220" t="s">
        <v>3297</v>
      </c>
      <c r="D4220">
        <v>66322030</v>
      </c>
      <c r="E4220">
        <v>6.83</v>
      </c>
      <c r="F4220">
        <v>4.67</v>
      </c>
    </row>
    <row r="4221" spans="1:6" x14ac:dyDescent="0.3">
      <c r="A4221" t="s">
        <v>6984</v>
      </c>
      <c r="B4221" t="s">
        <v>6655</v>
      </c>
      <c r="C4221" t="s">
        <v>6985</v>
      </c>
      <c r="D4221">
        <v>66328428</v>
      </c>
      <c r="E4221">
        <v>16.77</v>
      </c>
      <c r="F4221">
        <v>7.11</v>
      </c>
    </row>
    <row r="4222" spans="1:6" x14ac:dyDescent="0.3">
      <c r="A4222" t="s">
        <v>6986</v>
      </c>
      <c r="B4222" t="s">
        <v>4743</v>
      </c>
      <c r="C4222" t="s">
        <v>5489</v>
      </c>
      <c r="D4222">
        <v>66347974</v>
      </c>
      <c r="E4222">
        <v>1.92</v>
      </c>
      <c r="F4222">
        <v>7.19</v>
      </c>
    </row>
    <row r="4223" spans="1:6" x14ac:dyDescent="0.3">
      <c r="A4223" t="s">
        <v>6987</v>
      </c>
      <c r="B4223" t="s">
        <v>6011</v>
      </c>
      <c r="C4223" t="s">
        <v>6988</v>
      </c>
      <c r="D4223">
        <v>66350837</v>
      </c>
      <c r="E4223">
        <v>6.67</v>
      </c>
      <c r="F4223">
        <v>8.1</v>
      </c>
    </row>
    <row r="4224" spans="1:6" x14ac:dyDescent="0.3">
      <c r="A4224" t="s">
        <v>6989</v>
      </c>
      <c r="B4224" t="s">
        <v>6990</v>
      </c>
      <c r="C4224" t="s">
        <v>2103</v>
      </c>
      <c r="D4224">
        <v>66352914</v>
      </c>
      <c r="E4224">
        <v>7.2</v>
      </c>
      <c r="F4224">
        <v>7.57</v>
      </c>
    </row>
    <row r="4225" spans="1:6" x14ac:dyDescent="0.3">
      <c r="A4225" t="s">
        <v>6991</v>
      </c>
      <c r="B4225" t="s">
        <v>6992</v>
      </c>
      <c r="C4225" t="s">
        <v>5717</v>
      </c>
      <c r="D4225">
        <v>66367760</v>
      </c>
      <c r="E4225">
        <v>2.79</v>
      </c>
      <c r="F4225">
        <v>5.83</v>
      </c>
    </row>
    <row r="4226" spans="1:6" x14ac:dyDescent="0.3">
      <c r="A4226" t="s">
        <v>6993</v>
      </c>
      <c r="B4226" t="s">
        <v>4662</v>
      </c>
      <c r="C4226" t="s">
        <v>6994</v>
      </c>
      <c r="D4226">
        <v>66391574</v>
      </c>
      <c r="E4226">
        <v>4.78</v>
      </c>
      <c r="F4226">
        <v>4</v>
      </c>
    </row>
    <row r="4227" spans="1:6" x14ac:dyDescent="0.3">
      <c r="A4227" t="s">
        <v>6995</v>
      </c>
      <c r="B4227" t="s">
        <v>6996</v>
      </c>
      <c r="C4227" t="s">
        <v>6544</v>
      </c>
      <c r="D4227">
        <v>66394604</v>
      </c>
      <c r="E4227">
        <v>12</v>
      </c>
      <c r="F4227">
        <v>7</v>
      </c>
    </row>
    <row r="4228" spans="1:6" x14ac:dyDescent="0.3">
      <c r="A4228" t="s">
        <v>6997</v>
      </c>
      <c r="B4228" t="s">
        <v>6998</v>
      </c>
      <c r="C4228" t="s">
        <v>6999</v>
      </c>
      <c r="D4228">
        <v>66422549</v>
      </c>
      <c r="E4228">
        <v>1.85</v>
      </c>
      <c r="F4228">
        <v>7.03</v>
      </c>
    </row>
    <row r="4229" spans="1:6" x14ac:dyDescent="0.3">
      <c r="A4229" t="s">
        <v>7000</v>
      </c>
      <c r="B4229" t="s">
        <v>5206</v>
      </c>
      <c r="C4229" t="s">
        <v>7001</v>
      </c>
      <c r="D4229">
        <v>66425209</v>
      </c>
      <c r="E4229">
        <v>11</v>
      </c>
      <c r="F4229">
        <v>7.25</v>
      </c>
    </row>
    <row r="4230" spans="1:6" x14ac:dyDescent="0.3">
      <c r="A4230" t="s">
        <v>7002</v>
      </c>
      <c r="B4230" t="s">
        <v>7003</v>
      </c>
      <c r="C4230" t="s">
        <v>7004</v>
      </c>
      <c r="D4230">
        <v>66426732</v>
      </c>
      <c r="E4230">
        <v>6.01</v>
      </c>
      <c r="F4230">
        <v>7.33</v>
      </c>
    </row>
    <row r="4231" spans="1:6" x14ac:dyDescent="0.3">
      <c r="A4231" t="s">
        <v>7005</v>
      </c>
      <c r="B4231" t="s">
        <v>5145</v>
      </c>
      <c r="C4231" t="s">
        <v>5725</v>
      </c>
      <c r="D4231">
        <v>66439169</v>
      </c>
      <c r="E4231">
        <v>2.09</v>
      </c>
      <c r="F4231">
        <v>7.8</v>
      </c>
    </row>
    <row r="4232" spans="1:6" x14ac:dyDescent="0.3">
      <c r="A4232" t="s">
        <v>7006</v>
      </c>
      <c r="B4232" t="s">
        <v>7007</v>
      </c>
      <c r="C4232" t="s">
        <v>6000</v>
      </c>
      <c r="D4232">
        <v>66476881</v>
      </c>
      <c r="E4232">
        <v>7.07</v>
      </c>
      <c r="F4232">
        <v>5.92</v>
      </c>
    </row>
    <row r="4233" spans="1:6" x14ac:dyDescent="0.3">
      <c r="A4233" t="s">
        <v>7008</v>
      </c>
      <c r="B4233" t="s">
        <v>7009</v>
      </c>
      <c r="C4233" t="s">
        <v>5308</v>
      </c>
      <c r="D4233">
        <v>66477646</v>
      </c>
      <c r="E4233">
        <v>18.16</v>
      </c>
      <c r="F4233">
        <v>6.59</v>
      </c>
    </row>
    <row r="4234" spans="1:6" x14ac:dyDescent="0.3">
      <c r="A4234" t="s">
        <v>7010</v>
      </c>
      <c r="B4234" t="s">
        <v>7011</v>
      </c>
      <c r="C4234" t="s">
        <v>7012</v>
      </c>
      <c r="D4234">
        <v>66497000</v>
      </c>
      <c r="E4234">
        <v>6.12</v>
      </c>
      <c r="F4234">
        <v>8.86</v>
      </c>
    </row>
    <row r="4235" spans="1:6" x14ac:dyDescent="0.3">
      <c r="A4235" t="s">
        <v>7013</v>
      </c>
      <c r="B4235" t="s">
        <v>5805</v>
      </c>
      <c r="C4235" t="s">
        <v>2948</v>
      </c>
      <c r="D4235">
        <v>66519053</v>
      </c>
      <c r="E4235">
        <v>2.68</v>
      </c>
      <c r="F4235">
        <v>7.24</v>
      </c>
    </row>
    <row r="4236" spans="1:6" x14ac:dyDescent="0.3">
      <c r="A4236" t="s">
        <v>7014</v>
      </c>
      <c r="B4236" t="s">
        <v>5760</v>
      </c>
      <c r="C4236" t="s">
        <v>6256</v>
      </c>
      <c r="D4236">
        <v>66521174</v>
      </c>
      <c r="E4236">
        <v>7.74</v>
      </c>
      <c r="F4236">
        <v>7.82</v>
      </c>
    </row>
    <row r="4237" spans="1:6" x14ac:dyDescent="0.3">
      <c r="A4237" t="s">
        <v>7015</v>
      </c>
      <c r="B4237" t="s">
        <v>3880</v>
      </c>
      <c r="C4237" t="s">
        <v>6291</v>
      </c>
      <c r="D4237">
        <v>66526872</v>
      </c>
      <c r="E4237">
        <v>6.66</v>
      </c>
      <c r="F4237">
        <v>7.8</v>
      </c>
    </row>
    <row r="4238" spans="1:6" x14ac:dyDescent="0.3">
      <c r="A4238" t="s">
        <v>7016</v>
      </c>
      <c r="B4238" t="s">
        <v>7017</v>
      </c>
      <c r="C4238" t="s">
        <v>7018</v>
      </c>
      <c r="D4238">
        <v>66527513</v>
      </c>
      <c r="E4238">
        <v>18.329999999999998</v>
      </c>
      <c r="F4238">
        <v>7</v>
      </c>
    </row>
    <row r="4239" spans="1:6" x14ac:dyDescent="0.3">
      <c r="A4239" t="s">
        <v>7019</v>
      </c>
      <c r="B4239" t="s">
        <v>3550</v>
      </c>
      <c r="C4239" t="s">
        <v>2582</v>
      </c>
      <c r="D4239">
        <v>66531208</v>
      </c>
      <c r="E4239">
        <v>1.87</v>
      </c>
      <c r="F4239">
        <v>8.0299999999999994</v>
      </c>
    </row>
    <row r="4240" spans="1:6" x14ac:dyDescent="0.3">
      <c r="A4240" t="s">
        <v>7020</v>
      </c>
      <c r="B4240" t="s">
        <v>6126</v>
      </c>
      <c r="C4240" t="s">
        <v>6861</v>
      </c>
      <c r="D4240">
        <v>66547344</v>
      </c>
      <c r="E4240">
        <v>8.85</v>
      </c>
      <c r="F4240">
        <v>5.09</v>
      </c>
    </row>
    <row r="4241" spans="1:6" x14ac:dyDescent="0.3">
      <c r="A4241" t="s">
        <v>7021</v>
      </c>
      <c r="B4241" t="s">
        <v>6070</v>
      </c>
      <c r="C4241" t="s">
        <v>3092</v>
      </c>
      <c r="D4241">
        <v>66559350</v>
      </c>
      <c r="E4241">
        <v>6.67</v>
      </c>
      <c r="F4241">
        <v>6.85</v>
      </c>
    </row>
    <row r="4242" spans="1:6" x14ac:dyDescent="0.3">
      <c r="A4242" t="s">
        <v>7022</v>
      </c>
      <c r="B4242" t="s">
        <v>7023</v>
      </c>
      <c r="C4242" t="s">
        <v>3696</v>
      </c>
      <c r="D4242">
        <v>66581286</v>
      </c>
      <c r="E4242">
        <v>1</v>
      </c>
      <c r="F4242">
        <v>10</v>
      </c>
    </row>
    <row r="4243" spans="1:6" x14ac:dyDescent="0.3">
      <c r="A4243" t="s">
        <v>7024</v>
      </c>
      <c r="B4243" t="s">
        <v>7025</v>
      </c>
      <c r="C4243" t="s">
        <v>6762</v>
      </c>
      <c r="D4243">
        <v>66587302</v>
      </c>
      <c r="E4243">
        <v>3.02</v>
      </c>
      <c r="F4243">
        <v>3.5</v>
      </c>
    </row>
    <row r="4244" spans="1:6" x14ac:dyDescent="0.3">
      <c r="A4244" t="s">
        <v>7026</v>
      </c>
      <c r="B4244" t="s">
        <v>6644</v>
      </c>
      <c r="C4244" t="s">
        <v>5772</v>
      </c>
      <c r="D4244">
        <v>66598468</v>
      </c>
      <c r="E4244">
        <v>1.67</v>
      </c>
      <c r="F4244">
        <v>7.06</v>
      </c>
    </row>
    <row r="4245" spans="1:6" x14ac:dyDescent="0.3">
      <c r="A4245" t="s">
        <v>7027</v>
      </c>
      <c r="B4245" t="s">
        <v>6171</v>
      </c>
      <c r="C4245" t="s">
        <v>2192</v>
      </c>
      <c r="D4245">
        <v>66614059</v>
      </c>
      <c r="E4245">
        <v>12.35</v>
      </c>
      <c r="F4245">
        <v>6.56</v>
      </c>
    </row>
    <row r="4246" spans="1:6" x14ac:dyDescent="0.3">
      <c r="A4246" t="s">
        <v>7028</v>
      </c>
      <c r="B4246" t="s">
        <v>1443</v>
      </c>
      <c r="C4246" t="s">
        <v>227</v>
      </c>
      <c r="D4246">
        <v>66618474</v>
      </c>
      <c r="E4246">
        <v>17</v>
      </c>
      <c r="F4246">
        <v>7</v>
      </c>
    </row>
    <row r="4247" spans="1:6" x14ac:dyDescent="0.3">
      <c r="A4247" t="s">
        <v>7029</v>
      </c>
      <c r="B4247" t="s">
        <v>7030</v>
      </c>
      <c r="C4247" t="s">
        <v>7031</v>
      </c>
      <c r="D4247">
        <v>66624523</v>
      </c>
      <c r="E4247">
        <v>2.69</v>
      </c>
      <c r="F4247">
        <v>7.06</v>
      </c>
    </row>
    <row r="4248" spans="1:6" x14ac:dyDescent="0.3">
      <c r="A4248" t="s">
        <v>7032</v>
      </c>
      <c r="B4248" t="s">
        <v>6674</v>
      </c>
      <c r="C4248" t="s">
        <v>5467</v>
      </c>
      <c r="D4248">
        <v>66630029</v>
      </c>
      <c r="E4248">
        <v>3.17</v>
      </c>
      <c r="F4248">
        <v>6.17</v>
      </c>
    </row>
    <row r="4249" spans="1:6" x14ac:dyDescent="0.3">
      <c r="A4249" t="s">
        <v>7033</v>
      </c>
      <c r="B4249" t="s">
        <v>7034</v>
      </c>
      <c r="C4249" t="s">
        <v>5841</v>
      </c>
      <c r="D4249">
        <v>66640702</v>
      </c>
      <c r="E4249">
        <v>12.41</v>
      </c>
      <c r="F4249">
        <v>7.75</v>
      </c>
    </row>
    <row r="4250" spans="1:6" x14ac:dyDescent="0.3">
      <c r="A4250" t="s">
        <v>7035</v>
      </c>
      <c r="B4250" t="s">
        <v>3120</v>
      </c>
      <c r="C4250" t="s">
        <v>4131</v>
      </c>
      <c r="D4250">
        <v>66640714</v>
      </c>
      <c r="E4250">
        <v>18.11</v>
      </c>
      <c r="F4250">
        <v>7.11</v>
      </c>
    </row>
    <row r="4251" spans="1:6" x14ac:dyDescent="0.3">
      <c r="A4251" t="s">
        <v>7036</v>
      </c>
      <c r="B4251" t="s">
        <v>7037</v>
      </c>
      <c r="C4251" t="s">
        <v>7038</v>
      </c>
      <c r="D4251">
        <v>66665517</v>
      </c>
      <c r="E4251">
        <v>2.31</v>
      </c>
      <c r="F4251">
        <v>6.62</v>
      </c>
    </row>
    <row r="4252" spans="1:6" x14ac:dyDescent="0.3">
      <c r="A4252" t="s">
        <v>4921</v>
      </c>
      <c r="B4252" t="s">
        <v>7039</v>
      </c>
      <c r="C4252" t="s">
        <v>4921</v>
      </c>
      <c r="D4252">
        <v>66677487</v>
      </c>
      <c r="E4252">
        <v>7.5</v>
      </c>
      <c r="F4252">
        <v>7.5</v>
      </c>
    </row>
    <row r="4253" spans="1:6" x14ac:dyDescent="0.3">
      <c r="A4253" t="s">
        <v>7040</v>
      </c>
      <c r="B4253" t="s">
        <v>7041</v>
      </c>
      <c r="C4253" t="s">
        <v>5312</v>
      </c>
      <c r="D4253">
        <v>66678280</v>
      </c>
      <c r="E4253">
        <v>3.32</v>
      </c>
      <c r="F4253">
        <v>5.55</v>
      </c>
    </row>
    <row r="4254" spans="1:6" x14ac:dyDescent="0.3">
      <c r="A4254" t="s">
        <v>7042</v>
      </c>
      <c r="B4254" t="s">
        <v>7043</v>
      </c>
      <c r="C4254" t="s">
        <v>6495</v>
      </c>
      <c r="D4254">
        <v>66683641</v>
      </c>
      <c r="E4254">
        <v>1.9</v>
      </c>
      <c r="F4254">
        <v>7.74</v>
      </c>
    </row>
    <row r="4255" spans="1:6" x14ac:dyDescent="0.3">
      <c r="A4255" t="s">
        <v>5135</v>
      </c>
      <c r="B4255" t="s">
        <v>7044</v>
      </c>
      <c r="C4255" t="s">
        <v>820</v>
      </c>
      <c r="D4255">
        <v>66689817</v>
      </c>
      <c r="E4255">
        <v>1.19</v>
      </c>
      <c r="F4255">
        <v>7.75</v>
      </c>
    </row>
    <row r="4256" spans="1:6" x14ac:dyDescent="0.3">
      <c r="A4256" t="s">
        <v>7045</v>
      </c>
      <c r="B4256" t="s">
        <v>7046</v>
      </c>
      <c r="C4256" t="s">
        <v>7047</v>
      </c>
      <c r="D4256">
        <v>66703258</v>
      </c>
      <c r="E4256">
        <v>13.79</v>
      </c>
      <c r="F4256">
        <v>8.2200000000000006</v>
      </c>
    </row>
    <row r="4257" spans="1:6" x14ac:dyDescent="0.3">
      <c r="A4257" t="s">
        <v>6964</v>
      </c>
      <c r="B4257" t="s">
        <v>7048</v>
      </c>
      <c r="C4257" t="s">
        <v>6964</v>
      </c>
      <c r="D4257">
        <v>66703745</v>
      </c>
      <c r="E4257">
        <v>5.67</v>
      </c>
      <c r="F4257">
        <v>4.53</v>
      </c>
    </row>
    <row r="4258" spans="1:6" x14ac:dyDescent="0.3">
      <c r="A4258" t="s">
        <v>7049</v>
      </c>
      <c r="B4258" t="s">
        <v>6778</v>
      </c>
      <c r="C4258" t="s">
        <v>7050</v>
      </c>
      <c r="D4258">
        <v>66704741</v>
      </c>
      <c r="E4258">
        <v>8.19</v>
      </c>
      <c r="F4258">
        <v>6.89</v>
      </c>
    </row>
    <row r="4259" spans="1:6" x14ac:dyDescent="0.3">
      <c r="A4259" t="s">
        <v>7051</v>
      </c>
      <c r="B4259" t="s">
        <v>7052</v>
      </c>
      <c r="C4259" t="s">
        <v>3278</v>
      </c>
      <c r="D4259">
        <v>66721636</v>
      </c>
      <c r="E4259">
        <v>1.84</v>
      </c>
      <c r="F4259">
        <v>7.24</v>
      </c>
    </row>
    <row r="4260" spans="1:6" x14ac:dyDescent="0.3">
      <c r="A4260" t="s">
        <v>7053</v>
      </c>
      <c r="B4260" t="s">
        <v>2519</v>
      </c>
      <c r="C4260" t="s">
        <v>7054</v>
      </c>
      <c r="D4260">
        <v>66728284</v>
      </c>
      <c r="E4260">
        <v>2.84</v>
      </c>
      <c r="F4260">
        <v>7.02</v>
      </c>
    </row>
    <row r="4261" spans="1:6" x14ac:dyDescent="0.3">
      <c r="A4261" t="s">
        <v>7055</v>
      </c>
      <c r="B4261" t="s">
        <v>7056</v>
      </c>
      <c r="C4261" t="s">
        <v>3092</v>
      </c>
      <c r="D4261">
        <v>66745392</v>
      </c>
      <c r="E4261">
        <v>8.01</v>
      </c>
      <c r="F4261">
        <v>5.67</v>
      </c>
    </row>
    <row r="4262" spans="1:6" x14ac:dyDescent="0.3">
      <c r="A4262" t="s">
        <v>7057</v>
      </c>
      <c r="B4262" t="s">
        <v>4690</v>
      </c>
      <c r="C4262" t="s">
        <v>7058</v>
      </c>
      <c r="D4262">
        <v>66751543</v>
      </c>
      <c r="E4262">
        <v>5.66</v>
      </c>
      <c r="F4262">
        <v>8.11</v>
      </c>
    </row>
    <row r="4263" spans="1:6" x14ac:dyDescent="0.3">
      <c r="A4263" t="s">
        <v>7050</v>
      </c>
      <c r="B4263" t="s">
        <v>6611</v>
      </c>
      <c r="C4263" t="s">
        <v>7059</v>
      </c>
      <c r="D4263">
        <v>66765209</v>
      </c>
      <c r="E4263">
        <v>16.260000000000002</v>
      </c>
      <c r="F4263">
        <v>7.06</v>
      </c>
    </row>
    <row r="4264" spans="1:6" x14ac:dyDescent="0.3">
      <c r="A4264" t="s">
        <v>7060</v>
      </c>
      <c r="B4264" t="s">
        <v>7061</v>
      </c>
      <c r="C4264" t="s">
        <v>7062</v>
      </c>
      <c r="D4264">
        <v>66795453</v>
      </c>
      <c r="E4264">
        <v>1.31</v>
      </c>
      <c r="F4264">
        <v>6.83</v>
      </c>
    </row>
    <row r="4265" spans="1:6" x14ac:dyDescent="0.3">
      <c r="A4265" t="s">
        <v>7063</v>
      </c>
      <c r="B4265" t="s">
        <v>399</v>
      </c>
      <c r="C4265" t="s">
        <v>121</v>
      </c>
      <c r="D4265">
        <v>66807123</v>
      </c>
      <c r="E4265">
        <v>22.06</v>
      </c>
      <c r="F4265">
        <v>4.5999999999999996</v>
      </c>
    </row>
    <row r="4266" spans="1:6" x14ac:dyDescent="0.3">
      <c r="A4266" t="s">
        <v>7064</v>
      </c>
      <c r="B4266" t="s">
        <v>6195</v>
      </c>
      <c r="C4266" t="s">
        <v>3728</v>
      </c>
      <c r="D4266">
        <v>66808022</v>
      </c>
      <c r="E4266">
        <v>7.29</v>
      </c>
      <c r="F4266">
        <v>7.5</v>
      </c>
    </row>
    <row r="4267" spans="1:6" x14ac:dyDescent="0.3">
      <c r="A4267" t="s">
        <v>7065</v>
      </c>
      <c r="B4267" t="s">
        <v>4925</v>
      </c>
      <c r="C4267" t="s">
        <v>4144</v>
      </c>
      <c r="D4267">
        <v>66812927</v>
      </c>
      <c r="E4267">
        <v>3.78</v>
      </c>
      <c r="F4267">
        <v>7.47</v>
      </c>
    </row>
    <row r="4268" spans="1:6" x14ac:dyDescent="0.3">
      <c r="A4268" t="s">
        <v>7066</v>
      </c>
      <c r="B4268" t="s">
        <v>7067</v>
      </c>
      <c r="C4268" t="s">
        <v>6254</v>
      </c>
      <c r="D4268">
        <v>66847381</v>
      </c>
      <c r="E4268">
        <v>12.18</v>
      </c>
      <c r="F4268">
        <v>8.1999999999999993</v>
      </c>
    </row>
    <row r="4269" spans="1:6" x14ac:dyDescent="0.3">
      <c r="A4269" t="s">
        <v>1848</v>
      </c>
      <c r="B4269" t="s">
        <v>4838</v>
      </c>
      <c r="C4269" t="s">
        <v>893</v>
      </c>
      <c r="D4269">
        <v>66851981</v>
      </c>
      <c r="E4269">
        <v>20.69</v>
      </c>
      <c r="F4269">
        <v>6.82</v>
      </c>
    </row>
    <row r="4270" spans="1:6" x14ac:dyDescent="0.3">
      <c r="A4270" t="s">
        <v>7068</v>
      </c>
      <c r="B4270" t="s">
        <v>5206</v>
      </c>
      <c r="C4270" t="s">
        <v>6054</v>
      </c>
      <c r="D4270">
        <v>66858068</v>
      </c>
      <c r="E4270">
        <v>13.89</v>
      </c>
      <c r="F4270">
        <v>7.53</v>
      </c>
    </row>
    <row r="4271" spans="1:6" x14ac:dyDescent="0.3">
      <c r="A4271" t="s">
        <v>7069</v>
      </c>
      <c r="B4271" t="s">
        <v>6079</v>
      </c>
      <c r="C4271" t="s">
        <v>1521</v>
      </c>
      <c r="D4271">
        <v>66858272</v>
      </c>
      <c r="E4271">
        <v>24.22</v>
      </c>
      <c r="F4271">
        <v>8.3800000000000008</v>
      </c>
    </row>
    <row r="4272" spans="1:6" x14ac:dyDescent="0.3">
      <c r="A4272" t="s">
        <v>7070</v>
      </c>
      <c r="B4272" t="s">
        <v>7071</v>
      </c>
      <c r="C4272" t="s">
        <v>7072</v>
      </c>
      <c r="D4272">
        <v>66910690</v>
      </c>
      <c r="E4272">
        <v>21.67</v>
      </c>
      <c r="F4272">
        <v>4.67</v>
      </c>
    </row>
    <row r="4273" spans="1:6" x14ac:dyDescent="0.3">
      <c r="A4273" t="s">
        <v>7073</v>
      </c>
      <c r="B4273" t="s">
        <v>6241</v>
      </c>
      <c r="C4273" t="s">
        <v>7074</v>
      </c>
      <c r="D4273">
        <v>66912892</v>
      </c>
      <c r="E4273">
        <v>2.21</v>
      </c>
      <c r="F4273">
        <v>6.87</v>
      </c>
    </row>
    <row r="4274" spans="1:6" x14ac:dyDescent="0.3">
      <c r="A4274" t="s">
        <v>7075</v>
      </c>
      <c r="B4274" t="s">
        <v>4184</v>
      </c>
      <c r="C4274" t="s">
        <v>7076</v>
      </c>
      <c r="D4274">
        <v>66915138</v>
      </c>
      <c r="E4274">
        <v>7.04</v>
      </c>
      <c r="F4274">
        <v>6.69</v>
      </c>
    </row>
    <row r="4275" spans="1:6" x14ac:dyDescent="0.3">
      <c r="A4275" t="s">
        <v>7077</v>
      </c>
      <c r="B4275" t="s">
        <v>7078</v>
      </c>
      <c r="C4275" t="s">
        <v>843</v>
      </c>
      <c r="D4275">
        <v>66930757</v>
      </c>
      <c r="E4275">
        <v>5.14</v>
      </c>
      <c r="F4275">
        <v>7.5</v>
      </c>
    </row>
    <row r="4276" spans="1:6" x14ac:dyDescent="0.3">
      <c r="A4276" t="s">
        <v>7079</v>
      </c>
      <c r="B4276" t="s">
        <v>7080</v>
      </c>
      <c r="C4276" t="s">
        <v>7081</v>
      </c>
      <c r="D4276">
        <v>66937873</v>
      </c>
      <c r="E4276">
        <v>2</v>
      </c>
      <c r="F4276">
        <v>6.59</v>
      </c>
    </row>
    <row r="4277" spans="1:6" x14ac:dyDescent="0.3">
      <c r="A4277" t="s">
        <v>7082</v>
      </c>
      <c r="B4277" t="s">
        <v>7083</v>
      </c>
      <c r="C4277" t="s">
        <v>6901</v>
      </c>
      <c r="D4277">
        <v>66940812</v>
      </c>
      <c r="E4277">
        <v>5.46</v>
      </c>
      <c r="F4277">
        <v>6.83</v>
      </c>
    </row>
    <row r="4278" spans="1:6" x14ac:dyDescent="0.3">
      <c r="A4278" t="s">
        <v>7084</v>
      </c>
      <c r="B4278" t="s">
        <v>7085</v>
      </c>
      <c r="C4278" t="s">
        <v>7086</v>
      </c>
      <c r="D4278">
        <v>66957897</v>
      </c>
      <c r="E4278">
        <v>9.9</v>
      </c>
      <c r="F4278">
        <v>6.08</v>
      </c>
    </row>
    <row r="4279" spans="1:6" x14ac:dyDescent="0.3">
      <c r="A4279" t="s">
        <v>7087</v>
      </c>
      <c r="B4279" t="s">
        <v>6971</v>
      </c>
      <c r="C4279" t="s">
        <v>7088</v>
      </c>
      <c r="D4279">
        <v>66960655</v>
      </c>
      <c r="E4279">
        <v>5.76</v>
      </c>
      <c r="F4279">
        <v>5.38</v>
      </c>
    </row>
    <row r="4280" spans="1:6" x14ac:dyDescent="0.3">
      <c r="A4280" t="s">
        <v>7089</v>
      </c>
      <c r="B4280" t="s">
        <v>3909</v>
      </c>
      <c r="C4280" t="s">
        <v>7090</v>
      </c>
      <c r="D4280">
        <v>66968507</v>
      </c>
      <c r="E4280">
        <v>2.35</v>
      </c>
      <c r="F4280">
        <v>5.75</v>
      </c>
    </row>
    <row r="4281" spans="1:6" x14ac:dyDescent="0.3">
      <c r="A4281" t="s">
        <v>1029</v>
      </c>
      <c r="B4281" t="s">
        <v>3800</v>
      </c>
      <c r="C4281" t="s">
        <v>1030</v>
      </c>
      <c r="D4281">
        <v>66971727</v>
      </c>
      <c r="E4281">
        <v>1.9</v>
      </c>
      <c r="F4281">
        <v>7.31</v>
      </c>
    </row>
    <row r="4282" spans="1:6" x14ac:dyDescent="0.3">
      <c r="A4282" t="s">
        <v>7091</v>
      </c>
      <c r="B4282" t="s">
        <v>4366</v>
      </c>
      <c r="C4282" t="s">
        <v>3264</v>
      </c>
      <c r="D4282">
        <v>66972044</v>
      </c>
      <c r="E4282">
        <v>13.55</v>
      </c>
      <c r="F4282">
        <v>7.13</v>
      </c>
    </row>
    <row r="4283" spans="1:6" x14ac:dyDescent="0.3">
      <c r="A4283" t="s">
        <v>7092</v>
      </c>
      <c r="B4283" t="s">
        <v>4911</v>
      </c>
      <c r="C4283" t="s">
        <v>7093</v>
      </c>
      <c r="D4283">
        <v>66982987</v>
      </c>
      <c r="E4283">
        <v>2.88</v>
      </c>
      <c r="F4283">
        <v>5.5</v>
      </c>
    </row>
    <row r="4284" spans="1:6" x14ac:dyDescent="0.3">
      <c r="A4284" t="s">
        <v>7094</v>
      </c>
      <c r="B4284" t="s">
        <v>7095</v>
      </c>
      <c r="C4284" t="s">
        <v>7096</v>
      </c>
      <c r="D4284">
        <v>66984584</v>
      </c>
      <c r="E4284">
        <v>2.7</v>
      </c>
      <c r="F4284">
        <v>7.18</v>
      </c>
    </row>
    <row r="4285" spans="1:6" x14ac:dyDescent="0.3">
      <c r="A4285" t="s">
        <v>7097</v>
      </c>
      <c r="B4285" t="s">
        <v>5588</v>
      </c>
      <c r="C4285" t="s">
        <v>6643</v>
      </c>
      <c r="D4285">
        <v>67000241</v>
      </c>
      <c r="E4285">
        <v>7.77</v>
      </c>
      <c r="F4285">
        <v>7.63</v>
      </c>
    </row>
    <row r="4286" spans="1:6" x14ac:dyDescent="0.3">
      <c r="A4286" t="s">
        <v>7098</v>
      </c>
      <c r="B4286" t="s">
        <v>6609</v>
      </c>
      <c r="C4286" t="s">
        <v>7099</v>
      </c>
      <c r="D4286">
        <v>67018065</v>
      </c>
      <c r="E4286">
        <v>15.22</v>
      </c>
      <c r="F4286">
        <v>7.27</v>
      </c>
    </row>
    <row r="4287" spans="1:6" x14ac:dyDescent="0.3">
      <c r="A4287" t="s">
        <v>7100</v>
      </c>
      <c r="B4287" t="s">
        <v>7101</v>
      </c>
      <c r="C4287" t="s">
        <v>7102</v>
      </c>
      <c r="D4287">
        <v>67018310</v>
      </c>
      <c r="E4287">
        <v>7</v>
      </c>
      <c r="F4287">
        <v>8.1300000000000008</v>
      </c>
    </row>
    <row r="4288" spans="1:6" x14ac:dyDescent="0.3">
      <c r="A4288" t="s">
        <v>7103</v>
      </c>
      <c r="B4288" t="s">
        <v>7104</v>
      </c>
      <c r="C4288" t="s">
        <v>6291</v>
      </c>
      <c r="D4288">
        <v>67045622</v>
      </c>
      <c r="E4288">
        <v>2.59</v>
      </c>
      <c r="F4288">
        <v>7.3</v>
      </c>
    </row>
    <row r="4289" spans="1:6" x14ac:dyDescent="0.3">
      <c r="A4289" t="s">
        <v>7105</v>
      </c>
      <c r="B4289" t="s">
        <v>3598</v>
      </c>
      <c r="C4289" t="s">
        <v>2796</v>
      </c>
      <c r="D4289">
        <v>67050336</v>
      </c>
      <c r="E4289">
        <v>1.76</v>
      </c>
      <c r="F4289">
        <v>7.67</v>
      </c>
    </row>
    <row r="4290" spans="1:6" x14ac:dyDescent="0.3">
      <c r="A4290" t="s">
        <v>7106</v>
      </c>
      <c r="B4290" t="s">
        <v>7107</v>
      </c>
      <c r="C4290" t="s">
        <v>7108</v>
      </c>
      <c r="D4290">
        <v>67059994</v>
      </c>
      <c r="E4290">
        <v>4.7</v>
      </c>
      <c r="F4290">
        <v>6.33</v>
      </c>
    </row>
    <row r="4291" spans="1:6" x14ac:dyDescent="0.3">
      <c r="A4291" t="s">
        <v>7109</v>
      </c>
      <c r="B4291" t="s">
        <v>7044</v>
      </c>
      <c r="C4291" t="s">
        <v>3854</v>
      </c>
      <c r="D4291">
        <v>67067298</v>
      </c>
      <c r="E4291">
        <v>1.1599999999999999</v>
      </c>
      <c r="F4291">
        <v>7.62</v>
      </c>
    </row>
    <row r="4292" spans="1:6" x14ac:dyDescent="0.3">
      <c r="A4292" t="s">
        <v>7110</v>
      </c>
      <c r="B4292" t="s">
        <v>1584</v>
      </c>
      <c r="C4292" t="s">
        <v>7111</v>
      </c>
      <c r="D4292">
        <v>67069282</v>
      </c>
      <c r="E4292">
        <v>17.14</v>
      </c>
      <c r="F4292">
        <v>7.85</v>
      </c>
    </row>
    <row r="4293" spans="1:6" x14ac:dyDescent="0.3">
      <c r="A4293" t="s">
        <v>7112</v>
      </c>
      <c r="B4293" t="s">
        <v>5790</v>
      </c>
      <c r="C4293" t="s">
        <v>4591</v>
      </c>
      <c r="D4293">
        <v>67077236</v>
      </c>
      <c r="E4293">
        <v>2.83</v>
      </c>
      <c r="F4293">
        <v>5.91</v>
      </c>
    </row>
    <row r="4294" spans="1:6" x14ac:dyDescent="0.3">
      <c r="A4294" t="s">
        <v>7113</v>
      </c>
      <c r="B4294" t="s">
        <v>4071</v>
      </c>
      <c r="C4294" t="s">
        <v>7114</v>
      </c>
      <c r="D4294">
        <v>67102826</v>
      </c>
      <c r="E4294">
        <v>5.38</v>
      </c>
      <c r="F4294">
        <v>6.2</v>
      </c>
    </row>
    <row r="4295" spans="1:6" x14ac:dyDescent="0.3">
      <c r="A4295" t="s">
        <v>7115</v>
      </c>
      <c r="B4295" t="s">
        <v>4936</v>
      </c>
      <c r="C4295" t="s">
        <v>5489</v>
      </c>
      <c r="D4295">
        <v>67113181</v>
      </c>
      <c r="E4295">
        <v>7.87</v>
      </c>
      <c r="F4295">
        <v>7.66</v>
      </c>
    </row>
    <row r="4296" spans="1:6" x14ac:dyDescent="0.3">
      <c r="A4296" t="s">
        <v>7116</v>
      </c>
      <c r="B4296" t="s">
        <v>7117</v>
      </c>
      <c r="C4296" t="s">
        <v>376</v>
      </c>
      <c r="D4296">
        <v>67143294</v>
      </c>
      <c r="E4296">
        <v>15.58</v>
      </c>
      <c r="F4296">
        <v>6.18</v>
      </c>
    </row>
    <row r="4297" spans="1:6" x14ac:dyDescent="0.3">
      <c r="A4297" t="s">
        <v>7118</v>
      </c>
      <c r="B4297" t="s">
        <v>7119</v>
      </c>
      <c r="C4297" t="s">
        <v>1214</v>
      </c>
      <c r="D4297">
        <v>67150734</v>
      </c>
      <c r="E4297">
        <v>9</v>
      </c>
      <c r="F4297">
        <v>6</v>
      </c>
    </row>
    <row r="4298" spans="1:6" x14ac:dyDescent="0.3">
      <c r="A4298" t="s">
        <v>7120</v>
      </c>
      <c r="B4298" t="s">
        <v>3545</v>
      </c>
      <c r="C4298" t="s">
        <v>7121</v>
      </c>
      <c r="D4298">
        <v>67161775</v>
      </c>
      <c r="E4298">
        <v>7.86</v>
      </c>
      <c r="F4298">
        <v>7.3</v>
      </c>
    </row>
    <row r="4299" spans="1:6" x14ac:dyDescent="0.3">
      <c r="A4299" t="s">
        <v>7122</v>
      </c>
      <c r="B4299" t="s">
        <v>7123</v>
      </c>
      <c r="C4299" t="s">
        <v>7124</v>
      </c>
      <c r="D4299">
        <v>67178168</v>
      </c>
      <c r="E4299">
        <v>4.07</v>
      </c>
      <c r="F4299">
        <v>5.92</v>
      </c>
    </row>
    <row r="4300" spans="1:6" x14ac:dyDescent="0.3">
      <c r="A4300" t="s">
        <v>7125</v>
      </c>
      <c r="B4300" t="s">
        <v>7126</v>
      </c>
      <c r="C4300" t="s">
        <v>7127</v>
      </c>
      <c r="D4300">
        <v>67182565</v>
      </c>
      <c r="E4300">
        <v>4.13</v>
      </c>
      <c r="F4300">
        <v>7.08</v>
      </c>
    </row>
    <row r="4301" spans="1:6" x14ac:dyDescent="0.3">
      <c r="A4301" t="s">
        <v>7128</v>
      </c>
      <c r="B4301" t="s">
        <v>7129</v>
      </c>
      <c r="C4301" t="s">
        <v>6372</v>
      </c>
      <c r="D4301">
        <v>67188780</v>
      </c>
      <c r="E4301">
        <v>19.79</v>
      </c>
      <c r="F4301">
        <v>6.4</v>
      </c>
    </row>
    <row r="4302" spans="1:6" x14ac:dyDescent="0.3">
      <c r="A4302" t="s">
        <v>2320</v>
      </c>
      <c r="B4302" t="s">
        <v>7130</v>
      </c>
      <c r="C4302" t="s">
        <v>2320</v>
      </c>
      <c r="D4302">
        <v>67197842</v>
      </c>
      <c r="E4302">
        <v>6.91</v>
      </c>
      <c r="F4302">
        <v>7.67</v>
      </c>
    </row>
    <row r="4303" spans="1:6" x14ac:dyDescent="0.3">
      <c r="A4303" t="s">
        <v>7131</v>
      </c>
      <c r="B4303" t="s">
        <v>5423</v>
      </c>
      <c r="C4303" t="s">
        <v>7132</v>
      </c>
      <c r="D4303">
        <v>67199678</v>
      </c>
      <c r="E4303">
        <v>11.69</v>
      </c>
      <c r="F4303">
        <v>7.37</v>
      </c>
    </row>
    <row r="4304" spans="1:6" x14ac:dyDescent="0.3">
      <c r="A4304" t="s">
        <v>7133</v>
      </c>
      <c r="B4304" t="s">
        <v>7134</v>
      </c>
      <c r="C4304" t="s">
        <v>7135</v>
      </c>
      <c r="D4304">
        <v>67211207</v>
      </c>
      <c r="E4304">
        <v>4</v>
      </c>
      <c r="F4304">
        <v>6.62</v>
      </c>
    </row>
    <row r="4305" spans="1:6" x14ac:dyDescent="0.3">
      <c r="A4305" t="s">
        <v>7136</v>
      </c>
      <c r="B4305" t="s">
        <v>6113</v>
      </c>
      <c r="C4305" t="s">
        <v>7137</v>
      </c>
      <c r="D4305">
        <v>67228346</v>
      </c>
      <c r="E4305">
        <v>3</v>
      </c>
      <c r="F4305">
        <v>6.3</v>
      </c>
    </row>
    <row r="4306" spans="1:6" x14ac:dyDescent="0.3">
      <c r="A4306" t="s">
        <v>7138</v>
      </c>
      <c r="B4306" t="s">
        <v>7139</v>
      </c>
      <c r="C4306" t="s">
        <v>7140</v>
      </c>
      <c r="D4306">
        <v>67234115</v>
      </c>
      <c r="E4306">
        <v>2</v>
      </c>
      <c r="F4306">
        <v>6.59</v>
      </c>
    </row>
    <row r="4307" spans="1:6" x14ac:dyDescent="0.3">
      <c r="A4307" t="s">
        <v>7141</v>
      </c>
      <c r="B4307" t="s">
        <v>7142</v>
      </c>
      <c r="C4307" t="s">
        <v>7076</v>
      </c>
      <c r="D4307">
        <v>67261112</v>
      </c>
      <c r="E4307">
        <v>1.82</v>
      </c>
      <c r="F4307">
        <v>6.68</v>
      </c>
    </row>
    <row r="4308" spans="1:6" x14ac:dyDescent="0.3">
      <c r="A4308" t="s">
        <v>7143</v>
      </c>
      <c r="B4308" t="s">
        <v>3255</v>
      </c>
      <c r="C4308" t="s">
        <v>2064</v>
      </c>
      <c r="D4308">
        <v>67267602</v>
      </c>
      <c r="E4308">
        <v>5.6</v>
      </c>
      <c r="F4308">
        <v>7.22</v>
      </c>
    </row>
    <row r="4309" spans="1:6" x14ac:dyDescent="0.3">
      <c r="A4309" t="s">
        <v>7144</v>
      </c>
      <c r="B4309" t="s">
        <v>7145</v>
      </c>
      <c r="C4309" t="s">
        <v>3660</v>
      </c>
      <c r="D4309">
        <v>67290991</v>
      </c>
      <c r="E4309">
        <v>14.39</v>
      </c>
      <c r="F4309">
        <v>5.75</v>
      </c>
    </row>
    <row r="4310" spans="1:6" x14ac:dyDescent="0.3">
      <c r="A4310" t="s">
        <v>7146</v>
      </c>
      <c r="B4310" t="s">
        <v>7044</v>
      </c>
      <c r="C4310" t="s">
        <v>4986</v>
      </c>
      <c r="D4310">
        <v>67292910</v>
      </c>
      <c r="E4310">
        <v>1.94</v>
      </c>
      <c r="F4310">
        <v>6.85</v>
      </c>
    </row>
    <row r="4311" spans="1:6" x14ac:dyDescent="0.3">
      <c r="A4311" t="s">
        <v>7147</v>
      </c>
      <c r="B4311" t="s">
        <v>6133</v>
      </c>
      <c r="C4311" t="s">
        <v>3264</v>
      </c>
      <c r="D4311">
        <v>67296979</v>
      </c>
      <c r="E4311">
        <v>5</v>
      </c>
      <c r="F4311">
        <v>7.4</v>
      </c>
    </row>
    <row r="4312" spans="1:6" x14ac:dyDescent="0.3">
      <c r="A4312" t="s">
        <v>7148</v>
      </c>
      <c r="B4312" t="s">
        <v>4580</v>
      </c>
      <c r="C4312" t="s">
        <v>7149</v>
      </c>
      <c r="D4312">
        <v>67300705</v>
      </c>
      <c r="E4312">
        <v>11.32</v>
      </c>
      <c r="F4312">
        <v>8.92</v>
      </c>
    </row>
    <row r="4313" spans="1:6" x14ac:dyDescent="0.3">
      <c r="A4313" t="s">
        <v>7150</v>
      </c>
      <c r="B4313" t="s">
        <v>3862</v>
      </c>
      <c r="C4313" t="s">
        <v>4744</v>
      </c>
      <c r="D4313">
        <v>67321690</v>
      </c>
      <c r="E4313">
        <v>7.6</v>
      </c>
      <c r="F4313">
        <v>4.75</v>
      </c>
    </row>
    <row r="4314" spans="1:6" x14ac:dyDescent="0.3">
      <c r="A4314" t="s">
        <v>7151</v>
      </c>
      <c r="B4314" t="s">
        <v>7152</v>
      </c>
      <c r="C4314" t="s">
        <v>5717</v>
      </c>
      <c r="D4314">
        <v>67330594</v>
      </c>
      <c r="E4314">
        <v>19.23</v>
      </c>
      <c r="F4314">
        <v>4.2699999999999996</v>
      </c>
    </row>
    <row r="4315" spans="1:6" x14ac:dyDescent="0.3">
      <c r="A4315" t="s">
        <v>7153</v>
      </c>
      <c r="B4315" t="s">
        <v>7154</v>
      </c>
      <c r="C4315" t="s">
        <v>6901</v>
      </c>
      <c r="D4315">
        <v>67332441</v>
      </c>
      <c r="E4315">
        <v>2.3199999999999998</v>
      </c>
      <c r="F4315">
        <v>7.32</v>
      </c>
    </row>
    <row r="4316" spans="1:6" x14ac:dyDescent="0.3">
      <c r="A4316" t="s">
        <v>7155</v>
      </c>
      <c r="B4316" t="s">
        <v>7156</v>
      </c>
      <c r="C4316" t="s">
        <v>7157</v>
      </c>
      <c r="D4316">
        <v>67365807</v>
      </c>
      <c r="E4316">
        <v>2.08</v>
      </c>
      <c r="F4316">
        <v>5.89</v>
      </c>
    </row>
    <row r="4317" spans="1:6" x14ac:dyDescent="0.3">
      <c r="A4317" t="s">
        <v>7158</v>
      </c>
      <c r="B4317" t="s">
        <v>7159</v>
      </c>
      <c r="C4317" t="s">
        <v>7160</v>
      </c>
      <c r="D4317">
        <v>67369851</v>
      </c>
      <c r="E4317">
        <v>6.22</v>
      </c>
      <c r="F4317">
        <v>6.75</v>
      </c>
    </row>
    <row r="4318" spans="1:6" x14ac:dyDescent="0.3">
      <c r="A4318" t="s">
        <v>7161</v>
      </c>
      <c r="B4318" t="s">
        <v>7162</v>
      </c>
      <c r="C4318" t="s">
        <v>1205</v>
      </c>
      <c r="D4318">
        <v>67374607</v>
      </c>
      <c r="E4318">
        <v>16</v>
      </c>
      <c r="F4318">
        <v>7.25</v>
      </c>
    </row>
    <row r="4319" spans="1:6" x14ac:dyDescent="0.3">
      <c r="A4319" t="s">
        <v>7163</v>
      </c>
      <c r="B4319" t="s">
        <v>7164</v>
      </c>
      <c r="C4319" t="s">
        <v>4821</v>
      </c>
      <c r="D4319">
        <v>67378295</v>
      </c>
      <c r="E4319">
        <v>7</v>
      </c>
      <c r="F4319">
        <v>7.43</v>
      </c>
    </row>
    <row r="4320" spans="1:6" x14ac:dyDescent="0.3">
      <c r="A4320" t="s">
        <v>7165</v>
      </c>
      <c r="B4320" t="s">
        <v>7166</v>
      </c>
      <c r="C4320" t="s">
        <v>7167</v>
      </c>
      <c r="D4320">
        <v>67380414</v>
      </c>
      <c r="E4320">
        <v>14.59</v>
      </c>
      <c r="F4320">
        <v>7.63</v>
      </c>
    </row>
    <row r="4321" spans="1:6" x14ac:dyDescent="0.3">
      <c r="A4321" t="s">
        <v>7168</v>
      </c>
      <c r="B4321" t="s">
        <v>7169</v>
      </c>
      <c r="C4321" t="s">
        <v>7170</v>
      </c>
      <c r="D4321">
        <v>67390491</v>
      </c>
      <c r="E4321">
        <v>16</v>
      </c>
      <c r="F4321">
        <v>5.9</v>
      </c>
    </row>
    <row r="4322" spans="1:6" x14ac:dyDescent="0.3">
      <c r="A4322" t="s">
        <v>7171</v>
      </c>
      <c r="B4322" t="s">
        <v>6414</v>
      </c>
      <c r="C4322" t="s">
        <v>7172</v>
      </c>
      <c r="D4322">
        <v>67394401</v>
      </c>
      <c r="E4322">
        <v>2.17</v>
      </c>
      <c r="F4322">
        <v>7.77</v>
      </c>
    </row>
    <row r="4323" spans="1:6" x14ac:dyDescent="0.3">
      <c r="A4323" t="s">
        <v>7173</v>
      </c>
      <c r="B4323" t="s">
        <v>6919</v>
      </c>
      <c r="C4323" t="s">
        <v>7174</v>
      </c>
      <c r="D4323">
        <v>67394455</v>
      </c>
      <c r="E4323">
        <v>1.94</v>
      </c>
      <c r="F4323">
        <v>5.31</v>
      </c>
    </row>
    <row r="4324" spans="1:6" x14ac:dyDescent="0.3">
      <c r="A4324" t="s">
        <v>7175</v>
      </c>
      <c r="B4324" t="s">
        <v>6667</v>
      </c>
      <c r="C4324" t="s">
        <v>3978</v>
      </c>
      <c r="D4324">
        <v>67403423</v>
      </c>
      <c r="E4324">
        <v>2.91</v>
      </c>
      <c r="F4324">
        <v>6.47</v>
      </c>
    </row>
    <row r="4325" spans="1:6" x14ac:dyDescent="0.3">
      <c r="A4325" t="s">
        <v>7176</v>
      </c>
      <c r="B4325" t="s">
        <v>7177</v>
      </c>
      <c r="C4325" t="s">
        <v>7178</v>
      </c>
      <c r="D4325">
        <v>67418509</v>
      </c>
      <c r="E4325">
        <v>2.96</v>
      </c>
      <c r="F4325">
        <v>7.72</v>
      </c>
    </row>
    <row r="4326" spans="1:6" x14ac:dyDescent="0.3">
      <c r="A4326" t="s">
        <v>7179</v>
      </c>
      <c r="B4326" t="s">
        <v>2203</v>
      </c>
      <c r="C4326" t="s">
        <v>898</v>
      </c>
      <c r="D4326">
        <v>67430272</v>
      </c>
      <c r="E4326">
        <v>19.8</v>
      </c>
      <c r="F4326">
        <v>1.33</v>
      </c>
    </row>
    <row r="4327" spans="1:6" x14ac:dyDescent="0.3">
      <c r="A4327" t="s">
        <v>7180</v>
      </c>
      <c r="B4327" t="s">
        <v>7181</v>
      </c>
      <c r="C4327" t="s">
        <v>4411</v>
      </c>
      <c r="D4327">
        <v>67438746</v>
      </c>
      <c r="E4327">
        <v>2.88</v>
      </c>
      <c r="F4327">
        <v>6.57</v>
      </c>
    </row>
    <row r="4328" spans="1:6" x14ac:dyDescent="0.3">
      <c r="A4328" t="s">
        <v>7182</v>
      </c>
      <c r="B4328" t="s">
        <v>5386</v>
      </c>
      <c r="C4328" t="s">
        <v>6058</v>
      </c>
      <c r="D4328">
        <v>67443236</v>
      </c>
      <c r="E4328">
        <v>2.15</v>
      </c>
      <c r="F4328">
        <v>6.16</v>
      </c>
    </row>
    <row r="4329" spans="1:6" x14ac:dyDescent="0.3">
      <c r="A4329" t="s">
        <v>7183</v>
      </c>
      <c r="B4329" t="s">
        <v>7037</v>
      </c>
      <c r="C4329" t="s">
        <v>7076</v>
      </c>
      <c r="D4329">
        <v>67447101</v>
      </c>
      <c r="E4329">
        <v>7.59</v>
      </c>
      <c r="F4329">
        <v>7.72</v>
      </c>
    </row>
    <row r="4330" spans="1:6" x14ac:dyDescent="0.3">
      <c r="A4330" t="s">
        <v>7184</v>
      </c>
      <c r="B4330" t="s">
        <v>7185</v>
      </c>
      <c r="C4330" t="s">
        <v>4247</v>
      </c>
      <c r="D4330">
        <v>67453913</v>
      </c>
      <c r="E4330">
        <v>2.81</v>
      </c>
      <c r="F4330">
        <v>4.18</v>
      </c>
    </row>
    <row r="4331" spans="1:6" x14ac:dyDescent="0.3">
      <c r="A4331" t="s">
        <v>7186</v>
      </c>
      <c r="B4331" t="s">
        <v>6102</v>
      </c>
      <c r="C4331" t="s">
        <v>995</v>
      </c>
      <c r="D4331">
        <v>67456762</v>
      </c>
      <c r="E4331">
        <v>2.54</v>
      </c>
      <c r="F4331">
        <v>5.91</v>
      </c>
    </row>
    <row r="4332" spans="1:6" x14ac:dyDescent="0.3">
      <c r="A4332" t="s">
        <v>7187</v>
      </c>
      <c r="B4332" t="s">
        <v>1053</v>
      </c>
      <c r="C4332" t="s">
        <v>4281</v>
      </c>
      <c r="D4332">
        <v>67461519</v>
      </c>
      <c r="E4332">
        <v>12.15</v>
      </c>
      <c r="F4332">
        <v>5.34</v>
      </c>
    </row>
    <row r="4333" spans="1:6" x14ac:dyDescent="0.3">
      <c r="A4333" t="s">
        <v>7188</v>
      </c>
      <c r="B4333" t="s">
        <v>7189</v>
      </c>
      <c r="C4333" t="s">
        <v>7190</v>
      </c>
      <c r="D4333">
        <v>67476946</v>
      </c>
      <c r="E4333">
        <v>4.6100000000000003</v>
      </c>
      <c r="F4333">
        <v>4.92</v>
      </c>
    </row>
    <row r="4334" spans="1:6" x14ac:dyDescent="0.3">
      <c r="A4334" t="s">
        <v>7191</v>
      </c>
      <c r="B4334" t="s">
        <v>5908</v>
      </c>
      <c r="C4334" t="s">
        <v>7050</v>
      </c>
      <c r="D4334">
        <v>67479864</v>
      </c>
      <c r="E4334">
        <v>9.2200000000000006</v>
      </c>
      <c r="F4334">
        <v>6.38</v>
      </c>
    </row>
    <row r="4335" spans="1:6" x14ac:dyDescent="0.3">
      <c r="A4335" t="s">
        <v>7192</v>
      </c>
      <c r="B4335" t="s">
        <v>7193</v>
      </c>
      <c r="C4335" t="s">
        <v>5866</v>
      </c>
      <c r="D4335">
        <v>67481654</v>
      </c>
      <c r="E4335">
        <v>14.29</v>
      </c>
      <c r="F4335">
        <v>5.33</v>
      </c>
    </row>
    <row r="4336" spans="1:6" x14ac:dyDescent="0.3">
      <c r="A4336" t="s">
        <v>7194</v>
      </c>
      <c r="B4336" t="s">
        <v>3805</v>
      </c>
      <c r="C4336" t="s">
        <v>3867</v>
      </c>
      <c r="D4336">
        <v>67484076</v>
      </c>
      <c r="E4336">
        <v>2.96</v>
      </c>
      <c r="F4336">
        <v>7.75</v>
      </c>
    </row>
    <row r="4337" spans="1:6" x14ac:dyDescent="0.3">
      <c r="A4337" t="s">
        <v>7195</v>
      </c>
      <c r="B4337" t="s">
        <v>7196</v>
      </c>
      <c r="C4337" t="s">
        <v>5343</v>
      </c>
      <c r="D4337">
        <v>67484415</v>
      </c>
      <c r="E4337">
        <v>6.96</v>
      </c>
      <c r="F4337">
        <v>6.55</v>
      </c>
    </row>
    <row r="4338" spans="1:6" x14ac:dyDescent="0.3">
      <c r="A4338" t="s">
        <v>7197</v>
      </c>
      <c r="B4338" t="s">
        <v>5654</v>
      </c>
      <c r="C4338" t="s">
        <v>7198</v>
      </c>
      <c r="D4338">
        <v>67490470</v>
      </c>
      <c r="E4338">
        <v>1.82</v>
      </c>
      <c r="F4338">
        <v>6.63</v>
      </c>
    </row>
    <row r="4339" spans="1:6" x14ac:dyDescent="0.3">
      <c r="A4339" t="s">
        <v>7199</v>
      </c>
      <c r="B4339" t="s">
        <v>7200</v>
      </c>
      <c r="C4339" t="s">
        <v>6912</v>
      </c>
      <c r="D4339">
        <v>67507734</v>
      </c>
      <c r="E4339">
        <v>2.0299999999999998</v>
      </c>
      <c r="F4339">
        <v>6.23</v>
      </c>
    </row>
    <row r="4340" spans="1:6" x14ac:dyDescent="0.3">
      <c r="A4340" t="s">
        <v>7201</v>
      </c>
      <c r="B4340" t="s">
        <v>7202</v>
      </c>
      <c r="C4340" t="s">
        <v>7203</v>
      </c>
      <c r="D4340">
        <v>67514929</v>
      </c>
      <c r="E4340">
        <v>12</v>
      </c>
      <c r="F4340">
        <v>5.67</v>
      </c>
    </row>
    <row r="4341" spans="1:6" x14ac:dyDescent="0.3">
      <c r="A4341" t="s">
        <v>7204</v>
      </c>
      <c r="B4341" t="s">
        <v>7205</v>
      </c>
      <c r="C4341" t="s">
        <v>7206</v>
      </c>
      <c r="D4341">
        <v>67534432</v>
      </c>
      <c r="E4341">
        <v>2.0099999999999998</v>
      </c>
      <c r="F4341">
        <v>7.09</v>
      </c>
    </row>
    <row r="4342" spans="1:6" x14ac:dyDescent="0.3">
      <c r="A4342" t="s">
        <v>7207</v>
      </c>
      <c r="B4342" t="s">
        <v>7208</v>
      </c>
      <c r="C4342" t="s">
        <v>3964</v>
      </c>
      <c r="D4342">
        <v>67551702</v>
      </c>
      <c r="E4342">
        <v>14</v>
      </c>
      <c r="F4342">
        <v>6.5</v>
      </c>
    </row>
    <row r="4343" spans="1:6" x14ac:dyDescent="0.3">
      <c r="A4343" t="s">
        <v>3141</v>
      </c>
      <c r="B4343" t="s">
        <v>7209</v>
      </c>
      <c r="C4343" t="s">
        <v>6293</v>
      </c>
      <c r="D4343">
        <v>67555387</v>
      </c>
      <c r="E4343">
        <v>6.17</v>
      </c>
      <c r="F4343">
        <v>4.33</v>
      </c>
    </row>
    <row r="4344" spans="1:6" x14ac:dyDescent="0.3">
      <c r="A4344" t="s">
        <v>3869</v>
      </c>
      <c r="B4344" t="s">
        <v>7210</v>
      </c>
      <c r="C4344" t="s">
        <v>6901</v>
      </c>
      <c r="D4344">
        <v>67566303</v>
      </c>
      <c r="E4344">
        <v>19.63</v>
      </c>
      <c r="F4344">
        <v>6.83</v>
      </c>
    </row>
    <row r="4345" spans="1:6" x14ac:dyDescent="0.3">
      <c r="A4345" t="s">
        <v>7211</v>
      </c>
      <c r="B4345" t="s">
        <v>7212</v>
      </c>
      <c r="C4345" t="s">
        <v>5866</v>
      </c>
      <c r="D4345">
        <v>67566464</v>
      </c>
      <c r="E4345">
        <v>3.65</v>
      </c>
      <c r="F4345">
        <v>4.32</v>
      </c>
    </row>
    <row r="4346" spans="1:6" x14ac:dyDescent="0.3">
      <c r="A4346" t="s">
        <v>7213</v>
      </c>
      <c r="B4346" t="s">
        <v>7214</v>
      </c>
      <c r="C4346" t="s">
        <v>3573</v>
      </c>
      <c r="D4346">
        <v>67568894</v>
      </c>
      <c r="E4346">
        <v>12.6</v>
      </c>
      <c r="F4346">
        <v>8.25</v>
      </c>
    </row>
    <row r="4347" spans="1:6" x14ac:dyDescent="0.3">
      <c r="A4347" t="s">
        <v>7215</v>
      </c>
      <c r="B4347" t="s">
        <v>7216</v>
      </c>
      <c r="C4347" t="s">
        <v>7217</v>
      </c>
      <c r="D4347">
        <v>67569996</v>
      </c>
      <c r="E4347">
        <v>26</v>
      </c>
      <c r="F4347">
        <v>10</v>
      </c>
    </row>
    <row r="4348" spans="1:6" x14ac:dyDescent="0.3">
      <c r="A4348" t="s">
        <v>7218</v>
      </c>
      <c r="B4348" t="s">
        <v>5156</v>
      </c>
      <c r="C4348" t="s">
        <v>5555</v>
      </c>
      <c r="D4348">
        <v>67581585</v>
      </c>
      <c r="E4348">
        <v>18.690000000000001</v>
      </c>
      <c r="F4348">
        <v>7.07</v>
      </c>
    </row>
    <row r="4349" spans="1:6" x14ac:dyDescent="0.3">
      <c r="A4349" t="s">
        <v>7219</v>
      </c>
      <c r="B4349" t="s">
        <v>7220</v>
      </c>
      <c r="C4349" t="s">
        <v>901</v>
      </c>
      <c r="D4349">
        <v>67583827</v>
      </c>
      <c r="E4349">
        <v>7.98</v>
      </c>
      <c r="F4349">
        <v>7.33</v>
      </c>
    </row>
    <row r="4350" spans="1:6" x14ac:dyDescent="0.3">
      <c r="A4350" t="s">
        <v>7221</v>
      </c>
      <c r="B4350" t="s">
        <v>7222</v>
      </c>
      <c r="C4350" t="s">
        <v>4806</v>
      </c>
      <c r="D4350">
        <v>67605226</v>
      </c>
      <c r="E4350">
        <v>8.32</v>
      </c>
      <c r="F4350">
        <v>6.57</v>
      </c>
    </row>
    <row r="4351" spans="1:6" x14ac:dyDescent="0.3">
      <c r="A4351" t="s">
        <v>7223</v>
      </c>
      <c r="B4351" t="s">
        <v>4305</v>
      </c>
      <c r="C4351" t="s">
        <v>7224</v>
      </c>
      <c r="D4351">
        <v>67615330</v>
      </c>
      <c r="E4351">
        <v>2.4</v>
      </c>
      <c r="F4351">
        <v>5.2</v>
      </c>
    </row>
    <row r="4352" spans="1:6" x14ac:dyDescent="0.3">
      <c r="A4352" t="s">
        <v>7225</v>
      </c>
      <c r="B4352" t="s">
        <v>6864</v>
      </c>
      <c r="C4352" t="s">
        <v>7226</v>
      </c>
      <c r="D4352">
        <v>67622133</v>
      </c>
      <c r="E4352">
        <v>23.87</v>
      </c>
      <c r="F4352">
        <v>5.94</v>
      </c>
    </row>
    <row r="4353" spans="1:6" x14ac:dyDescent="0.3">
      <c r="A4353" t="s">
        <v>7227</v>
      </c>
      <c r="B4353" t="s">
        <v>7228</v>
      </c>
      <c r="C4353" t="s">
        <v>7229</v>
      </c>
      <c r="D4353">
        <v>67629705</v>
      </c>
      <c r="E4353">
        <v>3.64</v>
      </c>
      <c r="F4353">
        <v>7.37</v>
      </c>
    </row>
    <row r="4354" spans="1:6" x14ac:dyDescent="0.3">
      <c r="A4354" t="s">
        <v>7230</v>
      </c>
      <c r="B4354" t="s">
        <v>5549</v>
      </c>
      <c r="C4354" t="s">
        <v>7231</v>
      </c>
      <c r="D4354">
        <v>67637137</v>
      </c>
      <c r="E4354">
        <v>1.76</v>
      </c>
      <c r="F4354">
        <v>6.66</v>
      </c>
    </row>
    <row r="4355" spans="1:6" x14ac:dyDescent="0.3">
      <c r="A4355" t="s">
        <v>7232</v>
      </c>
      <c r="B4355" t="s">
        <v>3070</v>
      </c>
      <c r="C4355" t="s">
        <v>7233</v>
      </c>
      <c r="D4355">
        <v>67646176</v>
      </c>
      <c r="E4355">
        <v>6.7</v>
      </c>
      <c r="F4355">
        <v>8.09</v>
      </c>
    </row>
    <row r="4356" spans="1:6" x14ac:dyDescent="0.3">
      <c r="A4356" t="s">
        <v>7234</v>
      </c>
      <c r="B4356" t="s">
        <v>7235</v>
      </c>
      <c r="C4356" t="s">
        <v>7236</v>
      </c>
      <c r="D4356">
        <v>67651206</v>
      </c>
      <c r="E4356">
        <v>16.16</v>
      </c>
      <c r="F4356">
        <v>7.9</v>
      </c>
    </row>
    <row r="4357" spans="1:6" x14ac:dyDescent="0.3">
      <c r="A4357" t="s">
        <v>7237</v>
      </c>
      <c r="B4357" t="s">
        <v>6204</v>
      </c>
      <c r="C4357" t="s">
        <v>5797</v>
      </c>
      <c r="D4357">
        <v>67675333</v>
      </c>
      <c r="E4357">
        <v>1.08</v>
      </c>
      <c r="F4357">
        <v>6.97</v>
      </c>
    </row>
    <row r="4358" spans="1:6" x14ac:dyDescent="0.3">
      <c r="A4358" t="s">
        <v>7238</v>
      </c>
      <c r="B4358" t="s">
        <v>7239</v>
      </c>
      <c r="C4358" t="s">
        <v>2381</v>
      </c>
      <c r="D4358">
        <v>67679278</v>
      </c>
      <c r="E4358">
        <v>8.14</v>
      </c>
      <c r="F4358">
        <v>5.56</v>
      </c>
    </row>
    <row r="4359" spans="1:6" x14ac:dyDescent="0.3">
      <c r="A4359" t="s">
        <v>7240</v>
      </c>
      <c r="B4359" t="s">
        <v>6623</v>
      </c>
      <c r="C4359" t="s">
        <v>799</v>
      </c>
      <c r="D4359">
        <v>67699606</v>
      </c>
      <c r="E4359">
        <v>21.33</v>
      </c>
      <c r="F4359">
        <v>9</v>
      </c>
    </row>
    <row r="4360" spans="1:6" x14ac:dyDescent="0.3">
      <c r="A4360" t="s">
        <v>7241</v>
      </c>
      <c r="B4360" t="s">
        <v>7242</v>
      </c>
      <c r="C4360" t="s">
        <v>5555</v>
      </c>
      <c r="D4360">
        <v>67721545</v>
      </c>
      <c r="E4360">
        <v>8.16</v>
      </c>
      <c r="F4360">
        <v>5.86</v>
      </c>
    </row>
    <row r="4361" spans="1:6" x14ac:dyDescent="0.3">
      <c r="A4361" t="s">
        <v>7243</v>
      </c>
      <c r="B4361" t="s">
        <v>7244</v>
      </c>
      <c r="C4361" t="s">
        <v>3852</v>
      </c>
      <c r="D4361">
        <v>67725450</v>
      </c>
      <c r="E4361">
        <v>7.95</v>
      </c>
      <c r="F4361">
        <v>7.18</v>
      </c>
    </row>
    <row r="4362" spans="1:6" x14ac:dyDescent="0.3">
      <c r="A4362" t="s">
        <v>7245</v>
      </c>
      <c r="B4362" t="s">
        <v>5328</v>
      </c>
      <c r="C4362" t="s">
        <v>7246</v>
      </c>
      <c r="D4362">
        <v>67743951</v>
      </c>
      <c r="E4362">
        <v>15.86</v>
      </c>
      <c r="F4362">
        <v>7.75</v>
      </c>
    </row>
    <row r="4363" spans="1:6" x14ac:dyDescent="0.3">
      <c r="A4363" t="s">
        <v>7247</v>
      </c>
      <c r="B4363" t="s">
        <v>7248</v>
      </c>
      <c r="C4363" t="s">
        <v>1203</v>
      </c>
      <c r="D4363">
        <v>67746137</v>
      </c>
      <c r="E4363">
        <v>3.73</v>
      </c>
      <c r="F4363">
        <v>6.42</v>
      </c>
    </row>
    <row r="4364" spans="1:6" x14ac:dyDescent="0.3">
      <c r="A4364" t="s">
        <v>7249</v>
      </c>
      <c r="B4364" t="s">
        <v>7250</v>
      </c>
      <c r="C4364" t="s">
        <v>7251</v>
      </c>
      <c r="D4364">
        <v>67766587</v>
      </c>
      <c r="E4364">
        <v>3.69</v>
      </c>
      <c r="F4364">
        <v>5.91</v>
      </c>
    </row>
    <row r="4365" spans="1:6" x14ac:dyDescent="0.3">
      <c r="A4365" t="s">
        <v>6707</v>
      </c>
      <c r="B4365" t="s">
        <v>2791</v>
      </c>
      <c r="C4365" t="s">
        <v>7252</v>
      </c>
      <c r="D4365">
        <v>67778984</v>
      </c>
      <c r="E4365">
        <v>2.2000000000000002</v>
      </c>
      <c r="F4365">
        <v>5.61</v>
      </c>
    </row>
    <row r="4366" spans="1:6" x14ac:dyDescent="0.3">
      <c r="A4366" t="s">
        <v>7253</v>
      </c>
      <c r="B4366" t="s">
        <v>4479</v>
      </c>
      <c r="C4366" t="s">
        <v>2924</v>
      </c>
      <c r="D4366">
        <v>67782525</v>
      </c>
      <c r="E4366">
        <v>6.43</v>
      </c>
      <c r="F4366">
        <v>6.8</v>
      </c>
    </row>
    <row r="4367" spans="1:6" x14ac:dyDescent="0.3">
      <c r="A4367" t="s">
        <v>7254</v>
      </c>
      <c r="B4367" t="s">
        <v>6919</v>
      </c>
      <c r="C4367" t="s">
        <v>7255</v>
      </c>
      <c r="D4367">
        <v>67797911</v>
      </c>
      <c r="E4367">
        <v>4</v>
      </c>
      <c r="F4367">
        <v>5.3</v>
      </c>
    </row>
    <row r="4368" spans="1:6" x14ac:dyDescent="0.3">
      <c r="A4368" t="s">
        <v>7256</v>
      </c>
      <c r="B4368" t="s">
        <v>3803</v>
      </c>
      <c r="C4368" t="s">
        <v>4998</v>
      </c>
      <c r="D4368">
        <v>67815715</v>
      </c>
      <c r="E4368">
        <v>2.33</v>
      </c>
      <c r="F4368">
        <v>7.43</v>
      </c>
    </row>
    <row r="4369" spans="1:6" x14ac:dyDescent="0.3">
      <c r="A4369" t="s">
        <v>7257</v>
      </c>
      <c r="B4369" t="s">
        <v>5760</v>
      </c>
      <c r="C4369" t="s">
        <v>7258</v>
      </c>
      <c r="D4369">
        <v>67818901</v>
      </c>
      <c r="E4369">
        <v>12.07</v>
      </c>
      <c r="F4369">
        <v>8.1</v>
      </c>
    </row>
    <row r="4370" spans="1:6" x14ac:dyDescent="0.3">
      <c r="A4370" t="s">
        <v>7259</v>
      </c>
      <c r="B4370" t="s">
        <v>5051</v>
      </c>
      <c r="C4370" t="s">
        <v>845</v>
      </c>
      <c r="D4370">
        <v>67822414</v>
      </c>
      <c r="E4370">
        <v>3.13</v>
      </c>
      <c r="F4370">
        <v>6.4</v>
      </c>
    </row>
    <row r="4371" spans="1:6" x14ac:dyDescent="0.3">
      <c r="A4371" t="s">
        <v>7260</v>
      </c>
      <c r="B4371" t="s">
        <v>7261</v>
      </c>
      <c r="C4371" t="s">
        <v>5555</v>
      </c>
      <c r="D4371">
        <v>67863193</v>
      </c>
      <c r="E4371">
        <v>5.74</v>
      </c>
      <c r="F4371">
        <v>8.57</v>
      </c>
    </row>
    <row r="4372" spans="1:6" x14ac:dyDescent="0.3">
      <c r="A4372" t="s">
        <v>7262</v>
      </c>
      <c r="B4372" t="s">
        <v>5719</v>
      </c>
      <c r="C4372" t="s">
        <v>969</v>
      </c>
      <c r="D4372">
        <v>67898768</v>
      </c>
      <c r="E4372">
        <v>2.68</v>
      </c>
      <c r="F4372">
        <v>6.09</v>
      </c>
    </row>
    <row r="4373" spans="1:6" x14ac:dyDescent="0.3">
      <c r="A4373" t="s">
        <v>7263</v>
      </c>
      <c r="B4373" t="s">
        <v>7085</v>
      </c>
      <c r="C4373" t="s">
        <v>7264</v>
      </c>
      <c r="D4373">
        <v>67904095</v>
      </c>
      <c r="E4373">
        <v>3.22</v>
      </c>
      <c r="F4373">
        <v>5.86</v>
      </c>
    </row>
    <row r="4374" spans="1:6" x14ac:dyDescent="0.3">
      <c r="A4374" t="s">
        <v>7265</v>
      </c>
      <c r="B4374" t="s">
        <v>7266</v>
      </c>
      <c r="C4374" t="s">
        <v>7267</v>
      </c>
      <c r="D4374">
        <v>67906323</v>
      </c>
      <c r="E4374">
        <v>14.83</v>
      </c>
      <c r="F4374">
        <v>3</v>
      </c>
    </row>
    <row r="4375" spans="1:6" x14ac:dyDescent="0.3">
      <c r="A4375" t="s">
        <v>7268</v>
      </c>
      <c r="B4375" t="s">
        <v>6674</v>
      </c>
      <c r="C4375" t="s">
        <v>3571</v>
      </c>
      <c r="D4375">
        <v>67907480</v>
      </c>
      <c r="E4375">
        <v>17.57</v>
      </c>
      <c r="F4375">
        <v>6.4</v>
      </c>
    </row>
    <row r="4376" spans="1:6" x14ac:dyDescent="0.3">
      <c r="A4376" t="s">
        <v>7269</v>
      </c>
      <c r="B4376" t="s">
        <v>7270</v>
      </c>
      <c r="C4376" t="s">
        <v>5849</v>
      </c>
      <c r="D4376">
        <v>67920061</v>
      </c>
      <c r="E4376">
        <v>3.06</v>
      </c>
      <c r="F4376">
        <v>6.62</v>
      </c>
    </row>
    <row r="4377" spans="1:6" x14ac:dyDescent="0.3">
      <c r="A4377" t="s">
        <v>7271</v>
      </c>
      <c r="B4377" t="s">
        <v>4705</v>
      </c>
      <c r="C4377" t="s">
        <v>7271</v>
      </c>
      <c r="D4377">
        <v>67931039</v>
      </c>
      <c r="E4377">
        <v>18.5</v>
      </c>
      <c r="F4377">
        <v>3.5</v>
      </c>
    </row>
    <row r="4378" spans="1:6" x14ac:dyDescent="0.3">
      <c r="A4378" t="s">
        <v>7272</v>
      </c>
      <c r="B4378" t="s">
        <v>7273</v>
      </c>
      <c r="C4378" t="s">
        <v>1537</v>
      </c>
      <c r="D4378">
        <v>67935008</v>
      </c>
      <c r="E4378">
        <v>3.72</v>
      </c>
      <c r="F4378">
        <v>7.08</v>
      </c>
    </row>
    <row r="4379" spans="1:6" x14ac:dyDescent="0.3">
      <c r="A4379" t="s">
        <v>1717</v>
      </c>
      <c r="B4379" t="s">
        <v>3823</v>
      </c>
      <c r="C4379" t="s">
        <v>1717</v>
      </c>
      <c r="D4379">
        <v>67955481</v>
      </c>
      <c r="E4379">
        <v>3.41</v>
      </c>
      <c r="F4379">
        <v>5.79</v>
      </c>
    </row>
    <row r="4380" spans="1:6" x14ac:dyDescent="0.3">
      <c r="A4380" t="s">
        <v>7274</v>
      </c>
      <c r="B4380" t="s">
        <v>5399</v>
      </c>
      <c r="C4380" t="s">
        <v>7275</v>
      </c>
      <c r="D4380">
        <v>67978311</v>
      </c>
      <c r="E4380">
        <v>7.02</v>
      </c>
      <c r="F4380">
        <v>7.24</v>
      </c>
    </row>
    <row r="4381" spans="1:6" x14ac:dyDescent="0.3">
      <c r="A4381" t="s">
        <v>7276</v>
      </c>
      <c r="B4381" t="s">
        <v>6070</v>
      </c>
      <c r="C4381" t="s">
        <v>7277</v>
      </c>
      <c r="D4381">
        <v>67991522</v>
      </c>
      <c r="E4381">
        <v>4.68</v>
      </c>
      <c r="F4381">
        <v>6.52</v>
      </c>
    </row>
    <row r="4382" spans="1:6" x14ac:dyDescent="0.3">
      <c r="A4382" t="s">
        <v>7278</v>
      </c>
      <c r="B4382" t="s">
        <v>7104</v>
      </c>
      <c r="C4382" t="s">
        <v>3649</v>
      </c>
      <c r="D4382">
        <v>67996232</v>
      </c>
      <c r="E4382">
        <v>2.72</v>
      </c>
      <c r="F4382">
        <v>7.09</v>
      </c>
    </row>
    <row r="4383" spans="1:6" x14ac:dyDescent="0.3">
      <c r="A4383" t="s">
        <v>7279</v>
      </c>
      <c r="B4383" t="s">
        <v>7280</v>
      </c>
      <c r="C4383" t="s">
        <v>7281</v>
      </c>
      <c r="D4383">
        <v>68018827</v>
      </c>
      <c r="E4383">
        <v>1.74</v>
      </c>
      <c r="F4383">
        <v>6.91</v>
      </c>
    </row>
    <row r="4384" spans="1:6" x14ac:dyDescent="0.3">
      <c r="A4384" t="s">
        <v>7282</v>
      </c>
      <c r="B4384" t="s">
        <v>6011</v>
      </c>
      <c r="C4384" t="s">
        <v>7283</v>
      </c>
      <c r="D4384">
        <v>68040821</v>
      </c>
      <c r="E4384">
        <v>9.0299999999999994</v>
      </c>
      <c r="F4384">
        <v>6.4</v>
      </c>
    </row>
    <row r="4385" spans="1:6" x14ac:dyDescent="0.3">
      <c r="A4385" t="s">
        <v>7284</v>
      </c>
      <c r="B4385" t="s">
        <v>7285</v>
      </c>
      <c r="C4385" t="s">
        <v>7286</v>
      </c>
      <c r="D4385">
        <v>68042146</v>
      </c>
      <c r="E4385">
        <v>15.58</v>
      </c>
      <c r="F4385">
        <v>8.02</v>
      </c>
    </row>
    <row r="4386" spans="1:6" x14ac:dyDescent="0.3">
      <c r="A4386" t="s">
        <v>7287</v>
      </c>
      <c r="B4386" t="s">
        <v>951</v>
      </c>
      <c r="C4386" t="s">
        <v>3934</v>
      </c>
      <c r="D4386">
        <v>68044804</v>
      </c>
      <c r="E4386">
        <v>6.05</v>
      </c>
      <c r="F4386">
        <v>6.71</v>
      </c>
    </row>
    <row r="4387" spans="1:6" x14ac:dyDescent="0.3">
      <c r="A4387" t="s">
        <v>7288</v>
      </c>
      <c r="B4387" t="s">
        <v>7289</v>
      </c>
      <c r="C4387" t="s">
        <v>7290</v>
      </c>
      <c r="D4387">
        <v>68051532</v>
      </c>
      <c r="E4387">
        <v>19.47</v>
      </c>
      <c r="F4387">
        <v>8.32</v>
      </c>
    </row>
    <row r="4388" spans="1:6" x14ac:dyDescent="0.3">
      <c r="A4388" t="s">
        <v>7291</v>
      </c>
      <c r="B4388" t="s">
        <v>7292</v>
      </c>
      <c r="C4388" t="s">
        <v>5945</v>
      </c>
      <c r="D4388">
        <v>68055505</v>
      </c>
      <c r="E4388">
        <v>5.7</v>
      </c>
      <c r="F4388">
        <v>7.2</v>
      </c>
    </row>
    <row r="4389" spans="1:6" x14ac:dyDescent="0.3">
      <c r="A4389" t="s">
        <v>7293</v>
      </c>
      <c r="B4389" t="s">
        <v>5562</v>
      </c>
      <c r="C4389" t="s">
        <v>7294</v>
      </c>
      <c r="D4389">
        <v>68061608</v>
      </c>
      <c r="E4389">
        <v>2.7</v>
      </c>
      <c r="F4389">
        <v>6.09</v>
      </c>
    </row>
    <row r="4390" spans="1:6" x14ac:dyDescent="0.3">
      <c r="A4390" t="s">
        <v>7295</v>
      </c>
      <c r="B4390" t="s">
        <v>6538</v>
      </c>
      <c r="C4390" t="s">
        <v>7296</v>
      </c>
      <c r="D4390">
        <v>68068624</v>
      </c>
      <c r="E4390">
        <v>16.03</v>
      </c>
      <c r="F4390">
        <v>8.4499999999999993</v>
      </c>
    </row>
    <row r="4391" spans="1:6" x14ac:dyDescent="0.3">
      <c r="A4391" t="s">
        <v>7297</v>
      </c>
      <c r="B4391" t="s">
        <v>7152</v>
      </c>
      <c r="C4391" t="s">
        <v>2372</v>
      </c>
      <c r="D4391">
        <v>68078845</v>
      </c>
      <c r="E4391">
        <v>2.82</v>
      </c>
      <c r="F4391">
        <v>6.76</v>
      </c>
    </row>
    <row r="4392" spans="1:6" x14ac:dyDescent="0.3">
      <c r="A4392" t="s">
        <v>7298</v>
      </c>
      <c r="B4392" t="s">
        <v>7101</v>
      </c>
      <c r="C4392" t="s">
        <v>7299</v>
      </c>
      <c r="D4392">
        <v>68092676</v>
      </c>
      <c r="E4392">
        <v>3</v>
      </c>
      <c r="F4392">
        <v>6.88</v>
      </c>
    </row>
    <row r="4393" spans="1:6" x14ac:dyDescent="0.3">
      <c r="A4393" t="s">
        <v>7300</v>
      </c>
      <c r="B4393" t="s">
        <v>5549</v>
      </c>
      <c r="C4393" t="s">
        <v>7301</v>
      </c>
      <c r="D4393">
        <v>68105278</v>
      </c>
      <c r="E4393">
        <v>18</v>
      </c>
      <c r="F4393">
        <v>5.71</v>
      </c>
    </row>
    <row r="4394" spans="1:6" x14ac:dyDescent="0.3">
      <c r="A4394" t="s">
        <v>7302</v>
      </c>
      <c r="B4394" t="s">
        <v>6361</v>
      </c>
      <c r="C4394" t="s">
        <v>6480</v>
      </c>
      <c r="D4394">
        <v>68109632</v>
      </c>
      <c r="E4394">
        <v>9.92</v>
      </c>
      <c r="F4394">
        <v>7.99</v>
      </c>
    </row>
    <row r="4395" spans="1:6" x14ac:dyDescent="0.3">
      <c r="A4395" t="s">
        <v>7303</v>
      </c>
      <c r="B4395" t="s">
        <v>6102</v>
      </c>
      <c r="C4395" t="s">
        <v>7304</v>
      </c>
      <c r="D4395">
        <v>68119308</v>
      </c>
      <c r="E4395">
        <v>1.84</v>
      </c>
      <c r="F4395">
        <v>6.54</v>
      </c>
    </row>
    <row r="4396" spans="1:6" x14ac:dyDescent="0.3">
      <c r="A4396" t="s">
        <v>7305</v>
      </c>
      <c r="B4396" t="s">
        <v>7306</v>
      </c>
      <c r="C4396" t="s">
        <v>7307</v>
      </c>
      <c r="D4396">
        <v>68121402</v>
      </c>
      <c r="E4396">
        <v>22</v>
      </c>
      <c r="F4396">
        <v>10</v>
      </c>
    </row>
    <row r="4397" spans="1:6" x14ac:dyDescent="0.3">
      <c r="A4397" t="s">
        <v>7308</v>
      </c>
      <c r="B4397" t="s">
        <v>7309</v>
      </c>
      <c r="C4397" t="s">
        <v>7132</v>
      </c>
      <c r="D4397">
        <v>68131349</v>
      </c>
      <c r="E4397">
        <v>17.75</v>
      </c>
      <c r="F4397">
        <v>5.33</v>
      </c>
    </row>
    <row r="4398" spans="1:6" x14ac:dyDescent="0.3">
      <c r="A4398" t="s">
        <v>7310</v>
      </c>
      <c r="B4398" t="s">
        <v>7311</v>
      </c>
      <c r="C4398" t="s">
        <v>7312</v>
      </c>
      <c r="D4398">
        <v>68137509</v>
      </c>
      <c r="E4398">
        <v>10.55</v>
      </c>
      <c r="F4398">
        <v>7.13</v>
      </c>
    </row>
    <row r="4399" spans="1:6" x14ac:dyDescent="0.3">
      <c r="A4399" t="s">
        <v>7313</v>
      </c>
      <c r="B4399" t="s">
        <v>5790</v>
      </c>
      <c r="C4399" t="s">
        <v>1401</v>
      </c>
      <c r="D4399">
        <v>68156871</v>
      </c>
      <c r="E4399">
        <v>5</v>
      </c>
      <c r="F4399">
        <v>8.33</v>
      </c>
    </row>
    <row r="4400" spans="1:6" x14ac:dyDescent="0.3">
      <c r="A4400" t="s">
        <v>7314</v>
      </c>
      <c r="B4400" t="s">
        <v>3692</v>
      </c>
      <c r="C4400" t="s">
        <v>7315</v>
      </c>
      <c r="D4400">
        <v>68162744</v>
      </c>
      <c r="E4400">
        <v>3.08</v>
      </c>
      <c r="F4400">
        <v>6.25</v>
      </c>
    </row>
    <row r="4401" spans="1:6" x14ac:dyDescent="0.3">
      <c r="A4401" t="s">
        <v>7316</v>
      </c>
      <c r="B4401" t="s">
        <v>7317</v>
      </c>
      <c r="C4401" t="s">
        <v>7318</v>
      </c>
      <c r="D4401">
        <v>68165743</v>
      </c>
      <c r="E4401">
        <v>12.81</v>
      </c>
      <c r="F4401">
        <v>4.5</v>
      </c>
    </row>
    <row r="4402" spans="1:6" x14ac:dyDescent="0.3">
      <c r="A4402" t="s">
        <v>7319</v>
      </c>
      <c r="B4402" t="s">
        <v>7320</v>
      </c>
      <c r="C4402" t="s">
        <v>7321</v>
      </c>
      <c r="D4402">
        <v>68168248</v>
      </c>
      <c r="E4402">
        <v>2.04</v>
      </c>
      <c r="F4402">
        <v>6.29</v>
      </c>
    </row>
    <row r="4403" spans="1:6" x14ac:dyDescent="0.3">
      <c r="A4403" t="s">
        <v>7322</v>
      </c>
      <c r="B4403" t="s">
        <v>7323</v>
      </c>
      <c r="C4403" t="s">
        <v>762</v>
      </c>
      <c r="D4403">
        <v>68171977</v>
      </c>
      <c r="E4403">
        <v>9</v>
      </c>
      <c r="F4403">
        <v>6.33</v>
      </c>
    </row>
    <row r="4404" spans="1:6" x14ac:dyDescent="0.3">
      <c r="A4404" t="s">
        <v>7324</v>
      </c>
      <c r="B4404" t="s">
        <v>4814</v>
      </c>
      <c r="C4404" t="s">
        <v>7325</v>
      </c>
      <c r="D4404">
        <v>68177479</v>
      </c>
      <c r="E4404">
        <v>16.3</v>
      </c>
      <c r="F4404">
        <v>5.77</v>
      </c>
    </row>
    <row r="4405" spans="1:6" x14ac:dyDescent="0.3">
      <c r="A4405" t="s">
        <v>7326</v>
      </c>
      <c r="B4405" t="s">
        <v>7327</v>
      </c>
      <c r="C4405" t="s">
        <v>7328</v>
      </c>
      <c r="D4405">
        <v>68193306</v>
      </c>
      <c r="E4405">
        <v>24.36</v>
      </c>
      <c r="F4405">
        <v>6.24</v>
      </c>
    </row>
    <row r="4406" spans="1:6" x14ac:dyDescent="0.3">
      <c r="A4406" t="s">
        <v>7329</v>
      </c>
      <c r="B4406" t="s">
        <v>7330</v>
      </c>
      <c r="C4406" t="s">
        <v>1188</v>
      </c>
      <c r="D4406">
        <v>68233186</v>
      </c>
      <c r="E4406">
        <v>8.42</v>
      </c>
      <c r="F4406">
        <v>4.5</v>
      </c>
    </row>
    <row r="4407" spans="1:6" x14ac:dyDescent="0.3">
      <c r="A4407" t="s">
        <v>7331</v>
      </c>
      <c r="B4407" t="s">
        <v>7332</v>
      </c>
      <c r="C4407" t="s">
        <v>4244</v>
      </c>
      <c r="D4407">
        <v>68234332</v>
      </c>
      <c r="E4407">
        <v>4</v>
      </c>
      <c r="F4407">
        <v>6.5</v>
      </c>
    </row>
    <row r="4408" spans="1:6" x14ac:dyDescent="0.3">
      <c r="A4408" t="s">
        <v>7333</v>
      </c>
      <c r="B4408" t="s">
        <v>6676</v>
      </c>
      <c r="C4408" t="s">
        <v>7334</v>
      </c>
      <c r="D4408">
        <v>68236226</v>
      </c>
      <c r="E4408">
        <v>1.59</v>
      </c>
      <c r="F4408">
        <v>7.09</v>
      </c>
    </row>
    <row r="4409" spans="1:6" x14ac:dyDescent="0.3">
      <c r="A4409" t="s">
        <v>7335</v>
      </c>
      <c r="B4409" t="s">
        <v>7336</v>
      </c>
      <c r="C4409" t="s">
        <v>7337</v>
      </c>
      <c r="D4409">
        <v>68239247</v>
      </c>
      <c r="E4409">
        <v>4.91</v>
      </c>
      <c r="F4409">
        <v>5.96</v>
      </c>
    </row>
    <row r="4410" spans="1:6" x14ac:dyDescent="0.3">
      <c r="A4410" t="s">
        <v>7338</v>
      </c>
      <c r="B4410" t="s">
        <v>7339</v>
      </c>
      <c r="C4410" t="s">
        <v>5780</v>
      </c>
      <c r="D4410">
        <v>68242954</v>
      </c>
      <c r="E4410">
        <v>5.9</v>
      </c>
      <c r="F4410">
        <v>6.76</v>
      </c>
    </row>
    <row r="4411" spans="1:6" x14ac:dyDescent="0.3">
      <c r="A4411" t="s">
        <v>7340</v>
      </c>
      <c r="B4411" t="s">
        <v>7129</v>
      </c>
      <c r="C4411" t="s">
        <v>7341</v>
      </c>
      <c r="D4411">
        <v>68253939</v>
      </c>
      <c r="E4411">
        <v>2.84</v>
      </c>
      <c r="F4411">
        <v>6.8</v>
      </c>
    </row>
    <row r="4412" spans="1:6" x14ac:dyDescent="0.3">
      <c r="A4412" t="s">
        <v>7342</v>
      </c>
      <c r="B4412" t="s">
        <v>7343</v>
      </c>
      <c r="C4412" t="s">
        <v>4069</v>
      </c>
      <c r="D4412">
        <v>68286312</v>
      </c>
      <c r="E4412">
        <v>3</v>
      </c>
      <c r="F4412">
        <v>7.21</v>
      </c>
    </row>
    <row r="4413" spans="1:6" x14ac:dyDescent="0.3">
      <c r="A4413" t="s">
        <v>7344</v>
      </c>
      <c r="B4413" t="s">
        <v>5208</v>
      </c>
      <c r="C4413" t="s">
        <v>1481</v>
      </c>
      <c r="D4413">
        <v>68290485</v>
      </c>
      <c r="E4413">
        <v>2.0499999999999998</v>
      </c>
      <c r="F4413">
        <v>5.87</v>
      </c>
    </row>
    <row r="4414" spans="1:6" x14ac:dyDescent="0.3">
      <c r="A4414" t="s">
        <v>7345</v>
      </c>
      <c r="B4414" t="s">
        <v>4305</v>
      </c>
      <c r="C4414">
        <v>21</v>
      </c>
      <c r="D4414">
        <v>68311699</v>
      </c>
      <c r="E4414">
        <v>24.54</v>
      </c>
      <c r="F4414">
        <v>8.31</v>
      </c>
    </row>
    <row r="4415" spans="1:6" x14ac:dyDescent="0.3">
      <c r="A4415" t="s">
        <v>3362</v>
      </c>
      <c r="B4415" t="s">
        <v>7346</v>
      </c>
      <c r="C4415" t="s">
        <v>3363</v>
      </c>
      <c r="D4415">
        <v>68321738</v>
      </c>
      <c r="E4415">
        <v>19.329999999999998</v>
      </c>
      <c r="F4415">
        <v>5.67</v>
      </c>
    </row>
    <row r="4416" spans="1:6" x14ac:dyDescent="0.3">
      <c r="A4416" t="s">
        <v>7347</v>
      </c>
      <c r="B4416" t="s">
        <v>5486</v>
      </c>
      <c r="C4416" t="s">
        <v>1481</v>
      </c>
      <c r="D4416">
        <v>68323859</v>
      </c>
      <c r="E4416">
        <v>25.98</v>
      </c>
      <c r="F4416">
        <v>6.86</v>
      </c>
    </row>
    <row r="4417" spans="1:6" x14ac:dyDescent="0.3">
      <c r="A4417" t="s">
        <v>7348</v>
      </c>
      <c r="B4417" t="s">
        <v>6780</v>
      </c>
      <c r="C4417" t="s">
        <v>7349</v>
      </c>
      <c r="D4417">
        <v>68334959</v>
      </c>
      <c r="E4417">
        <v>7.99</v>
      </c>
      <c r="F4417">
        <v>8.3800000000000008</v>
      </c>
    </row>
    <row r="4418" spans="1:6" x14ac:dyDescent="0.3">
      <c r="A4418" t="s">
        <v>7350</v>
      </c>
      <c r="B4418" t="s">
        <v>7351</v>
      </c>
      <c r="C4418" t="s">
        <v>5948</v>
      </c>
      <c r="D4418">
        <v>68337412</v>
      </c>
      <c r="E4418">
        <v>2.72</v>
      </c>
      <c r="F4418">
        <v>6.74</v>
      </c>
    </row>
    <row r="4419" spans="1:6" x14ac:dyDescent="0.3">
      <c r="A4419" t="s">
        <v>7352</v>
      </c>
      <c r="B4419" t="s">
        <v>5614</v>
      </c>
      <c r="C4419" t="s">
        <v>5600</v>
      </c>
      <c r="D4419">
        <v>68342045</v>
      </c>
      <c r="E4419">
        <v>3.2</v>
      </c>
      <c r="F4419">
        <v>6.45</v>
      </c>
    </row>
    <row r="4420" spans="1:6" x14ac:dyDescent="0.3">
      <c r="A4420" t="s">
        <v>7353</v>
      </c>
      <c r="B4420" t="s">
        <v>1984</v>
      </c>
      <c r="C4420" t="s">
        <v>7354</v>
      </c>
      <c r="D4420">
        <v>68353244</v>
      </c>
      <c r="E4420">
        <v>32.119999999999997</v>
      </c>
      <c r="F4420">
        <v>8</v>
      </c>
    </row>
    <row r="4421" spans="1:6" x14ac:dyDescent="0.3">
      <c r="A4421" t="s">
        <v>7355</v>
      </c>
      <c r="B4421" t="s">
        <v>7356</v>
      </c>
      <c r="C4421" t="s">
        <v>7357</v>
      </c>
      <c r="D4421">
        <v>68372319</v>
      </c>
      <c r="E4421">
        <v>16.350000000000001</v>
      </c>
      <c r="F4421">
        <v>6.75</v>
      </c>
    </row>
    <row r="4422" spans="1:6" x14ac:dyDescent="0.3">
      <c r="A4422" t="s">
        <v>7358</v>
      </c>
      <c r="B4422" t="s">
        <v>3749</v>
      </c>
      <c r="C4422" t="s">
        <v>6221</v>
      </c>
      <c r="D4422">
        <v>68380306</v>
      </c>
      <c r="E4422">
        <v>2.9</v>
      </c>
      <c r="F4422">
        <v>7.08</v>
      </c>
    </row>
    <row r="4423" spans="1:6" x14ac:dyDescent="0.3">
      <c r="A4423" t="s">
        <v>7359</v>
      </c>
      <c r="B4423" t="s">
        <v>3739</v>
      </c>
      <c r="C4423" t="s">
        <v>2682</v>
      </c>
      <c r="D4423">
        <v>68406496</v>
      </c>
      <c r="E4423">
        <v>3</v>
      </c>
      <c r="F4423">
        <v>6.96</v>
      </c>
    </row>
    <row r="4424" spans="1:6" x14ac:dyDescent="0.3">
      <c r="A4424" t="s">
        <v>7360</v>
      </c>
      <c r="B4424" t="s">
        <v>2609</v>
      </c>
      <c r="C4424" t="s">
        <v>7361</v>
      </c>
      <c r="D4424">
        <v>68408784</v>
      </c>
      <c r="E4424">
        <v>11.14</v>
      </c>
      <c r="F4424">
        <v>7</v>
      </c>
    </row>
    <row r="4425" spans="1:6" x14ac:dyDescent="0.3">
      <c r="A4425" t="s">
        <v>7362</v>
      </c>
      <c r="B4425" t="s">
        <v>5393</v>
      </c>
      <c r="C4425" t="s">
        <v>7363</v>
      </c>
      <c r="D4425">
        <v>68414488</v>
      </c>
      <c r="E4425">
        <v>30</v>
      </c>
      <c r="F4425">
        <v>6</v>
      </c>
    </row>
    <row r="4426" spans="1:6" x14ac:dyDescent="0.3">
      <c r="A4426" t="s">
        <v>7364</v>
      </c>
      <c r="B4426" t="s">
        <v>7365</v>
      </c>
      <c r="C4426" t="s">
        <v>7366</v>
      </c>
      <c r="D4426">
        <v>68433206</v>
      </c>
      <c r="E4426">
        <v>5.44</v>
      </c>
      <c r="F4426">
        <v>8.1999999999999993</v>
      </c>
    </row>
    <row r="4427" spans="1:6" x14ac:dyDescent="0.3">
      <c r="A4427" t="s">
        <v>7367</v>
      </c>
      <c r="B4427" t="s">
        <v>7368</v>
      </c>
      <c r="C4427" t="s">
        <v>7369</v>
      </c>
      <c r="D4427">
        <v>68435917</v>
      </c>
      <c r="E4427">
        <v>3.47</v>
      </c>
      <c r="F4427">
        <v>6.5</v>
      </c>
    </row>
    <row r="4428" spans="1:6" x14ac:dyDescent="0.3">
      <c r="A4428" t="s">
        <v>7370</v>
      </c>
      <c r="B4428" t="s">
        <v>6011</v>
      </c>
      <c r="C4428" t="s">
        <v>6988</v>
      </c>
      <c r="D4428">
        <v>68448175</v>
      </c>
      <c r="E4428">
        <v>4.0999999999999996</v>
      </c>
      <c r="F4428">
        <v>6.75</v>
      </c>
    </row>
    <row r="4429" spans="1:6" x14ac:dyDescent="0.3">
      <c r="A4429" t="s">
        <v>7371</v>
      </c>
      <c r="B4429" t="s">
        <v>4305</v>
      </c>
      <c r="C4429" t="s">
        <v>7372</v>
      </c>
      <c r="D4429">
        <v>68451370</v>
      </c>
      <c r="E4429">
        <v>3.84</v>
      </c>
      <c r="F4429">
        <v>7.08</v>
      </c>
    </row>
    <row r="4430" spans="1:6" x14ac:dyDescent="0.3">
      <c r="A4430" t="s">
        <v>7373</v>
      </c>
      <c r="B4430" t="s">
        <v>6276</v>
      </c>
      <c r="C4430" t="s">
        <v>7374</v>
      </c>
      <c r="D4430">
        <v>68470502</v>
      </c>
      <c r="E4430">
        <v>18</v>
      </c>
      <c r="F4430">
        <v>4.5</v>
      </c>
    </row>
    <row r="4431" spans="1:6" x14ac:dyDescent="0.3">
      <c r="A4431" t="s">
        <v>7375</v>
      </c>
      <c r="B4431" t="s">
        <v>7376</v>
      </c>
      <c r="C4431" t="s">
        <v>25</v>
      </c>
      <c r="D4431">
        <v>68480196</v>
      </c>
      <c r="E4431">
        <v>1.64</v>
      </c>
      <c r="F4431">
        <v>7.11</v>
      </c>
    </row>
    <row r="4432" spans="1:6" x14ac:dyDescent="0.3">
      <c r="A4432" t="s">
        <v>7377</v>
      </c>
      <c r="B4432" t="s">
        <v>7378</v>
      </c>
      <c r="C4432" t="s">
        <v>1145</v>
      </c>
      <c r="D4432">
        <v>68503185</v>
      </c>
      <c r="E4432">
        <v>18</v>
      </c>
      <c r="F4432">
        <v>3.83</v>
      </c>
    </row>
    <row r="4433" spans="1:6" x14ac:dyDescent="0.3">
      <c r="A4433" t="s">
        <v>4050</v>
      </c>
      <c r="B4433" t="s">
        <v>5208</v>
      </c>
      <c r="C4433" t="s">
        <v>7379</v>
      </c>
      <c r="D4433">
        <v>68517865</v>
      </c>
      <c r="E4433">
        <v>1.84</v>
      </c>
      <c r="F4433">
        <v>7.54</v>
      </c>
    </row>
    <row r="4434" spans="1:6" x14ac:dyDescent="0.3">
      <c r="A4434" t="s">
        <v>7380</v>
      </c>
      <c r="B4434" t="s">
        <v>5915</v>
      </c>
      <c r="C4434" t="s">
        <v>7381</v>
      </c>
      <c r="D4434">
        <v>68522825</v>
      </c>
      <c r="E4434">
        <v>16.39</v>
      </c>
      <c r="F4434">
        <v>5.83</v>
      </c>
    </row>
    <row r="4435" spans="1:6" x14ac:dyDescent="0.3">
      <c r="A4435" t="s">
        <v>7382</v>
      </c>
      <c r="B4435" t="s">
        <v>7383</v>
      </c>
      <c r="C4435" t="s">
        <v>7384</v>
      </c>
      <c r="D4435">
        <v>68552203</v>
      </c>
      <c r="E4435">
        <v>3.39</v>
      </c>
      <c r="F4435">
        <v>5.56</v>
      </c>
    </row>
    <row r="4436" spans="1:6" x14ac:dyDescent="0.3">
      <c r="A4436" t="s">
        <v>7385</v>
      </c>
      <c r="B4436" t="s">
        <v>7386</v>
      </c>
      <c r="C4436" t="s">
        <v>1401</v>
      </c>
      <c r="D4436">
        <v>68578147</v>
      </c>
      <c r="E4436">
        <v>22.5</v>
      </c>
      <c r="F4436">
        <v>9.5</v>
      </c>
    </row>
    <row r="4437" spans="1:6" x14ac:dyDescent="0.3">
      <c r="A4437" t="s">
        <v>7387</v>
      </c>
      <c r="B4437" t="s">
        <v>7388</v>
      </c>
      <c r="C4437" t="s">
        <v>7389</v>
      </c>
      <c r="D4437">
        <v>68579509</v>
      </c>
      <c r="E4437">
        <v>17.86</v>
      </c>
      <c r="F4437">
        <v>6.29</v>
      </c>
    </row>
    <row r="4438" spans="1:6" x14ac:dyDescent="0.3">
      <c r="A4438" t="s">
        <v>7390</v>
      </c>
      <c r="B4438" t="s">
        <v>7391</v>
      </c>
      <c r="C4438" t="s">
        <v>6</v>
      </c>
      <c r="D4438">
        <v>68600127</v>
      </c>
      <c r="E4438">
        <v>32</v>
      </c>
      <c r="F4438">
        <v>2</v>
      </c>
    </row>
    <row r="4439" spans="1:6" x14ac:dyDescent="0.3">
      <c r="A4439" t="s">
        <v>7392</v>
      </c>
      <c r="B4439" t="s">
        <v>6864</v>
      </c>
      <c r="C4439" t="s">
        <v>7393</v>
      </c>
      <c r="D4439">
        <v>68623747</v>
      </c>
      <c r="E4439">
        <v>15.74</v>
      </c>
      <c r="F4439">
        <v>4.53</v>
      </c>
    </row>
    <row r="4440" spans="1:6" x14ac:dyDescent="0.3">
      <c r="A4440" t="s">
        <v>7394</v>
      </c>
      <c r="B4440" t="s">
        <v>7044</v>
      </c>
      <c r="C4440" t="s">
        <v>4069</v>
      </c>
      <c r="D4440">
        <v>68638604</v>
      </c>
      <c r="E4440">
        <v>5.71</v>
      </c>
      <c r="F4440">
        <v>6.43</v>
      </c>
    </row>
    <row r="4441" spans="1:6" x14ac:dyDescent="0.3">
      <c r="A4441" t="s">
        <v>7395</v>
      </c>
      <c r="B4441" t="s">
        <v>2342</v>
      </c>
      <c r="C4441" t="s">
        <v>3899</v>
      </c>
      <c r="D4441">
        <v>68654380</v>
      </c>
      <c r="E4441">
        <v>32.29</v>
      </c>
      <c r="F4441">
        <v>6.57</v>
      </c>
    </row>
    <row r="4442" spans="1:6" x14ac:dyDescent="0.3">
      <c r="A4442" t="s">
        <v>7396</v>
      </c>
      <c r="B4442" t="s">
        <v>7397</v>
      </c>
      <c r="C4442" t="s">
        <v>832</v>
      </c>
      <c r="D4442">
        <v>68662732</v>
      </c>
      <c r="E4442">
        <v>18.64</v>
      </c>
      <c r="F4442">
        <v>7.61</v>
      </c>
    </row>
    <row r="4443" spans="1:6" x14ac:dyDescent="0.3">
      <c r="A4443" t="s">
        <v>7398</v>
      </c>
      <c r="B4443" t="s">
        <v>6561</v>
      </c>
      <c r="C4443" t="s">
        <v>6332</v>
      </c>
      <c r="D4443">
        <v>68668045</v>
      </c>
      <c r="E4443">
        <v>32.130000000000003</v>
      </c>
      <c r="F4443">
        <v>6.08</v>
      </c>
    </row>
    <row r="4444" spans="1:6" x14ac:dyDescent="0.3">
      <c r="A4444" t="s">
        <v>7399</v>
      </c>
      <c r="B4444" t="s">
        <v>6421</v>
      </c>
      <c r="C4444" t="s">
        <v>6063</v>
      </c>
      <c r="D4444">
        <v>68675749</v>
      </c>
      <c r="E4444">
        <v>2.02</v>
      </c>
      <c r="F4444">
        <v>6.73</v>
      </c>
    </row>
    <row r="4445" spans="1:6" x14ac:dyDescent="0.3">
      <c r="A4445" t="s">
        <v>7400</v>
      </c>
      <c r="B4445" t="s">
        <v>6655</v>
      </c>
      <c r="C4445" t="s">
        <v>7401</v>
      </c>
      <c r="D4445">
        <v>68688822</v>
      </c>
      <c r="E4445">
        <v>18.850000000000001</v>
      </c>
      <c r="F4445">
        <v>7.6</v>
      </c>
    </row>
    <row r="4446" spans="1:6" x14ac:dyDescent="0.3">
      <c r="A4446" t="s">
        <v>7402</v>
      </c>
      <c r="B4446" t="s">
        <v>1576</v>
      </c>
      <c r="C4446" t="s">
        <v>893</v>
      </c>
      <c r="D4446">
        <v>68688849</v>
      </c>
      <c r="E4446">
        <v>30</v>
      </c>
      <c r="F4446">
        <v>4.7699999999999996</v>
      </c>
    </row>
    <row r="4447" spans="1:6" x14ac:dyDescent="0.3">
      <c r="A4447" t="s">
        <v>7403</v>
      </c>
      <c r="B4447" t="s">
        <v>7404</v>
      </c>
      <c r="C4447" t="s">
        <v>7405</v>
      </c>
      <c r="D4447">
        <v>68699807</v>
      </c>
      <c r="E4447">
        <v>6</v>
      </c>
      <c r="F4447">
        <v>6.5</v>
      </c>
    </row>
    <row r="4448" spans="1:6" x14ac:dyDescent="0.3">
      <c r="A4448" t="s">
        <v>7406</v>
      </c>
      <c r="B4448" t="s">
        <v>7407</v>
      </c>
      <c r="C4448" t="s">
        <v>7408</v>
      </c>
      <c r="D4448">
        <v>68718751</v>
      </c>
      <c r="E4448">
        <v>18.760000000000002</v>
      </c>
      <c r="F4448">
        <v>7.02</v>
      </c>
    </row>
    <row r="4449" spans="1:6" x14ac:dyDescent="0.3">
      <c r="A4449" t="s">
        <v>7409</v>
      </c>
      <c r="B4449" t="s">
        <v>4648</v>
      </c>
      <c r="C4449" t="s">
        <v>7410</v>
      </c>
      <c r="D4449">
        <v>68731559</v>
      </c>
      <c r="E4449">
        <v>24.04</v>
      </c>
      <c r="F4449">
        <v>7.55</v>
      </c>
    </row>
    <row r="4450" spans="1:6" x14ac:dyDescent="0.3">
      <c r="A4450" t="s">
        <v>7411</v>
      </c>
      <c r="B4450" t="s">
        <v>5701</v>
      </c>
      <c r="C4450" t="s">
        <v>4993</v>
      </c>
      <c r="D4450">
        <v>68732032</v>
      </c>
      <c r="E4450">
        <v>9.98</v>
      </c>
      <c r="F4450">
        <v>6.43</v>
      </c>
    </row>
    <row r="4451" spans="1:6" x14ac:dyDescent="0.3">
      <c r="A4451" t="s">
        <v>7412</v>
      </c>
      <c r="B4451" t="s">
        <v>7413</v>
      </c>
      <c r="C4451" t="s">
        <v>4241</v>
      </c>
      <c r="D4451">
        <v>68743944</v>
      </c>
      <c r="E4451">
        <v>24.8</v>
      </c>
      <c r="F4451">
        <v>1.8</v>
      </c>
    </row>
    <row r="4452" spans="1:6" x14ac:dyDescent="0.3">
      <c r="A4452" t="s">
        <v>7414</v>
      </c>
      <c r="B4452" t="s">
        <v>7415</v>
      </c>
      <c r="C4452" t="s">
        <v>7416</v>
      </c>
      <c r="D4452">
        <v>68745751</v>
      </c>
      <c r="E4452">
        <v>3.81</v>
      </c>
      <c r="F4452">
        <v>8.11</v>
      </c>
    </row>
    <row r="4453" spans="1:6" x14ac:dyDescent="0.3">
      <c r="A4453" t="s">
        <v>7417</v>
      </c>
      <c r="B4453" t="s">
        <v>6633</v>
      </c>
      <c r="C4453" t="s">
        <v>7418</v>
      </c>
      <c r="D4453">
        <v>68755835</v>
      </c>
      <c r="E4453">
        <v>7.28</v>
      </c>
      <c r="F4453">
        <v>5.75</v>
      </c>
    </row>
    <row r="4454" spans="1:6" x14ac:dyDescent="0.3">
      <c r="A4454" t="s">
        <v>2970</v>
      </c>
      <c r="B4454" t="s">
        <v>7419</v>
      </c>
      <c r="C4454" t="s">
        <v>2020</v>
      </c>
      <c r="D4454">
        <v>68762373</v>
      </c>
      <c r="E4454">
        <v>9</v>
      </c>
      <c r="F4454">
        <v>5.14</v>
      </c>
    </row>
    <row r="4455" spans="1:6" x14ac:dyDescent="0.3">
      <c r="A4455" t="s">
        <v>7420</v>
      </c>
      <c r="B4455" t="s">
        <v>6709</v>
      </c>
      <c r="C4455" t="s">
        <v>7420</v>
      </c>
      <c r="D4455">
        <v>68766834</v>
      </c>
      <c r="E4455">
        <v>2.02</v>
      </c>
      <c r="F4455">
        <v>7.72</v>
      </c>
    </row>
    <row r="4456" spans="1:6" x14ac:dyDescent="0.3">
      <c r="A4456" t="s">
        <v>7421</v>
      </c>
      <c r="B4456" t="s">
        <v>7422</v>
      </c>
      <c r="C4456" t="s">
        <v>3573</v>
      </c>
      <c r="D4456">
        <v>68767450</v>
      </c>
      <c r="E4456">
        <v>4.3099999999999996</v>
      </c>
      <c r="F4456">
        <v>6.45</v>
      </c>
    </row>
    <row r="4457" spans="1:6" x14ac:dyDescent="0.3">
      <c r="A4457" t="s">
        <v>7423</v>
      </c>
      <c r="B4457" t="s">
        <v>7152</v>
      </c>
      <c r="C4457" t="s">
        <v>5499</v>
      </c>
      <c r="D4457">
        <v>68775252</v>
      </c>
      <c r="E4457">
        <v>4.53</v>
      </c>
      <c r="F4457">
        <v>7.76</v>
      </c>
    </row>
    <row r="4458" spans="1:6" x14ac:dyDescent="0.3">
      <c r="A4458" t="s">
        <v>7424</v>
      </c>
      <c r="B4458" t="s">
        <v>6667</v>
      </c>
      <c r="C4458" t="s">
        <v>969</v>
      </c>
      <c r="D4458">
        <v>68785508</v>
      </c>
      <c r="E4458">
        <v>8.25</v>
      </c>
      <c r="F4458">
        <v>9.33</v>
      </c>
    </row>
    <row r="4459" spans="1:6" x14ac:dyDescent="0.3">
      <c r="A4459" t="s">
        <v>7425</v>
      </c>
      <c r="B4459" t="s">
        <v>6688</v>
      </c>
      <c r="C4459" t="s">
        <v>7426</v>
      </c>
      <c r="D4459">
        <v>68786602</v>
      </c>
      <c r="E4459">
        <v>19.66</v>
      </c>
      <c r="F4459">
        <v>6.67</v>
      </c>
    </row>
    <row r="4460" spans="1:6" x14ac:dyDescent="0.3">
      <c r="A4460" t="s">
        <v>7427</v>
      </c>
      <c r="B4460" t="s">
        <v>4184</v>
      </c>
      <c r="C4460" t="s">
        <v>7111</v>
      </c>
      <c r="D4460">
        <v>68790607</v>
      </c>
      <c r="E4460">
        <v>1.06</v>
      </c>
      <c r="F4460">
        <v>8.06</v>
      </c>
    </row>
    <row r="4461" spans="1:6" x14ac:dyDescent="0.3">
      <c r="A4461" t="s">
        <v>7428</v>
      </c>
      <c r="B4461" t="s">
        <v>6403</v>
      </c>
      <c r="C4461" t="s">
        <v>1944</v>
      </c>
      <c r="D4461">
        <v>68791886</v>
      </c>
      <c r="E4461">
        <v>11.67</v>
      </c>
      <c r="F4461">
        <v>7.82</v>
      </c>
    </row>
    <row r="4462" spans="1:6" x14ac:dyDescent="0.3">
      <c r="A4462" t="s">
        <v>7429</v>
      </c>
      <c r="B4462" t="s">
        <v>5006</v>
      </c>
      <c r="C4462" t="s">
        <v>4281</v>
      </c>
      <c r="D4462">
        <v>68793090</v>
      </c>
      <c r="E4462">
        <v>5.0599999999999996</v>
      </c>
      <c r="F4462">
        <v>7.14</v>
      </c>
    </row>
    <row r="4463" spans="1:6" x14ac:dyDescent="0.3">
      <c r="A4463" t="s">
        <v>7430</v>
      </c>
      <c r="B4463" t="s">
        <v>7431</v>
      </c>
      <c r="C4463" t="s">
        <v>2879</v>
      </c>
      <c r="D4463">
        <v>68803262</v>
      </c>
      <c r="E4463">
        <v>8.18</v>
      </c>
      <c r="F4463">
        <v>7.5</v>
      </c>
    </row>
    <row r="4464" spans="1:6" x14ac:dyDescent="0.3">
      <c r="A4464" t="s">
        <v>7432</v>
      </c>
      <c r="B4464" t="s">
        <v>7433</v>
      </c>
      <c r="C4464" t="s">
        <v>7434</v>
      </c>
      <c r="D4464">
        <v>68803835</v>
      </c>
      <c r="E4464">
        <v>11.8</v>
      </c>
      <c r="F4464">
        <v>5.78</v>
      </c>
    </row>
    <row r="4465" spans="1:6" x14ac:dyDescent="0.3">
      <c r="A4465" t="s">
        <v>7435</v>
      </c>
      <c r="B4465" t="s">
        <v>7436</v>
      </c>
      <c r="C4465" t="s">
        <v>7271</v>
      </c>
      <c r="D4465">
        <v>68816860</v>
      </c>
      <c r="E4465">
        <v>9.2200000000000006</v>
      </c>
      <c r="F4465">
        <v>8.1300000000000008</v>
      </c>
    </row>
    <row r="4466" spans="1:6" x14ac:dyDescent="0.3">
      <c r="A4466" t="s">
        <v>7437</v>
      </c>
      <c r="B4466" t="s">
        <v>7438</v>
      </c>
      <c r="C4466" t="s">
        <v>6098</v>
      </c>
      <c r="D4466">
        <v>68820146</v>
      </c>
      <c r="E4466">
        <v>4.42</v>
      </c>
      <c r="F4466">
        <v>5</v>
      </c>
    </row>
    <row r="4467" spans="1:6" x14ac:dyDescent="0.3">
      <c r="A4467" t="s">
        <v>7439</v>
      </c>
      <c r="B4467" t="s">
        <v>7166</v>
      </c>
      <c r="C4467" t="s">
        <v>7299</v>
      </c>
      <c r="D4467">
        <v>68839528</v>
      </c>
      <c r="E4467">
        <v>9.81</v>
      </c>
      <c r="F4467">
        <v>6.4</v>
      </c>
    </row>
    <row r="4468" spans="1:6" x14ac:dyDescent="0.3">
      <c r="A4468" t="s">
        <v>7440</v>
      </c>
      <c r="B4468" t="s">
        <v>7185</v>
      </c>
      <c r="C4468" t="s">
        <v>7441</v>
      </c>
      <c r="D4468">
        <v>68844390</v>
      </c>
      <c r="E4468">
        <v>22</v>
      </c>
      <c r="F4468">
        <v>0</v>
      </c>
    </row>
    <row r="4469" spans="1:6" x14ac:dyDescent="0.3">
      <c r="A4469" t="s">
        <v>7442</v>
      </c>
      <c r="B4469" t="s">
        <v>1265</v>
      </c>
      <c r="C4469" t="s">
        <v>2697</v>
      </c>
      <c r="D4469">
        <v>68844500</v>
      </c>
      <c r="E4469">
        <v>18.25</v>
      </c>
      <c r="F4469">
        <v>4.5</v>
      </c>
    </row>
    <row r="4470" spans="1:6" x14ac:dyDescent="0.3">
      <c r="A4470" t="s">
        <v>7443</v>
      </c>
      <c r="B4470" t="s">
        <v>7444</v>
      </c>
      <c r="C4470" t="s">
        <v>2194</v>
      </c>
      <c r="D4470">
        <v>68848817</v>
      </c>
      <c r="E4470">
        <v>24.14</v>
      </c>
      <c r="F4470">
        <v>7.66</v>
      </c>
    </row>
    <row r="4471" spans="1:6" x14ac:dyDescent="0.3">
      <c r="A4471" t="s">
        <v>7445</v>
      </c>
      <c r="B4471" t="s">
        <v>7134</v>
      </c>
      <c r="C4471" t="s">
        <v>7446</v>
      </c>
      <c r="D4471">
        <v>68862692</v>
      </c>
      <c r="E4471">
        <v>5.55</v>
      </c>
      <c r="F4471">
        <v>7.87</v>
      </c>
    </row>
    <row r="4472" spans="1:6" x14ac:dyDescent="0.3">
      <c r="A4472" t="s">
        <v>7447</v>
      </c>
      <c r="B4472" t="s">
        <v>1990</v>
      </c>
      <c r="C4472" t="s">
        <v>7448</v>
      </c>
      <c r="D4472">
        <v>68876944</v>
      </c>
      <c r="E4472">
        <v>1.94</v>
      </c>
      <c r="F4472">
        <v>7.37</v>
      </c>
    </row>
    <row r="4473" spans="1:6" x14ac:dyDescent="0.3">
      <c r="A4473" t="s">
        <v>7449</v>
      </c>
      <c r="B4473" t="s">
        <v>5917</v>
      </c>
      <c r="C4473" t="s">
        <v>5596</v>
      </c>
      <c r="D4473">
        <v>68881787</v>
      </c>
      <c r="E4473">
        <v>13.66</v>
      </c>
      <c r="F4473">
        <v>7.35</v>
      </c>
    </row>
    <row r="4474" spans="1:6" x14ac:dyDescent="0.3">
      <c r="A4474" t="s">
        <v>7450</v>
      </c>
      <c r="B4474" t="s">
        <v>7451</v>
      </c>
      <c r="C4474" t="s">
        <v>7452</v>
      </c>
      <c r="D4474">
        <v>68887171</v>
      </c>
      <c r="E4474">
        <v>2.68</v>
      </c>
      <c r="F4474">
        <v>5.64</v>
      </c>
    </row>
    <row r="4475" spans="1:6" x14ac:dyDescent="0.3">
      <c r="A4475" t="s">
        <v>7453</v>
      </c>
      <c r="B4475" t="s">
        <v>7454</v>
      </c>
      <c r="C4475" t="s">
        <v>7453</v>
      </c>
      <c r="D4475">
        <v>68894546</v>
      </c>
      <c r="E4475">
        <v>20.09</v>
      </c>
      <c r="F4475">
        <v>8.19</v>
      </c>
    </row>
    <row r="4476" spans="1:6" x14ac:dyDescent="0.3">
      <c r="A4476" t="s">
        <v>7455</v>
      </c>
      <c r="B4476" t="s">
        <v>7456</v>
      </c>
      <c r="C4476" t="s">
        <v>376</v>
      </c>
      <c r="D4476">
        <v>68894921</v>
      </c>
      <c r="E4476">
        <v>29.93</v>
      </c>
      <c r="F4476">
        <v>6.75</v>
      </c>
    </row>
    <row r="4477" spans="1:6" x14ac:dyDescent="0.3">
      <c r="A4477" t="s">
        <v>7457</v>
      </c>
      <c r="B4477" t="s">
        <v>6490</v>
      </c>
      <c r="C4477" t="s">
        <v>1183</v>
      </c>
      <c r="D4477">
        <v>68904882</v>
      </c>
      <c r="E4477">
        <v>14.06</v>
      </c>
      <c r="F4477">
        <v>6.17</v>
      </c>
    </row>
    <row r="4478" spans="1:6" x14ac:dyDescent="0.3">
      <c r="A4478" t="s">
        <v>7458</v>
      </c>
      <c r="B4478" t="s">
        <v>6682</v>
      </c>
      <c r="C4478" t="s">
        <v>5725</v>
      </c>
      <c r="D4478">
        <v>68908396</v>
      </c>
      <c r="E4478">
        <v>32</v>
      </c>
      <c r="F4478">
        <v>7.76</v>
      </c>
    </row>
    <row r="4479" spans="1:6" x14ac:dyDescent="0.3">
      <c r="A4479" t="s">
        <v>7459</v>
      </c>
      <c r="B4479" t="s">
        <v>7460</v>
      </c>
      <c r="C4479" t="s">
        <v>797</v>
      </c>
      <c r="D4479">
        <v>68913672</v>
      </c>
      <c r="E4479">
        <v>18</v>
      </c>
      <c r="F4479">
        <v>5</v>
      </c>
    </row>
    <row r="4480" spans="1:6" x14ac:dyDescent="0.3">
      <c r="A4480" t="s">
        <v>7461</v>
      </c>
      <c r="B4480" t="s">
        <v>5093</v>
      </c>
      <c r="C4480" t="s">
        <v>3759</v>
      </c>
      <c r="D4480">
        <v>68916972</v>
      </c>
      <c r="E4480">
        <v>6.05</v>
      </c>
      <c r="F4480">
        <v>8.17</v>
      </c>
    </row>
    <row r="4481" spans="1:6" x14ac:dyDescent="0.3">
      <c r="A4481" t="s">
        <v>3249</v>
      </c>
      <c r="B4481" t="s">
        <v>7462</v>
      </c>
      <c r="C4481" t="s">
        <v>3250</v>
      </c>
      <c r="D4481">
        <v>68918310</v>
      </c>
      <c r="E4481">
        <v>3.17</v>
      </c>
      <c r="F4481">
        <v>5.91</v>
      </c>
    </row>
    <row r="4482" spans="1:6" x14ac:dyDescent="0.3">
      <c r="A4482" t="s">
        <v>7463</v>
      </c>
      <c r="B4482" t="s">
        <v>7464</v>
      </c>
      <c r="C4482" t="s">
        <v>3264</v>
      </c>
      <c r="D4482">
        <v>68922123</v>
      </c>
      <c r="E4482">
        <v>14.43</v>
      </c>
      <c r="F4482">
        <v>6.17</v>
      </c>
    </row>
    <row r="4483" spans="1:6" x14ac:dyDescent="0.3">
      <c r="A4483" t="s">
        <v>7465</v>
      </c>
      <c r="B4483" t="s">
        <v>5760</v>
      </c>
      <c r="C4483" t="s">
        <v>1875</v>
      </c>
      <c r="D4483">
        <v>68923366</v>
      </c>
      <c r="E4483">
        <v>12.24</v>
      </c>
      <c r="F4483">
        <v>8.5399999999999991</v>
      </c>
    </row>
    <row r="4484" spans="1:6" x14ac:dyDescent="0.3">
      <c r="A4484" t="s">
        <v>7466</v>
      </c>
      <c r="B4484" t="s">
        <v>7037</v>
      </c>
      <c r="C4484" t="s">
        <v>7467</v>
      </c>
      <c r="D4484">
        <v>68924741</v>
      </c>
      <c r="E4484">
        <v>17.14</v>
      </c>
      <c r="F4484">
        <v>7.11</v>
      </c>
    </row>
    <row r="4485" spans="1:6" x14ac:dyDescent="0.3">
      <c r="A4485" t="s">
        <v>7468</v>
      </c>
      <c r="B4485" t="s">
        <v>7404</v>
      </c>
      <c r="C4485" t="s">
        <v>5812</v>
      </c>
      <c r="D4485">
        <v>68949269</v>
      </c>
      <c r="E4485">
        <v>3.33</v>
      </c>
      <c r="F4485">
        <v>7.08</v>
      </c>
    </row>
    <row r="4486" spans="1:6" x14ac:dyDescent="0.3">
      <c r="A4486" t="s">
        <v>7469</v>
      </c>
      <c r="B4486" t="s">
        <v>6785</v>
      </c>
      <c r="C4486" t="s">
        <v>7470</v>
      </c>
      <c r="D4486">
        <v>68950992</v>
      </c>
      <c r="E4486">
        <v>12.94</v>
      </c>
      <c r="F4486">
        <v>4.6100000000000003</v>
      </c>
    </row>
    <row r="4487" spans="1:6" x14ac:dyDescent="0.3">
      <c r="A4487" t="s">
        <v>7471</v>
      </c>
      <c r="B4487" t="s">
        <v>6980</v>
      </c>
      <c r="C4487" t="s">
        <v>6442</v>
      </c>
      <c r="D4487">
        <v>68973161</v>
      </c>
      <c r="E4487">
        <v>15.36</v>
      </c>
      <c r="F4487">
        <v>7.92</v>
      </c>
    </row>
    <row r="4488" spans="1:6" x14ac:dyDescent="0.3">
      <c r="A4488" t="s">
        <v>7472</v>
      </c>
      <c r="B4488" t="s">
        <v>49</v>
      </c>
      <c r="C4488" t="s">
        <v>7473</v>
      </c>
      <c r="D4488">
        <v>68983167</v>
      </c>
      <c r="E4488">
        <v>16.12</v>
      </c>
      <c r="F4488">
        <v>8.5399999999999991</v>
      </c>
    </row>
    <row r="4489" spans="1:6" x14ac:dyDescent="0.3">
      <c r="A4489" t="s">
        <v>7474</v>
      </c>
      <c r="B4489" t="s">
        <v>3212</v>
      </c>
      <c r="C4489" t="s">
        <v>12</v>
      </c>
      <c r="D4489">
        <v>68984570</v>
      </c>
      <c r="E4489">
        <v>11.35</v>
      </c>
      <c r="F4489">
        <v>7.58</v>
      </c>
    </row>
    <row r="4490" spans="1:6" x14ac:dyDescent="0.3">
      <c r="A4490" t="s">
        <v>7475</v>
      </c>
      <c r="B4490" t="s">
        <v>7476</v>
      </c>
      <c r="C4490" t="s">
        <v>898</v>
      </c>
      <c r="D4490">
        <v>68988733</v>
      </c>
      <c r="E4490">
        <v>2.82</v>
      </c>
      <c r="F4490">
        <v>7.19</v>
      </c>
    </row>
    <row r="4491" spans="1:6" x14ac:dyDescent="0.3">
      <c r="A4491" t="s">
        <v>7477</v>
      </c>
      <c r="B4491" t="s">
        <v>7478</v>
      </c>
      <c r="C4491" t="s">
        <v>6457</v>
      </c>
      <c r="D4491">
        <v>69007206</v>
      </c>
      <c r="E4491">
        <v>3.08</v>
      </c>
      <c r="F4491">
        <v>6.33</v>
      </c>
    </row>
    <row r="4492" spans="1:6" x14ac:dyDescent="0.3">
      <c r="A4492" t="s">
        <v>7479</v>
      </c>
      <c r="B4492" t="s">
        <v>7480</v>
      </c>
      <c r="C4492" t="s">
        <v>5600</v>
      </c>
      <c r="D4492">
        <v>69008051</v>
      </c>
      <c r="E4492">
        <v>2.0299999999999998</v>
      </c>
      <c r="F4492">
        <v>7.24</v>
      </c>
    </row>
    <row r="4493" spans="1:6" x14ac:dyDescent="0.3">
      <c r="A4493" t="s">
        <v>7481</v>
      </c>
      <c r="B4493" t="s">
        <v>2228</v>
      </c>
      <c r="C4493" t="s">
        <v>3006</v>
      </c>
      <c r="D4493">
        <v>69010770</v>
      </c>
      <c r="E4493">
        <v>21</v>
      </c>
      <c r="F4493">
        <v>7.66</v>
      </c>
    </row>
    <row r="4494" spans="1:6" x14ac:dyDescent="0.3">
      <c r="A4494" t="s">
        <v>7482</v>
      </c>
      <c r="B4494" t="s">
        <v>7483</v>
      </c>
      <c r="C4494" t="s">
        <v>1142</v>
      </c>
      <c r="D4494">
        <v>69014964</v>
      </c>
      <c r="E4494">
        <v>19</v>
      </c>
      <c r="F4494">
        <v>7.75</v>
      </c>
    </row>
    <row r="4495" spans="1:6" x14ac:dyDescent="0.3">
      <c r="A4495" t="s">
        <v>7484</v>
      </c>
      <c r="B4495" t="s">
        <v>7485</v>
      </c>
      <c r="C4495" t="s">
        <v>7486</v>
      </c>
      <c r="D4495">
        <v>69040757</v>
      </c>
      <c r="E4495">
        <v>1.0900000000000001</v>
      </c>
      <c r="F4495">
        <v>6.79</v>
      </c>
    </row>
    <row r="4496" spans="1:6" x14ac:dyDescent="0.3">
      <c r="A4496" t="s">
        <v>7487</v>
      </c>
      <c r="B4496" t="s">
        <v>3692</v>
      </c>
      <c r="C4496" t="s">
        <v>7488</v>
      </c>
      <c r="D4496">
        <v>69041949</v>
      </c>
      <c r="E4496">
        <v>2.93</v>
      </c>
      <c r="F4496">
        <v>6.84</v>
      </c>
    </row>
    <row r="4497" spans="1:6" x14ac:dyDescent="0.3">
      <c r="A4497" t="s">
        <v>7489</v>
      </c>
      <c r="B4497" t="s">
        <v>7490</v>
      </c>
      <c r="C4497" t="s">
        <v>7491</v>
      </c>
      <c r="D4497">
        <v>69056499</v>
      </c>
      <c r="E4497">
        <v>3.67</v>
      </c>
      <c r="F4497">
        <v>7.67</v>
      </c>
    </row>
    <row r="4498" spans="1:6" x14ac:dyDescent="0.3">
      <c r="A4498" t="s">
        <v>7492</v>
      </c>
      <c r="B4498" t="s">
        <v>5051</v>
      </c>
      <c r="C4498" t="s">
        <v>2006</v>
      </c>
      <c r="D4498">
        <v>69080765</v>
      </c>
      <c r="E4498">
        <v>2.97</v>
      </c>
      <c r="F4498">
        <v>7.29</v>
      </c>
    </row>
    <row r="4499" spans="1:6" x14ac:dyDescent="0.3">
      <c r="A4499" t="s">
        <v>7493</v>
      </c>
      <c r="B4499" t="s">
        <v>7494</v>
      </c>
      <c r="C4499" t="s">
        <v>349</v>
      </c>
      <c r="D4499">
        <v>69087510</v>
      </c>
      <c r="E4499">
        <v>7.96</v>
      </c>
      <c r="F4499">
        <v>7.31</v>
      </c>
    </row>
    <row r="4500" spans="1:6" x14ac:dyDescent="0.3">
      <c r="A4500" t="s">
        <v>7495</v>
      </c>
      <c r="B4500" t="s">
        <v>6220</v>
      </c>
      <c r="C4500" t="s">
        <v>2332</v>
      </c>
      <c r="D4500">
        <v>69097068</v>
      </c>
      <c r="E4500">
        <v>3</v>
      </c>
      <c r="F4500">
        <v>7.72</v>
      </c>
    </row>
    <row r="4501" spans="1:6" x14ac:dyDescent="0.3">
      <c r="A4501" t="s">
        <v>7496</v>
      </c>
      <c r="B4501" t="s">
        <v>4930</v>
      </c>
      <c r="C4501" t="s">
        <v>7236</v>
      </c>
      <c r="D4501">
        <v>69108628</v>
      </c>
      <c r="E4501">
        <v>21.75</v>
      </c>
      <c r="F4501">
        <v>7.86</v>
      </c>
    </row>
    <row r="4502" spans="1:6" x14ac:dyDescent="0.3">
      <c r="A4502" t="s">
        <v>7497</v>
      </c>
      <c r="B4502" t="s">
        <v>3634</v>
      </c>
      <c r="C4502" t="s">
        <v>5725</v>
      </c>
      <c r="D4502">
        <v>69110023</v>
      </c>
      <c r="E4502">
        <v>4.1100000000000003</v>
      </c>
      <c r="F4502">
        <v>7.03</v>
      </c>
    </row>
    <row r="4503" spans="1:6" x14ac:dyDescent="0.3">
      <c r="A4503" t="s">
        <v>7498</v>
      </c>
      <c r="B4503" t="s">
        <v>7044</v>
      </c>
      <c r="C4503" t="s">
        <v>5555</v>
      </c>
      <c r="D4503">
        <v>69138152</v>
      </c>
      <c r="E4503">
        <v>2.64</v>
      </c>
      <c r="F4503">
        <v>7.12</v>
      </c>
    </row>
    <row r="4504" spans="1:6" x14ac:dyDescent="0.3">
      <c r="A4504" t="s">
        <v>7499</v>
      </c>
      <c r="B4504" t="s">
        <v>2614</v>
      </c>
      <c r="C4504" t="s">
        <v>3563</v>
      </c>
      <c r="D4504">
        <v>69139380</v>
      </c>
      <c r="E4504">
        <v>16.45</v>
      </c>
      <c r="F4504">
        <v>5.5</v>
      </c>
    </row>
    <row r="4505" spans="1:6" x14ac:dyDescent="0.3">
      <c r="A4505" t="s">
        <v>7500</v>
      </c>
      <c r="B4505" t="s">
        <v>7501</v>
      </c>
      <c r="C4505" t="s">
        <v>1205</v>
      </c>
      <c r="D4505">
        <v>69139605</v>
      </c>
      <c r="E4505">
        <v>1.88</v>
      </c>
      <c r="F4505">
        <v>6.92</v>
      </c>
    </row>
    <row r="4506" spans="1:6" x14ac:dyDescent="0.3">
      <c r="A4506" t="s">
        <v>7502</v>
      </c>
      <c r="B4506" t="s">
        <v>7250</v>
      </c>
      <c r="C4506" t="s">
        <v>7086</v>
      </c>
      <c r="D4506">
        <v>69143212</v>
      </c>
      <c r="E4506">
        <v>2.36</v>
      </c>
      <c r="F4506">
        <v>7.61</v>
      </c>
    </row>
    <row r="4507" spans="1:6" x14ac:dyDescent="0.3">
      <c r="A4507" t="s">
        <v>7503</v>
      </c>
      <c r="B4507" t="s">
        <v>7504</v>
      </c>
      <c r="C4507" t="s">
        <v>4654</v>
      </c>
      <c r="D4507">
        <v>69155870</v>
      </c>
      <c r="E4507">
        <v>1.78</v>
      </c>
      <c r="F4507">
        <v>7.42</v>
      </c>
    </row>
    <row r="4508" spans="1:6" x14ac:dyDescent="0.3">
      <c r="A4508" t="s">
        <v>7505</v>
      </c>
      <c r="B4508" t="s">
        <v>7506</v>
      </c>
      <c r="C4508" t="s">
        <v>7507</v>
      </c>
      <c r="D4508">
        <v>69162513</v>
      </c>
      <c r="E4508">
        <v>3.41</v>
      </c>
      <c r="F4508">
        <v>6.77</v>
      </c>
    </row>
    <row r="4509" spans="1:6" x14ac:dyDescent="0.3">
      <c r="A4509" t="s">
        <v>7508</v>
      </c>
      <c r="B4509" t="s">
        <v>7509</v>
      </c>
      <c r="C4509" t="s">
        <v>7510</v>
      </c>
      <c r="D4509">
        <v>69168243</v>
      </c>
      <c r="E4509">
        <v>5.08</v>
      </c>
      <c r="F4509">
        <v>5.13</v>
      </c>
    </row>
    <row r="4510" spans="1:6" x14ac:dyDescent="0.3">
      <c r="A4510" t="s">
        <v>7511</v>
      </c>
      <c r="B4510" t="s">
        <v>7154</v>
      </c>
      <c r="C4510" t="s">
        <v>1214</v>
      </c>
      <c r="D4510">
        <v>69228313</v>
      </c>
      <c r="E4510">
        <v>3.86</v>
      </c>
      <c r="F4510">
        <v>6.8</v>
      </c>
    </row>
    <row r="4511" spans="1:6" x14ac:dyDescent="0.3">
      <c r="A4511" t="s">
        <v>7512</v>
      </c>
      <c r="B4511" t="s">
        <v>3238</v>
      </c>
      <c r="C4511" t="s">
        <v>4331</v>
      </c>
      <c r="D4511">
        <v>69230086</v>
      </c>
      <c r="E4511">
        <v>8.0399999999999991</v>
      </c>
      <c r="F4511">
        <v>7.75</v>
      </c>
    </row>
    <row r="4512" spans="1:6" x14ac:dyDescent="0.3">
      <c r="A4512" t="s">
        <v>7513</v>
      </c>
      <c r="B4512" t="s">
        <v>6119</v>
      </c>
      <c r="C4512" t="s">
        <v>3964</v>
      </c>
      <c r="D4512">
        <v>69232307</v>
      </c>
      <c r="E4512">
        <v>4.1500000000000004</v>
      </c>
      <c r="F4512">
        <v>7.36</v>
      </c>
    </row>
    <row r="4513" spans="1:6" x14ac:dyDescent="0.3">
      <c r="A4513" t="s">
        <v>7514</v>
      </c>
      <c r="B4513" t="s">
        <v>4390</v>
      </c>
      <c r="C4513" t="s">
        <v>2332</v>
      </c>
      <c r="D4513">
        <v>69274427</v>
      </c>
      <c r="E4513">
        <v>6.86</v>
      </c>
      <c r="F4513">
        <v>7.28</v>
      </c>
    </row>
    <row r="4514" spans="1:6" x14ac:dyDescent="0.3">
      <c r="A4514" t="s">
        <v>7515</v>
      </c>
      <c r="B4514" t="s">
        <v>277</v>
      </c>
      <c r="C4514" t="s">
        <v>7516</v>
      </c>
      <c r="D4514">
        <v>69276778</v>
      </c>
      <c r="E4514">
        <v>7.22</v>
      </c>
      <c r="F4514">
        <v>6.57</v>
      </c>
    </row>
    <row r="4515" spans="1:6" x14ac:dyDescent="0.3">
      <c r="A4515" t="s">
        <v>7517</v>
      </c>
      <c r="B4515" t="s">
        <v>6375</v>
      </c>
      <c r="C4515" t="s">
        <v>7518</v>
      </c>
      <c r="D4515">
        <v>69286006</v>
      </c>
      <c r="E4515">
        <v>1.22</v>
      </c>
      <c r="F4515">
        <v>7.04</v>
      </c>
    </row>
    <row r="4516" spans="1:6" x14ac:dyDescent="0.3">
      <c r="A4516" t="s">
        <v>7519</v>
      </c>
      <c r="B4516" t="s">
        <v>6074</v>
      </c>
      <c r="C4516" t="s">
        <v>2192</v>
      </c>
      <c r="D4516">
        <v>69289606</v>
      </c>
      <c r="E4516">
        <v>34</v>
      </c>
      <c r="F4516">
        <v>0</v>
      </c>
    </row>
    <row r="4517" spans="1:6" x14ac:dyDescent="0.3">
      <c r="A4517" t="s">
        <v>7520</v>
      </c>
      <c r="B4517" t="s">
        <v>6760</v>
      </c>
      <c r="C4517" t="s">
        <v>7521</v>
      </c>
      <c r="D4517">
        <v>69301772</v>
      </c>
      <c r="E4517">
        <v>10.29</v>
      </c>
      <c r="F4517">
        <v>7.29</v>
      </c>
    </row>
    <row r="4518" spans="1:6" x14ac:dyDescent="0.3">
      <c r="A4518" t="s">
        <v>7522</v>
      </c>
      <c r="B4518" t="s">
        <v>7523</v>
      </c>
      <c r="C4518" t="s">
        <v>6851</v>
      </c>
      <c r="D4518">
        <v>69309121</v>
      </c>
      <c r="E4518">
        <v>4.8499999999999996</v>
      </c>
      <c r="F4518">
        <v>5.27</v>
      </c>
    </row>
    <row r="4519" spans="1:6" x14ac:dyDescent="0.3">
      <c r="A4519" t="s">
        <v>7524</v>
      </c>
      <c r="B4519" t="s">
        <v>2614</v>
      </c>
      <c r="C4519" t="s">
        <v>376</v>
      </c>
      <c r="D4519">
        <v>69333212</v>
      </c>
      <c r="E4519">
        <v>33</v>
      </c>
      <c r="F4519">
        <v>4.25</v>
      </c>
    </row>
    <row r="4520" spans="1:6" x14ac:dyDescent="0.3">
      <c r="A4520" t="s">
        <v>7525</v>
      </c>
      <c r="B4520" t="s">
        <v>4261</v>
      </c>
      <c r="C4520" t="s">
        <v>1174</v>
      </c>
      <c r="D4520">
        <v>69336928</v>
      </c>
      <c r="E4520">
        <v>3.04</v>
      </c>
      <c r="F4520">
        <v>7.43</v>
      </c>
    </row>
    <row r="4521" spans="1:6" x14ac:dyDescent="0.3">
      <c r="A4521" t="s">
        <v>7526</v>
      </c>
      <c r="B4521" t="s">
        <v>7527</v>
      </c>
      <c r="C4521" t="s">
        <v>7528</v>
      </c>
      <c r="D4521">
        <v>69342379</v>
      </c>
      <c r="E4521">
        <v>7.33</v>
      </c>
      <c r="F4521">
        <v>8.1300000000000008</v>
      </c>
    </row>
    <row r="4522" spans="1:6" x14ac:dyDescent="0.3">
      <c r="A4522" t="s">
        <v>7529</v>
      </c>
      <c r="B4522" t="s">
        <v>7530</v>
      </c>
      <c r="C4522" t="s">
        <v>6440</v>
      </c>
      <c r="D4522">
        <v>69346395</v>
      </c>
      <c r="E4522">
        <v>19</v>
      </c>
      <c r="F4522">
        <v>5.5</v>
      </c>
    </row>
    <row r="4523" spans="1:6" x14ac:dyDescent="0.3">
      <c r="A4523" t="s">
        <v>7531</v>
      </c>
      <c r="B4523" t="s">
        <v>6626</v>
      </c>
      <c r="C4523" t="s">
        <v>7058</v>
      </c>
      <c r="D4523">
        <v>69353268</v>
      </c>
      <c r="E4523">
        <v>10.119999999999999</v>
      </c>
      <c r="F4523">
        <v>8.06</v>
      </c>
    </row>
    <row r="4524" spans="1:6" x14ac:dyDescent="0.3">
      <c r="A4524" t="s">
        <v>6272</v>
      </c>
      <c r="B4524" t="s">
        <v>7532</v>
      </c>
      <c r="C4524" t="s">
        <v>6272</v>
      </c>
      <c r="D4524">
        <v>69381082</v>
      </c>
      <c r="E4524">
        <v>11.22</v>
      </c>
      <c r="F4524">
        <v>7.55</v>
      </c>
    </row>
    <row r="4525" spans="1:6" x14ac:dyDescent="0.3">
      <c r="A4525" t="s">
        <v>7533</v>
      </c>
      <c r="B4525" t="s">
        <v>7534</v>
      </c>
      <c r="C4525" t="s">
        <v>3531</v>
      </c>
      <c r="D4525">
        <v>69408029</v>
      </c>
      <c r="E4525">
        <v>4.03</v>
      </c>
      <c r="F4525">
        <v>5.48</v>
      </c>
    </row>
    <row r="4526" spans="1:6" x14ac:dyDescent="0.3">
      <c r="A4526" t="s">
        <v>7535</v>
      </c>
      <c r="B4526" t="s">
        <v>7085</v>
      </c>
      <c r="C4526" t="s">
        <v>7536</v>
      </c>
      <c r="D4526">
        <v>69422029</v>
      </c>
      <c r="E4526">
        <v>15.02</v>
      </c>
      <c r="F4526">
        <v>7.82</v>
      </c>
    </row>
    <row r="4527" spans="1:6" x14ac:dyDescent="0.3">
      <c r="A4527" t="s">
        <v>7537</v>
      </c>
      <c r="B4527" t="s">
        <v>7185</v>
      </c>
      <c r="C4527" t="s">
        <v>7538</v>
      </c>
      <c r="D4527">
        <v>69423602</v>
      </c>
      <c r="E4527">
        <v>12.84</v>
      </c>
      <c r="F4527">
        <v>6.71</v>
      </c>
    </row>
    <row r="4528" spans="1:6" x14ac:dyDescent="0.3">
      <c r="A4528" t="s">
        <v>7539</v>
      </c>
      <c r="B4528" t="s">
        <v>7540</v>
      </c>
      <c r="C4528" t="s">
        <v>7541</v>
      </c>
      <c r="D4528">
        <v>69433311</v>
      </c>
      <c r="E4528">
        <v>19.68</v>
      </c>
      <c r="F4528">
        <v>6.11</v>
      </c>
    </row>
    <row r="4529" spans="1:6" x14ac:dyDescent="0.3">
      <c r="A4529" t="s">
        <v>7542</v>
      </c>
      <c r="B4529" t="s">
        <v>2018</v>
      </c>
      <c r="C4529" t="s">
        <v>7004</v>
      </c>
      <c r="D4529">
        <v>69434308</v>
      </c>
      <c r="E4529">
        <v>1.05</v>
      </c>
      <c r="F4529">
        <v>7.35</v>
      </c>
    </row>
    <row r="4530" spans="1:6" x14ac:dyDescent="0.3">
      <c r="A4530" t="s">
        <v>7543</v>
      </c>
      <c r="B4530" t="s">
        <v>7544</v>
      </c>
      <c r="C4530" t="s">
        <v>3104</v>
      </c>
      <c r="D4530">
        <v>69459902</v>
      </c>
      <c r="E4530">
        <v>22.38</v>
      </c>
      <c r="F4530">
        <v>6.2</v>
      </c>
    </row>
    <row r="4531" spans="1:6" x14ac:dyDescent="0.3">
      <c r="A4531" t="s">
        <v>7040</v>
      </c>
      <c r="B4531" t="s">
        <v>7545</v>
      </c>
      <c r="C4531" t="s">
        <v>7546</v>
      </c>
      <c r="D4531">
        <v>69472216</v>
      </c>
      <c r="E4531">
        <v>14.6</v>
      </c>
      <c r="F4531">
        <v>5.87</v>
      </c>
    </row>
    <row r="4532" spans="1:6" x14ac:dyDescent="0.3">
      <c r="A4532" t="s">
        <v>7547</v>
      </c>
      <c r="B4532" t="s">
        <v>4146</v>
      </c>
      <c r="C4532" t="s">
        <v>5666</v>
      </c>
      <c r="D4532">
        <v>69487890</v>
      </c>
      <c r="E4532">
        <v>3.38</v>
      </c>
      <c r="F4532">
        <v>6.2</v>
      </c>
    </row>
    <row r="4533" spans="1:6" x14ac:dyDescent="0.3">
      <c r="A4533" t="s">
        <v>7548</v>
      </c>
      <c r="B4533" t="s">
        <v>7549</v>
      </c>
      <c r="C4533" t="s">
        <v>7550</v>
      </c>
      <c r="D4533">
        <v>69491632</v>
      </c>
      <c r="E4533">
        <v>21.68</v>
      </c>
      <c r="F4533">
        <v>7.08</v>
      </c>
    </row>
    <row r="4534" spans="1:6" x14ac:dyDescent="0.3">
      <c r="A4534" t="s">
        <v>7551</v>
      </c>
      <c r="B4534" t="s">
        <v>3125</v>
      </c>
      <c r="C4534" t="s">
        <v>7552</v>
      </c>
      <c r="D4534">
        <v>69507105</v>
      </c>
      <c r="E4534">
        <v>25.83</v>
      </c>
      <c r="F4534">
        <v>8.0500000000000007</v>
      </c>
    </row>
    <row r="4535" spans="1:6" x14ac:dyDescent="0.3">
      <c r="A4535" t="s">
        <v>7553</v>
      </c>
      <c r="B4535" t="s">
        <v>91</v>
      </c>
      <c r="C4535" t="s">
        <v>5402</v>
      </c>
      <c r="D4535">
        <v>69513099</v>
      </c>
      <c r="E4535">
        <v>16</v>
      </c>
      <c r="F4535">
        <v>4</v>
      </c>
    </row>
    <row r="4536" spans="1:6" x14ac:dyDescent="0.3">
      <c r="A4536" t="s">
        <v>7554</v>
      </c>
      <c r="B4536" t="s">
        <v>6121</v>
      </c>
      <c r="C4536" t="s">
        <v>4519</v>
      </c>
      <c r="D4536">
        <v>69526065</v>
      </c>
      <c r="E4536">
        <v>2.82</v>
      </c>
      <c r="F4536">
        <v>7.68</v>
      </c>
    </row>
    <row r="4537" spans="1:6" x14ac:dyDescent="0.3">
      <c r="A4537" t="s">
        <v>7555</v>
      </c>
      <c r="B4537" t="s">
        <v>7556</v>
      </c>
      <c r="C4537" t="s">
        <v>7557</v>
      </c>
      <c r="D4537">
        <v>69591343</v>
      </c>
      <c r="E4537">
        <v>6.4</v>
      </c>
      <c r="F4537">
        <v>2</v>
      </c>
    </row>
    <row r="4538" spans="1:6" x14ac:dyDescent="0.3">
      <c r="A4538" t="s">
        <v>7558</v>
      </c>
      <c r="B4538" t="s">
        <v>2362</v>
      </c>
      <c r="C4538" t="s">
        <v>969</v>
      </c>
      <c r="D4538">
        <v>69601365</v>
      </c>
      <c r="E4538">
        <v>3.72</v>
      </c>
      <c r="F4538">
        <v>6.9</v>
      </c>
    </row>
    <row r="4539" spans="1:6" x14ac:dyDescent="0.3">
      <c r="A4539" t="s">
        <v>7559</v>
      </c>
      <c r="B4539" t="s">
        <v>7166</v>
      </c>
      <c r="C4539" t="s">
        <v>7560</v>
      </c>
      <c r="D4539">
        <v>69612806</v>
      </c>
      <c r="E4539">
        <v>14.77</v>
      </c>
      <c r="F4539">
        <v>6.89</v>
      </c>
    </row>
    <row r="4540" spans="1:6" x14ac:dyDescent="0.3">
      <c r="A4540" t="s">
        <v>7561</v>
      </c>
      <c r="B4540" t="s">
        <v>1127</v>
      </c>
      <c r="C4540" t="s">
        <v>3000</v>
      </c>
      <c r="D4540">
        <v>69617575</v>
      </c>
      <c r="E4540">
        <v>25</v>
      </c>
      <c r="F4540">
        <v>4</v>
      </c>
    </row>
    <row r="4541" spans="1:6" x14ac:dyDescent="0.3">
      <c r="A4541" t="s">
        <v>7562</v>
      </c>
      <c r="B4541" t="s">
        <v>7563</v>
      </c>
      <c r="C4541" t="s">
        <v>7564</v>
      </c>
      <c r="D4541">
        <v>69646791</v>
      </c>
      <c r="E4541">
        <v>24.13</v>
      </c>
      <c r="F4541">
        <v>7</v>
      </c>
    </row>
    <row r="4542" spans="1:6" x14ac:dyDescent="0.3">
      <c r="A4542" t="s">
        <v>7565</v>
      </c>
      <c r="B4542" t="s">
        <v>7566</v>
      </c>
      <c r="C4542" t="s">
        <v>6924</v>
      </c>
      <c r="D4542">
        <v>69685213</v>
      </c>
      <c r="E4542">
        <v>15.8</v>
      </c>
      <c r="F4542">
        <v>5.43</v>
      </c>
    </row>
    <row r="4543" spans="1:6" x14ac:dyDescent="0.3">
      <c r="A4543" t="s">
        <v>7567</v>
      </c>
      <c r="B4543" t="s">
        <v>7568</v>
      </c>
      <c r="C4543" t="s">
        <v>893</v>
      </c>
      <c r="D4543">
        <v>69685815</v>
      </c>
      <c r="E4543">
        <v>34</v>
      </c>
      <c r="F4543">
        <v>8</v>
      </c>
    </row>
    <row r="4544" spans="1:6" x14ac:dyDescent="0.3">
      <c r="A4544" t="s">
        <v>7569</v>
      </c>
      <c r="B4544" t="s">
        <v>6674</v>
      </c>
      <c r="C4544" t="s">
        <v>7570</v>
      </c>
      <c r="D4544">
        <v>69693174</v>
      </c>
      <c r="E4544">
        <v>11.78</v>
      </c>
      <c r="F4544">
        <v>7.13</v>
      </c>
    </row>
    <row r="4545" spans="1:6" x14ac:dyDescent="0.3">
      <c r="A4545" t="s">
        <v>7571</v>
      </c>
      <c r="B4545" t="s">
        <v>4434</v>
      </c>
      <c r="C4545" t="s">
        <v>4504</v>
      </c>
      <c r="D4545">
        <v>69693795</v>
      </c>
      <c r="E4545">
        <v>2.56</v>
      </c>
      <c r="F4545">
        <v>6.61</v>
      </c>
    </row>
    <row r="4546" spans="1:6" x14ac:dyDescent="0.3">
      <c r="A4546" t="s">
        <v>7572</v>
      </c>
      <c r="B4546" t="s">
        <v>7048</v>
      </c>
      <c r="C4546" t="s">
        <v>7573</v>
      </c>
      <c r="D4546">
        <v>69716273</v>
      </c>
      <c r="E4546">
        <v>2.5499999999999998</v>
      </c>
      <c r="F4546">
        <v>6.08</v>
      </c>
    </row>
    <row r="4547" spans="1:6" x14ac:dyDescent="0.3">
      <c r="A4547" t="s">
        <v>5119</v>
      </c>
      <c r="B4547" t="s">
        <v>5415</v>
      </c>
      <c r="C4547" t="s">
        <v>869</v>
      </c>
      <c r="D4547">
        <v>69721362</v>
      </c>
      <c r="E4547">
        <v>2.2999999999999998</v>
      </c>
      <c r="F4547">
        <v>5.57</v>
      </c>
    </row>
    <row r="4548" spans="1:6" x14ac:dyDescent="0.3">
      <c r="A4548" t="s">
        <v>7574</v>
      </c>
      <c r="B4548" t="s">
        <v>7356</v>
      </c>
      <c r="C4548" t="s">
        <v>7575</v>
      </c>
      <c r="D4548">
        <v>69729105</v>
      </c>
      <c r="E4548">
        <v>20.02</v>
      </c>
      <c r="F4548">
        <v>7.07</v>
      </c>
    </row>
    <row r="4549" spans="1:6" x14ac:dyDescent="0.3">
      <c r="A4549" t="s">
        <v>7576</v>
      </c>
      <c r="B4549" t="s">
        <v>5464</v>
      </c>
      <c r="C4549" t="s">
        <v>4247</v>
      </c>
      <c r="D4549">
        <v>69732501</v>
      </c>
      <c r="E4549">
        <v>18.43</v>
      </c>
      <c r="F4549">
        <v>7.56</v>
      </c>
    </row>
    <row r="4550" spans="1:6" x14ac:dyDescent="0.3">
      <c r="A4550" t="s">
        <v>7577</v>
      </c>
      <c r="B4550" t="s">
        <v>7578</v>
      </c>
      <c r="C4550" t="s">
        <v>4247</v>
      </c>
      <c r="D4550">
        <v>69739796</v>
      </c>
      <c r="E4550">
        <v>5.2</v>
      </c>
      <c r="F4550">
        <v>7.89</v>
      </c>
    </row>
    <row r="4551" spans="1:6" x14ac:dyDescent="0.3">
      <c r="A4551" t="s">
        <v>7579</v>
      </c>
      <c r="B4551" t="s">
        <v>7580</v>
      </c>
      <c r="C4551" t="s">
        <v>5841</v>
      </c>
      <c r="D4551">
        <v>69751074</v>
      </c>
      <c r="E4551">
        <v>10.33</v>
      </c>
      <c r="F4551">
        <v>6.6</v>
      </c>
    </row>
    <row r="4552" spans="1:6" x14ac:dyDescent="0.3">
      <c r="A4552" t="s">
        <v>7581</v>
      </c>
      <c r="B4552" t="s">
        <v>7582</v>
      </c>
      <c r="C4552" t="s">
        <v>6941</v>
      </c>
      <c r="D4552">
        <v>69752931</v>
      </c>
      <c r="E4552">
        <v>1.06</v>
      </c>
      <c r="F4552">
        <v>7.17</v>
      </c>
    </row>
    <row r="4553" spans="1:6" x14ac:dyDescent="0.3">
      <c r="A4553" t="s">
        <v>7583</v>
      </c>
      <c r="B4553" t="s">
        <v>2999</v>
      </c>
      <c r="C4553" t="s">
        <v>995</v>
      </c>
      <c r="D4553">
        <v>69753245</v>
      </c>
      <c r="E4553">
        <v>23.5</v>
      </c>
      <c r="F4553">
        <v>10</v>
      </c>
    </row>
    <row r="4554" spans="1:6" x14ac:dyDescent="0.3">
      <c r="A4554" t="s">
        <v>7584</v>
      </c>
      <c r="B4554" t="s">
        <v>7585</v>
      </c>
      <c r="C4554" t="s">
        <v>175</v>
      </c>
      <c r="D4554">
        <v>69768235</v>
      </c>
      <c r="E4554">
        <v>5.48</v>
      </c>
      <c r="F4554">
        <v>8.19</v>
      </c>
    </row>
    <row r="4555" spans="1:6" x14ac:dyDescent="0.3">
      <c r="A4555" t="s">
        <v>7586</v>
      </c>
      <c r="B4555" t="s">
        <v>3703</v>
      </c>
      <c r="C4555" t="s">
        <v>5555</v>
      </c>
      <c r="D4555">
        <v>69789719</v>
      </c>
      <c r="E4555">
        <v>17.89</v>
      </c>
      <c r="F4555">
        <v>7.24</v>
      </c>
    </row>
    <row r="4556" spans="1:6" x14ac:dyDescent="0.3">
      <c r="A4556" t="s">
        <v>7587</v>
      </c>
      <c r="B4556" t="s">
        <v>7588</v>
      </c>
      <c r="C4556" t="s">
        <v>7589</v>
      </c>
      <c r="D4556">
        <v>69804192</v>
      </c>
      <c r="E4556">
        <v>7.01</v>
      </c>
      <c r="F4556">
        <v>7.08</v>
      </c>
    </row>
    <row r="4557" spans="1:6" x14ac:dyDescent="0.3">
      <c r="A4557" t="s">
        <v>5374</v>
      </c>
      <c r="B4557" t="s">
        <v>7590</v>
      </c>
      <c r="C4557" t="s">
        <v>5530</v>
      </c>
      <c r="D4557">
        <v>69827039</v>
      </c>
      <c r="E4557">
        <v>7.9</v>
      </c>
      <c r="F4557">
        <v>7.41</v>
      </c>
    </row>
    <row r="4558" spans="1:6" x14ac:dyDescent="0.3">
      <c r="A4558" t="s">
        <v>7591</v>
      </c>
      <c r="B4558" t="s">
        <v>7592</v>
      </c>
      <c r="C4558" t="s">
        <v>7593</v>
      </c>
      <c r="D4558">
        <v>69863717</v>
      </c>
      <c r="E4558">
        <v>10.88</v>
      </c>
      <c r="F4558">
        <v>8</v>
      </c>
    </row>
    <row r="4559" spans="1:6" x14ac:dyDescent="0.3">
      <c r="A4559" t="s">
        <v>7594</v>
      </c>
      <c r="B4559" t="s">
        <v>7595</v>
      </c>
      <c r="C4559" t="s">
        <v>7596</v>
      </c>
      <c r="D4559">
        <v>69866281</v>
      </c>
      <c r="E4559">
        <v>21</v>
      </c>
      <c r="F4559">
        <v>7.4</v>
      </c>
    </row>
    <row r="4560" spans="1:6" x14ac:dyDescent="0.3">
      <c r="A4560" t="s">
        <v>7597</v>
      </c>
      <c r="B4560" t="s">
        <v>3181</v>
      </c>
      <c r="C4560" t="s">
        <v>7598</v>
      </c>
      <c r="D4560">
        <v>69867020</v>
      </c>
      <c r="E4560">
        <v>4.83</v>
      </c>
      <c r="F4560">
        <v>8.16</v>
      </c>
    </row>
    <row r="4561" spans="1:6" x14ac:dyDescent="0.3">
      <c r="A4561" t="s">
        <v>7599</v>
      </c>
      <c r="B4561" t="s">
        <v>6556</v>
      </c>
      <c r="C4561" t="s">
        <v>950</v>
      </c>
      <c r="D4561">
        <v>69871779</v>
      </c>
      <c r="E4561">
        <v>29.27</v>
      </c>
      <c r="F4561">
        <v>7</v>
      </c>
    </row>
    <row r="4562" spans="1:6" x14ac:dyDescent="0.3">
      <c r="A4562" t="s">
        <v>7600</v>
      </c>
      <c r="B4562" t="s">
        <v>5328</v>
      </c>
      <c r="C4562" t="s">
        <v>3854</v>
      </c>
      <c r="D4562">
        <v>69884662</v>
      </c>
      <c r="E4562">
        <v>9.5</v>
      </c>
      <c r="F4562">
        <v>6</v>
      </c>
    </row>
    <row r="4563" spans="1:6" x14ac:dyDescent="0.3">
      <c r="A4563" t="s">
        <v>7601</v>
      </c>
      <c r="B4563" t="s">
        <v>5299</v>
      </c>
      <c r="C4563" t="s">
        <v>7357</v>
      </c>
      <c r="D4563">
        <v>69899025</v>
      </c>
      <c r="E4563">
        <v>3.68</v>
      </c>
      <c r="F4563">
        <v>6.3</v>
      </c>
    </row>
    <row r="4564" spans="1:6" x14ac:dyDescent="0.3">
      <c r="A4564" t="s">
        <v>7602</v>
      </c>
      <c r="B4564" t="s">
        <v>2768</v>
      </c>
      <c r="C4564" t="s">
        <v>17</v>
      </c>
      <c r="D4564">
        <v>69936244</v>
      </c>
      <c r="E4564">
        <v>16.29</v>
      </c>
      <c r="F4564">
        <v>4.63</v>
      </c>
    </row>
    <row r="4565" spans="1:6" x14ac:dyDescent="0.3">
      <c r="A4565" t="s">
        <v>7603</v>
      </c>
      <c r="B4565" t="s">
        <v>7604</v>
      </c>
      <c r="C4565" t="s">
        <v>7538</v>
      </c>
      <c r="D4565">
        <v>69949644</v>
      </c>
      <c r="E4565">
        <v>5.05</v>
      </c>
      <c r="F4565">
        <v>6.95</v>
      </c>
    </row>
    <row r="4566" spans="1:6" x14ac:dyDescent="0.3">
      <c r="A4566" t="s">
        <v>7605</v>
      </c>
      <c r="B4566" t="s">
        <v>3466</v>
      </c>
      <c r="C4566" t="s">
        <v>7606</v>
      </c>
      <c r="D4566">
        <v>69954089</v>
      </c>
      <c r="E4566">
        <v>3.09</v>
      </c>
      <c r="F4566">
        <v>7.75</v>
      </c>
    </row>
    <row r="4567" spans="1:6" x14ac:dyDescent="0.3">
      <c r="A4567" t="s">
        <v>7607</v>
      </c>
      <c r="B4567" t="s">
        <v>3739</v>
      </c>
      <c r="C4567" t="s">
        <v>1465</v>
      </c>
      <c r="D4567">
        <v>69954494</v>
      </c>
      <c r="E4567">
        <v>17.97</v>
      </c>
      <c r="F4567">
        <v>6.91</v>
      </c>
    </row>
    <row r="4568" spans="1:6" x14ac:dyDescent="0.3">
      <c r="A4568" t="s">
        <v>7608</v>
      </c>
      <c r="B4568" t="s">
        <v>7609</v>
      </c>
      <c r="C4568" t="s">
        <v>7610</v>
      </c>
      <c r="D4568">
        <v>69954639</v>
      </c>
      <c r="E4568">
        <v>8</v>
      </c>
      <c r="F4568">
        <v>5</v>
      </c>
    </row>
    <row r="4569" spans="1:6" x14ac:dyDescent="0.3">
      <c r="A4569" t="s">
        <v>7611</v>
      </c>
      <c r="B4569" t="s">
        <v>7612</v>
      </c>
      <c r="C4569" t="s">
        <v>6177</v>
      </c>
      <c r="D4569">
        <v>69965720</v>
      </c>
      <c r="E4569">
        <v>1.65</v>
      </c>
      <c r="F4569">
        <v>6.94</v>
      </c>
    </row>
    <row r="4570" spans="1:6" x14ac:dyDescent="0.3">
      <c r="A4570" t="s">
        <v>7613</v>
      </c>
      <c r="B4570" t="s">
        <v>7614</v>
      </c>
      <c r="C4570" t="s">
        <v>1573</v>
      </c>
      <c r="D4570">
        <v>69983371</v>
      </c>
      <c r="E4570">
        <v>13.46</v>
      </c>
      <c r="F4570">
        <v>7.27</v>
      </c>
    </row>
    <row r="4571" spans="1:6" x14ac:dyDescent="0.3">
      <c r="A4571" t="s">
        <v>7615</v>
      </c>
      <c r="B4571" t="s">
        <v>7616</v>
      </c>
      <c r="C4571" t="s">
        <v>4310</v>
      </c>
      <c r="D4571">
        <v>69987305</v>
      </c>
      <c r="E4571">
        <v>11.57</v>
      </c>
      <c r="F4571">
        <v>3.86</v>
      </c>
    </row>
    <row r="4572" spans="1:6" x14ac:dyDescent="0.3">
      <c r="A4572" t="s">
        <v>7617</v>
      </c>
      <c r="B4572" t="s">
        <v>6311</v>
      </c>
      <c r="C4572" t="s">
        <v>7618</v>
      </c>
      <c r="D4572">
        <v>69997093</v>
      </c>
      <c r="E4572">
        <v>15.77</v>
      </c>
      <c r="F4572">
        <v>5.94</v>
      </c>
    </row>
    <row r="4573" spans="1:6" x14ac:dyDescent="0.3">
      <c r="A4573" t="s">
        <v>7619</v>
      </c>
      <c r="B4573" t="s">
        <v>6795</v>
      </c>
      <c r="C4573" t="s">
        <v>7620</v>
      </c>
      <c r="D4573">
        <v>70035186</v>
      </c>
      <c r="E4573">
        <v>19.149999999999999</v>
      </c>
      <c r="F4573">
        <v>5.78</v>
      </c>
    </row>
    <row r="4574" spans="1:6" x14ac:dyDescent="0.3">
      <c r="A4574" t="s">
        <v>7621</v>
      </c>
      <c r="B4574" t="s">
        <v>7037</v>
      </c>
      <c r="C4574" t="s">
        <v>7622</v>
      </c>
      <c r="D4574">
        <v>70035234</v>
      </c>
      <c r="E4574">
        <v>4.0199999999999996</v>
      </c>
      <c r="F4574">
        <v>6.74</v>
      </c>
    </row>
    <row r="4575" spans="1:6" x14ac:dyDescent="0.3">
      <c r="A4575" t="s">
        <v>7623</v>
      </c>
      <c r="B4575" t="s">
        <v>7624</v>
      </c>
      <c r="C4575" t="s">
        <v>7137</v>
      </c>
      <c r="D4575">
        <v>70047391</v>
      </c>
      <c r="E4575">
        <v>4.25</v>
      </c>
      <c r="F4575">
        <v>5.67</v>
      </c>
    </row>
    <row r="4576" spans="1:6" x14ac:dyDescent="0.3">
      <c r="A4576" t="s">
        <v>7625</v>
      </c>
      <c r="B4576" t="s">
        <v>7626</v>
      </c>
      <c r="C4576" t="s">
        <v>5837</v>
      </c>
      <c r="D4576">
        <v>70070398</v>
      </c>
      <c r="E4576">
        <v>2.34</v>
      </c>
      <c r="F4576">
        <v>6.5</v>
      </c>
    </row>
    <row r="4577" spans="1:6" x14ac:dyDescent="0.3">
      <c r="A4577" t="s">
        <v>2336</v>
      </c>
      <c r="B4577" t="s">
        <v>7627</v>
      </c>
      <c r="C4577" t="s">
        <v>2337</v>
      </c>
      <c r="D4577">
        <v>70085163</v>
      </c>
      <c r="E4577">
        <v>6.37</v>
      </c>
      <c r="F4577">
        <v>8.33</v>
      </c>
    </row>
    <row r="4578" spans="1:6" x14ac:dyDescent="0.3">
      <c r="A4578" t="s">
        <v>7628</v>
      </c>
      <c r="B4578" t="s">
        <v>7629</v>
      </c>
      <c r="C4578" t="s">
        <v>1174</v>
      </c>
      <c r="D4578">
        <v>70095965</v>
      </c>
      <c r="E4578">
        <v>3.65</v>
      </c>
      <c r="F4578">
        <v>5.43</v>
      </c>
    </row>
    <row r="4579" spans="1:6" x14ac:dyDescent="0.3">
      <c r="A4579" t="s">
        <v>7630</v>
      </c>
      <c r="B4579" t="s">
        <v>7631</v>
      </c>
      <c r="C4579" t="s">
        <v>7632</v>
      </c>
      <c r="D4579">
        <v>70101363</v>
      </c>
      <c r="E4579">
        <v>3.11</v>
      </c>
      <c r="F4579">
        <v>6.67</v>
      </c>
    </row>
    <row r="4580" spans="1:6" x14ac:dyDescent="0.3">
      <c r="A4580" t="s">
        <v>7633</v>
      </c>
      <c r="B4580" t="s">
        <v>7634</v>
      </c>
      <c r="C4580" t="s">
        <v>1165</v>
      </c>
      <c r="D4580">
        <v>70132215</v>
      </c>
      <c r="E4580">
        <v>21.3</v>
      </c>
      <c r="F4580">
        <v>7.7</v>
      </c>
    </row>
    <row r="4581" spans="1:6" x14ac:dyDescent="0.3">
      <c r="A4581" t="s">
        <v>7635</v>
      </c>
      <c r="B4581" t="s">
        <v>7636</v>
      </c>
      <c r="C4581" t="s">
        <v>7637</v>
      </c>
      <c r="D4581">
        <v>70139851</v>
      </c>
      <c r="E4581">
        <v>3.01</v>
      </c>
      <c r="F4581">
        <v>7.07</v>
      </c>
    </row>
    <row r="4582" spans="1:6" x14ac:dyDescent="0.3">
      <c r="A4582" t="s">
        <v>7638</v>
      </c>
      <c r="B4582" t="s">
        <v>7639</v>
      </c>
      <c r="C4582" t="s">
        <v>7640</v>
      </c>
      <c r="D4582">
        <v>70151935</v>
      </c>
      <c r="E4582">
        <v>7.86</v>
      </c>
      <c r="F4582">
        <v>6.15</v>
      </c>
    </row>
    <row r="4583" spans="1:6" x14ac:dyDescent="0.3">
      <c r="A4583" t="s">
        <v>7641</v>
      </c>
      <c r="B4583" t="s">
        <v>7642</v>
      </c>
      <c r="C4583" t="s">
        <v>6888</v>
      </c>
      <c r="D4583">
        <v>70182638</v>
      </c>
      <c r="E4583">
        <v>4</v>
      </c>
      <c r="F4583">
        <v>4.38</v>
      </c>
    </row>
    <row r="4584" spans="1:6" x14ac:dyDescent="0.3">
      <c r="A4584" t="s">
        <v>7643</v>
      </c>
      <c r="B4584" t="s">
        <v>4100</v>
      </c>
      <c r="C4584" t="s">
        <v>845</v>
      </c>
      <c r="D4584">
        <v>70185305</v>
      </c>
      <c r="E4584">
        <v>3</v>
      </c>
      <c r="F4584">
        <v>7.47</v>
      </c>
    </row>
    <row r="4585" spans="1:6" x14ac:dyDescent="0.3">
      <c r="A4585" t="s">
        <v>7644</v>
      </c>
      <c r="B4585" t="s">
        <v>7356</v>
      </c>
      <c r="C4585" t="s">
        <v>7645</v>
      </c>
      <c r="D4585">
        <v>70187443</v>
      </c>
      <c r="E4585">
        <v>27.15</v>
      </c>
      <c r="F4585">
        <v>7.58</v>
      </c>
    </row>
    <row r="4586" spans="1:6" x14ac:dyDescent="0.3">
      <c r="A4586" t="s">
        <v>7646</v>
      </c>
      <c r="B4586" t="s">
        <v>5386</v>
      </c>
      <c r="C4586" t="s">
        <v>7647</v>
      </c>
      <c r="D4586">
        <v>70193404</v>
      </c>
      <c r="E4586">
        <v>2.68</v>
      </c>
      <c r="F4586">
        <v>7.72</v>
      </c>
    </row>
    <row r="4587" spans="1:6" x14ac:dyDescent="0.3">
      <c r="A4587" t="s">
        <v>7648</v>
      </c>
      <c r="B4587" t="s">
        <v>7649</v>
      </c>
      <c r="C4587" t="s">
        <v>7650</v>
      </c>
      <c r="D4587">
        <v>70205233</v>
      </c>
      <c r="E4587">
        <v>1.56</v>
      </c>
      <c r="F4587">
        <v>7.17</v>
      </c>
    </row>
    <row r="4588" spans="1:6" x14ac:dyDescent="0.3">
      <c r="A4588" t="s">
        <v>7651</v>
      </c>
      <c r="B4588" t="s">
        <v>7652</v>
      </c>
      <c r="C4588" t="s">
        <v>7653</v>
      </c>
      <c r="D4588">
        <v>70211427</v>
      </c>
      <c r="E4588">
        <v>22.25</v>
      </c>
      <c r="F4588">
        <v>4.67</v>
      </c>
    </row>
    <row r="4589" spans="1:6" x14ac:dyDescent="0.3">
      <c r="A4589" t="s">
        <v>7654</v>
      </c>
      <c r="B4589" t="s">
        <v>7085</v>
      </c>
      <c r="C4589" t="s">
        <v>7655</v>
      </c>
      <c r="D4589">
        <v>70231450</v>
      </c>
      <c r="E4589">
        <v>8.6999999999999993</v>
      </c>
      <c r="F4589">
        <v>7.64</v>
      </c>
    </row>
    <row r="4590" spans="1:6" x14ac:dyDescent="0.3">
      <c r="A4590" t="s">
        <v>7656</v>
      </c>
      <c r="B4590" t="s">
        <v>7657</v>
      </c>
      <c r="C4590" t="s">
        <v>7658</v>
      </c>
      <c r="D4590">
        <v>70240178</v>
      </c>
      <c r="E4590">
        <v>3</v>
      </c>
      <c r="F4590">
        <v>6.11</v>
      </c>
    </row>
    <row r="4591" spans="1:6" x14ac:dyDescent="0.3">
      <c r="A4591" t="s">
        <v>7659</v>
      </c>
      <c r="B4591" t="s">
        <v>6611</v>
      </c>
      <c r="C4591" t="s">
        <v>7660</v>
      </c>
      <c r="D4591">
        <v>70252932</v>
      </c>
      <c r="E4591">
        <v>24.25</v>
      </c>
      <c r="F4591">
        <v>6.38</v>
      </c>
    </row>
    <row r="4592" spans="1:6" x14ac:dyDescent="0.3">
      <c r="A4592" t="s">
        <v>7661</v>
      </c>
      <c r="B4592" t="s">
        <v>7662</v>
      </c>
      <c r="C4592" t="s">
        <v>7663</v>
      </c>
      <c r="D4592">
        <v>70276057</v>
      </c>
      <c r="E4592">
        <v>1.86</v>
      </c>
      <c r="F4592">
        <v>7.47</v>
      </c>
    </row>
    <row r="4593" spans="1:6" x14ac:dyDescent="0.3">
      <c r="A4593" t="s">
        <v>7664</v>
      </c>
      <c r="B4593" t="s">
        <v>3422</v>
      </c>
      <c r="C4593" t="s">
        <v>1111</v>
      </c>
      <c r="D4593">
        <v>70300002</v>
      </c>
      <c r="E4593">
        <v>7</v>
      </c>
      <c r="F4593">
        <v>6.5</v>
      </c>
    </row>
    <row r="4594" spans="1:6" x14ac:dyDescent="0.3">
      <c r="A4594" t="s">
        <v>7665</v>
      </c>
      <c r="B4594" t="s">
        <v>4019</v>
      </c>
      <c r="C4594" t="s">
        <v>7666</v>
      </c>
      <c r="D4594">
        <v>70357068</v>
      </c>
      <c r="E4594">
        <v>13.56</v>
      </c>
      <c r="F4594">
        <v>7.68</v>
      </c>
    </row>
    <row r="4595" spans="1:6" x14ac:dyDescent="0.3">
      <c r="A4595" t="s">
        <v>7667</v>
      </c>
      <c r="B4595" t="s">
        <v>7668</v>
      </c>
      <c r="C4595" t="s">
        <v>2510</v>
      </c>
      <c r="D4595">
        <v>70359063</v>
      </c>
      <c r="E4595">
        <v>1.95</v>
      </c>
      <c r="F4595">
        <v>5.79</v>
      </c>
    </row>
    <row r="4596" spans="1:6" x14ac:dyDescent="0.3">
      <c r="A4596" t="s">
        <v>7669</v>
      </c>
      <c r="B4596" t="s">
        <v>7670</v>
      </c>
      <c r="C4596" t="s">
        <v>7307</v>
      </c>
      <c r="D4596">
        <v>70365234</v>
      </c>
      <c r="E4596">
        <v>9.0399999999999991</v>
      </c>
      <c r="F4596">
        <v>5</v>
      </c>
    </row>
    <row r="4597" spans="1:6" x14ac:dyDescent="0.3">
      <c r="A4597" t="s">
        <v>7671</v>
      </c>
      <c r="B4597" t="s">
        <v>7672</v>
      </c>
      <c r="C4597" t="s">
        <v>6117</v>
      </c>
      <c r="D4597">
        <v>70396540</v>
      </c>
      <c r="E4597">
        <v>1.79</v>
      </c>
      <c r="F4597">
        <v>6.71</v>
      </c>
    </row>
    <row r="4598" spans="1:6" x14ac:dyDescent="0.3">
      <c r="A4598" t="s">
        <v>7673</v>
      </c>
      <c r="B4598" t="s">
        <v>7674</v>
      </c>
      <c r="C4598" t="s">
        <v>1560</v>
      </c>
      <c r="D4598">
        <v>70400682</v>
      </c>
      <c r="E4598">
        <v>3.12</v>
      </c>
      <c r="F4598">
        <v>6.53</v>
      </c>
    </row>
    <row r="4599" spans="1:6" x14ac:dyDescent="0.3">
      <c r="A4599" t="s">
        <v>7675</v>
      </c>
      <c r="B4599" t="s">
        <v>7676</v>
      </c>
      <c r="C4599" t="s">
        <v>7677</v>
      </c>
      <c r="D4599">
        <v>70404223</v>
      </c>
      <c r="E4599">
        <v>14.21</v>
      </c>
      <c r="F4599">
        <v>5.71</v>
      </c>
    </row>
    <row r="4600" spans="1:6" x14ac:dyDescent="0.3">
      <c r="A4600" t="s">
        <v>7678</v>
      </c>
      <c r="B4600" t="s">
        <v>5698</v>
      </c>
      <c r="C4600" t="s">
        <v>7679</v>
      </c>
      <c r="D4600">
        <v>70406732</v>
      </c>
      <c r="E4600">
        <v>24.7</v>
      </c>
      <c r="F4600">
        <v>7.48</v>
      </c>
    </row>
    <row r="4601" spans="1:6" x14ac:dyDescent="0.3">
      <c r="A4601" t="s">
        <v>7680</v>
      </c>
      <c r="B4601">
        <v>1374</v>
      </c>
      <c r="C4601" t="s">
        <v>7681</v>
      </c>
      <c r="D4601">
        <v>70411084</v>
      </c>
      <c r="E4601">
        <v>2.16</v>
      </c>
      <c r="F4601">
        <v>6.59</v>
      </c>
    </row>
    <row r="4602" spans="1:6" x14ac:dyDescent="0.3">
      <c r="A4602" t="s">
        <v>7682</v>
      </c>
      <c r="B4602" t="s">
        <v>7683</v>
      </c>
      <c r="C4602" t="s">
        <v>7684</v>
      </c>
      <c r="D4602">
        <v>70416208</v>
      </c>
      <c r="E4602">
        <v>9</v>
      </c>
      <c r="F4602">
        <v>8</v>
      </c>
    </row>
    <row r="4603" spans="1:6" x14ac:dyDescent="0.3">
      <c r="A4603" t="s">
        <v>7685</v>
      </c>
      <c r="B4603" t="s">
        <v>7686</v>
      </c>
      <c r="C4603" t="s">
        <v>7687</v>
      </c>
      <c r="D4603">
        <v>70444771</v>
      </c>
      <c r="E4603">
        <v>20.11</v>
      </c>
      <c r="F4603">
        <v>7</v>
      </c>
    </row>
    <row r="4604" spans="1:6" x14ac:dyDescent="0.3">
      <c r="A4604" t="s">
        <v>7688</v>
      </c>
      <c r="B4604" t="s">
        <v>7689</v>
      </c>
      <c r="C4604" t="s">
        <v>5190</v>
      </c>
      <c r="D4604">
        <v>70444933</v>
      </c>
      <c r="E4604">
        <v>4.9000000000000004</v>
      </c>
      <c r="F4604">
        <v>7.42</v>
      </c>
    </row>
    <row r="4605" spans="1:6" x14ac:dyDescent="0.3">
      <c r="A4605" t="s">
        <v>7690</v>
      </c>
      <c r="B4605" t="s">
        <v>5006</v>
      </c>
      <c r="C4605" t="s">
        <v>7691</v>
      </c>
      <c r="D4605">
        <v>70460998</v>
      </c>
      <c r="E4605">
        <v>2.93</v>
      </c>
      <c r="F4605">
        <v>6.28</v>
      </c>
    </row>
    <row r="4606" spans="1:6" x14ac:dyDescent="0.3">
      <c r="A4606" t="s">
        <v>7692</v>
      </c>
      <c r="B4606" t="s">
        <v>7693</v>
      </c>
      <c r="C4606" t="s">
        <v>7111</v>
      </c>
      <c r="D4606">
        <v>70461536</v>
      </c>
      <c r="E4606">
        <v>20</v>
      </c>
      <c r="F4606">
        <v>6.29</v>
      </c>
    </row>
    <row r="4607" spans="1:6" x14ac:dyDescent="0.3">
      <c r="A4607" t="s">
        <v>4892</v>
      </c>
      <c r="B4607" t="s">
        <v>6011</v>
      </c>
      <c r="C4607" t="s">
        <v>7694</v>
      </c>
      <c r="D4607">
        <v>70462663</v>
      </c>
      <c r="E4607">
        <v>3.64</v>
      </c>
      <c r="F4607">
        <v>7.22</v>
      </c>
    </row>
    <row r="4608" spans="1:6" x14ac:dyDescent="0.3">
      <c r="A4608" t="s">
        <v>7695</v>
      </c>
      <c r="B4608" t="s">
        <v>7025</v>
      </c>
      <c r="C4608" t="s">
        <v>5725</v>
      </c>
      <c r="D4608">
        <v>70476012</v>
      </c>
      <c r="E4608">
        <v>2.48</v>
      </c>
      <c r="F4608">
        <v>5.84</v>
      </c>
    </row>
    <row r="4609" spans="1:6" x14ac:dyDescent="0.3">
      <c r="A4609" t="s">
        <v>7696</v>
      </c>
      <c r="B4609" t="s">
        <v>5051</v>
      </c>
      <c r="C4609" t="s">
        <v>3844</v>
      </c>
      <c r="D4609">
        <v>70479253</v>
      </c>
      <c r="E4609">
        <v>1.75</v>
      </c>
      <c r="F4609">
        <v>6.45</v>
      </c>
    </row>
    <row r="4610" spans="1:6" x14ac:dyDescent="0.3">
      <c r="A4610" t="s">
        <v>7697</v>
      </c>
      <c r="B4610" t="s">
        <v>7698</v>
      </c>
      <c r="C4610" t="s">
        <v>7699</v>
      </c>
      <c r="D4610">
        <v>70480739</v>
      </c>
      <c r="E4610">
        <v>3.59</v>
      </c>
      <c r="F4610">
        <v>7.87</v>
      </c>
    </row>
    <row r="4611" spans="1:6" x14ac:dyDescent="0.3">
      <c r="A4611" t="s">
        <v>7700</v>
      </c>
      <c r="B4611" t="s">
        <v>7701</v>
      </c>
      <c r="C4611" t="s">
        <v>7702</v>
      </c>
      <c r="D4611">
        <v>70483608</v>
      </c>
      <c r="E4611">
        <v>2.88</v>
      </c>
      <c r="F4611">
        <v>6.42</v>
      </c>
    </row>
    <row r="4612" spans="1:6" x14ac:dyDescent="0.3">
      <c r="A4612" t="s">
        <v>7703</v>
      </c>
      <c r="B4612" t="s">
        <v>4196</v>
      </c>
      <c r="C4612" t="s">
        <v>6868</v>
      </c>
      <c r="D4612">
        <v>70484097</v>
      </c>
      <c r="E4612">
        <v>26.07</v>
      </c>
      <c r="F4612">
        <v>7.08</v>
      </c>
    </row>
    <row r="4613" spans="1:6" x14ac:dyDescent="0.3">
      <c r="A4613" t="s">
        <v>7704</v>
      </c>
      <c r="B4613" t="s">
        <v>7052</v>
      </c>
      <c r="C4613" t="s">
        <v>7705</v>
      </c>
      <c r="D4613">
        <v>70511594</v>
      </c>
      <c r="E4613">
        <v>1.75</v>
      </c>
      <c r="F4613">
        <v>8.35</v>
      </c>
    </row>
    <row r="4614" spans="1:6" x14ac:dyDescent="0.3">
      <c r="A4614" t="s">
        <v>7706</v>
      </c>
      <c r="B4614" t="s">
        <v>6928</v>
      </c>
      <c r="C4614" t="s">
        <v>7707</v>
      </c>
      <c r="D4614">
        <v>70521879</v>
      </c>
      <c r="E4614">
        <v>4.1900000000000004</v>
      </c>
      <c r="F4614">
        <v>7.82</v>
      </c>
    </row>
    <row r="4615" spans="1:6" x14ac:dyDescent="0.3">
      <c r="A4615" t="s">
        <v>7708</v>
      </c>
      <c r="B4615" t="s">
        <v>7709</v>
      </c>
      <c r="C4615" t="s">
        <v>7491</v>
      </c>
      <c r="D4615">
        <v>70542349</v>
      </c>
      <c r="E4615">
        <v>6.37</v>
      </c>
      <c r="F4615">
        <v>8.1999999999999993</v>
      </c>
    </row>
    <row r="4616" spans="1:6" x14ac:dyDescent="0.3">
      <c r="A4616" t="s">
        <v>7710</v>
      </c>
      <c r="B4616" t="s">
        <v>7711</v>
      </c>
      <c r="C4616" t="s">
        <v>7712</v>
      </c>
      <c r="D4616">
        <v>70546441</v>
      </c>
      <c r="E4616">
        <v>16</v>
      </c>
      <c r="F4616">
        <v>8</v>
      </c>
    </row>
    <row r="4617" spans="1:6" x14ac:dyDescent="0.3">
      <c r="A4617" t="s">
        <v>7713</v>
      </c>
      <c r="B4617" t="s">
        <v>5399</v>
      </c>
      <c r="C4617" t="s">
        <v>7714</v>
      </c>
      <c r="D4617">
        <v>70554172</v>
      </c>
      <c r="E4617">
        <v>2.97</v>
      </c>
      <c r="F4617">
        <v>7.79</v>
      </c>
    </row>
    <row r="4618" spans="1:6" x14ac:dyDescent="0.3">
      <c r="A4618" t="s">
        <v>7715</v>
      </c>
      <c r="B4618" t="s">
        <v>3255</v>
      </c>
      <c r="C4618" t="s">
        <v>7716</v>
      </c>
      <c r="D4618">
        <v>70579305</v>
      </c>
      <c r="E4618">
        <v>18.829999999999998</v>
      </c>
      <c r="F4618">
        <v>7</v>
      </c>
    </row>
    <row r="4619" spans="1:6" x14ac:dyDescent="0.3">
      <c r="A4619" t="s">
        <v>7717</v>
      </c>
      <c r="B4619" t="s">
        <v>7718</v>
      </c>
      <c r="C4619" t="s">
        <v>7304</v>
      </c>
      <c r="D4619">
        <v>70581511</v>
      </c>
      <c r="E4619">
        <v>18.91</v>
      </c>
      <c r="F4619">
        <v>7</v>
      </c>
    </row>
    <row r="4620" spans="1:6" x14ac:dyDescent="0.3">
      <c r="A4620" t="s">
        <v>7719</v>
      </c>
      <c r="B4620" t="s">
        <v>7720</v>
      </c>
      <c r="C4620" t="s">
        <v>6534</v>
      </c>
      <c r="D4620">
        <v>70627111</v>
      </c>
      <c r="E4620">
        <v>13.42</v>
      </c>
      <c r="F4620">
        <v>8.17</v>
      </c>
    </row>
    <row r="4621" spans="1:6" x14ac:dyDescent="0.3">
      <c r="A4621" t="s">
        <v>7721</v>
      </c>
      <c r="B4621" t="s">
        <v>7722</v>
      </c>
      <c r="C4621" t="s">
        <v>1329</v>
      </c>
      <c r="D4621">
        <v>70641748</v>
      </c>
      <c r="E4621">
        <v>1.91</v>
      </c>
      <c r="F4621">
        <v>7.11</v>
      </c>
    </row>
    <row r="4622" spans="1:6" x14ac:dyDescent="0.3">
      <c r="A4622" t="s">
        <v>7723</v>
      </c>
      <c r="B4622" t="s">
        <v>6561</v>
      </c>
      <c r="C4622" t="s">
        <v>7724</v>
      </c>
      <c r="D4622">
        <v>70667617</v>
      </c>
      <c r="E4622">
        <v>2.96</v>
      </c>
      <c r="F4622">
        <v>8.0299999999999994</v>
      </c>
    </row>
    <row r="4623" spans="1:6" x14ac:dyDescent="0.3">
      <c r="A4623" t="s">
        <v>7725</v>
      </c>
      <c r="B4623" t="s">
        <v>3274</v>
      </c>
      <c r="C4623" t="s">
        <v>1638</v>
      </c>
      <c r="D4623">
        <v>70674346</v>
      </c>
      <c r="E4623">
        <v>5.97</v>
      </c>
      <c r="F4623">
        <v>7.17</v>
      </c>
    </row>
    <row r="4624" spans="1:6" x14ac:dyDescent="0.3">
      <c r="A4624" t="s">
        <v>7726</v>
      </c>
      <c r="B4624" t="s">
        <v>1732</v>
      </c>
      <c r="C4624" t="s">
        <v>2367</v>
      </c>
      <c r="D4624">
        <v>70676751</v>
      </c>
      <c r="E4624">
        <v>11.83</v>
      </c>
      <c r="F4624">
        <v>5.4</v>
      </c>
    </row>
    <row r="4625" spans="1:6" x14ac:dyDescent="0.3">
      <c r="A4625" t="s">
        <v>7727</v>
      </c>
      <c r="B4625" t="s">
        <v>5401</v>
      </c>
      <c r="C4625" t="s">
        <v>7728</v>
      </c>
      <c r="D4625">
        <v>70680001</v>
      </c>
      <c r="E4625">
        <v>1.81</v>
      </c>
      <c r="F4625">
        <v>7.25</v>
      </c>
    </row>
    <row r="4626" spans="1:6" x14ac:dyDescent="0.3">
      <c r="A4626" t="s">
        <v>7729</v>
      </c>
      <c r="B4626" t="s">
        <v>7730</v>
      </c>
      <c r="C4626" t="s">
        <v>7446</v>
      </c>
      <c r="D4626">
        <v>70748539</v>
      </c>
      <c r="E4626">
        <v>2.4500000000000002</v>
      </c>
      <c r="F4626">
        <v>6.93</v>
      </c>
    </row>
    <row r="4627" spans="1:6" x14ac:dyDescent="0.3">
      <c r="A4627" t="s">
        <v>7731</v>
      </c>
      <c r="B4627" t="s">
        <v>3746</v>
      </c>
      <c r="C4627" t="s">
        <v>1537</v>
      </c>
      <c r="D4627">
        <v>70749050</v>
      </c>
      <c r="E4627">
        <v>6.08</v>
      </c>
      <c r="F4627">
        <v>8.1999999999999993</v>
      </c>
    </row>
    <row r="4628" spans="1:6" x14ac:dyDescent="0.3">
      <c r="A4628" t="s">
        <v>7732</v>
      </c>
      <c r="B4628" t="s">
        <v>7733</v>
      </c>
      <c r="C4628" t="s">
        <v>7734</v>
      </c>
      <c r="D4628">
        <v>70773399</v>
      </c>
      <c r="E4628">
        <v>8.69</v>
      </c>
      <c r="F4628">
        <v>5.82</v>
      </c>
    </row>
    <row r="4629" spans="1:6" x14ac:dyDescent="0.3">
      <c r="A4629" t="s">
        <v>7735</v>
      </c>
      <c r="B4629" t="s">
        <v>6226</v>
      </c>
      <c r="C4629" t="s">
        <v>7736</v>
      </c>
      <c r="D4629">
        <v>70785221</v>
      </c>
      <c r="E4629">
        <v>2.34</v>
      </c>
      <c r="F4629">
        <v>7</v>
      </c>
    </row>
    <row r="4630" spans="1:6" x14ac:dyDescent="0.3">
      <c r="A4630" t="s">
        <v>7737</v>
      </c>
      <c r="B4630" t="s">
        <v>3803</v>
      </c>
      <c r="C4630" t="s">
        <v>7738</v>
      </c>
      <c r="D4630">
        <v>70794278</v>
      </c>
      <c r="E4630">
        <v>15.24</v>
      </c>
      <c r="F4630">
        <v>6.46</v>
      </c>
    </row>
    <row r="4631" spans="1:6" x14ac:dyDescent="0.3">
      <c r="A4631" t="s">
        <v>7739</v>
      </c>
      <c r="B4631" t="s">
        <v>7740</v>
      </c>
      <c r="C4631" t="s">
        <v>7741</v>
      </c>
      <c r="D4631">
        <v>70854624</v>
      </c>
      <c r="E4631">
        <v>4.07</v>
      </c>
      <c r="F4631">
        <v>6.47</v>
      </c>
    </row>
    <row r="4632" spans="1:6" x14ac:dyDescent="0.3">
      <c r="A4632" t="s">
        <v>7742</v>
      </c>
      <c r="B4632" t="s">
        <v>3803</v>
      </c>
      <c r="C4632" t="s">
        <v>7743</v>
      </c>
      <c r="D4632">
        <v>70874701</v>
      </c>
      <c r="E4632">
        <v>3.19</v>
      </c>
      <c r="F4632">
        <v>6.54</v>
      </c>
    </row>
    <row r="4633" spans="1:6" x14ac:dyDescent="0.3">
      <c r="A4633" t="s">
        <v>7744</v>
      </c>
      <c r="B4633" t="s">
        <v>7745</v>
      </c>
      <c r="C4633" t="s">
        <v>3655</v>
      </c>
      <c r="D4633">
        <v>70893587</v>
      </c>
      <c r="E4633">
        <v>12.13</v>
      </c>
      <c r="F4633">
        <v>8.6300000000000008</v>
      </c>
    </row>
    <row r="4634" spans="1:6" x14ac:dyDescent="0.3">
      <c r="A4634" t="s">
        <v>7746</v>
      </c>
      <c r="B4634" t="s">
        <v>7747</v>
      </c>
      <c r="C4634" t="s">
        <v>7748</v>
      </c>
      <c r="D4634">
        <v>70943059</v>
      </c>
      <c r="E4634">
        <v>19</v>
      </c>
      <c r="F4634">
        <v>6.89</v>
      </c>
    </row>
    <row r="4635" spans="1:6" x14ac:dyDescent="0.3">
      <c r="A4635" t="s">
        <v>7749</v>
      </c>
      <c r="B4635" t="s">
        <v>7750</v>
      </c>
      <c r="C4635" t="s">
        <v>7751</v>
      </c>
      <c r="D4635">
        <v>70982745</v>
      </c>
      <c r="E4635">
        <v>4.9400000000000004</v>
      </c>
      <c r="F4635">
        <v>7.9</v>
      </c>
    </row>
    <row r="4636" spans="1:6" x14ac:dyDescent="0.3">
      <c r="A4636" t="s">
        <v>7752</v>
      </c>
      <c r="B4636" t="s">
        <v>3933</v>
      </c>
      <c r="C4636" t="s">
        <v>2640</v>
      </c>
      <c r="D4636">
        <v>70999727</v>
      </c>
      <c r="E4636">
        <v>2.33</v>
      </c>
      <c r="F4636">
        <v>6.45</v>
      </c>
    </row>
    <row r="4637" spans="1:6" x14ac:dyDescent="0.3">
      <c r="A4637" t="s">
        <v>7753</v>
      </c>
      <c r="B4637" t="s">
        <v>7754</v>
      </c>
      <c r="C4637" t="s">
        <v>6757</v>
      </c>
      <c r="D4637">
        <v>71000135</v>
      </c>
      <c r="E4637">
        <v>2.23</v>
      </c>
      <c r="F4637">
        <v>5.29</v>
      </c>
    </row>
    <row r="4638" spans="1:6" x14ac:dyDescent="0.3">
      <c r="A4638" t="s">
        <v>7755</v>
      </c>
      <c r="B4638" t="s">
        <v>5790</v>
      </c>
      <c r="C4638" t="s">
        <v>4337</v>
      </c>
      <c r="D4638">
        <v>71001215</v>
      </c>
      <c r="E4638">
        <v>6.67</v>
      </c>
      <c r="F4638">
        <v>8</v>
      </c>
    </row>
    <row r="4639" spans="1:6" x14ac:dyDescent="0.3">
      <c r="A4639" t="s">
        <v>7756</v>
      </c>
      <c r="B4639" t="s">
        <v>5696</v>
      </c>
      <c r="C4639" t="s">
        <v>36</v>
      </c>
      <c r="D4639">
        <v>71009727</v>
      </c>
      <c r="E4639">
        <v>4.3099999999999996</v>
      </c>
      <c r="F4639">
        <v>6.47</v>
      </c>
    </row>
    <row r="4640" spans="1:6" x14ac:dyDescent="0.3">
      <c r="A4640" t="s">
        <v>543</v>
      </c>
      <c r="B4640" t="s">
        <v>7757</v>
      </c>
      <c r="C4640" t="s">
        <v>5291</v>
      </c>
      <c r="D4640">
        <v>71025973</v>
      </c>
      <c r="E4640">
        <v>34</v>
      </c>
      <c r="F4640">
        <v>7.7</v>
      </c>
    </row>
    <row r="4641" spans="1:6" x14ac:dyDescent="0.3">
      <c r="A4641" t="s">
        <v>7758</v>
      </c>
      <c r="B4641" t="s">
        <v>6821</v>
      </c>
      <c r="C4641" t="s">
        <v>7759</v>
      </c>
      <c r="D4641">
        <v>71065556</v>
      </c>
      <c r="E4641">
        <v>2.82</v>
      </c>
      <c r="F4641">
        <v>6.5</v>
      </c>
    </row>
    <row r="4642" spans="1:6" x14ac:dyDescent="0.3">
      <c r="A4642" t="s">
        <v>7760</v>
      </c>
      <c r="B4642" t="s">
        <v>6361</v>
      </c>
      <c r="C4642" t="s">
        <v>376</v>
      </c>
      <c r="D4642">
        <v>71084738</v>
      </c>
      <c r="E4642">
        <v>15.6</v>
      </c>
      <c r="F4642">
        <v>7.46</v>
      </c>
    </row>
    <row r="4643" spans="1:6" x14ac:dyDescent="0.3">
      <c r="A4643" t="s">
        <v>7761</v>
      </c>
      <c r="B4643" t="s">
        <v>7662</v>
      </c>
      <c r="C4643" t="s">
        <v>7762</v>
      </c>
      <c r="D4643">
        <v>71099603</v>
      </c>
      <c r="E4643">
        <v>1.73</v>
      </c>
      <c r="F4643">
        <v>7.74</v>
      </c>
    </row>
    <row r="4644" spans="1:6" x14ac:dyDescent="0.3">
      <c r="A4644" t="s">
        <v>7763</v>
      </c>
      <c r="B4644" t="s">
        <v>6785</v>
      </c>
      <c r="C4644" t="s">
        <v>7764</v>
      </c>
      <c r="D4644">
        <v>71101493</v>
      </c>
      <c r="E4644">
        <v>6.67</v>
      </c>
      <c r="F4644">
        <v>8</v>
      </c>
    </row>
    <row r="4645" spans="1:6" x14ac:dyDescent="0.3">
      <c r="A4645" t="s">
        <v>7765</v>
      </c>
      <c r="B4645" t="s">
        <v>4277</v>
      </c>
      <c r="C4645" t="s">
        <v>4504</v>
      </c>
      <c r="D4645">
        <v>71104913</v>
      </c>
      <c r="E4645">
        <v>9.89</v>
      </c>
      <c r="F4645">
        <v>7.48</v>
      </c>
    </row>
    <row r="4646" spans="1:6" x14ac:dyDescent="0.3">
      <c r="A4646" t="s">
        <v>7766</v>
      </c>
      <c r="B4646" t="s">
        <v>7208</v>
      </c>
      <c r="C4646" t="s">
        <v>7767</v>
      </c>
      <c r="D4646">
        <v>71107449</v>
      </c>
      <c r="E4646">
        <v>2.92</v>
      </c>
      <c r="F4646">
        <v>6.47</v>
      </c>
    </row>
    <row r="4647" spans="1:6" x14ac:dyDescent="0.3">
      <c r="A4647" t="s">
        <v>7768</v>
      </c>
      <c r="B4647" t="s">
        <v>3255</v>
      </c>
      <c r="C4647" t="s">
        <v>7769</v>
      </c>
      <c r="D4647">
        <v>71114971</v>
      </c>
      <c r="E4647">
        <v>5.08</v>
      </c>
      <c r="F4647">
        <v>6.65</v>
      </c>
    </row>
    <row r="4648" spans="1:6" x14ac:dyDescent="0.3">
      <c r="A4648" t="s">
        <v>7770</v>
      </c>
      <c r="B4648" t="s">
        <v>88</v>
      </c>
      <c r="C4648" t="s">
        <v>6372</v>
      </c>
      <c r="D4648">
        <v>71125339</v>
      </c>
      <c r="E4648">
        <v>6.73</v>
      </c>
      <c r="F4648">
        <v>6.9</v>
      </c>
    </row>
    <row r="4649" spans="1:6" x14ac:dyDescent="0.3">
      <c r="A4649" t="s">
        <v>7771</v>
      </c>
      <c r="B4649" t="s">
        <v>7772</v>
      </c>
      <c r="C4649" t="s">
        <v>769</v>
      </c>
      <c r="D4649">
        <v>71136146</v>
      </c>
      <c r="E4649">
        <v>22.8</v>
      </c>
      <c r="F4649">
        <v>5.5</v>
      </c>
    </row>
    <row r="4650" spans="1:6" x14ac:dyDescent="0.3">
      <c r="A4650" t="s">
        <v>7773</v>
      </c>
      <c r="B4650" t="s">
        <v>4044</v>
      </c>
      <c r="C4650" t="s">
        <v>7774</v>
      </c>
      <c r="D4650">
        <v>71140163</v>
      </c>
      <c r="E4650">
        <v>4.5</v>
      </c>
      <c r="F4650">
        <v>6</v>
      </c>
    </row>
    <row r="4651" spans="1:6" x14ac:dyDescent="0.3">
      <c r="A4651" t="s">
        <v>7775</v>
      </c>
      <c r="B4651" t="s">
        <v>7527</v>
      </c>
      <c r="C4651" t="s">
        <v>7776</v>
      </c>
      <c r="D4651">
        <v>71141765</v>
      </c>
      <c r="E4651">
        <v>4.0599999999999996</v>
      </c>
      <c r="F4651">
        <v>7.32</v>
      </c>
    </row>
    <row r="4652" spans="1:6" x14ac:dyDescent="0.3">
      <c r="A4652" t="s">
        <v>7777</v>
      </c>
      <c r="B4652" t="s">
        <v>7778</v>
      </c>
      <c r="C4652" t="s">
        <v>6901</v>
      </c>
      <c r="D4652">
        <v>71144442</v>
      </c>
      <c r="E4652">
        <v>13.43</v>
      </c>
      <c r="F4652">
        <v>7.57</v>
      </c>
    </row>
    <row r="4653" spans="1:6" x14ac:dyDescent="0.3">
      <c r="A4653" t="s">
        <v>7779</v>
      </c>
      <c r="B4653" t="s">
        <v>2519</v>
      </c>
      <c r="C4653" t="s">
        <v>7780</v>
      </c>
      <c r="D4653">
        <v>71147617</v>
      </c>
      <c r="E4653">
        <v>1.97</v>
      </c>
      <c r="F4653">
        <v>7.49</v>
      </c>
    </row>
    <row r="4654" spans="1:6" x14ac:dyDescent="0.3">
      <c r="A4654" t="s">
        <v>7781</v>
      </c>
      <c r="B4654" t="s">
        <v>7782</v>
      </c>
      <c r="C4654" t="s">
        <v>6303</v>
      </c>
      <c r="D4654">
        <v>71170815</v>
      </c>
      <c r="E4654">
        <v>2.99</v>
      </c>
      <c r="F4654">
        <v>6.29</v>
      </c>
    </row>
    <row r="4655" spans="1:6" x14ac:dyDescent="0.3">
      <c r="A4655" t="s">
        <v>7783</v>
      </c>
      <c r="B4655" t="s">
        <v>7784</v>
      </c>
      <c r="C4655" t="s">
        <v>5725</v>
      </c>
      <c r="D4655">
        <v>71174252</v>
      </c>
      <c r="E4655">
        <v>5.21</v>
      </c>
      <c r="F4655">
        <v>4.5</v>
      </c>
    </row>
    <row r="4656" spans="1:6" x14ac:dyDescent="0.3">
      <c r="A4656" t="s">
        <v>7785</v>
      </c>
      <c r="B4656" t="s">
        <v>6026</v>
      </c>
      <c r="C4656" t="s">
        <v>1368</v>
      </c>
      <c r="D4656">
        <v>71177632</v>
      </c>
      <c r="E4656">
        <v>3.82</v>
      </c>
      <c r="F4656">
        <v>5.65</v>
      </c>
    </row>
    <row r="4657" spans="1:6" x14ac:dyDescent="0.3">
      <c r="A4657" t="s">
        <v>7786</v>
      </c>
      <c r="B4657" t="s">
        <v>7787</v>
      </c>
      <c r="C4657" t="s">
        <v>4981</v>
      </c>
      <c r="D4657">
        <v>71189224</v>
      </c>
      <c r="E4657">
        <v>3.64</v>
      </c>
      <c r="F4657">
        <v>6.05</v>
      </c>
    </row>
    <row r="4658" spans="1:6" x14ac:dyDescent="0.3">
      <c r="A4658" t="s">
        <v>7788</v>
      </c>
      <c r="B4658" t="s">
        <v>7789</v>
      </c>
      <c r="C4658" t="s">
        <v>7790</v>
      </c>
      <c r="D4658">
        <v>71210637</v>
      </c>
      <c r="E4658">
        <v>16.07</v>
      </c>
      <c r="F4658">
        <v>8</v>
      </c>
    </row>
    <row r="4659" spans="1:6" x14ac:dyDescent="0.3">
      <c r="A4659" t="s">
        <v>7791</v>
      </c>
      <c r="B4659" t="s">
        <v>7792</v>
      </c>
      <c r="C4659" t="s">
        <v>7793</v>
      </c>
      <c r="D4659">
        <v>71216292</v>
      </c>
      <c r="E4659">
        <v>30</v>
      </c>
      <c r="F4659">
        <v>6.59</v>
      </c>
    </row>
    <row r="4660" spans="1:6" x14ac:dyDescent="0.3">
      <c r="A4660" t="s">
        <v>1239</v>
      </c>
      <c r="B4660" t="s">
        <v>796</v>
      </c>
      <c r="C4660" t="s">
        <v>1764</v>
      </c>
      <c r="D4660">
        <v>71220097</v>
      </c>
      <c r="E4660">
        <v>14.99</v>
      </c>
      <c r="F4660">
        <v>8.56</v>
      </c>
    </row>
    <row r="4661" spans="1:6" x14ac:dyDescent="0.3">
      <c r="A4661" t="s">
        <v>7794</v>
      </c>
      <c r="B4661" t="s">
        <v>7189</v>
      </c>
      <c r="C4661" t="s">
        <v>7795</v>
      </c>
      <c r="D4661">
        <v>71230021</v>
      </c>
      <c r="E4661">
        <v>4.12</v>
      </c>
      <c r="F4661">
        <v>7.65</v>
      </c>
    </row>
    <row r="4662" spans="1:6" x14ac:dyDescent="0.3">
      <c r="A4662" t="s">
        <v>7796</v>
      </c>
      <c r="B4662" t="s">
        <v>7797</v>
      </c>
      <c r="C4662" t="s">
        <v>727</v>
      </c>
      <c r="D4662">
        <v>71265112</v>
      </c>
      <c r="E4662">
        <v>10.42</v>
      </c>
      <c r="F4662">
        <v>8.3800000000000008</v>
      </c>
    </row>
    <row r="4663" spans="1:6" x14ac:dyDescent="0.3">
      <c r="A4663" t="s">
        <v>7798</v>
      </c>
      <c r="B4663" t="s">
        <v>6463</v>
      </c>
      <c r="C4663" t="s">
        <v>7799</v>
      </c>
      <c r="D4663">
        <v>71302669</v>
      </c>
      <c r="E4663">
        <v>1.94</v>
      </c>
      <c r="F4663">
        <v>7.1</v>
      </c>
    </row>
    <row r="4664" spans="1:6" x14ac:dyDescent="0.3">
      <c r="A4664" t="s">
        <v>7800</v>
      </c>
      <c r="B4664" t="s">
        <v>7801</v>
      </c>
      <c r="C4664" t="s">
        <v>956</v>
      </c>
      <c r="D4664">
        <v>71304135</v>
      </c>
      <c r="E4664">
        <v>7.55</v>
      </c>
      <c r="F4664">
        <v>6.84</v>
      </c>
    </row>
    <row r="4665" spans="1:6" x14ac:dyDescent="0.3">
      <c r="A4665" t="s">
        <v>7802</v>
      </c>
      <c r="B4665" t="s">
        <v>5176</v>
      </c>
      <c r="C4665" t="s">
        <v>5320</v>
      </c>
      <c r="D4665">
        <v>71312088</v>
      </c>
      <c r="E4665">
        <v>16.52</v>
      </c>
      <c r="F4665">
        <v>6.86</v>
      </c>
    </row>
    <row r="4666" spans="1:6" x14ac:dyDescent="0.3">
      <c r="A4666" t="s">
        <v>7803</v>
      </c>
      <c r="B4666" t="s">
        <v>3486</v>
      </c>
      <c r="C4666" t="s">
        <v>7804</v>
      </c>
      <c r="D4666">
        <v>71319483</v>
      </c>
      <c r="E4666">
        <v>6.14</v>
      </c>
      <c r="F4666">
        <v>7.7</v>
      </c>
    </row>
    <row r="4667" spans="1:6" x14ac:dyDescent="0.3">
      <c r="A4667" t="s">
        <v>7805</v>
      </c>
      <c r="B4667" t="s">
        <v>5730</v>
      </c>
      <c r="C4667" t="s">
        <v>3487</v>
      </c>
      <c r="D4667">
        <v>71320917</v>
      </c>
      <c r="E4667">
        <v>14.58</v>
      </c>
      <c r="F4667">
        <v>5</v>
      </c>
    </row>
    <row r="4668" spans="1:6" x14ac:dyDescent="0.3">
      <c r="A4668" t="s">
        <v>7806</v>
      </c>
      <c r="B4668" t="s">
        <v>7807</v>
      </c>
      <c r="C4668" t="s">
        <v>7808</v>
      </c>
      <c r="D4668">
        <v>71380702</v>
      </c>
      <c r="E4668">
        <v>3.81</v>
      </c>
      <c r="F4668">
        <v>4.33</v>
      </c>
    </row>
    <row r="4669" spans="1:6" x14ac:dyDescent="0.3">
      <c r="A4669" t="s">
        <v>7809</v>
      </c>
      <c r="B4669" t="s">
        <v>7152</v>
      </c>
      <c r="C4669" t="s">
        <v>7810</v>
      </c>
      <c r="D4669">
        <v>71384260</v>
      </c>
      <c r="E4669">
        <v>10.83</v>
      </c>
      <c r="F4669">
        <v>8.89</v>
      </c>
    </row>
    <row r="4670" spans="1:6" x14ac:dyDescent="0.3">
      <c r="A4670" t="s">
        <v>7811</v>
      </c>
      <c r="B4670" t="s">
        <v>6392</v>
      </c>
      <c r="C4670" t="s">
        <v>3677</v>
      </c>
      <c r="D4670">
        <v>71387458</v>
      </c>
      <c r="E4670">
        <v>6.54</v>
      </c>
      <c r="F4670">
        <v>6.94</v>
      </c>
    </row>
    <row r="4671" spans="1:6" x14ac:dyDescent="0.3">
      <c r="A4671" t="s">
        <v>7812</v>
      </c>
      <c r="B4671" t="s">
        <v>7813</v>
      </c>
      <c r="C4671" t="s">
        <v>7814</v>
      </c>
      <c r="D4671">
        <v>71397494</v>
      </c>
      <c r="E4671">
        <v>10.57</v>
      </c>
      <c r="F4671">
        <v>6.85</v>
      </c>
    </row>
    <row r="4672" spans="1:6" x14ac:dyDescent="0.3">
      <c r="A4672" t="s">
        <v>7815</v>
      </c>
      <c r="B4672" t="s">
        <v>6778</v>
      </c>
      <c r="C4672" t="s">
        <v>6731</v>
      </c>
      <c r="D4672">
        <v>71423442</v>
      </c>
      <c r="E4672">
        <v>3.7</v>
      </c>
      <c r="F4672">
        <v>5.64</v>
      </c>
    </row>
    <row r="4673" spans="1:6" x14ac:dyDescent="0.3">
      <c r="A4673" t="s">
        <v>7816</v>
      </c>
      <c r="B4673" t="s">
        <v>4439</v>
      </c>
      <c r="C4673" t="s">
        <v>4672</v>
      </c>
      <c r="D4673">
        <v>71434979</v>
      </c>
      <c r="E4673">
        <v>34</v>
      </c>
      <c r="F4673">
        <v>8.5</v>
      </c>
    </row>
    <row r="4674" spans="1:6" x14ac:dyDescent="0.3">
      <c r="A4674" t="s">
        <v>7817</v>
      </c>
      <c r="B4674" t="s">
        <v>6971</v>
      </c>
      <c r="C4674" t="s">
        <v>3821</v>
      </c>
      <c r="D4674">
        <v>71447046</v>
      </c>
      <c r="E4674">
        <v>19.2</v>
      </c>
      <c r="F4674">
        <v>7</v>
      </c>
    </row>
    <row r="4675" spans="1:6" x14ac:dyDescent="0.3">
      <c r="A4675" t="s">
        <v>7818</v>
      </c>
      <c r="B4675" t="s">
        <v>4544</v>
      </c>
      <c r="C4675" t="s">
        <v>989</v>
      </c>
      <c r="D4675">
        <v>71448749</v>
      </c>
      <c r="E4675">
        <v>7.86</v>
      </c>
      <c r="F4675">
        <v>5.33</v>
      </c>
    </row>
    <row r="4676" spans="1:6" x14ac:dyDescent="0.3">
      <c r="A4676" t="s">
        <v>7819</v>
      </c>
      <c r="B4676" t="s">
        <v>7820</v>
      </c>
      <c r="C4676" t="s">
        <v>7190</v>
      </c>
      <c r="D4676">
        <v>71476721</v>
      </c>
      <c r="E4676">
        <v>9.8699999999999992</v>
      </c>
      <c r="F4676">
        <v>8.56</v>
      </c>
    </row>
    <row r="4677" spans="1:6" x14ac:dyDescent="0.3">
      <c r="A4677" t="s">
        <v>7821</v>
      </c>
      <c r="B4677" t="s">
        <v>7822</v>
      </c>
      <c r="C4677" t="s">
        <v>1549</v>
      </c>
      <c r="D4677">
        <v>71478504</v>
      </c>
      <c r="E4677">
        <v>11.71</v>
      </c>
      <c r="F4677">
        <v>5.5</v>
      </c>
    </row>
    <row r="4678" spans="1:6" x14ac:dyDescent="0.3">
      <c r="A4678" t="s">
        <v>7823</v>
      </c>
      <c r="B4678" t="s">
        <v>7824</v>
      </c>
      <c r="C4678" t="s">
        <v>7825</v>
      </c>
      <c r="D4678">
        <v>71488900</v>
      </c>
      <c r="E4678">
        <v>2.27</v>
      </c>
      <c r="F4678">
        <v>6.14</v>
      </c>
    </row>
    <row r="4679" spans="1:6" x14ac:dyDescent="0.3">
      <c r="A4679" t="s">
        <v>7826</v>
      </c>
      <c r="B4679" t="s">
        <v>7827</v>
      </c>
      <c r="C4679" t="s">
        <v>7828</v>
      </c>
      <c r="D4679">
        <v>71493770</v>
      </c>
      <c r="E4679">
        <v>2.57</v>
      </c>
      <c r="F4679">
        <v>5.4</v>
      </c>
    </row>
    <row r="4680" spans="1:6" x14ac:dyDescent="0.3">
      <c r="A4680" t="s">
        <v>7829</v>
      </c>
      <c r="B4680" t="s">
        <v>7563</v>
      </c>
      <c r="C4680" t="s">
        <v>1549</v>
      </c>
      <c r="D4680">
        <v>71514628</v>
      </c>
      <c r="E4680">
        <v>20</v>
      </c>
      <c r="F4680">
        <v>7</v>
      </c>
    </row>
    <row r="4681" spans="1:6" x14ac:dyDescent="0.3">
      <c r="A4681" t="s">
        <v>6352</v>
      </c>
      <c r="B4681" t="s">
        <v>6814</v>
      </c>
      <c r="C4681" t="s">
        <v>6352</v>
      </c>
      <c r="D4681">
        <v>71514967</v>
      </c>
      <c r="E4681">
        <v>2.99</v>
      </c>
      <c r="F4681">
        <v>7.73</v>
      </c>
    </row>
    <row r="4682" spans="1:6" x14ac:dyDescent="0.3">
      <c r="A4682" t="s">
        <v>7830</v>
      </c>
      <c r="B4682" t="s">
        <v>4184</v>
      </c>
      <c r="C4682" t="s">
        <v>7831</v>
      </c>
      <c r="D4682">
        <v>71521917</v>
      </c>
      <c r="E4682">
        <v>2.76</v>
      </c>
      <c r="F4682">
        <v>7.02</v>
      </c>
    </row>
    <row r="4683" spans="1:6" x14ac:dyDescent="0.3">
      <c r="A4683" t="s">
        <v>7832</v>
      </c>
      <c r="B4683" t="s">
        <v>5685</v>
      </c>
      <c r="C4683" t="s">
        <v>6739</v>
      </c>
      <c r="D4683">
        <v>71524389</v>
      </c>
      <c r="E4683">
        <v>26.67</v>
      </c>
      <c r="F4683">
        <v>7.67</v>
      </c>
    </row>
    <row r="4684" spans="1:6" x14ac:dyDescent="0.3">
      <c r="A4684" t="s">
        <v>7833</v>
      </c>
      <c r="B4684" t="s">
        <v>6396</v>
      </c>
      <c r="C4684" t="s">
        <v>7834</v>
      </c>
      <c r="D4684">
        <v>71534654</v>
      </c>
      <c r="E4684">
        <v>6.31</v>
      </c>
      <c r="F4684">
        <v>7.23</v>
      </c>
    </row>
    <row r="4685" spans="1:6" x14ac:dyDescent="0.3">
      <c r="A4685" t="s">
        <v>7835</v>
      </c>
      <c r="B4685" t="s">
        <v>7836</v>
      </c>
      <c r="C4685" t="s">
        <v>7837</v>
      </c>
      <c r="D4685">
        <v>71565140</v>
      </c>
      <c r="E4685">
        <v>17.14</v>
      </c>
      <c r="F4685">
        <v>8</v>
      </c>
    </row>
    <row r="4686" spans="1:6" x14ac:dyDescent="0.3">
      <c r="A4686" t="s">
        <v>7838</v>
      </c>
      <c r="B4686" t="s">
        <v>7839</v>
      </c>
      <c r="C4686" t="s">
        <v>7840</v>
      </c>
      <c r="D4686">
        <v>71567198</v>
      </c>
      <c r="E4686">
        <v>19</v>
      </c>
      <c r="F4686">
        <v>8.84</v>
      </c>
    </row>
    <row r="4687" spans="1:6" x14ac:dyDescent="0.3">
      <c r="A4687" t="s">
        <v>7841</v>
      </c>
      <c r="B4687" t="s">
        <v>6556</v>
      </c>
      <c r="C4687" t="s">
        <v>4599</v>
      </c>
      <c r="D4687">
        <v>71571300</v>
      </c>
      <c r="E4687" t="s">
        <v>3814</v>
      </c>
      <c r="F4687" t="s">
        <v>3814</v>
      </c>
    </row>
    <row r="4688" spans="1:6" x14ac:dyDescent="0.3">
      <c r="A4688" t="s">
        <v>7842</v>
      </c>
      <c r="B4688" t="s">
        <v>595</v>
      </c>
      <c r="C4688" t="s">
        <v>5959</v>
      </c>
      <c r="D4688">
        <v>71580682</v>
      </c>
      <c r="E4688">
        <v>17.57</v>
      </c>
      <c r="F4688">
        <v>8.14</v>
      </c>
    </row>
    <row r="4689" spans="1:6" x14ac:dyDescent="0.3">
      <c r="A4689" t="s">
        <v>7843</v>
      </c>
      <c r="B4689" t="s">
        <v>7844</v>
      </c>
      <c r="C4689" t="s">
        <v>3508</v>
      </c>
      <c r="D4689">
        <v>71599414</v>
      </c>
      <c r="E4689">
        <v>24</v>
      </c>
      <c r="F4689" t="s">
        <v>3814</v>
      </c>
    </row>
    <row r="4690" spans="1:6" x14ac:dyDescent="0.3">
      <c r="A4690" t="s">
        <v>7845</v>
      </c>
      <c r="B4690" t="s">
        <v>2126</v>
      </c>
      <c r="C4690" t="s">
        <v>1116</v>
      </c>
      <c r="D4690">
        <v>71600029</v>
      </c>
      <c r="E4690">
        <v>1.93</v>
      </c>
      <c r="F4690">
        <v>7.31</v>
      </c>
    </row>
    <row r="4691" spans="1:6" x14ac:dyDescent="0.3">
      <c r="A4691" t="s">
        <v>7846</v>
      </c>
      <c r="B4691" t="s">
        <v>7037</v>
      </c>
      <c r="C4691" t="s">
        <v>4224</v>
      </c>
      <c r="D4691">
        <v>71612061</v>
      </c>
      <c r="E4691">
        <v>17.53</v>
      </c>
      <c r="F4691">
        <v>7.53</v>
      </c>
    </row>
    <row r="4692" spans="1:6" x14ac:dyDescent="0.3">
      <c r="A4692" t="s">
        <v>7847</v>
      </c>
      <c r="B4692" t="s">
        <v>3405</v>
      </c>
      <c r="C4692" t="s">
        <v>5129</v>
      </c>
      <c r="D4692">
        <v>71613346</v>
      </c>
      <c r="E4692">
        <v>3.37</v>
      </c>
      <c r="F4692">
        <v>6.55</v>
      </c>
    </row>
    <row r="4693" spans="1:6" x14ac:dyDescent="0.3">
      <c r="A4693" t="s">
        <v>7848</v>
      </c>
      <c r="B4693" t="s">
        <v>5006</v>
      </c>
      <c r="C4693" t="s">
        <v>7849</v>
      </c>
      <c r="D4693">
        <v>71637896</v>
      </c>
      <c r="E4693">
        <v>9.36</v>
      </c>
      <c r="F4693">
        <v>6.25</v>
      </c>
    </row>
    <row r="4694" spans="1:6" x14ac:dyDescent="0.3">
      <c r="A4694" t="s">
        <v>7850</v>
      </c>
      <c r="B4694" t="s">
        <v>3805</v>
      </c>
      <c r="C4694" t="s">
        <v>7850</v>
      </c>
      <c r="D4694">
        <v>71645931</v>
      </c>
      <c r="E4694">
        <v>2.17</v>
      </c>
      <c r="F4694">
        <v>8</v>
      </c>
    </row>
    <row r="4695" spans="1:6" x14ac:dyDescent="0.3">
      <c r="A4695" t="s">
        <v>7851</v>
      </c>
      <c r="B4695" t="s">
        <v>5554</v>
      </c>
      <c r="C4695" t="s">
        <v>7852</v>
      </c>
      <c r="D4695">
        <v>71646423</v>
      </c>
      <c r="E4695">
        <v>5.36</v>
      </c>
      <c r="F4695">
        <v>6.63</v>
      </c>
    </row>
    <row r="4696" spans="1:6" x14ac:dyDescent="0.3">
      <c r="A4696" t="s">
        <v>7853</v>
      </c>
      <c r="B4696" t="s">
        <v>7854</v>
      </c>
      <c r="C4696" t="s">
        <v>5044</v>
      </c>
      <c r="D4696">
        <v>71688190</v>
      </c>
      <c r="E4696">
        <v>2.15</v>
      </c>
      <c r="F4696">
        <v>5.93</v>
      </c>
    </row>
    <row r="4697" spans="1:6" x14ac:dyDescent="0.3">
      <c r="A4697" t="s">
        <v>7855</v>
      </c>
      <c r="B4697" t="s">
        <v>6119</v>
      </c>
      <c r="C4697" t="s">
        <v>5830</v>
      </c>
      <c r="D4697">
        <v>71692057</v>
      </c>
      <c r="E4697">
        <v>26.67</v>
      </c>
      <c r="F4697">
        <v>6</v>
      </c>
    </row>
    <row r="4698" spans="1:6" x14ac:dyDescent="0.3">
      <c r="A4698" t="s">
        <v>7856</v>
      </c>
      <c r="B4698" t="s">
        <v>3212</v>
      </c>
      <c r="C4698" t="s">
        <v>1028</v>
      </c>
      <c r="D4698">
        <v>71696716</v>
      </c>
      <c r="E4698">
        <v>22.8</v>
      </c>
      <c r="F4698">
        <v>9</v>
      </c>
    </row>
    <row r="4699" spans="1:6" x14ac:dyDescent="0.3">
      <c r="A4699" t="s">
        <v>7857</v>
      </c>
      <c r="B4699" t="s">
        <v>6204</v>
      </c>
      <c r="C4699" t="s">
        <v>1012</v>
      </c>
      <c r="D4699">
        <v>71710243</v>
      </c>
      <c r="E4699">
        <v>3.24</v>
      </c>
      <c r="F4699">
        <v>7.07</v>
      </c>
    </row>
    <row r="4700" spans="1:6" x14ac:dyDescent="0.3">
      <c r="A4700" t="s">
        <v>1151</v>
      </c>
      <c r="B4700" t="s">
        <v>7858</v>
      </c>
      <c r="C4700" t="s">
        <v>1151</v>
      </c>
      <c r="D4700">
        <v>71715608</v>
      </c>
      <c r="E4700">
        <v>3.17</v>
      </c>
      <c r="F4700">
        <v>5.9</v>
      </c>
    </row>
    <row r="4701" spans="1:6" x14ac:dyDescent="0.3">
      <c r="A4701" t="s">
        <v>7859</v>
      </c>
      <c r="B4701" t="s">
        <v>7860</v>
      </c>
      <c r="C4701" t="s">
        <v>7206</v>
      </c>
      <c r="D4701">
        <v>71717927</v>
      </c>
      <c r="E4701">
        <v>14.4</v>
      </c>
      <c r="F4701">
        <v>7</v>
      </c>
    </row>
    <row r="4702" spans="1:6" x14ac:dyDescent="0.3">
      <c r="A4702" t="s">
        <v>7861</v>
      </c>
      <c r="B4702" t="s">
        <v>7862</v>
      </c>
      <c r="C4702" t="s">
        <v>7863</v>
      </c>
      <c r="D4702">
        <v>71728635</v>
      </c>
      <c r="E4702">
        <v>21.29</v>
      </c>
      <c r="F4702">
        <v>7.78</v>
      </c>
    </row>
    <row r="4703" spans="1:6" x14ac:dyDescent="0.3">
      <c r="A4703" t="s">
        <v>7864</v>
      </c>
      <c r="B4703" t="s">
        <v>5206</v>
      </c>
      <c r="C4703" t="s">
        <v>5666</v>
      </c>
      <c r="D4703">
        <v>71734488</v>
      </c>
      <c r="E4703">
        <v>21.6</v>
      </c>
      <c r="F4703">
        <v>7</v>
      </c>
    </row>
    <row r="4704" spans="1:6" x14ac:dyDescent="0.3">
      <c r="A4704" t="s">
        <v>7865</v>
      </c>
      <c r="B4704" t="s">
        <v>7356</v>
      </c>
      <c r="C4704" t="s">
        <v>7866</v>
      </c>
      <c r="D4704">
        <v>71756118</v>
      </c>
      <c r="E4704">
        <v>18.920000000000002</v>
      </c>
      <c r="F4704">
        <v>8.1199999999999992</v>
      </c>
    </row>
    <row r="4705" spans="1:6" x14ac:dyDescent="0.3">
      <c r="A4705" t="s">
        <v>7867</v>
      </c>
      <c r="B4705" t="s">
        <v>6996</v>
      </c>
      <c r="C4705" t="s">
        <v>7868</v>
      </c>
      <c r="D4705">
        <v>71764344</v>
      </c>
      <c r="E4705">
        <v>8.25</v>
      </c>
      <c r="F4705">
        <v>5.89</v>
      </c>
    </row>
    <row r="4706" spans="1:6" x14ac:dyDescent="0.3">
      <c r="A4706" t="s">
        <v>7869</v>
      </c>
      <c r="B4706" t="s">
        <v>5675</v>
      </c>
      <c r="C4706" t="s">
        <v>6020</v>
      </c>
      <c r="D4706">
        <v>71764832</v>
      </c>
      <c r="E4706">
        <v>7.22</v>
      </c>
      <c r="F4706">
        <v>7.03</v>
      </c>
    </row>
    <row r="4707" spans="1:6" x14ac:dyDescent="0.3">
      <c r="A4707" t="s">
        <v>7870</v>
      </c>
      <c r="B4707" t="s">
        <v>4184</v>
      </c>
      <c r="C4707" t="s">
        <v>4869</v>
      </c>
      <c r="D4707">
        <v>71765758</v>
      </c>
      <c r="E4707">
        <v>2.67</v>
      </c>
      <c r="F4707">
        <v>6.38</v>
      </c>
    </row>
    <row r="4708" spans="1:6" x14ac:dyDescent="0.3">
      <c r="A4708" t="s">
        <v>7871</v>
      </c>
      <c r="B4708" t="s">
        <v>3120</v>
      </c>
      <c r="C4708" t="s">
        <v>6117</v>
      </c>
      <c r="D4708">
        <v>71818519</v>
      </c>
      <c r="E4708">
        <v>5.44</v>
      </c>
      <c r="F4708">
        <v>6.94</v>
      </c>
    </row>
    <row r="4709" spans="1:6" x14ac:dyDescent="0.3">
      <c r="A4709" t="s">
        <v>7872</v>
      </c>
      <c r="B4709" t="s">
        <v>2199</v>
      </c>
      <c r="C4709" t="s">
        <v>893</v>
      </c>
      <c r="D4709">
        <v>71850733</v>
      </c>
      <c r="E4709">
        <v>20.11</v>
      </c>
      <c r="F4709">
        <v>7.13</v>
      </c>
    </row>
    <row r="4710" spans="1:6" x14ac:dyDescent="0.3">
      <c r="A4710" t="s">
        <v>7873</v>
      </c>
      <c r="B4710" t="s">
        <v>6375</v>
      </c>
      <c r="C4710" t="s">
        <v>2156</v>
      </c>
      <c r="D4710">
        <v>71875523</v>
      </c>
      <c r="E4710">
        <v>2.2799999999999998</v>
      </c>
      <c r="F4710">
        <v>6.05</v>
      </c>
    </row>
    <row r="4711" spans="1:6" x14ac:dyDescent="0.3">
      <c r="A4711" t="s">
        <v>7874</v>
      </c>
      <c r="B4711" t="s">
        <v>6517</v>
      </c>
      <c r="C4711" t="s">
        <v>2137</v>
      </c>
      <c r="D4711">
        <v>71891800</v>
      </c>
      <c r="E4711">
        <v>12.94</v>
      </c>
      <c r="F4711">
        <v>7.57</v>
      </c>
    </row>
    <row r="4712" spans="1:6" x14ac:dyDescent="0.3">
      <c r="A4712" t="s">
        <v>7875</v>
      </c>
      <c r="B4712" t="s">
        <v>4005</v>
      </c>
      <c r="C4712" t="s">
        <v>4871</v>
      </c>
      <c r="D4712">
        <v>71912451</v>
      </c>
      <c r="E4712">
        <v>32.520000000000003</v>
      </c>
      <c r="F4712">
        <v>7.09</v>
      </c>
    </row>
    <row r="4713" spans="1:6" x14ac:dyDescent="0.3">
      <c r="A4713" t="s">
        <v>7876</v>
      </c>
      <c r="B4713" t="s">
        <v>5206</v>
      </c>
      <c r="C4713" t="s">
        <v>7877</v>
      </c>
      <c r="D4713">
        <v>71920375</v>
      </c>
      <c r="E4713">
        <v>18.09</v>
      </c>
      <c r="F4713">
        <v>9.08</v>
      </c>
    </row>
    <row r="4714" spans="1:6" x14ac:dyDescent="0.3">
      <c r="A4714" t="s">
        <v>7878</v>
      </c>
      <c r="B4714" t="s">
        <v>6002</v>
      </c>
      <c r="C4714" t="s">
        <v>4696</v>
      </c>
      <c r="D4714">
        <v>71951412</v>
      </c>
      <c r="E4714">
        <v>5</v>
      </c>
      <c r="F4714">
        <v>7.58</v>
      </c>
    </row>
    <row r="4715" spans="1:6" x14ac:dyDescent="0.3">
      <c r="A4715" t="s">
        <v>7879</v>
      </c>
      <c r="B4715" t="s">
        <v>7880</v>
      </c>
      <c r="C4715" t="s">
        <v>23</v>
      </c>
      <c r="D4715">
        <v>71976926</v>
      </c>
      <c r="E4715">
        <v>2.36</v>
      </c>
      <c r="F4715">
        <v>8</v>
      </c>
    </row>
    <row r="4716" spans="1:6" x14ac:dyDescent="0.3">
      <c r="A4716" t="s">
        <v>7881</v>
      </c>
      <c r="B4716" t="s">
        <v>7882</v>
      </c>
      <c r="C4716" t="s">
        <v>7883</v>
      </c>
      <c r="D4716">
        <v>71989443</v>
      </c>
      <c r="E4716">
        <v>7.88</v>
      </c>
      <c r="F4716">
        <v>8.67</v>
      </c>
    </row>
    <row r="4717" spans="1:6" x14ac:dyDescent="0.3">
      <c r="A4717" t="s">
        <v>7884</v>
      </c>
      <c r="B4717" t="s">
        <v>7885</v>
      </c>
      <c r="C4717" t="s">
        <v>7886</v>
      </c>
      <c r="D4717">
        <v>72010143</v>
      </c>
      <c r="E4717">
        <v>11.2</v>
      </c>
      <c r="F4717">
        <v>5.67</v>
      </c>
    </row>
    <row r="4718" spans="1:6" x14ac:dyDescent="0.3">
      <c r="A4718" t="s">
        <v>7887</v>
      </c>
      <c r="B4718" t="s">
        <v>7888</v>
      </c>
      <c r="C4718" t="s">
        <v>7887</v>
      </c>
      <c r="D4718">
        <v>72011288</v>
      </c>
      <c r="E4718">
        <v>19.27</v>
      </c>
      <c r="F4718">
        <v>6.39</v>
      </c>
    </row>
    <row r="4719" spans="1:6" x14ac:dyDescent="0.3">
      <c r="A4719" t="s">
        <v>7889</v>
      </c>
      <c r="B4719" t="s">
        <v>7490</v>
      </c>
      <c r="C4719" t="s">
        <v>7890</v>
      </c>
      <c r="D4719">
        <v>72024993</v>
      </c>
      <c r="E4719">
        <v>2.16</v>
      </c>
      <c r="F4719">
        <v>7.51</v>
      </c>
    </row>
    <row r="4720" spans="1:6" x14ac:dyDescent="0.3">
      <c r="A4720" t="s">
        <v>7891</v>
      </c>
      <c r="B4720" t="s">
        <v>7892</v>
      </c>
      <c r="C4720" t="s">
        <v>6251</v>
      </c>
      <c r="D4720">
        <v>72041185</v>
      </c>
      <c r="E4720">
        <v>12.33</v>
      </c>
      <c r="F4720">
        <v>7.5</v>
      </c>
    </row>
    <row r="4721" spans="1:6" x14ac:dyDescent="0.3">
      <c r="A4721" t="s">
        <v>1580</v>
      </c>
      <c r="B4721" t="s">
        <v>7893</v>
      </c>
      <c r="C4721" t="s">
        <v>6868</v>
      </c>
      <c r="D4721">
        <v>72058638</v>
      </c>
      <c r="E4721">
        <v>10.5</v>
      </c>
      <c r="F4721">
        <v>7.82</v>
      </c>
    </row>
    <row r="4722" spans="1:6" x14ac:dyDescent="0.3">
      <c r="A4722" t="s">
        <v>7894</v>
      </c>
      <c r="B4722" t="s">
        <v>7895</v>
      </c>
      <c r="C4722" t="s">
        <v>7896</v>
      </c>
      <c r="D4722">
        <v>72061691</v>
      </c>
      <c r="E4722">
        <v>4.08</v>
      </c>
      <c r="F4722">
        <v>6.09</v>
      </c>
    </row>
    <row r="4723" spans="1:6" x14ac:dyDescent="0.3">
      <c r="A4723" t="s">
        <v>6054</v>
      </c>
      <c r="B4723" t="s">
        <v>4756</v>
      </c>
      <c r="C4723" t="s">
        <v>1177</v>
      </c>
      <c r="D4723">
        <v>72082021</v>
      </c>
      <c r="E4723">
        <v>26.5</v>
      </c>
      <c r="F4723">
        <v>7</v>
      </c>
    </row>
    <row r="4724" spans="1:6" x14ac:dyDescent="0.3">
      <c r="A4724" t="s">
        <v>7897</v>
      </c>
      <c r="B4724" t="s">
        <v>4208</v>
      </c>
      <c r="C4724" t="s">
        <v>7898</v>
      </c>
      <c r="D4724">
        <v>72085752</v>
      </c>
      <c r="E4724">
        <v>3</v>
      </c>
      <c r="F4724">
        <v>6.56</v>
      </c>
    </row>
    <row r="4725" spans="1:6" x14ac:dyDescent="0.3">
      <c r="A4725" t="s">
        <v>7899</v>
      </c>
      <c r="B4725" t="s">
        <v>5796</v>
      </c>
      <c r="C4725" t="s">
        <v>901</v>
      </c>
      <c r="D4725">
        <v>72116990</v>
      </c>
      <c r="E4725">
        <v>3.49</v>
      </c>
      <c r="F4725">
        <v>6.86</v>
      </c>
    </row>
    <row r="4726" spans="1:6" x14ac:dyDescent="0.3">
      <c r="A4726" t="s">
        <v>7900</v>
      </c>
      <c r="B4726" t="s">
        <v>4432</v>
      </c>
      <c r="C4726" t="s">
        <v>4972</v>
      </c>
      <c r="D4726">
        <v>72118824</v>
      </c>
      <c r="E4726">
        <v>7</v>
      </c>
      <c r="F4726">
        <v>6.63</v>
      </c>
    </row>
    <row r="4727" spans="1:6" x14ac:dyDescent="0.3">
      <c r="A4727" t="s">
        <v>7901</v>
      </c>
      <c r="B4727" t="s">
        <v>7228</v>
      </c>
      <c r="C4727" t="s">
        <v>7902</v>
      </c>
      <c r="D4727">
        <v>72124978</v>
      </c>
      <c r="E4727">
        <v>6.62</v>
      </c>
      <c r="F4727">
        <v>6.15</v>
      </c>
    </row>
    <row r="4728" spans="1:6" x14ac:dyDescent="0.3">
      <c r="A4728" t="s">
        <v>7903</v>
      </c>
      <c r="B4728" t="s">
        <v>7037</v>
      </c>
      <c r="C4728" t="s">
        <v>7904</v>
      </c>
      <c r="D4728">
        <v>72126598</v>
      </c>
      <c r="E4728">
        <v>13.91</v>
      </c>
      <c r="F4728">
        <v>6.27</v>
      </c>
    </row>
    <row r="4729" spans="1:6" x14ac:dyDescent="0.3">
      <c r="A4729" t="s">
        <v>7905</v>
      </c>
      <c r="B4729" t="s">
        <v>6026</v>
      </c>
      <c r="C4729" t="s">
        <v>704</v>
      </c>
      <c r="D4729">
        <v>72126893</v>
      </c>
      <c r="E4729">
        <v>7.68</v>
      </c>
      <c r="F4729">
        <v>3.34</v>
      </c>
    </row>
    <row r="4730" spans="1:6" x14ac:dyDescent="0.3">
      <c r="A4730" t="s">
        <v>7906</v>
      </c>
      <c r="B4730" t="s">
        <v>7907</v>
      </c>
      <c r="C4730" t="s">
        <v>7908</v>
      </c>
      <c r="D4730">
        <v>72164189</v>
      </c>
      <c r="E4730">
        <v>26.78</v>
      </c>
      <c r="F4730">
        <v>7</v>
      </c>
    </row>
    <row r="4731" spans="1:6" x14ac:dyDescent="0.3">
      <c r="A4731" t="s">
        <v>7909</v>
      </c>
      <c r="B4731" t="s">
        <v>4690</v>
      </c>
      <c r="C4731" t="s">
        <v>7910</v>
      </c>
      <c r="D4731">
        <v>72184562</v>
      </c>
      <c r="E4731">
        <v>3.04</v>
      </c>
      <c r="F4731">
        <v>6</v>
      </c>
    </row>
    <row r="4732" spans="1:6" x14ac:dyDescent="0.3">
      <c r="A4732" t="s">
        <v>7911</v>
      </c>
      <c r="B4732" t="s">
        <v>2445</v>
      </c>
      <c r="C4732" t="s">
        <v>7912</v>
      </c>
      <c r="D4732">
        <v>72188215</v>
      </c>
      <c r="E4732">
        <v>1.84</v>
      </c>
      <c r="F4732">
        <v>7.35</v>
      </c>
    </row>
    <row r="4733" spans="1:6" x14ac:dyDescent="0.3">
      <c r="A4733" t="s">
        <v>7913</v>
      </c>
      <c r="B4733" t="s">
        <v>7003</v>
      </c>
      <c r="C4733" t="s">
        <v>4998</v>
      </c>
      <c r="D4733">
        <v>72192632</v>
      </c>
      <c r="E4733">
        <v>13.66</v>
      </c>
      <c r="F4733">
        <v>7.77</v>
      </c>
    </row>
    <row r="4734" spans="1:6" x14ac:dyDescent="0.3">
      <c r="A4734" t="s">
        <v>7914</v>
      </c>
      <c r="B4734" t="s">
        <v>6615</v>
      </c>
      <c r="C4734" t="s">
        <v>1165</v>
      </c>
      <c r="D4734">
        <v>72193089</v>
      </c>
      <c r="E4734">
        <v>17.29</v>
      </c>
      <c r="F4734">
        <v>5.2</v>
      </c>
    </row>
    <row r="4735" spans="1:6" x14ac:dyDescent="0.3">
      <c r="A4735" t="s">
        <v>7915</v>
      </c>
      <c r="B4735" t="s">
        <v>7745</v>
      </c>
      <c r="C4735" t="s">
        <v>7738</v>
      </c>
      <c r="D4735">
        <v>72200919</v>
      </c>
      <c r="E4735">
        <v>12.07</v>
      </c>
      <c r="F4735">
        <v>7.85</v>
      </c>
    </row>
    <row r="4736" spans="1:6" x14ac:dyDescent="0.3">
      <c r="A4736" t="s">
        <v>7916</v>
      </c>
      <c r="B4736" t="s">
        <v>7917</v>
      </c>
      <c r="C4736" t="s">
        <v>9</v>
      </c>
      <c r="D4736">
        <v>72211008</v>
      </c>
      <c r="E4736">
        <v>19.899999999999999</v>
      </c>
      <c r="F4736">
        <v>6.95</v>
      </c>
    </row>
    <row r="4737" spans="1:6" x14ac:dyDescent="0.3">
      <c r="A4737" t="s">
        <v>7918</v>
      </c>
      <c r="B4737" t="s">
        <v>7919</v>
      </c>
      <c r="C4737" t="s">
        <v>3759</v>
      </c>
      <c r="D4737">
        <v>72224038</v>
      </c>
      <c r="E4737">
        <v>17</v>
      </c>
      <c r="F4737">
        <v>5.33</v>
      </c>
    </row>
    <row r="4738" spans="1:6" x14ac:dyDescent="0.3">
      <c r="A4738" t="s">
        <v>7920</v>
      </c>
      <c r="B4738" t="s">
        <v>7921</v>
      </c>
      <c r="C4738" t="s">
        <v>7922</v>
      </c>
      <c r="D4738">
        <v>72227011</v>
      </c>
      <c r="E4738">
        <v>7.14</v>
      </c>
      <c r="F4738">
        <v>5.29</v>
      </c>
    </row>
    <row r="4739" spans="1:6" x14ac:dyDescent="0.3">
      <c r="A4739" t="s">
        <v>7923</v>
      </c>
      <c r="B4739" t="s">
        <v>7924</v>
      </c>
      <c r="C4739" t="s">
        <v>7925</v>
      </c>
      <c r="D4739">
        <v>72240540</v>
      </c>
      <c r="E4739">
        <v>16.2</v>
      </c>
      <c r="F4739">
        <v>7.77</v>
      </c>
    </row>
    <row r="4740" spans="1:6" x14ac:dyDescent="0.3">
      <c r="A4740" t="s">
        <v>6557</v>
      </c>
      <c r="B4740" t="s">
        <v>7926</v>
      </c>
      <c r="C4740" t="s">
        <v>5891</v>
      </c>
      <c r="D4740">
        <v>72268041</v>
      </c>
      <c r="E4740">
        <v>2.16</v>
      </c>
      <c r="F4740">
        <v>7.32</v>
      </c>
    </row>
    <row r="4741" spans="1:6" x14ac:dyDescent="0.3">
      <c r="A4741" t="s">
        <v>7927</v>
      </c>
      <c r="B4741" t="s">
        <v>2322</v>
      </c>
      <c r="C4741" t="s">
        <v>7928</v>
      </c>
      <c r="D4741">
        <v>72275079</v>
      </c>
      <c r="E4741">
        <v>12.84</v>
      </c>
      <c r="F4741">
        <v>7.82</v>
      </c>
    </row>
    <row r="4742" spans="1:6" x14ac:dyDescent="0.3">
      <c r="A4742" t="s">
        <v>7929</v>
      </c>
      <c r="B4742" t="s">
        <v>7930</v>
      </c>
      <c r="C4742" t="s">
        <v>7931</v>
      </c>
      <c r="D4742">
        <v>72293045</v>
      </c>
      <c r="E4742">
        <v>2.58</v>
      </c>
      <c r="F4742">
        <v>5.71</v>
      </c>
    </row>
    <row r="4743" spans="1:6" x14ac:dyDescent="0.3">
      <c r="A4743" t="s">
        <v>7932</v>
      </c>
      <c r="B4743" t="s">
        <v>7933</v>
      </c>
      <c r="C4743" t="s">
        <v>7934</v>
      </c>
      <c r="D4743">
        <v>72305371</v>
      </c>
      <c r="E4743">
        <v>2.95</v>
      </c>
      <c r="F4743">
        <v>6.87</v>
      </c>
    </row>
    <row r="4744" spans="1:6" x14ac:dyDescent="0.3">
      <c r="A4744" t="s">
        <v>7935</v>
      </c>
      <c r="B4744" t="s">
        <v>1890</v>
      </c>
      <c r="C4744" t="s">
        <v>7936</v>
      </c>
      <c r="D4744">
        <v>72308725</v>
      </c>
      <c r="E4744">
        <v>27</v>
      </c>
      <c r="F4744">
        <v>7</v>
      </c>
    </row>
    <row r="4745" spans="1:6" x14ac:dyDescent="0.3">
      <c r="A4745" t="s">
        <v>7937</v>
      </c>
      <c r="B4745" t="s">
        <v>7938</v>
      </c>
      <c r="C4745" t="s">
        <v>6332</v>
      </c>
      <c r="D4745">
        <v>72315402</v>
      </c>
      <c r="E4745">
        <v>34.75</v>
      </c>
      <c r="F4745">
        <v>3.25</v>
      </c>
    </row>
    <row r="4746" spans="1:6" x14ac:dyDescent="0.3">
      <c r="A4746" t="s">
        <v>7939</v>
      </c>
      <c r="B4746" t="s">
        <v>7940</v>
      </c>
      <c r="C4746" t="s">
        <v>7941</v>
      </c>
      <c r="D4746">
        <v>72325448</v>
      </c>
      <c r="E4746">
        <v>8.5</v>
      </c>
      <c r="F4746">
        <v>4.71</v>
      </c>
    </row>
    <row r="4747" spans="1:6" x14ac:dyDescent="0.3">
      <c r="A4747" t="s">
        <v>7942</v>
      </c>
      <c r="B4747" t="s">
        <v>7943</v>
      </c>
      <c r="C4747" t="s">
        <v>7944</v>
      </c>
      <c r="D4747">
        <v>72340605</v>
      </c>
      <c r="E4747">
        <v>4.7</v>
      </c>
      <c r="F4747">
        <v>6</v>
      </c>
    </row>
    <row r="4748" spans="1:6" x14ac:dyDescent="0.3">
      <c r="A4748" t="s">
        <v>7945</v>
      </c>
      <c r="B4748" t="s">
        <v>7946</v>
      </c>
      <c r="C4748" t="s">
        <v>5555</v>
      </c>
      <c r="D4748">
        <v>72356193</v>
      </c>
      <c r="E4748">
        <v>5.83</v>
      </c>
      <c r="F4748">
        <v>5.88</v>
      </c>
    </row>
    <row r="4749" spans="1:6" x14ac:dyDescent="0.3">
      <c r="A4749" t="s">
        <v>7947</v>
      </c>
      <c r="B4749" t="s">
        <v>7563</v>
      </c>
      <c r="C4749" t="s">
        <v>7948</v>
      </c>
      <c r="D4749">
        <v>72366162</v>
      </c>
      <c r="E4749">
        <v>12.5</v>
      </c>
      <c r="F4749">
        <v>6.43</v>
      </c>
    </row>
    <row r="4750" spans="1:6" x14ac:dyDescent="0.3">
      <c r="A4750" t="s">
        <v>7949</v>
      </c>
      <c r="B4750" t="s">
        <v>4196</v>
      </c>
      <c r="C4750" t="s">
        <v>4033</v>
      </c>
      <c r="D4750">
        <v>72386963</v>
      </c>
      <c r="E4750">
        <v>8.2200000000000006</v>
      </c>
      <c r="F4750">
        <v>7.42</v>
      </c>
    </row>
    <row r="4751" spans="1:6" x14ac:dyDescent="0.3">
      <c r="A4751" t="s">
        <v>7950</v>
      </c>
      <c r="B4751" t="s">
        <v>6841</v>
      </c>
      <c r="C4751" t="s">
        <v>7951</v>
      </c>
      <c r="D4751">
        <v>72394641</v>
      </c>
      <c r="E4751">
        <v>7.06</v>
      </c>
      <c r="F4751">
        <v>7.8</v>
      </c>
    </row>
    <row r="4752" spans="1:6" x14ac:dyDescent="0.3">
      <c r="A4752" t="s">
        <v>7952</v>
      </c>
      <c r="B4752" t="s">
        <v>5031</v>
      </c>
      <c r="C4752" t="s">
        <v>977</v>
      </c>
      <c r="D4752">
        <v>72414148</v>
      </c>
      <c r="E4752">
        <v>22.75</v>
      </c>
      <c r="F4752">
        <v>8.33</v>
      </c>
    </row>
    <row r="4753" spans="1:6" x14ac:dyDescent="0.3">
      <c r="A4753" t="s">
        <v>3141</v>
      </c>
      <c r="B4753" t="s">
        <v>3830</v>
      </c>
      <c r="C4753" t="s">
        <v>7953</v>
      </c>
      <c r="D4753">
        <v>72417210</v>
      </c>
      <c r="E4753">
        <v>16.43</v>
      </c>
      <c r="F4753">
        <v>7.18</v>
      </c>
    </row>
    <row r="4754" spans="1:6" x14ac:dyDescent="0.3">
      <c r="A4754" t="s">
        <v>7954</v>
      </c>
      <c r="B4754" t="s">
        <v>4390</v>
      </c>
      <c r="C4754" t="s">
        <v>2399</v>
      </c>
      <c r="D4754">
        <v>72417318</v>
      </c>
      <c r="E4754">
        <v>3.91</v>
      </c>
      <c r="F4754">
        <v>7.58</v>
      </c>
    </row>
    <row r="4755" spans="1:6" x14ac:dyDescent="0.3">
      <c r="A4755" t="s">
        <v>7955</v>
      </c>
      <c r="B4755" t="s">
        <v>7956</v>
      </c>
      <c r="C4755" t="s">
        <v>7957</v>
      </c>
      <c r="D4755">
        <v>72436930</v>
      </c>
      <c r="E4755">
        <v>3.17</v>
      </c>
      <c r="F4755">
        <v>5</v>
      </c>
    </row>
    <row r="4756" spans="1:6" x14ac:dyDescent="0.3">
      <c r="A4756" t="s">
        <v>7958</v>
      </c>
      <c r="B4756" t="s">
        <v>6011</v>
      </c>
      <c r="C4756" t="s">
        <v>7959</v>
      </c>
      <c r="D4756">
        <v>72448306</v>
      </c>
      <c r="E4756">
        <v>2.89</v>
      </c>
      <c r="F4756">
        <v>5.33</v>
      </c>
    </row>
    <row r="4757" spans="1:6" x14ac:dyDescent="0.3">
      <c r="A4757" t="s">
        <v>7960</v>
      </c>
      <c r="B4757" t="s">
        <v>5238</v>
      </c>
      <c r="C4757" t="s">
        <v>1430</v>
      </c>
      <c r="D4757">
        <v>72449577</v>
      </c>
      <c r="E4757">
        <v>18.239999999999998</v>
      </c>
      <c r="F4757">
        <v>6.96</v>
      </c>
    </row>
    <row r="4758" spans="1:6" x14ac:dyDescent="0.3">
      <c r="A4758" t="s">
        <v>7961</v>
      </c>
      <c r="B4758" t="s">
        <v>7962</v>
      </c>
      <c r="C4758" t="s">
        <v>7963</v>
      </c>
      <c r="D4758">
        <v>72459263</v>
      </c>
      <c r="E4758">
        <v>19.02</v>
      </c>
      <c r="F4758">
        <v>8.4</v>
      </c>
    </row>
    <row r="4759" spans="1:6" x14ac:dyDescent="0.3">
      <c r="A4759" t="s">
        <v>7964</v>
      </c>
      <c r="B4759" t="s">
        <v>7965</v>
      </c>
      <c r="C4759" t="s">
        <v>3852</v>
      </c>
      <c r="D4759">
        <v>72466881</v>
      </c>
      <c r="E4759">
        <v>3.31</v>
      </c>
      <c r="F4759">
        <v>5.64</v>
      </c>
    </row>
    <row r="4760" spans="1:6" x14ac:dyDescent="0.3">
      <c r="A4760" t="s">
        <v>7966</v>
      </c>
      <c r="B4760" t="s">
        <v>2519</v>
      </c>
      <c r="C4760" t="s">
        <v>7967</v>
      </c>
      <c r="D4760">
        <v>72496590</v>
      </c>
      <c r="E4760">
        <v>2.91</v>
      </c>
      <c r="F4760">
        <v>7.02</v>
      </c>
    </row>
    <row r="4761" spans="1:6" x14ac:dyDescent="0.3">
      <c r="A4761" t="s">
        <v>7968</v>
      </c>
      <c r="B4761" t="s">
        <v>7969</v>
      </c>
      <c r="C4761" t="s">
        <v>2679</v>
      </c>
      <c r="D4761">
        <v>72499462</v>
      </c>
      <c r="E4761">
        <v>9.2200000000000006</v>
      </c>
      <c r="F4761">
        <v>5.63</v>
      </c>
    </row>
    <row r="4762" spans="1:6" x14ac:dyDescent="0.3">
      <c r="A4762" t="s">
        <v>7970</v>
      </c>
      <c r="B4762" t="s">
        <v>5915</v>
      </c>
      <c r="C4762" t="s">
        <v>2238</v>
      </c>
      <c r="D4762">
        <v>72506465</v>
      </c>
      <c r="E4762">
        <v>20.82</v>
      </c>
      <c r="F4762">
        <v>7.5</v>
      </c>
    </row>
    <row r="4763" spans="1:6" x14ac:dyDescent="0.3">
      <c r="A4763" t="s">
        <v>7971</v>
      </c>
      <c r="B4763" t="s">
        <v>5412</v>
      </c>
      <c r="C4763" t="s">
        <v>6236</v>
      </c>
      <c r="D4763">
        <v>72518353</v>
      </c>
      <c r="E4763">
        <v>2.64</v>
      </c>
      <c r="F4763">
        <v>6.52</v>
      </c>
    </row>
    <row r="4764" spans="1:6" x14ac:dyDescent="0.3">
      <c r="A4764" t="s">
        <v>7972</v>
      </c>
      <c r="B4764" t="s">
        <v>6667</v>
      </c>
      <c r="C4764" t="s">
        <v>6054</v>
      </c>
      <c r="D4764">
        <v>72520719</v>
      </c>
      <c r="E4764">
        <v>11.89</v>
      </c>
      <c r="F4764">
        <v>7.83</v>
      </c>
    </row>
    <row r="4765" spans="1:6" x14ac:dyDescent="0.3">
      <c r="A4765" t="s">
        <v>7973</v>
      </c>
      <c r="B4765" t="s">
        <v>7563</v>
      </c>
      <c r="C4765" t="s">
        <v>173</v>
      </c>
      <c r="D4765">
        <v>72532981</v>
      </c>
      <c r="E4765">
        <v>11.11</v>
      </c>
      <c r="F4765">
        <v>7.55</v>
      </c>
    </row>
    <row r="4766" spans="1:6" x14ac:dyDescent="0.3">
      <c r="A4766" t="s">
        <v>7974</v>
      </c>
      <c r="B4766" t="s">
        <v>7975</v>
      </c>
      <c r="C4766" t="s">
        <v>7976</v>
      </c>
      <c r="D4766">
        <v>72550309</v>
      </c>
      <c r="E4766">
        <v>8</v>
      </c>
      <c r="F4766">
        <v>6.25</v>
      </c>
    </row>
    <row r="4767" spans="1:6" x14ac:dyDescent="0.3">
      <c r="A4767" t="s">
        <v>7977</v>
      </c>
      <c r="B4767" t="s">
        <v>7356</v>
      </c>
      <c r="C4767" t="s">
        <v>4665</v>
      </c>
      <c r="D4767">
        <v>72559669</v>
      </c>
      <c r="E4767">
        <v>5.0199999999999996</v>
      </c>
      <c r="F4767">
        <v>5.95</v>
      </c>
    </row>
    <row r="4768" spans="1:6" x14ac:dyDescent="0.3">
      <c r="A4768" t="s">
        <v>7978</v>
      </c>
      <c r="B4768" t="s">
        <v>7356</v>
      </c>
      <c r="C4768" t="s">
        <v>7111</v>
      </c>
      <c r="D4768">
        <v>72570152</v>
      </c>
      <c r="E4768">
        <v>31.75</v>
      </c>
      <c r="F4768">
        <v>2.75</v>
      </c>
    </row>
    <row r="4769" spans="1:6" x14ac:dyDescent="0.3">
      <c r="A4769" t="s">
        <v>7979</v>
      </c>
      <c r="B4769" t="s">
        <v>7980</v>
      </c>
      <c r="C4769" t="s">
        <v>6909</v>
      </c>
      <c r="D4769">
        <v>72580188</v>
      </c>
      <c r="E4769">
        <v>4.74</v>
      </c>
      <c r="F4769">
        <v>7.92</v>
      </c>
    </row>
    <row r="4770" spans="1:6" x14ac:dyDescent="0.3">
      <c r="A4770" t="s">
        <v>7981</v>
      </c>
      <c r="B4770" t="s">
        <v>6230</v>
      </c>
      <c r="C4770" t="s">
        <v>7982</v>
      </c>
      <c r="D4770">
        <v>72589123</v>
      </c>
      <c r="E4770">
        <v>3.11</v>
      </c>
      <c r="F4770">
        <v>6.79</v>
      </c>
    </row>
    <row r="4771" spans="1:6" x14ac:dyDescent="0.3">
      <c r="A4771" t="s">
        <v>7983</v>
      </c>
      <c r="B4771" t="s">
        <v>5805</v>
      </c>
      <c r="C4771" t="s">
        <v>2388</v>
      </c>
      <c r="D4771">
        <v>72602627</v>
      </c>
      <c r="E4771">
        <v>6.8</v>
      </c>
      <c r="F4771">
        <v>5</v>
      </c>
    </row>
    <row r="4772" spans="1:6" x14ac:dyDescent="0.3">
      <c r="A4772" t="s">
        <v>7984</v>
      </c>
      <c r="B4772" t="s">
        <v>5296</v>
      </c>
      <c r="C4772" t="s">
        <v>7985</v>
      </c>
      <c r="D4772">
        <v>72604186</v>
      </c>
      <c r="E4772">
        <v>1.94</v>
      </c>
      <c r="F4772">
        <v>7.18</v>
      </c>
    </row>
    <row r="4773" spans="1:6" x14ac:dyDescent="0.3">
      <c r="A4773" t="s">
        <v>7986</v>
      </c>
      <c r="B4773" t="s">
        <v>6778</v>
      </c>
      <c r="C4773" t="s">
        <v>7987</v>
      </c>
      <c r="D4773">
        <v>72605157</v>
      </c>
      <c r="E4773">
        <v>18.579999999999998</v>
      </c>
      <c r="F4773">
        <v>7.27</v>
      </c>
    </row>
    <row r="4774" spans="1:6" x14ac:dyDescent="0.3">
      <c r="A4774" t="s">
        <v>7988</v>
      </c>
      <c r="B4774" t="s">
        <v>7989</v>
      </c>
      <c r="C4774" t="s">
        <v>2192</v>
      </c>
      <c r="D4774">
        <v>72612321</v>
      </c>
      <c r="E4774">
        <v>15.11</v>
      </c>
      <c r="F4774">
        <v>6.84</v>
      </c>
    </row>
    <row r="4775" spans="1:6" x14ac:dyDescent="0.3">
      <c r="A4775" t="s">
        <v>7990</v>
      </c>
      <c r="B4775" t="s">
        <v>3880</v>
      </c>
      <c r="C4775" t="s">
        <v>1087</v>
      </c>
      <c r="D4775">
        <v>72639069</v>
      </c>
      <c r="E4775">
        <v>10.6</v>
      </c>
      <c r="F4775">
        <v>6.13</v>
      </c>
    </row>
    <row r="4776" spans="1:6" x14ac:dyDescent="0.3">
      <c r="A4776" t="s">
        <v>7991</v>
      </c>
      <c r="B4776" t="s">
        <v>7992</v>
      </c>
      <c r="C4776">
        <v>2010</v>
      </c>
      <c r="D4776">
        <v>72651677</v>
      </c>
      <c r="E4776">
        <v>21</v>
      </c>
      <c r="F4776">
        <v>5.73</v>
      </c>
    </row>
    <row r="4777" spans="1:6" x14ac:dyDescent="0.3">
      <c r="A4777" t="s">
        <v>7993</v>
      </c>
      <c r="B4777" t="s">
        <v>7994</v>
      </c>
      <c r="C4777" t="s">
        <v>7132</v>
      </c>
      <c r="D4777">
        <v>72675559</v>
      </c>
      <c r="E4777">
        <v>16.43</v>
      </c>
      <c r="F4777">
        <v>6.54</v>
      </c>
    </row>
    <row r="4778" spans="1:6" x14ac:dyDescent="0.3">
      <c r="A4778" t="s">
        <v>7995</v>
      </c>
      <c r="B4778" t="s">
        <v>7280</v>
      </c>
      <c r="C4778" t="s">
        <v>7996</v>
      </c>
      <c r="D4778">
        <v>72687502</v>
      </c>
      <c r="E4778">
        <v>2.0099999999999998</v>
      </c>
      <c r="F4778">
        <v>6.62</v>
      </c>
    </row>
    <row r="4779" spans="1:6" x14ac:dyDescent="0.3">
      <c r="A4779" t="s">
        <v>7997</v>
      </c>
      <c r="B4779" t="s">
        <v>3206</v>
      </c>
      <c r="C4779" t="s">
        <v>898</v>
      </c>
      <c r="D4779">
        <v>72689571</v>
      </c>
      <c r="E4779">
        <v>6.75</v>
      </c>
      <c r="F4779">
        <v>7.17</v>
      </c>
    </row>
    <row r="4780" spans="1:6" x14ac:dyDescent="0.3">
      <c r="A4780" t="s">
        <v>7998</v>
      </c>
      <c r="B4780" t="s">
        <v>7999</v>
      </c>
      <c r="C4780" t="s">
        <v>5959</v>
      </c>
      <c r="D4780">
        <v>72707700</v>
      </c>
      <c r="E4780">
        <v>3.5</v>
      </c>
      <c r="F4780">
        <v>4.6399999999999997</v>
      </c>
    </row>
    <row r="4781" spans="1:6" x14ac:dyDescent="0.3">
      <c r="A4781" t="s">
        <v>8000</v>
      </c>
      <c r="B4781" t="s">
        <v>8001</v>
      </c>
      <c r="C4781" t="s">
        <v>7963</v>
      </c>
      <c r="D4781">
        <v>72708202</v>
      </c>
      <c r="E4781">
        <v>2.9</v>
      </c>
      <c r="F4781">
        <v>6.5</v>
      </c>
    </row>
    <row r="4782" spans="1:6" x14ac:dyDescent="0.3">
      <c r="A4782" t="s">
        <v>8002</v>
      </c>
      <c r="B4782" t="s">
        <v>7530</v>
      </c>
      <c r="C4782" t="s">
        <v>7054</v>
      </c>
      <c r="D4782">
        <v>72710486</v>
      </c>
      <c r="E4782">
        <v>4.17</v>
      </c>
      <c r="F4782">
        <v>6.27</v>
      </c>
    </row>
    <row r="4783" spans="1:6" x14ac:dyDescent="0.3">
      <c r="A4783" t="s">
        <v>8003</v>
      </c>
      <c r="B4783" t="s">
        <v>7709</v>
      </c>
      <c r="C4783" t="s">
        <v>8004</v>
      </c>
      <c r="D4783">
        <v>72739412</v>
      </c>
      <c r="E4783">
        <v>3.14</v>
      </c>
      <c r="F4783">
        <v>5.42</v>
      </c>
    </row>
    <row r="4784" spans="1:6" x14ac:dyDescent="0.3">
      <c r="A4784" t="s">
        <v>8005</v>
      </c>
      <c r="B4784" t="s">
        <v>8006</v>
      </c>
      <c r="C4784" t="s">
        <v>12</v>
      </c>
      <c r="D4784">
        <v>72744364</v>
      </c>
      <c r="E4784">
        <v>33.75</v>
      </c>
      <c r="F4784">
        <v>3</v>
      </c>
    </row>
    <row r="4785" spans="1:6" x14ac:dyDescent="0.3">
      <c r="A4785" t="s">
        <v>8007</v>
      </c>
      <c r="B4785" t="s">
        <v>2445</v>
      </c>
      <c r="C4785" t="s">
        <v>8008</v>
      </c>
      <c r="D4785">
        <v>72745629</v>
      </c>
      <c r="E4785">
        <v>2.23</v>
      </c>
      <c r="F4785">
        <v>7.12</v>
      </c>
    </row>
    <row r="4786" spans="1:6" x14ac:dyDescent="0.3">
      <c r="A4786" t="s">
        <v>8009</v>
      </c>
      <c r="B4786" t="s">
        <v>8010</v>
      </c>
      <c r="C4786" t="s">
        <v>8011</v>
      </c>
      <c r="D4786">
        <v>72753400</v>
      </c>
      <c r="E4786">
        <v>4.68</v>
      </c>
      <c r="F4786">
        <v>7.29</v>
      </c>
    </row>
    <row r="4787" spans="1:6" x14ac:dyDescent="0.3">
      <c r="A4787" t="s">
        <v>8012</v>
      </c>
      <c r="B4787" t="s">
        <v>8013</v>
      </c>
      <c r="C4787" t="s">
        <v>8014</v>
      </c>
      <c r="D4787">
        <v>72765933</v>
      </c>
      <c r="E4787">
        <v>3</v>
      </c>
      <c r="F4787">
        <v>6.13</v>
      </c>
    </row>
    <row r="4788" spans="1:6" x14ac:dyDescent="0.3">
      <c r="A4788" t="s">
        <v>8015</v>
      </c>
      <c r="B4788" t="s">
        <v>2166</v>
      </c>
      <c r="C4788" t="s">
        <v>5555</v>
      </c>
      <c r="D4788">
        <v>72767469</v>
      </c>
      <c r="E4788">
        <v>28</v>
      </c>
      <c r="F4788">
        <v>7</v>
      </c>
    </row>
    <row r="4789" spans="1:6" x14ac:dyDescent="0.3">
      <c r="A4789" t="s">
        <v>8016</v>
      </c>
      <c r="B4789" t="s">
        <v>8017</v>
      </c>
      <c r="C4789" t="s">
        <v>1051</v>
      </c>
      <c r="D4789">
        <v>72776334</v>
      </c>
      <c r="E4789">
        <v>20</v>
      </c>
      <c r="F4789">
        <v>6</v>
      </c>
    </row>
    <row r="4790" spans="1:6" x14ac:dyDescent="0.3">
      <c r="A4790" t="s">
        <v>8018</v>
      </c>
      <c r="B4790" t="s">
        <v>7273</v>
      </c>
      <c r="C4790" t="s">
        <v>1087</v>
      </c>
      <c r="D4790">
        <v>72781274</v>
      </c>
      <c r="E4790">
        <v>8.09</v>
      </c>
      <c r="F4790">
        <v>7.44</v>
      </c>
    </row>
    <row r="4791" spans="1:6" x14ac:dyDescent="0.3">
      <c r="A4791" t="s">
        <v>8019</v>
      </c>
      <c r="B4791" t="s">
        <v>8020</v>
      </c>
      <c r="C4791" t="s">
        <v>6173</v>
      </c>
      <c r="D4791">
        <v>72781628</v>
      </c>
      <c r="E4791">
        <v>3</v>
      </c>
      <c r="F4791">
        <v>6.54</v>
      </c>
    </row>
    <row r="4792" spans="1:6" x14ac:dyDescent="0.3">
      <c r="A4792" t="s">
        <v>8021</v>
      </c>
      <c r="B4792" t="s">
        <v>5654</v>
      </c>
      <c r="C4792" t="s">
        <v>1549</v>
      </c>
      <c r="D4792">
        <v>72783779</v>
      </c>
      <c r="E4792">
        <v>6</v>
      </c>
      <c r="F4792">
        <v>7</v>
      </c>
    </row>
    <row r="4793" spans="1:6" x14ac:dyDescent="0.3">
      <c r="A4793" t="s">
        <v>8022</v>
      </c>
      <c r="B4793" t="s">
        <v>5145</v>
      </c>
      <c r="C4793" t="s">
        <v>8023</v>
      </c>
      <c r="D4793">
        <v>72785216</v>
      </c>
      <c r="E4793">
        <v>22</v>
      </c>
      <c r="F4793">
        <v>7.85</v>
      </c>
    </row>
    <row r="4794" spans="1:6" x14ac:dyDescent="0.3">
      <c r="A4794" t="s">
        <v>8024</v>
      </c>
      <c r="B4794" t="s">
        <v>4305</v>
      </c>
      <c r="C4794" t="s">
        <v>8025</v>
      </c>
      <c r="D4794">
        <v>72810041</v>
      </c>
      <c r="E4794">
        <v>4.66</v>
      </c>
      <c r="F4794">
        <v>7.68</v>
      </c>
    </row>
    <row r="4795" spans="1:6" x14ac:dyDescent="0.3">
      <c r="A4795" t="s">
        <v>8026</v>
      </c>
      <c r="B4795" t="s">
        <v>6676</v>
      </c>
      <c r="C4795" t="s">
        <v>2068</v>
      </c>
      <c r="D4795">
        <v>72817922</v>
      </c>
      <c r="E4795">
        <v>1.72</v>
      </c>
      <c r="F4795">
        <v>7.54</v>
      </c>
    </row>
    <row r="4796" spans="1:6" x14ac:dyDescent="0.3">
      <c r="A4796" t="s">
        <v>1029</v>
      </c>
      <c r="B4796" t="s">
        <v>8027</v>
      </c>
      <c r="C4796" t="s">
        <v>1030</v>
      </c>
      <c r="D4796">
        <v>72828091</v>
      </c>
      <c r="E4796">
        <v>8.6300000000000008</v>
      </c>
      <c r="F4796">
        <v>5.13</v>
      </c>
    </row>
    <row r="4797" spans="1:6" x14ac:dyDescent="0.3">
      <c r="A4797" t="s">
        <v>8028</v>
      </c>
      <c r="B4797" t="s">
        <v>8029</v>
      </c>
      <c r="C4797" t="s">
        <v>8030</v>
      </c>
      <c r="D4797">
        <v>72828395</v>
      </c>
      <c r="E4797">
        <v>7.61</v>
      </c>
      <c r="F4797">
        <v>7.2</v>
      </c>
    </row>
    <row r="4798" spans="1:6" x14ac:dyDescent="0.3">
      <c r="A4798" t="s">
        <v>8031</v>
      </c>
      <c r="B4798" t="s">
        <v>8032</v>
      </c>
      <c r="C4798" t="s">
        <v>8033</v>
      </c>
      <c r="D4798">
        <v>72832892</v>
      </c>
      <c r="E4798">
        <v>2.36</v>
      </c>
      <c r="F4798">
        <v>7.2</v>
      </c>
    </row>
    <row r="4799" spans="1:6" x14ac:dyDescent="0.3">
      <c r="A4799" t="s">
        <v>8034</v>
      </c>
      <c r="B4799" t="s">
        <v>8035</v>
      </c>
      <c r="C4799" t="s">
        <v>8036</v>
      </c>
      <c r="D4799">
        <v>72845835</v>
      </c>
      <c r="E4799">
        <v>3.14</v>
      </c>
      <c r="F4799">
        <v>6.9</v>
      </c>
    </row>
    <row r="4800" spans="1:6" x14ac:dyDescent="0.3">
      <c r="A4800" t="s">
        <v>8037</v>
      </c>
      <c r="B4800" t="s">
        <v>1358</v>
      </c>
      <c r="C4800" t="s">
        <v>8038</v>
      </c>
      <c r="D4800">
        <v>72873416</v>
      </c>
      <c r="E4800">
        <v>26.03</v>
      </c>
      <c r="F4800">
        <v>8.2899999999999991</v>
      </c>
    </row>
    <row r="4801" spans="1:6" x14ac:dyDescent="0.3">
      <c r="A4801" t="s">
        <v>8039</v>
      </c>
      <c r="B4801" t="s">
        <v>8040</v>
      </c>
      <c r="C4801" t="s">
        <v>8041</v>
      </c>
      <c r="D4801">
        <v>72898136</v>
      </c>
      <c r="E4801">
        <v>3.67</v>
      </c>
      <c r="F4801">
        <v>6.14</v>
      </c>
    </row>
    <row r="4802" spans="1:6" x14ac:dyDescent="0.3">
      <c r="A4802" t="s">
        <v>8042</v>
      </c>
      <c r="B4802" t="s">
        <v>8043</v>
      </c>
      <c r="C4802" t="s">
        <v>25</v>
      </c>
      <c r="D4802">
        <v>72908323</v>
      </c>
      <c r="E4802">
        <v>23.93</v>
      </c>
      <c r="F4802">
        <v>7.25</v>
      </c>
    </row>
    <row r="4803" spans="1:6" x14ac:dyDescent="0.3">
      <c r="A4803" t="s">
        <v>8044</v>
      </c>
      <c r="B4803" t="s">
        <v>8045</v>
      </c>
      <c r="C4803" t="s">
        <v>3002</v>
      </c>
      <c r="D4803">
        <v>72909674</v>
      </c>
      <c r="E4803">
        <v>3.62</v>
      </c>
      <c r="F4803">
        <v>5.3</v>
      </c>
    </row>
    <row r="4804" spans="1:6" x14ac:dyDescent="0.3">
      <c r="A4804" t="s">
        <v>8046</v>
      </c>
      <c r="B4804" t="s">
        <v>8047</v>
      </c>
      <c r="C4804" t="s">
        <v>8048</v>
      </c>
      <c r="D4804">
        <v>72941895</v>
      </c>
      <c r="E4804">
        <v>24</v>
      </c>
      <c r="F4804">
        <v>8.4</v>
      </c>
    </row>
    <row r="4805" spans="1:6" x14ac:dyDescent="0.3">
      <c r="A4805" t="s">
        <v>8049</v>
      </c>
      <c r="B4805" t="s">
        <v>7320</v>
      </c>
      <c r="C4805">
        <v>236</v>
      </c>
      <c r="D4805">
        <v>72942658</v>
      </c>
      <c r="E4805">
        <v>8.02</v>
      </c>
      <c r="F4805">
        <v>7.78</v>
      </c>
    </row>
    <row r="4806" spans="1:6" x14ac:dyDescent="0.3">
      <c r="A4806" t="s">
        <v>8050</v>
      </c>
      <c r="B4806" t="s">
        <v>7327</v>
      </c>
      <c r="C4806" t="s">
        <v>8051</v>
      </c>
      <c r="D4806">
        <v>72943745</v>
      </c>
      <c r="E4806">
        <v>22.04</v>
      </c>
      <c r="F4806">
        <v>7.35</v>
      </c>
    </row>
    <row r="4807" spans="1:6" x14ac:dyDescent="0.3">
      <c r="A4807" t="s">
        <v>8052</v>
      </c>
      <c r="B4807" t="s">
        <v>8053</v>
      </c>
      <c r="C4807" t="s">
        <v>8054</v>
      </c>
      <c r="D4807">
        <v>72946432</v>
      </c>
      <c r="E4807">
        <v>8.86</v>
      </c>
      <c r="F4807">
        <v>7.5</v>
      </c>
    </row>
    <row r="4808" spans="1:6" x14ac:dyDescent="0.3">
      <c r="A4808" t="s">
        <v>2401</v>
      </c>
      <c r="B4808" t="s">
        <v>8055</v>
      </c>
      <c r="C4808" t="s">
        <v>8056</v>
      </c>
      <c r="D4808">
        <v>72951015</v>
      </c>
      <c r="E4808">
        <v>8.48</v>
      </c>
      <c r="F4808">
        <v>7.75</v>
      </c>
    </row>
    <row r="4809" spans="1:6" x14ac:dyDescent="0.3">
      <c r="A4809" t="s">
        <v>8057</v>
      </c>
      <c r="B4809" t="s">
        <v>3255</v>
      </c>
      <c r="C4809" t="s">
        <v>8058</v>
      </c>
      <c r="D4809">
        <v>72969191</v>
      </c>
      <c r="E4809">
        <v>16.73</v>
      </c>
      <c r="F4809">
        <v>6.13</v>
      </c>
    </row>
    <row r="4810" spans="1:6" x14ac:dyDescent="0.3">
      <c r="A4810" t="s">
        <v>8059</v>
      </c>
      <c r="B4810" t="s">
        <v>8060</v>
      </c>
      <c r="C4810" t="s">
        <v>6372</v>
      </c>
      <c r="D4810">
        <v>72977441</v>
      </c>
      <c r="E4810">
        <v>1.05</v>
      </c>
      <c r="F4810">
        <v>6.64</v>
      </c>
    </row>
    <row r="4811" spans="1:6" x14ac:dyDescent="0.3">
      <c r="A4811" t="s">
        <v>8061</v>
      </c>
      <c r="B4811" t="s">
        <v>4044</v>
      </c>
      <c r="C4811" t="s">
        <v>6155</v>
      </c>
      <c r="D4811">
        <v>72977473</v>
      </c>
      <c r="E4811">
        <v>6.98</v>
      </c>
      <c r="F4811">
        <v>7.54</v>
      </c>
    </row>
    <row r="4812" spans="1:6" x14ac:dyDescent="0.3">
      <c r="A4812" t="s">
        <v>8062</v>
      </c>
      <c r="B4812" t="s">
        <v>5928</v>
      </c>
      <c r="C4812" t="s">
        <v>3092</v>
      </c>
      <c r="D4812">
        <v>73005068</v>
      </c>
      <c r="E4812">
        <v>22</v>
      </c>
      <c r="F4812">
        <v>6.59</v>
      </c>
    </row>
    <row r="4813" spans="1:6" x14ac:dyDescent="0.3">
      <c r="A4813" t="s">
        <v>8063</v>
      </c>
      <c r="B4813" t="s">
        <v>3800</v>
      </c>
      <c r="C4813" t="s">
        <v>6901</v>
      </c>
      <c r="D4813">
        <v>73012124</v>
      </c>
      <c r="E4813">
        <v>3.7</v>
      </c>
      <c r="F4813">
        <v>8.23</v>
      </c>
    </row>
    <row r="4814" spans="1:6" x14ac:dyDescent="0.3">
      <c r="A4814" t="s">
        <v>8064</v>
      </c>
      <c r="B4814" t="s">
        <v>8065</v>
      </c>
      <c r="C4814" t="s">
        <v>4504</v>
      </c>
      <c r="D4814">
        <v>73016057</v>
      </c>
      <c r="E4814">
        <v>1.57</v>
      </c>
      <c r="F4814">
        <v>7.83</v>
      </c>
    </row>
    <row r="4815" spans="1:6" x14ac:dyDescent="0.3">
      <c r="A4815" t="s">
        <v>8066</v>
      </c>
      <c r="B4815" t="s">
        <v>4812</v>
      </c>
      <c r="C4815" t="s">
        <v>1954</v>
      </c>
      <c r="D4815">
        <v>73018488</v>
      </c>
      <c r="E4815">
        <v>17.5</v>
      </c>
      <c r="F4815">
        <v>5</v>
      </c>
    </row>
    <row r="4816" spans="1:6" x14ac:dyDescent="0.3">
      <c r="A4816" t="s">
        <v>8067</v>
      </c>
      <c r="B4816" t="s">
        <v>8068</v>
      </c>
      <c r="C4816" t="s">
        <v>5162</v>
      </c>
      <c r="D4816">
        <v>73046664</v>
      </c>
      <c r="E4816">
        <v>6.75</v>
      </c>
      <c r="F4816">
        <v>5.17</v>
      </c>
    </row>
    <row r="4817" spans="1:6" x14ac:dyDescent="0.3">
      <c r="A4817" t="s">
        <v>8069</v>
      </c>
      <c r="B4817" t="s">
        <v>8070</v>
      </c>
      <c r="C4817" t="s">
        <v>2938</v>
      </c>
      <c r="D4817">
        <v>73056190</v>
      </c>
      <c r="E4817">
        <v>13.98</v>
      </c>
      <c r="F4817">
        <v>8.08</v>
      </c>
    </row>
    <row r="4818" spans="1:6" x14ac:dyDescent="0.3">
      <c r="A4818" t="s">
        <v>8071</v>
      </c>
      <c r="B4818" t="s">
        <v>8072</v>
      </c>
      <c r="C4818" t="s">
        <v>8073</v>
      </c>
      <c r="D4818">
        <v>73110909</v>
      </c>
      <c r="E4818">
        <v>14.87</v>
      </c>
      <c r="F4818">
        <v>6.46</v>
      </c>
    </row>
    <row r="4819" spans="1:6" x14ac:dyDescent="0.3">
      <c r="A4819" t="s">
        <v>8074</v>
      </c>
      <c r="B4819" t="s">
        <v>8075</v>
      </c>
      <c r="C4819" t="s">
        <v>7299</v>
      </c>
      <c r="D4819">
        <v>73114574</v>
      </c>
      <c r="E4819">
        <v>2.88</v>
      </c>
      <c r="F4819">
        <v>7.87</v>
      </c>
    </row>
    <row r="4820" spans="1:6" x14ac:dyDescent="0.3">
      <c r="A4820" t="s">
        <v>8076</v>
      </c>
      <c r="B4820" t="s">
        <v>7025</v>
      </c>
      <c r="C4820" t="s">
        <v>8077</v>
      </c>
      <c r="D4820">
        <v>73118535</v>
      </c>
      <c r="E4820">
        <v>15</v>
      </c>
      <c r="F4820">
        <v>6.5</v>
      </c>
    </row>
    <row r="4821" spans="1:6" x14ac:dyDescent="0.3">
      <c r="A4821" t="s">
        <v>8078</v>
      </c>
      <c r="B4821" t="s">
        <v>6650</v>
      </c>
      <c r="C4821" t="s">
        <v>8079</v>
      </c>
      <c r="D4821">
        <v>73120109</v>
      </c>
      <c r="E4821">
        <v>15.69</v>
      </c>
      <c r="F4821">
        <v>8.42</v>
      </c>
    </row>
    <row r="4822" spans="1:6" x14ac:dyDescent="0.3">
      <c r="A4822" t="s">
        <v>8080</v>
      </c>
      <c r="B4822" t="s">
        <v>7933</v>
      </c>
      <c r="C4822" t="s">
        <v>8081</v>
      </c>
      <c r="D4822">
        <v>73148688</v>
      </c>
      <c r="E4822">
        <v>2.95</v>
      </c>
      <c r="F4822">
        <v>6.73</v>
      </c>
    </row>
    <row r="4823" spans="1:6" x14ac:dyDescent="0.3">
      <c r="A4823" t="s">
        <v>8082</v>
      </c>
      <c r="B4823" t="s">
        <v>4184</v>
      </c>
      <c r="C4823" t="s">
        <v>8083</v>
      </c>
      <c r="D4823">
        <v>73164179</v>
      </c>
      <c r="E4823">
        <v>14.51</v>
      </c>
      <c r="F4823">
        <v>6.31</v>
      </c>
    </row>
    <row r="4824" spans="1:6" x14ac:dyDescent="0.3">
      <c r="A4824" t="s">
        <v>8084</v>
      </c>
      <c r="B4824" t="s">
        <v>3830</v>
      </c>
      <c r="C4824" t="s">
        <v>8085</v>
      </c>
      <c r="D4824">
        <v>73178254</v>
      </c>
      <c r="E4824">
        <v>3.19</v>
      </c>
      <c r="F4824">
        <v>7.68</v>
      </c>
    </row>
    <row r="4825" spans="1:6" x14ac:dyDescent="0.3">
      <c r="A4825" t="s">
        <v>8086</v>
      </c>
      <c r="B4825" t="s">
        <v>6056</v>
      </c>
      <c r="C4825" t="s">
        <v>1606</v>
      </c>
      <c r="D4825">
        <v>73228381</v>
      </c>
      <c r="E4825">
        <v>15.84</v>
      </c>
      <c r="F4825">
        <v>6.32</v>
      </c>
    </row>
    <row r="4826" spans="1:6" x14ac:dyDescent="0.3">
      <c r="A4826" t="s">
        <v>8087</v>
      </c>
      <c r="B4826" t="s">
        <v>4479</v>
      </c>
      <c r="C4826" t="s">
        <v>5725</v>
      </c>
      <c r="D4826">
        <v>73238970</v>
      </c>
      <c r="E4826">
        <v>5</v>
      </c>
      <c r="F4826">
        <v>6.77</v>
      </c>
    </row>
    <row r="4827" spans="1:6" x14ac:dyDescent="0.3">
      <c r="A4827" t="s">
        <v>8088</v>
      </c>
      <c r="B4827" t="s">
        <v>8089</v>
      </c>
      <c r="C4827" t="s">
        <v>5666</v>
      </c>
      <c r="D4827">
        <v>73248270</v>
      </c>
      <c r="E4827">
        <v>12.31</v>
      </c>
      <c r="F4827">
        <v>6.93</v>
      </c>
    </row>
    <row r="4828" spans="1:6" x14ac:dyDescent="0.3">
      <c r="A4828" t="s">
        <v>8090</v>
      </c>
      <c r="B4828" t="s">
        <v>6785</v>
      </c>
      <c r="C4828" t="e">
        <f>-Hidden Path- (Rapid Route mix)</f>
        <v>#NAME?</v>
      </c>
      <c r="D4828">
        <v>73249160</v>
      </c>
      <c r="E4828">
        <v>1.92</v>
      </c>
      <c r="F4828">
        <v>6.54</v>
      </c>
    </row>
    <row r="4829" spans="1:6" x14ac:dyDescent="0.3">
      <c r="A4829" t="s">
        <v>8091</v>
      </c>
      <c r="B4829" t="s">
        <v>7858</v>
      </c>
      <c r="C4829" t="s">
        <v>8092</v>
      </c>
      <c r="D4829">
        <v>73278665</v>
      </c>
      <c r="E4829">
        <v>3.28</v>
      </c>
      <c r="F4829">
        <v>6.35</v>
      </c>
    </row>
    <row r="4830" spans="1:6" x14ac:dyDescent="0.3">
      <c r="A4830" t="s">
        <v>8093</v>
      </c>
      <c r="B4830" t="s">
        <v>6403</v>
      </c>
      <c r="C4830" t="s">
        <v>8094</v>
      </c>
      <c r="D4830">
        <v>73289291</v>
      </c>
      <c r="E4830">
        <v>19.71</v>
      </c>
      <c r="F4830">
        <v>7.79</v>
      </c>
    </row>
    <row r="4831" spans="1:6" x14ac:dyDescent="0.3">
      <c r="A4831" t="s">
        <v>8095</v>
      </c>
      <c r="B4831" t="s">
        <v>7044</v>
      </c>
      <c r="C4831" t="s">
        <v>1142</v>
      </c>
      <c r="D4831">
        <v>73293695</v>
      </c>
      <c r="E4831">
        <v>1.88</v>
      </c>
      <c r="F4831">
        <v>7.6</v>
      </c>
    </row>
    <row r="4832" spans="1:6" x14ac:dyDescent="0.3">
      <c r="A4832" t="s">
        <v>5866</v>
      </c>
      <c r="B4832" t="s">
        <v>4669</v>
      </c>
      <c r="C4832" t="s">
        <v>5866</v>
      </c>
      <c r="D4832">
        <v>73294395</v>
      </c>
      <c r="E4832">
        <v>28</v>
      </c>
      <c r="F4832">
        <v>6.5</v>
      </c>
    </row>
    <row r="4833" spans="1:6" x14ac:dyDescent="0.3">
      <c r="A4833" t="s">
        <v>8096</v>
      </c>
      <c r="B4833" t="s">
        <v>8097</v>
      </c>
      <c r="C4833" t="s">
        <v>8098</v>
      </c>
      <c r="D4833">
        <v>73304066</v>
      </c>
      <c r="E4833">
        <v>11.29</v>
      </c>
      <c r="F4833">
        <v>7.5</v>
      </c>
    </row>
    <row r="4834" spans="1:6" x14ac:dyDescent="0.3">
      <c r="A4834" t="s">
        <v>8099</v>
      </c>
      <c r="B4834" t="s">
        <v>7003</v>
      </c>
      <c r="C4834" t="s">
        <v>8100</v>
      </c>
      <c r="D4834">
        <v>73333135</v>
      </c>
      <c r="E4834">
        <v>3.14</v>
      </c>
      <c r="F4834">
        <v>7.22</v>
      </c>
    </row>
    <row r="4835" spans="1:6" x14ac:dyDescent="0.3">
      <c r="A4835" t="s">
        <v>8101</v>
      </c>
      <c r="B4835" t="s">
        <v>8102</v>
      </c>
      <c r="C4835" t="s">
        <v>227</v>
      </c>
      <c r="D4835">
        <v>73335285</v>
      </c>
      <c r="E4835">
        <v>27.05</v>
      </c>
      <c r="F4835">
        <v>5</v>
      </c>
    </row>
    <row r="4836" spans="1:6" x14ac:dyDescent="0.3">
      <c r="A4836" t="s">
        <v>8103</v>
      </c>
      <c r="B4836" t="s">
        <v>7046</v>
      </c>
      <c r="C4836" t="s">
        <v>8104</v>
      </c>
      <c r="D4836">
        <v>73349318</v>
      </c>
      <c r="E4836">
        <v>17.399999999999999</v>
      </c>
      <c r="F4836">
        <v>8.6</v>
      </c>
    </row>
    <row r="4837" spans="1:6" x14ac:dyDescent="0.3">
      <c r="A4837" t="s">
        <v>8105</v>
      </c>
      <c r="B4837" t="s">
        <v>5877</v>
      </c>
      <c r="C4837" t="s">
        <v>5555</v>
      </c>
      <c r="D4837">
        <v>73362709</v>
      </c>
      <c r="E4837">
        <v>13.89</v>
      </c>
      <c r="F4837">
        <v>6.75</v>
      </c>
    </row>
    <row r="4838" spans="1:6" x14ac:dyDescent="0.3">
      <c r="A4838" t="s">
        <v>8106</v>
      </c>
      <c r="B4838" t="s">
        <v>8107</v>
      </c>
      <c r="C4838" t="s">
        <v>2195</v>
      </c>
      <c r="D4838">
        <v>73373434</v>
      </c>
      <c r="E4838">
        <v>8.6300000000000008</v>
      </c>
      <c r="F4838">
        <v>4.88</v>
      </c>
    </row>
    <row r="4839" spans="1:6" x14ac:dyDescent="0.3">
      <c r="A4839" t="s">
        <v>8108</v>
      </c>
      <c r="B4839" t="s">
        <v>5302</v>
      </c>
      <c r="C4839" t="s">
        <v>8058</v>
      </c>
      <c r="D4839">
        <v>73379528</v>
      </c>
      <c r="E4839">
        <v>4.2</v>
      </c>
      <c r="F4839">
        <v>5.57</v>
      </c>
    </row>
    <row r="4840" spans="1:6" x14ac:dyDescent="0.3">
      <c r="A4840" t="s">
        <v>8109</v>
      </c>
      <c r="B4840" t="s">
        <v>2203</v>
      </c>
      <c r="C4840" t="s">
        <v>2164</v>
      </c>
      <c r="D4840">
        <v>73399858</v>
      </c>
      <c r="E4840">
        <v>5.99</v>
      </c>
      <c r="F4840">
        <v>4.67</v>
      </c>
    </row>
    <row r="4841" spans="1:6" x14ac:dyDescent="0.3">
      <c r="A4841" t="s">
        <v>8110</v>
      </c>
      <c r="B4841" t="s">
        <v>8111</v>
      </c>
      <c r="C4841" t="s">
        <v>8112</v>
      </c>
      <c r="D4841">
        <v>73402938</v>
      </c>
      <c r="E4841">
        <v>5.56</v>
      </c>
      <c r="F4841">
        <v>7</v>
      </c>
    </row>
    <row r="4842" spans="1:6" x14ac:dyDescent="0.3">
      <c r="A4842" t="s">
        <v>8113</v>
      </c>
      <c r="B4842" t="s">
        <v>7129</v>
      </c>
      <c r="C4842" t="s">
        <v>8114</v>
      </c>
      <c r="D4842">
        <v>73412068</v>
      </c>
      <c r="E4842">
        <v>19.2</v>
      </c>
      <c r="F4842">
        <v>6.9</v>
      </c>
    </row>
    <row r="4843" spans="1:6" x14ac:dyDescent="0.3">
      <c r="A4843" t="s">
        <v>2679</v>
      </c>
      <c r="B4843" t="s">
        <v>6698</v>
      </c>
      <c r="C4843" t="s">
        <v>25</v>
      </c>
      <c r="D4843">
        <v>73417418</v>
      </c>
      <c r="E4843">
        <v>4.03</v>
      </c>
      <c r="F4843">
        <v>6</v>
      </c>
    </row>
    <row r="4844" spans="1:6" x14ac:dyDescent="0.3">
      <c r="A4844" t="s">
        <v>8115</v>
      </c>
      <c r="B4844" t="s">
        <v>4019</v>
      </c>
      <c r="C4844" t="s">
        <v>8116</v>
      </c>
      <c r="D4844">
        <v>73428541</v>
      </c>
      <c r="E4844">
        <v>26</v>
      </c>
      <c r="F4844">
        <v>8</v>
      </c>
    </row>
    <row r="4845" spans="1:6" x14ac:dyDescent="0.3">
      <c r="A4845" t="s">
        <v>8117</v>
      </c>
      <c r="B4845" t="s">
        <v>4010</v>
      </c>
      <c r="C4845" t="s">
        <v>1925</v>
      </c>
      <c r="D4845">
        <v>73454929</v>
      </c>
      <c r="E4845">
        <v>7.83</v>
      </c>
      <c r="F4845">
        <v>4.75</v>
      </c>
    </row>
    <row r="4846" spans="1:6" x14ac:dyDescent="0.3">
      <c r="A4846" t="s">
        <v>8118</v>
      </c>
      <c r="B4846" t="s">
        <v>8119</v>
      </c>
      <c r="C4846" t="s">
        <v>1183</v>
      </c>
      <c r="D4846">
        <v>73466347</v>
      </c>
      <c r="E4846">
        <v>6.64</v>
      </c>
      <c r="F4846">
        <v>7</v>
      </c>
    </row>
    <row r="4847" spans="1:6" x14ac:dyDescent="0.3">
      <c r="A4847" t="s">
        <v>8120</v>
      </c>
      <c r="B4847" t="s">
        <v>6928</v>
      </c>
      <c r="C4847" t="s">
        <v>8120</v>
      </c>
      <c r="D4847">
        <v>73467718</v>
      </c>
      <c r="E4847">
        <v>1.07</v>
      </c>
      <c r="F4847">
        <v>7.09</v>
      </c>
    </row>
    <row r="4848" spans="1:6" x14ac:dyDescent="0.3">
      <c r="A4848" t="s">
        <v>8121</v>
      </c>
      <c r="B4848" t="s">
        <v>3550</v>
      </c>
      <c r="C4848" t="s">
        <v>8122</v>
      </c>
      <c r="D4848">
        <v>73473750</v>
      </c>
      <c r="E4848">
        <v>2.0499999999999998</v>
      </c>
      <c r="F4848">
        <v>7.71</v>
      </c>
    </row>
    <row r="4849" spans="1:6" x14ac:dyDescent="0.3">
      <c r="A4849" t="s">
        <v>8123</v>
      </c>
      <c r="B4849" t="s">
        <v>8124</v>
      </c>
      <c r="C4849" t="s">
        <v>7264</v>
      </c>
      <c r="D4849">
        <v>73492403</v>
      </c>
      <c r="E4849">
        <v>11.76</v>
      </c>
      <c r="F4849">
        <v>7.08</v>
      </c>
    </row>
    <row r="4850" spans="1:6" x14ac:dyDescent="0.3">
      <c r="A4850" t="s">
        <v>8125</v>
      </c>
      <c r="B4850" t="s">
        <v>7156</v>
      </c>
      <c r="C4850" t="s">
        <v>8126</v>
      </c>
      <c r="D4850">
        <v>73501965</v>
      </c>
      <c r="E4850">
        <v>7.63</v>
      </c>
      <c r="F4850">
        <v>6.32</v>
      </c>
    </row>
    <row r="4851" spans="1:6" x14ac:dyDescent="0.3">
      <c r="A4851" t="s">
        <v>8127</v>
      </c>
      <c r="B4851" t="s">
        <v>6667</v>
      </c>
      <c r="C4851" t="s">
        <v>1231</v>
      </c>
      <c r="D4851">
        <v>73529215</v>
      </c>
      <c r="E4851">
        <v>24</v>
      </c>
      <c r="F4851">
        <v>6.4</v>
      </c>
    </row>
    <row r="4852" spans="1:6" x14ac:dyDescent="0.3">
      <c r="A4852" t="s">
        <v>8128</v>
      </c>
      <c r="B4852" t="s">
        <v>6996</v>
      </c>
      <c r="C4852" t="s">
        <v>8129</v>
      </c>
      <c r="D4852">
        <v>73563312</v>
      </c>
      <c r="E4852">
        <v>9.2899999999999991</v>
      </c>
      <c r="F4852">
        <v>8.67</v>
      </c>
    </row>
    <row r="4853" spans="1:6" x14ac:dyDescent="0.3">
      <c r="A4853" t="s">
        <v>8130</v>
      </c>
      <c r="B4853" t="s">
        <v>7177</v>
      </c>
      <c r="C4853" t="s">
        <v>8131</v>
      </c>
      <c r="D4853">
        <v>73584866</v>
      </c>
      <c r="E4853">
        <v>5.18</v>
      </c>
      <c r="F4853">
        <v>8.16</v>
      </c>
    </row>
    <row r="4854" spans="1:6" x14ac:dyDescent="0.3">
      <c r="A4854" t="s">
        <v>8132</v>
      </c>
      <c r="B4854" t="s">
        <v>8133</v>
      </c>
      <c r="C4854" t="s">
        <v>8134</v>
      </c>
      <c r="D4854">
        <v>73604424</v>
      </c>
      <c r="E4854">
        <v>4.66</v>
      </c>
      <c r="F4854">
        <v>4.75</v>
      </c>
    </row>
    <row r="4855" spans="1:6" x14ac:dyDescent="0.3">
      <c r="A4855" t="s">
        <v>8135</v>
      </c>
      <c r="B4855" t="s">
        <v>6919</v>
      </c>
      <c r="C4855" t="s">
        <v>8136</v>
      </c>
      <c r="D4855">
        <v>73607778</v>
      </c>
      <c r="E4855">
        <v>14.52</v>
      </c>
      <c r="F4855">
        <v>6.35</v>
      </c>
    </row>
    <row r="4856" spans="1:6" x14ac:dyDescent="0.3">
      <c r="A4856" t="s">
        <v>8137</v>
      </c>
      <c r="B4856" t="s">
        <v>6151</v>
      </c>
      <c r="C4856" t="s">
        <v>8138</v>
      </c>
      <c r="D4856">
        <v>73608496</v>
      </c>
      <c r="E4856">
        <v>2.02</v>
      </c>
      <c r="F4856">
        <v>5.37</v>
      </c>
    </row>
    <row r="4857" spans="1:6" x14ac:dyDescent="0.3">
      <c r="A4857" t="s">
        <v>8139</v>
      </c>
      <c r="B4857" t="s">
        <v>8140</v>
      </c>
      <c r="C4857" t="s">
        <v>8141</v>
      </c>
      <c r="D4857">
        <v>73634001</v>
      </c>
      <c r="E4857">
        <v>1.7</v>
      </c>
      <c r="F4857">
        <v>5.75</v>
      </c>
    </row>
    <row r="4858" spans="1:6" x14ac:dyDescent="0.3">
      <c r="A4858" t="s">
        <v>8142</v>
      </c>
      <c r="B4858" t="s">
        <v>6676</v>
      </c>
      <c r="C4858" t="s">
        <v>8143</v>
      </c>
      <c r="D4858">
        <v>73642384</v>
      </c>
      <c r="E4858">
        <v>2.25</v>
      </c>
      <c r="F4858">
        <v>7.42</v>
      </c>
    </row>
    <row r="4859" spans="1:6" x14ac:dyDescent="0.3">
      <c r="A4859" t="s">
        <v>8144</v>
      </c>
      <c r="B4859" t="s">
        <v>595</v>
      </c>
      <c r="C4859" t="s">
        <v>7677</v>
      </c>
      <c r="D4859">
        <v>73645039</v>
      </c>
      <c r="E4859">
        <v>27.89</v>
      </c>
      <c r="F4859">
        <v>7.29</v>
      </c>
    </row>
    <row r="4860" spans="1:6" x14ac:dyDescent="0.3">
      <c r="A4860" t="s">
        <v>8145</v>
      </c>
      <c r="B4860" t="s">
        <v>4521</v>
      </c>
      <c r="C4860" t="s">
        <v>4045</v>
      </c>
      <c r="D4860">
        <v>73657457</v>
      </c>
      <c r="E4860">
        <v>17.25</v>
      </c>
      <c r="F4860">
        <v>8</v>
      </c>
    </row>
    <row r="4861" spans="1:6" x14ac:dyDescent="0.3">
      <c r="A4861" t="s">
        <v>8146</v>
      </c>
      <c r="B4861" t="s">
        <v>2519</v>
      </c>
      <c r="C4861" t="s">
        <v>8147</v>
      </c>
      <c r="D4861">
        <v>73661181</v>
      </c>
      <c r="E4861">
        <v>2.0299999999999998</v>
      </c>
      <c r="F4861">
        <v>6.74</v>
      </c>
    </row>
    <row r="4862" spans="1:6" x14ac:dyDescent="0.3">
      <c r="A4862" t="s">
        <v>8148</v>
      </c>
      <c r="B4862" t="s">
        <v>8149</v>
      </c>
      <c r="C4862" t="s">
        <v>3551</v>
      </c>
      <c r="D4862">
        <v>73667628</v>
      </c>
      <c r="E4862" t="s">
        <v>3814</v>
      </c>
      <c r="F4862" t="s">
        <v>3814</v>
      </c>
    </row>
    <row r="4863" spans="1:6" x14ac:dyDescent="0.3">
      <c r="A4863" t="s">
        <v>8150</v>
      </c>
      <c r="B4863" t="s">
        <v>8070</v>
      </c>
      <c r="C4863" t="s">
        <v>8151</v>
      </c>
      <c r="D4863">
        <v>73670615</v>
      </c>
      <c r="E4863">
        <v>15.48</v>
      </c>
      <c r="F4863">
        <v>6.82</v>
      </c>
    </row>
    <row r="4864" spans="1:6" x14ac:dyDescent="0.3">
      <c r="A4864" t="s">
        <v>8152</v>
      </c>
      <c r="B4864" t="s">
        <v>8153</v>
      </c>
      <c r="C4864" t="s">
        <v>6573</v>
      </c>
      <c r="D4864">
        <v>73695516</v>
      </c>
      <c r="E4864">
        <v>13.91</v>
      </c>
      <c r="F4864">
        <v>7.97</v>
      </c>
    </row>
    <row r="4865" spans="1:6" x14ac:dyDescent="0.3">
      <c r="A4865" t="s">
        <v>8154</v>
      </c>
      <c r="B4865" t="s">
        <v>2609</v>
      </c>
      <c r="C4865" t="s">
        <v>8155</v>
      </c>
      <c r="D4865">
        <v>73725400</v>
      </c>
      <c r="E4865">
        <v>19.05</v>
      </c>
      <c r="F4865">
        <v>6.71</v>
      </c>
    </row>
    <row r="4866" spans="1:6" x14ac:dyDescent="0.3">
      <c r="A4866" t="s">
        <v>8156</v>
      </c>
      <c r="B4866" t="s">
        <v>7592</v>
      </c>
      <c r="C4866" t="s">
        <v>5219</v>
      </c>
      <c r="D4866">
        <v>73733373</v>
      </c>
      <c r="E4866">
        <v>26.93</v>
      </c>
      <c r="F4866">
        <v>7.36</v>
      </c>
    </row>
    <row r="4867" spans="1:6" x14ac:dyDescent="0.3">
      <c r="A4867" t="s">
        <v>8157</v>
      </c>
      <c r="B4867" t="s">
        <v>7626</v>
      </c>
      <c r="C4867" t="s">
        <v>4937</v>
      </c>
      <c r="D4867">
        <v>73757516</v>
      </c>
      <c r="E4867">
        <v>7.41</v>
      </c>
      <c r="F4867">
        <v>7.13</v>
      </c>
    </row>
    <row r="4868" spans="1:6" x14ac:dyDescent="0.3">
      <c r="A4868" t="s">
        <v>8158</v>
      </c>
      <c r="B4868" t="s">
        <v>8159</v>
      </c>
      <c r="C4868" t="s">
        <v>6117</v>
      </c>
      <c r="D4868">
        <v>73762154</v>
      </c>
      <c r="E4868">
        <v>3.17</v>
      </c>
      <c r="F4868">
        <v>6.1</v>
      </c>
    </row>
    <row r="4869" spans="1:6" x14ac:dyDescent="0.3">
      <c r="A4869" t="s">
        <v>8160</v>
      </c>
      <c r="B4869" t="s">
        <v>8161</v>
      </c>
      <c r="C4869" t="s">
        <v>7050</v>
      </c>
      <c r="D4869">
        <v>73765117</v>
      </c>
      <c r="E4869">
        <v>4.49</v>
      </c>
      <c r="F4869">
        <v>6.9</v>
      </c>
    </row>
    <row r="4870" spans="1:6" x14ac:dyDescent="0.3">
      <c r="A4870" t="s">
        <v>8162</v>
      </c>
      <c r="B4870" t="s">
        <v>5115</v>
      </c>
      <c r="C4870" t="s">
        <v>8163</v>
      </c>
      <c r="D4870">
        <v>73765133</v>
      </c>
      <c r="E4870">
        <v>14.31</v>
      </c>
      <c r="F4870">
        <v>6.5</v>
      </c>
    </row>
    <row r="4871" spans="1:6" x14ac:dyDescent="0.3">
      <c r="A4871" t="s">
        <v>8164</v>
      </c>
      <c r="B4871" t="s">
        <v>8165</v>
      </c>
      <c r="C4871" t="s">
        <v>5855</v>
      </c>
      <c r="D4871">
        <v>73769296</v>
      </c>
      <c r="E4871">
        <v>4.45</v>
      </c>
      <c r="F4871">
        <v>6</v>
      </c>
    </row>
    <row r="4872" spans="1:6" x14ac:dyDescent="0.3">
      <c r="A4872" t="s">
        <v>8166</v>
      </c>
      <c r="B4872" t="s">
        <v>7631</v>
      </c>
      <c r="C4872" t="s">
        <v>8167</v>
      </c>
      <c r="D4872">
        <v>73795682</v>
      </c>
      <c r="E4872">
        <v>7.19</v>
      </c>
      <c r="F4872">
        <v>6.15</v>
      </c>
    </row>
    <row r="4873" spans="1:6" x14ac:dyDescent="0.3">
      <c r="A4873" t="s">
        <v>8168</v>
      </c>
      <c r="B4873" t="s">
        <v>8169</v>
      </c>
      <c r="C4873" t="s">
        <v>4356</v>
      </c>
      <c r="D4873">
        <v>73808926</v>
      </c>
      <c r="E4873">
        <v>13.16</v>
      </c>
      <c r="F4873">
        <v>5.58</v>
      </c>
    </row>
    <row r="4874" spans="1:6" x14ac:dyDescent="0.3">
      <c r="A4874" t="s">
        <v>3756</v>
      </c>
      <c r="B4874" t="s">
        <v>3880</v>
      </c>
      <c r="C4874" t="s">
        <v>1925</v>
      </c>
      <c r="D4874">
        <v>73810436</v>
      </c>
      <c r="E4874">
        <v>3.63</v>
      </c>
      <c r="F4874">
        <v>5.55</v>
      </c>
    </row>
    <row r="4875" spans="1:6" x14ac:dyDescent="0.3">
      <c r="A4875" t="s">
        <v>8170</v>
      </c>
      <c r="B4875" t="s">
        <v>7152</v>
      </c>
      <c r="C4875" t="s">
        <v>8171</v>
      </c>
      <c r="D4875">
        <v>73837161</v>
      </c>
      <c r="E4875">
        <v>21.06</v>
      </c>
      <c r="F4875">
        <v>7</v>
      </c>
    </row>
    <row r="4876" spans="1:6" x14ac:dyDescent="0.3">
      <c r="A4876" t="s">
        <v>8172</v>
      </c>
      <c r="B4876" t="s">
        <v>5115</v>
      </c>
      <c r="C4876" t="s">
        <v>8173</v>
      </c>
      <c r="D4876">
        <v>73845955</v>
      </c>
      <c r="E4876">
        <v>2.21</v>
      </c>
      <c r="F4876">
        <v>6.08</v>
      </c>
    </row>
    <row r="4877" spans="1:6" x14ac:dyDescent="0.3">
      <c r="A4877" t="s">
        <v>8174</v>
      </c>
      <c r="B4877" t="s">
        <v>7037</v>
      </c>
      <c r="C4877" t="s">
        <v>8175</v>
      </c>
      <c r="D4877">
        <v>73864231</v>
      </c>
      <c r="E4877">
        <v>5.71</v>
      </c>
      <c r="F4877">
        <v>7.79</v>
      </c>
    </row>
    <row r="4878" spans="1:6" x14ac:dyDescent="0.3">
      <c r="A4878" t="s">
        <v>8176</v>
      </c>
      <c r="B4878" t="s">
        <v>5746</v>
      </c>
      <c r="C4878" t="s">
        <v>4388</v>
      </c>
      <c r="D4878">
        <v>73871779</v>
      </c>
      <c r="E4878">
        <v>2.0299999999999998</v>
      </c>
      <c r="F4878">
        <v>6.23</v>
      </c>
    </row>
    <row r="4879" spans="1:6" x14ac:dyDescent="0.3">
      <c r="A4879" t="s">
        <v>8177</v>
      </c>
      <c r="B4879" t="s">
        <v>8178</v>
      </c>
      <c r="C4879" t="s">
        <v>8179</v>
      </c>
      <c r="D4879">
        <v>73878822</v>
      </c>
      <c r="E4879">
        <v>21.29</v>
      </c>
      <c r="F4879">
        <v>6.57</v>
      </c>
    </row>
    <row r="4880" spans="1:6" x14ac:dyDescent="0.3">
      <c r="A4880" t="s">
        <v>8180</v>
      </c>
      <c r="B4880" t="s">
        <v>8032</v>
      </c>
      <c r="C4880" t="s">
        <v>1832</v>
      </c>
      <c r="D4880">
        <v>73882514</v>
      </c>
      <c r="E4880">
        <v>3.93</v>
      </c>
      <c r="F4880">
        <v>6.88</v>
      </c>
    </row>
    <row r="4881" spans="1:6" x14ac:dyDescent="0.3">
      <c r="A4881" t="s">
        <v>8181</v>
      </c>
      <c r="B4881" t="s">
        <v>5562</v>
      </c>
      <c r="C4881" t="s">
        <v>1286</v>
      </c>
      <c r="D4881">
        <v>73888166</v>
      </c>
      <c r="E4881">
        <v>16.36</v>
      </c>
      <c r="F4881">
        <v>6.33</v>
      </c>
    </row>
    <row r="4882" spans="1:6" x14ac:dyDescent="0.3">
      <c r="A4882" t="s">
        <v>8182</v>
      </c>
      <c r="B4882" t="s">
        <v>5975</v>
      </c>
      <c r="C4882" t="s">
        <v>2675</v>
      </c>
      <c r="D4882">
        <v>73955917</v>
      </c>
      <c r="E4882">
        <v>3.31</v>
      </c>
      <c r="F4882">
        <v>6.72</v>
      </c>
    </row>
    <row r="4883" spans="1:6" x14ac:dyDescent="0.3">
      <c r="A4883" t="s">
        <v>8183</v>
      </c>
      <c r="B4883" t="s">
        <v>6226</v>
      </c>
      <c r="C4883" t="s">
        <v>8167</v>
      </c>
      <c r="D4883">
        <v>73963102</v>
      </c>
      <c r="E4883">
        <v>6.94</v>
      </c>
      <c r="F4883">
        <v>7.17</v>
      </c>
    </row>
    <row r="4884" spans="1:6" x14ac:dyDescent="0.3">
      <c r="A4884" t="s">
        <v>8184</v>
      </c>
      <c r="B4884" t="s">
        <v>6204</v>
      </c>
      <c r="C4884" t="s">
        <v>8185</v>
      </c>
      <c r="D4884">
        <v>73970377</v>
      </c>
      <c r="E4884">
        <v>3.49</v>
      </c>
      <c r="F4884">
        <v>5.94</v>
      </c>
    </row>
    <row r="4885" spans="1:6" x14ac:dyDescent="0.3">
      <c r="A4885" t="s">
        <v>8186</v>
      </c>
      <c r="B4885" t="s">
        <v>8187</v>
      </c>
      <c r="C4885" t="s">
        <v>4504</v>
      </c>
      <c r="D4885">
        <v>73988608</v>
      </c>
      <c r="E4885">
        <v>24.33</v>
      </c>
      <c r="F4885">
        <v>4.5</v>
      </c>
    </row>
    <row r="4886" spans="1:6" x14ac:dyDescent="0.3">
      <c r="A4886" t="s">
        <v>8188</v>
      </c>
      <c r="B4886" t="s">
        <v>8189</v>
      </c>
      <c r="C4886" t="s">
        <v>3877</v>
      </c>
      <c r="D4886">
        <v>74016680</v>
      </c>
      <c r="E4886">
        <v>9.11</v>
      </c>
      <c r="F4886">
        <v>5.7</v>
      </c>
    </row>
    <row r="4887" spans="1:6" x14ac:dyDescent="0.3">
      <c r="A4887" t="s">
        <v>8190</v>
      </c>
      <c r="B4887" t="s">
        <v>8191</v>
      </c>
      <c r="C4887" t="s">
        <v>8081</v>
      </c>
      <c r="D4887">
        <v>74028410</v>
      </c>
      <c r="E4887">
        <v>24.67</v>
      </c>
      <c r="F4887">
        <v>6.94</v>
      </c>
    </row>
    <row r="4888" spans="1:6" x14ac:dyDescent="0.3">
      <c r="A4888" t="s">
        <v>8192</v>
      </c>
      <c r="B4888" t="s">
        <v>5373</v>
      </c>
      <c r="C4888" t="s">
        <v>8193</v>
      </c>
      <c r="D4888">
        <v>74034217</v>
      </c>
      <c r="E4888">
        <v>29.4</v>
      </c>
      <c r="F4888">
        <v>7.4</v>
      </c>
    </row>
    <row r="4889" spans="1:6" x14ac:dyDescent="0.3">
      <c r="A4889" t="s">
        <v>8194</v>
      </c>
      <c r="B4889" t="s">
        <v>8195</v>
      </c>
      <c r="C4889" t="s">
        <v>1573</v>
      </c>
      <c r="D4889">
        <v>74054225</v>
      </c>
      <c r="E4889">
        <v>15.59</v>
      </c>
      <c r="F4889">
        <v>7.42</v>
      </c>
    </row>
    <row r="4890" spans="1:6" x14ac:dyDescent="0.3">
      <c r="A4890" t="s">
        <v>3432</v>
      </c>
      <c r="B4890" t="s">
        <v>6490</v>
      </c>
      <c r="C4890" t="s">
        <v>2383</v>
      </c>
      <c r="D4890">
        <v>74090626</v>
      </c>
      <c r="E4890">
        <v>18.84</v>
      </c>
      <c r="F4890">
        <v>6.27</v>
      </c>
    </row>
    <row r="4891" spans="1:6" x14ac:dyDescent="0.3">
      <c r="A4891" t="s">
        <v>8196</v>
      </c>
      <c r="B4891" t="s">
        <v>7784</v>
      </c>
      <c r="C4891" t="s">
        <v>3945</v>
      </c>
      <c r="D4891">
        <v>74091561</v>
      </c>
      <c r="E4891">
        <v>5.58</v>
      </c>
      <c r="F4891">
        <v>8</v>
      </c>
    </row>
    <row r="4892" spans="1:6" x14ac:dyDescent="0.3">
      <c r="A4892" t="s">
        <v>8197</v>
      </c>
      <c r="B4892" t="s">
        <v>5006</v>
      </c>
      <c r="C4892" t="s">
        <v>8198</v>
      </c>
      <c r="D4892">
        <v>74118097</v>
      </c>
      <c r="E4892">
        <v>12.76</v>
      </c>
      <c r="F4892">
        <v>6.08</v>
      </c>
    </row>
    <row r="4893" spans="1:6" x14ac:dyDescent="0.3">
      <c r="A4893" t="s">
        <v>8199</v>
      </c>
      <c r="B4893" t="s">
        <v>6635</v>
      </c>
      <c r="C4893" t="s">
        <v>6901</v>
      </c>
      <c r="D4893">
        <v>74154894</v>
      </c>
      <c r="E4893">
        <v>2.86</v>
      </c>
      <c r="F4893">
        <v>7.08</v>
      </c>
    </row>
    <row r="4894" spans="1:6" x14ac:dyDescent="0.3">
      <c r="A4894" t="s">
        <v>8200</v>
      </c>
      <c r="B4894" t="s">
        <v>8201</v>
      </c>
      <c r="C4894" t="s">
        <v>8202</v>
      </c>
      <c r="D4894">
        <v>74178936</v>
      </c>
      <c r="E4894">
        <v>15.86</v>
      </c>
      <c r="F4894">
        <v>8.36</v>
      </c>
    </row>
    <row r="4895" spans="1:6" x14ac:dyDescent="0.3">
      <c r="A4895" t="s">
        <v>8203</v>
      </c>
      <c r="B4895" t="s">
        <v>7356</v>
      </c>
      <c r="C4895" t="s">
        <v>8204</v>
      </c>
      <c r="D4895">
        <v>74191708</v>
      </c>
      <c r="E4895">
        <v>19.41</v>
      </c>
      <c r="F4895">
        <v>7.77</v>
      </c>
    </row>
    <row r="4896" spans="1:6" x14ac:dyDescent="0.3">
      <c r="A4896" t="s">
        <v>8205</v>
      </c>
      <c r="B4896" t="s">
        <v>6556</v>
      </c>
      <c r="C4896" t="s">
        <v>1059</v>
      </c>
      <c r="D4896">
        <v>74194269</v>
      </c>
      <c r="E4896">
        <v>22</v>
      </c>
      <c r="F4896">
        <v>6</v>
      </c>
    </row>
    <row r="4897" spans="1:6" x14ac:dyDescent="0.3">
      <c r="A4897" t="s">
        <v>8206</v>
      </c>
      <c r="B4897" t="s">
        <v>8207</v>
      </c>
      <c r="C4897" t="s">
        <v>4155</v>
      </c>
      <c r="D4897">
        <v>74206909</v>
      </c>
      <c r="E4897">
        <v>1.55</v>
      </c>
      <c r="F4897">
        <v>7.19</v>
      </c>
    </row>
    <row r="4898" spans="1:6" x14ac:dyDescent="0.3">
      <c r="A4898" t="s">
        <v>8208</v>
      </c>
      <c r="B4898" t="s">
        <v>7052</v>
      </c>
      <c r="C4898" t="s">
        <v>8209</v>
      </c>
      <c r="D4898">
        <v>74217160</v>
      </c>
      <c r="E4898">
        <v>1.44</v>
      </c>
      <c r="F4898">
        <v>7.81</v>
      </c>
    </row>
    <row r="4899" spans="1:6" x14ac:dyDescent="0.3">
      <c r="A4899" t="s">
        <v>8210</v>
      </c>
      <c r="B4899" t="s">
        <v>8211</v>
      </c>
      <c r="C4899" t="s">
        <v>991</v>
      </c>
      <c r="D4899">
        <v>74220908</v>
      </c>
      <c r="E4899">
        <v>5.4</v>
      </c>
      <c r="F4899">
        <v>5</v>
      </c>
    </row>
    <row r="4900" spans="1:6" x14ac:dyDescent="0.3">
      <c r="A4900" t="s">
        <v>8212</v>
      </c>
      <c r="B4900" t="s">
        <v>5698</v>
      </c>
      <c r="C4900" t="s">
        <v>8213</v>
      </c>
      <c r="D4900">
        <v>74225291</v>
      </c>
      <c r="E4900">
        <v>19.600000000000001</v>
      </c>
      <c r="F4900">
        <v>7</v>
      </c>
    </row>
    <row r="4901" spans="1:6" x14ac:dyDescent="0.3">
      <c r="A4901" t="s">
        <v>8214</v>
      </c>
      <c r="B4901" t="s">
        <v>8215</v>
      </c>
      <c r="C4901" t="s">
        <v>8216</v>
      </c>
      <c r="D4901">
        <v>74250604</v>
      </c>
      <c r="E4901">
        <v>12.95</v>
      </c>
      <c r="F4901">
        <v>7</v>
      </c>
    </row>
    <row r="4902" spans="1:6" x14ac:dyDescent="0.3">
      <c r="A4902" t="s">
        <v>8217</v>
      </c>
      <c r="B4902" t="s">
        <v>8040</v>
      </c>
      <c r="C4902" t="s">
        <v>8218</v>
      </c>
      <c r="D4902">
        <v>74255517</v>
      </c>
      <c r="E4902">
        <v>5.96</v>
      </c>
      <c r="F4902">
        <v>6</v>
      </c>
    </row>
    <row r="4903" spans="1:6" x14ac:dyDescent="0.3">
      <c r="A4903" t="s">
        <v>8219</v>
      </c>
      <c r="B4903" t="s">
        <v>8220</v>
      </c>
      <c r="C4903" t="s">
        <v>6877</v>
      </c>
      <c r="D4903">
        <v>74261049</v>
      </c>
      <c r="E4903">
        <v>1.06</v>
      </c>
      <c r="F4903">
        <v>7.18</v>
      </c>
    </row>
    <row r="4904" spans="1:6" x14ac:dyDescent="0.3">
      <c r="A4904" t="s">
        <v>8221</v>
      </c>
      <c r="B4904" t="s">
        <v>5696</v>
      </c>
      <c r="C4904" t="s">
        <v>2056</v>
      </c>
      <c r="D4904">
        <v>74263444</v>
      </c>
      <c r="E4904">
        <v>18</v>
      </c>
      <c r="F4904">
        <v>7.86</v>
      </c>
    </row>
    <row r="4905" spans="1:6" x14ac:dyDescent="0.3">
      <c r="A4905" t="s">
        <v>8222</v>
      </c>
      <c r="B4905" t="s">
        <v>7540</v>
      </c>
      <c r="C4905" t="s">
        <v>5003</v>
      </c>
      <c r="D4905">
        <v>74290750</v>
      </c>
      <c r="E4905">
        <v>14.8</v>
      </c>
      <c r="F4905">
        <v>5.67</v>
      </c>
    </row>
    <row r="4906" spans="1:6" x14ac:dyDescent="0.3">
      <c r="A4906" t="s">
        <v>8223</v>
      </c>
      <c r="B4906" t="s">
        <v>8224</v>
      </c>
      <c r="C4906" t="s">
        <v>8225</v>
      </c>
      <c r="D4906">
        <v>74294968</v>
      </c>
      <c r="E4906">
        <v>6.67</v>
      </c>
      <c r="F4906">
        <v>7</v>
      </c>
    </row>
    <row r="4907" spans="1:6" x14ac:dyDescent="0.3">
      <c r="A4907" t="s">
        <v>8226</v>
      </c>
      <c r="B4907" t="s">
        <v>8227</v>
      </c>
      <c r="C4907" t="s">
        <v>4081</v>
      </c>
      <c r="D4907">
        <v>74298124</v>
      </c>
      <c r="E4907">
        <v>4.83</v>
      </c>
      <c r="F4907">
        <v>6.07</v>
      </c>
    </row>
    <row r="4908" spans="1:6" x14ac:dyDescent="0.3">
      <c r="A4908" t="s">
        <v>8228</v>
      </c>
      <c r="B4908" t="s">
        <v>8229</v>
      </c>
      <c r="C4908" t="s">
        <v>6020</v>
      </c>
      <c r="D4908">
        <v>74315609</v>
      </c>
      <c r="E4908">
        <v>6.17</v>
      </c>
      <c r="F4908">
        <v>3.33</v>
      </c>
    </row>
    <row r="4909" spans="1:6" x14ac:dyDescent="0.3">
      <c r="A4909" t="s">
        <v>8230</v>
      </c>
      <c r="B4909" t="s">
        <v>8231</v>
      </c>
      <c r="C4909" t="s">
        <v>7687</v>
      </c>
      <c r="D4909">
        <v>74334112</v>
      </c>
      <c r="E4909">
        <v>3.02</v>
      </c>
      <c r="F4909">
        <v>7.71</v>
      </c>
    </row>
    <row r="4910" spans="1:6" x14ac:dyDescent="0.3">
      <c r="A4910" t="s">
        <v>6394</v>
      </c>
      <c r="B4910" t="s">
        <v>4690</v>
      </c>
      <c r="C4910" t="s">
        <v>8232</v>
      </c>
      <c r="D4910">
        <v>74343352</v>
      </c>
      <c r="E4910">
        <v>28.67</v>
      </c>
      <c r="F4910">
        <v>6</v>
      </c>
    </row>
    <row r="4911" spans="1:6" x14ac:dyDescent="0.3">
      <c r="A4911" t="s">
        <v>8233</v>
      </c>
      <c r="B4911" t="s">
        <v>8234</v>
      </c>
      <c r="C4911" t="s">
        <v>6072</v>
      </c>
      <c r="D4911">
        <v>74361921</v>
      </c>
      <c r="E4911">
        <v>30</v>
      </c>
      <c r="F4911">
        <v>8.83</v>
      </c>
    </row>
    <row r="4912" spans="1:6" x14ac:dyDescent="0.3">
      <c r="A4912" t="s">
        <v>8235</v>
      </c>
      <c r="B4912" t="s">
        <v>8236</v>
      </c>
      <c r="C4912" t="s">
        <v>7372</v>
      </c>
      <c r="D4912">
        <v>74365514</v>
      </c>
      <c r="E4912">
        <v>5.71</v>
      </c>
      <c r="F4912">
        <v>6</v>
      </c>
    </row>
    <row r="4913" spans="1:6" x14ac:dyDescent="0.3">
      <c r="A4913" t="s">
        <v>8237</v>
      </c>
      <c r="B4913" t="s">
        <v>5512</v>
      </c>
      <c r="C4913" t="s">
        <v>8238</v>
      </c>
      <c r="D4913">
        <v>74366093</v>
      </c>
      <c r="E4913">
        <v>16.13</v>
      </c>
      <c r="F4913">
        <v>5</v>
      </c>
    </row>
    <row r="4914" spans="1:6" x14ac:dyDescent="0.3">
      <c r="A4914" t="s">
        <v>8239</v>
      </c>
      <c r="B4914" t="s">
        <v>5616</v>
      </c>
      <c r="C4914" t="s">
        <v>1747</v>
      </c>
      <c r="D4914">
        <v>74391640</v>
      </c>
      <c r="E4914">
        <v>34</v>
      </c>
      <c r="F4914">
        <v>7</v>
      </c>
    </row>
    <row r="4915" spans="1:6" x14ac:dyDescent="0.3">
      <c r="A4915" t="s">
        <v>8240</v>
      </c>
      <c r="B4915" t="s">
        <v>6276</v>
      </c>
      <c r="C4915" t="s">
        <v>7102</v>
      </c>
      <c r="D4915">
        <v>74403206</v>
      </c>
      <c r="E4915">
        <v>16</v>
      </c>
      <c r="F4915">
        <v>5.21</v>
      </c>
    </row>
    <row r="4916" spans="1:6" x14ac:dyDescent="0.3">
      <c r="A4916" t="s">
        <v>8241</v>
      </c>
      <c r="B4916" t="s">
        <v>8242</v>
      </c>
      <c r="C4916" t="s">
        <v>7705</v>
      </c>
      <c r="D4916">
        <v>74409120</v>
      </c>
      <c r="E4916">
        <v>4.1100000000000003</v>
      </c>
      <c r="F4916">
        <v>5.75</v>
      </c>
    </row>
    <row r="4917" spans="1:6" x14ac:dyDescent="0.3">
      <c r="A4917" t="s">
        <v>8243</v>
      </c>
      <c r="B4917" t="s">
        <v>8244</v>
      </c>
      <c r="C4917" t="s">
        <v>8245</v>
      </c>
      <c r="D4917">
        <v>74415483</v>
      </c>
      <c r="E4917">
        <v>2.37</v>
      </c>
      <c r="F4917">
        <v>6.19</v>
      </c>
    </row>
    <row r="4918" spans="1:6" x14ac:dyDescent="0.3">
      <c r="A4918" t="s">
        <v>8246</v>
      </c>
      <c r="B4918" t="s">
        <v>8247</v>
      </c>
      <c r="C4918" t="s">
        <v>5971</v>
      </c>
      <c r="D4918">
        <v>74417497</v>
      </c>
      <c r="E4918">
        <v>6.2</v>
      </c>
      <c r="F4918">
        <v>4</v>
      </c>
    </row>
    <row r="4919" spans="1:6" x14ac:dyDescent="0.3">
      <c r="A4919" t="s">
        <v>8248</v>
      </c>
      <c r="B4919" t="s">
        <v>8249</v>
      </c>
      <c r="C4919" t="s">
        <v>5472</v>
      </c>
      <c r="D4919">
        <v>74426262</v>
      </c>
      <c r="E4919">
        <v>2.17</v>
      </c>
      <c r="F4919">
        <v>5.5</v>
      </c>
    </row>
    <row r="4920" spans="1:6" x14ac:dyDescent="0.3">
      <c r="A4920" t="s">
        <v>8250</v>
      </c>
      <c r="B4920" t="s">
        <v>8251</v>
      </c>
      <c r="C4920" t="s">
        <v>7528</v>
      </c>
      <c r="D4920">
        <v>74438276</v>
      </c>
      <c r="E4920">
        <v>1.94</v>
      </c>
      <c r="F4920">
        <v>6.64</v>
      </c>
    </row>
    <row r="4921" spans="1:6" x14ac:dyDescent="0.3">
      <c r="A4921" t="s">
        <v>8252</v>
      </c>
      <c r="B4921" t="s">
        <v>7456</v>
      </c>
      <c r="C4921" t="s">
        <v>5530</v>
      </c>
      <c r="D4921">
        <v>74446777</v>
      </c>
      <c r="E4921">
        <v>2.13</v>
      </c>
      <c r="F4921">
        <v>6.82</v>
      </c>
    </row>
    <row r="4922" spans="1:6" x14ac:dyDescent="0.3">
      <c r="A4922" t="s">
        <v>8253</v>
      </c>
      <c r="B4922" t="s">
        <v>3238</v>
      </c>
      <c r="C4922" t="s">
        <v>8254</v>
      </c>
      <c r="D4922">
        <v>74499773</v>
      </c>
      <c r="E4922">
        <v>1.1499999999999999</v>
      </c>
      <c r="F4922">
        <v>7.37</v>
      </c>
    </row>
    <row r="4923" spans="1:6" x14ac:dyDescent="0.3">
      <c r="A4923" t="s">
        <v>8255</v>
      </c>
      <c r="B4923" t="s">
        <v>8256</v>
      </c>
      <c r="C4923" t="s">
        <v>8257</v>
      </c>
      <c r="D4923">
        <v>74507153</v>
      </c>
      <c r="E4923">
        <v>6.03</v>
      </c>
      <c r="F4923">
        <v>6.88</v>
      </c>
    </row>
    <row r="4924" spans="1:6" x14ac:dyDescent="0.3">
      <c r="A4924" t="s">
        <v>8258</v>
      </c>
      <c r="B4924" t="s">
        <v>2913</v>
      </c>
      <c r="C4924" t="s">
        <v>8259</v>
      </c>
      <c r="D4924">
        <v>74509863</v>
      </c>
      <c r="E4924">
        <v>3.94</v>
      </c>
      <c r="F4924">
        <v>5.75</v>
      </c>
    </row>
    <row r="4925" spans="1:6" x14ac:dyDescent="0.3">
      <c r="A4925" t="s">
        <v>8260</v>
      </c>
      <c r="B4925" t="s">
        <v>4366</v>
      </c>
      <c r="C4925" t="s">
        <v>6020</v>
      </c>
      <c r="D4925">
        <v>74536416</v>
      </c>
      <c r="E4925">
        <v>13.13</v>
      </c>
      <c r="F4925">
        <v>6.44</v>
      </c>
    </row>
    <row r="4926" spans="1:6" x14ac:dyDescent="0.3">
      <c r="A4926" t="s">
        <v>8261</v>
      </c>
      <c r="B4926" t="s">
        <v>8262</v>
      </c>
      <c r="C4926" t="s">
        <v>8263</v>
      </c>
      <c r="D4926">
        <v>74544080</v>
      </c>
      <c r="E4926">
        <v>5.77</v>
      </c>
      <c r="F4926">
        <v>7.14</v>
      </c>
    </row>
    <row r="4927" spans="1:6" x14ac:dyDescent="0.3">
      <c r="A4927" t="s">
        <v>8264</v>
      </c>
      <c r="B4927" t="s">
        <v>3255</v>
      </c>
      <c r="C4927" t="s">
        <v>8265</v>
      </c>
      <c r="D4927">
        <v>74567976</v>
      </c>
      <c r="E4927">
        <v>6.67</v>
      </c>
      <c r="F4927">
        <v>7.33</v>
      </c>
    </row>
    <row r="4928" spans="1:6" x14ac:dyDescent="0.3">
      <c r="A4928" t="s">
        <v>8266</v>
      </c>
      <c r="B4928" t="s">
        <v>5696</v>
      </c>
      <c r="C4928" t="s">
        <v>3039</v>
      </c>
      <c r="D4928">
        <v>74594079</v>
      </c>
      <c r="E4928">
        <v>4.0999999999999996</v>
      </c>
      <c r="F4928">
        <v>7.52</v>
      </c>
    </row>
    <row r="4929" spans="1:6" x14ac:dyDescent="0.3">
      <c r="A4929" t="s">
        <v>8267</v>
      </c>
      <c r="B4929" t="s">
        <v>5006</v>
      </c>
      <c r="C4929" t="s">
        <v>8268</v>
      </c>
      <c r="D4929">
        <v>74594851</v>
      </c>
      <c r="E4929">
        <v>7.46</v>
      </c>
      <c r="F4929">
        <v>8.09</v>
      </c>
    </row>
    <row r="4930" spans="1:6" x14ac:dyDescent="0.3">
      <c r="A4930" t="s">
        <v>8269</v>
      </c>
      <c r="B4930" t="s">
        <v>6841</v>
      </c>
      <c r="C4930" t="s">
        <v>8270</v>
      </c>
      <c r="D4930">
        <v>74600378</v>
      </c>
      <c r="E4930">
        <v>3.45</v>
      </c>
      <c r="F4930">
        <v>5.69</v>
      </c>
    </row>
    <row r="4931" spans="1:6" x14ac:dyDescent="0.3">
      <c r="A4931" t="s">
        <v>8271</v>
      </c>
      <c r="B4931" t="s">
        <v>4911</v>
      </c>
      <c r="C4931" t="s">
        <v>8272</v>
      </c>
      <c r="D4931">
        <v>74607673</v>
      </c>
      <c r="E4931">
        <v>2.0299999999999998</v>
      </c>
      <c r="F4931">
        <v>7</v>
      </c>
    </row>
    <row r="4932" spans="1:6" x14ac:dyDescent="0.3">
      <c r="A4932" t="s">
        <v>8273</v>
      </c>
      <c r="B4932" t="s">
        <v>7604</v>
      </c>
      <c r="C4932" t="s">
        <v>7762</v>
      </c>
      <c r="D4932">
        <v>74607914</v>
      </c>
      <c r="E4932">
        <v>3.26</v>
      </c>
      <c r="F4932">
        <v>7.81</v>
      </c>
    </row>
    <row r="4933" spans="1:6" x14ac:dyDescent="0.3">
      <c r="A4933" t="s">
        <v>8274</v>
      </c>
      <c r="B4933" t="s">
        <v>4078</v>
      </c>
      <c r="C4933" t="s">
        <v>5555</v>
      </c>
      <c r="D4933">
        <v>74609278</v>
      </c>
      <c r="E4933">
        <v>2.84</v>
      </c>
      <c r="F4933">
        <v>5.71</v>
      </c>
    </row>
    <row r="4934" spans="1:6" x14ac:dyDescent="0.3">
      <c r="A4934" t="s">
        <v>8275</v>
      </c>
      <c r="B4934" t="s">
        <v>3805</v>
      </c>
      <c r="C4934" t="s">
        <v>8276</v>
      </c>
      <c r="D4934">
        <v>74639177</v>
      </c>
      <c r="E4934">
        <v>1.72</v>
      </c>
      <c r="F4934">
        <v>8.17</v>
      </c>
    </row>
    <row r="4935" spans="1:6" x14ac:dyDescent="0.3">
      <c r="A4935" t="s">
        <v>8277</v>
      </c>
      <c r="B4935" t="s">
        <v>8278</v>
      </c>
      <c r="C4935" t="s">
        <v>6342</v>
      </c>
      <c r="D4935">
        <v>74651415</v>
      </c>
      <c r="E4935">
        <v>14.06</v>
      </c>
      <c r="F4935">
        <v>5.79</v>
      </c>
    </row>
    <row r="4936" spans="1:6" x14ac:dyDescent="0.3">
      <c r="A4936" t="s">
        <v>8279</v>
      </c>
      <c r="B4936" t="s">
        <v>5006</v>
      </c>
      <c r="C4936" t="s">
        <v>8280</v>
      </c>
      <c r="D4936">
        <v>74701948</v>
      </c>
      <c r="E4936">
        <v>2.96</v>
      </c>
      <c r="F4936">
        <v>6.1</v>
      </c>
    </row>
    <row r="4937" spans="1:6" x14ac:dyDescent="0.3">
      <c r="A4937" t="s">
        <v>8281</v>
      </c>
      <c r="B4937" t="s">
        <v>4690</v>
      </c>
      <c r="C4937" t="s">
        <v>8281</v>
      </c>
      <c r="D4937">
        <v>74710072</v>
      </c>
      <c r="E4937">
        <v>18.98</v>
      </c>
      <c r="F4937">
        <v>8.2899999999999991</v>
      </c>
    </row>
    <row r="4938" spans="1:6" x14ac:dyDescent="0.3">
      <c r="A4938" t="s">
        <v>8282</v>
      </c>
      <c r="B4938" t="s">
        <v>8283</v>
      </c>
      <c r="C4938" t="s">
        <v>4651</v>
      </c>
      <c r="D4938">
        <v>74713232</v>
      </c>
      <c r="E4938">
        <v>19.670000000000002</v>
      </c>
      <c r="F4938">
        <v>5.38</v>
      </c>
    </row>
    <row r="4939" spans="1:6" x14ac:dyDescent="0.3">
      <c r="A4939" t="s">
        <v>8284</v>
      </c>
      <c r="B4939" t="s">
        <v>7933</v>
      </c>
      <c r="C4939" t="s">
        <v>8285</v>
      </c>
      <c r="D4939">
        <v>74735688</v>
      </c>
      <c r="E4939">
        <v>3.11</v>
      </c>
      <c r="F4939">
        <v>6.83</v>
      </c>
    </row>
    <row r="4940" spans="1:6" x14ac:dyDescent="0.3">
      <c r="A4940" t="s">
        <v>6084</v>
      </c>
      <c r="B4940" t="s">
        <v>6709</v>
      </c>
      <c r="C4940" t="s">
        <v>6084</v>
      </c>
      <c r="D4940">
        <v>74744836</v>
      </c>
      <c r="E4940">
        <v>1.79</v>
      </c>
      <c r="F4940">
        <v>7.71</v>
      </c>
    </row>
    <row r="4941" spans="1:6" x14ac:dyDescent="0.3">
      <c r="A4941" t="s">
        <v>8286</v>
      </c>
      <c r="B4941" t="s">
        <v>8287</v>
      </c>
      <c r="C4941" t="s">
        <v>5772</v>
      </c>
      <c r="D4941">
        <v>74747627</v>
      </c>
      <c r="E4941">
        <v>6.8</v>
      </c>
      <c r="F4941">
        <v>7.5</v>
      </c>
    </row>
    <row r="4942" spans="1:6" x14ac:dyDescent="0.3">
      <c r="A4942" t="s">
        <v>8288</v>
      </c>
      <c r="B4942" t="s">
        <v>8289</v>
      </c>
      <c r="C4942" t="s">
        <v>8290</v>
      </c>
      <c r="D4942">
        <v>74768054</v>
      </c>
      <c r="E4942">
        <v>8.5</v>
      </c>
      <c r="F4942">
        <v>3.67</v>
      </c>
    </row>
    <row r="4943" spans="1:6" x14ac:dyDescent="0.3">
      <c r="A4943" t="s">
        <v>8291</v>
      </c>
      <c r="B4943" t="s">
        <v>8292</v>
      </c>
      <c r="C4943" t="s">
        <v>8293</v>
      </c>
      <c r="D4943">
        <v>74768939</v>
      </c>
      <c r="E4943">
        <v>3.59</v>
      </c>
      <c r="F4943">
        <v>6.37</v>
      </c>
    </row>
    <row r="4944" spans="1:6" x14ac:dyDescent="0.3">
      <c r="A4944" t="s">
        <v>8294</v>
      </c>
      <c r="B4944" t="s">
        <v>7530</v>
      </c>
      <c r="C4944" t="s">
        <v>8295</v>
      </c>
      <c r="D4944">
        <v>74783697</v>
      </c>
      <c r="E4944">
        <v>2</v>
      </c>
      <c r="F4944">
        <v>6.96</v>
      </c>
    </row>
    <row r="4945" spans="1:6" x14ac:dyDescent="0.3">
      <c r="A4945" t="s">
        <v>8296</v>
      </c>
      <c r="B4945" t="s">
        <v>3181</v>
      </c>
      <c r="C4945" t="s">
        <v>8297</v>
      </c>
      <c r="D4945">
        <v>74814545</v>
      </c>
      <c r="E4945">
        <v>6.23</v>
      </c>
      <c r="F4945">
        <v>8.0299999999999994</v>
      </c>
    </row>
    <row r="4946" spans="1:6" x14ac:dyDescent="0.3">
      <c r="A4946" t="s">
        <v>8298</v>
      </c>
      <c r="B4946" t="s">
        <v>6674</v>
      </c>
      <c r="C4946" t="s">
        <v>8299</v>
      </c>
      <c r="D4946">
        <v>74821587</v>
      </c>
      <c r="E4946">
        <v>29.06</v>
      </c>
      <c r="F4946">
        <v>3.8</v>
      </c>
    </row>
    <row r="4947" spans="1:6" x14ac:dyDescent="0.3">
      <c r="A4947" t="s">
        <v>8300</v>
      </c>
      <c r="B4947" t="s">
        <v>7888</v>
      </c>
      <c r="C4947" t="s">
        <v>8301</v>
      </c>
      <c r="D4947">
        <v>74838152</v>
      </c>
      <c r="E4947">
        <v>16</v>
      </c>
      <c r="F4947">
        <v>7.8</v>
      </c>
    </row>
    <row r="4948" spans="1:6" x14ac:dyDescent="0.3">
      <c r="A4948" t="s">
        <v>8302</v>
      </c>
      <c r="B4948" t="s">
        <v>7044</v>
      </c>
      <c r="C4948" t="s">
        <v>7707</v>
      </c>
      <c r="D4948">
        <v>74838946</v>
      </c>
      <c r="E4948">
        <v>15.54</v>
      </c>
      <c r="F4948">
        <v>8.16</v>
      </c>
    </row>
    <row r="4949" spans="1:6" x14ac:dyDescent="0.3">
      <c r="A4949" t="s">
        <v>8303</v>
      </c>
      <c r="B4949" t="s">
        <v>6556</v>
      </c>
      <c r="C4949" t="s">
        <v>227</v>
      </c>
      <c r="D4949">
        <v>74840882</v>
      </c>
      <c r="E4949">
        <v>30.6</v>
      </c>
      <c r="F4949">
        <v>6</v>
      </c>
    </row>
    <row r="4950" spans="1:6" x14ac:dyDescent="0.3">
      <c r="A4950" t="s">
        <v>8304</v>
      </c>
      <c r="B4950" t="s">
        <v>4120</v>
      </c>
      <c r="C4950" t="s">
        <v>8305</v>
      </c>
      <c r="D4950">
        <v>74850471</v>
      </c>
      <c r="E4950">
        <v>17.059999999999999</v>
      </c>
      <c r="F4950">
        <v>7.75</v>
      </c>
    </row>
    <row r="4951" spans="1:6" x14ac:dyDescent="0.3">
      <c r="A4951" t="s">
        <v>8306</v>
      </c>
      <c r="B4951" t="s">
        <v>7534</v>
      </c>
      <c r="C4951" t="s">
        <v>3247</v>
      </c>
      <c r="D4951">
        <v>74892220</v>
      </c>
      <c r="E4951">
        <v>16.309999999999999</v>
      </c>
      <c r="F4951">
        <v>6.44</v>
      </c>
    </row>
    <row r="4952" spans="1:6" x14ac:dyDescent="0.3">
      <c r="A4952" t="s">
        <v>8307</v>
      </c>
      <c r="B4952" t="s">
        <v>7778</v>
      </c>
      <c r="C4952" t="s">
        <v>4986</v>
      </c>
      <c r="D4952">
        <v>74914748</v>
      </c>
      <c r="E4952">
        <v>20.85</v>
      </c>
      <c r="F4952">
        <v>5.62</v>
      </c>
    </row>
    <row r="4953" spans="1:6" x14ac:dyDescent="0.3">
      <c r="A4953" t="s">
        <v>8308</v>
      </c>
      <c r="B4953" t="s">
        <v>7185</v>
      </c>
      <c r="C4953" t="s">
        <v>8114</v>
      </c>
      <c r="D4953">
        <v>74924716</v>
      </c>
      <c r="E4953">
        <v>20.87</v>
      </c>
      <c r="F4953">
        <v>6.65</v>
      </c>
    </row>
    <row r="4954" spans="1:6" x14ac:dyDescent="0.3">
      <c r="A4954" t="s">
        <v>8309</v>
      </c>
      <c r="B4954" t="s">
        <v>6611</v>
      </c>
      <c r="C4954" t="s">
        <v>3958</v>
      </c>
      <c r="D4954">
        <v>74927242</v>
      </c>
      <c r="E4954">
        <v>12.24</v>
      </c>
      <c r="F4954">
        <v>7.6</v>
      </c>
    </row>
    <row r="4955" spans="1:6" x14ac:dyDescent="0.3">
      <c r="A4955" t="s">
        <v>8310</v>
      </c>
      <c r="B4955" t="s">
        <v>8311</v>
      </c>
      <c r="C4955" t="s">
        <v>7996</v>
      </c>
      <c r="D4955">
        <v>74936689</v>
      </c>
      <c r="E4955">
        <v>15.38</v>
      </c>
      <c r="F4955">
        <v>6.47</v>
      </c>
    </row>
    <row r="4956" spans="1:6" x14ac:dyDescent="0.3">
      <c r="A4956" t="s">
        <v>8312</v>
      </c>
      <c r="B4956" t="s">
        <v>8313</v>
      </c>
      <c r="C4956" t="s">
        <v>8314</v>
      </c>
      <c r="D4956">
        <v>74943195</v>
      </c>
      <c r="E4956">
        <v>6.75</v>
      </c>
      <c r="F4956">
        <v>6</v>
      </c>
    </row>
    <row r="4957" spans="1:6" x14ac:dyDescent="0.3">
      <c r="A4957" t="s">
        <v>8315</v>
      </c>
      <c r="B4957" t="s">
        <v>5701</v>
      </c>
      <c r="C4957" t="s">
        <v>2295</v>
      </c>
      <c r="D4957">
        <v>74973185</v>
      </c>
      <c r="E4957">
        <v>3.69</v>
      </c>
      <c r="F4957">
        <v>6.92</v>
      </c>
    </row>
    <row r="4958" spans="1:6" x14ac:dyDescent="0.3">
      <c r="A4958" t="s">
        <v>8316</v>
      </c>
      <c r="B4958" t="s">
        <v>8317</v>
      </c>
      <c r="C4958" t="s">
        <v>5596</v>
      </c>
      <c r="D4958">
        <v>74985350</v>
      </c>
      <c r="E4958">
        <v>2.97</v>
      </c>
      <c r="F4958">
        <v>5.65</v>
      </c>
    </row>
    <row r="4959" spans="1:6" x14ac:dyDescent="0.3">
      <c r="A4959" t="s">
        <v>7091</v>
      </c>
      <c r="B4959" t="s">
        <v>3102</v>
      </c>
      <c r="C4959" t="s">
        <v>1203</v>
      </c>
      <c r="D4959">
        <v>74986585</v>
      </c>
      <c r="E4959">
        <v>22.06</v>
      </c>
      <c r="F4959">
        <v>7.4</v>
      </c>
    </row>
    <row r="4960" spans="1:6" x14ac:dyDescent="0.3">
      <c r="A4960" t="s">
        <v>8318</v>
      </c>
      <c r="B4960" t="s">
        <v>8319</v>
      </c>
      <c r="C4960" t="s">
        <v>8120</v>
      </c>
      <c r="D4960">
        <v>74992123</v>
      </c>
      <c r="E4960">
        <v>1.05</v>
      </c>
      <c r="F4960">
        <v>6.39</v>
      </c>
    </row>
    <row r="4961" spans="1:6" x14ac:dyDescent="0.3">
      <c r="A4961" t="s">
        <v>8320</v>
      </c>
      <c r="B4961" t="s">
        <v>4208</v>
      </c>
      <c r="C4961" t="s">
        <v>4972</v>
      </c>
      <c r="D4961">
        <v>74997686</v>
      </c>
      <c r="E4961">
        <v>2.88</v>
      </c>
      <c r="F4961">
        <v>6.2</v>
      </c>
    </row>
    <row r="4962" spans="1:6" x14ac:dyDescent="0.3">
      <c r="A4962" t="s">
        <v>8321</v>
      </c>
      <c r="B4962" t="s">
        <v>7907</v>
      </c>
      <c r="C4962" t="s">
        <v>8322</v>
      </c>
      <c r="D4962">
        <v>75017292</v>
      </c>
      <c r="E4962">
        <v>15</v>
      </c>
      <c r="F4962">
        <v>7.75</v>
      </c>
    </row>
    <row r="4963" spans="1:6" x14ac:dyDescent="0.3">
      <c r="A4963" t="s">
        <v>8323</v>
      </c>
      <c r="B4963" t="s">
        <v>6130</v>
      </c>
      <c r="C4963" t="s">
        <v>8324</v>
      </c>
      <c r="D4963">
        <v>75021924</v>
      </c>
      <c r="E4963">
        <v>2.33</v>
      </c>
      <c r="F4963">
        <v>7.07</v>
      </c>
    </row>
    <row r="4964" spans="1:6" x14ac:dyDescent="0.3">
      <c r="A4964" t="s">
        <v>8325</v>
      </c>
      <c r="B4964" t="s">
        <v>8326</v>
      </c>
      <c r="C4964" t="s">
        <v>7307</v>
      </c>
      <c r="D4964">
        <v>75038116</v>
      </c>
      <c r="E4964">
        <v>9.17</v>
      </c>
      <c r="F4964">
        <v>6.07</v>
      </c>
    </row>
    <row r="4965" spans="1:6" x14ac:dyDescent="0.3">
      <c r="A4965" t="s">
        <v>8327</v>
      </c>
      <c r="B4965" t="s">
        <v>8328</v>
      </c>
      <c r="C4965" t="s">
        <v>8329</v>
      </c>
      <c r="D4965">
        <v>75054995</v>
      </c>
      <c r="E4965">
        <v>2.33</v>
      </c>
      <c r="F4965">
        <v>7.39</v>
      </c>
    </row>
    <row r="4966" spans="1:6" x14ac:dyDescent="0.3">
      <c r="A4966" t="s">
        <v>8330</v>
      </c>
      <c r="B4966" t="s">
        <v>5654</v>
      </c>
      <c r="C4966" t="s">
        <v>8331</v>
      </c>
      <c r="D4966">
        <v>75059381</v>
      </c>
      <c r="E4966">
        <v>1.65</v>
      </c>
      <c r="F4966">
        <v>6.95</v>
      </c>
    </row>
    <row r="4967" spans="1:6" x14ac:dyDescent="0.3">
      <c r="A4967" t="s">
        <v>6749</v>
      </c>
      <c r="B4967" t="s">
        <v>8332</v>
      </c>
      <c r="C4967" t="s">
        <v>5136</v>
      </c>
      <c r="D4967">
        <v>75078198</v>
      </c>
      <c r="E4967">
        <v>16.690000000000001</v>
      </c>
      <c r="F4967">
        <v>5.88</v>
      </c>
    </row>
    <row r="4968" spans="1:6" x14ac:dyDescent="0.3">
      <c r="A4968" t="s">
        <v>8333</v>
      </c>
      <c r="B4968" t="s">
        <v>7709</v>
      </c>
      <c r="C4968" t="s">
        <v>6831</v>
      </c>
      <c r="D4968">
        <v>75087647</v>
      </c>
      <c r="E4968">
        <v>18.29</v>
      </c>
      <c r="F4968">
        <v>8.26</v>
      </c>
    </row>
    <row r="4969" spans="1:6" x14ac:dyDescent="0.3">
      <c r="A4969" t="s">
        <v>3626</v>
      </c>
      <c r="B4969" t="s">
        <v>8334</v>
      </c>
      <c r="C4969" t="s">
        <v>1925</v>
      </c>
      <c r="D4969">
        <v>75096619</v>
      </c>
      <c r="E4969">
        <v>13.87</v>
      </c>
      <c r="F4969">
        <v>7.93</v>
      </c>
    </row>
    <row r="4970" spans="1:6" x14ac:dyDescent="0.3">
      <c r="A4970" t="s">
        <v>8335</v>
      </c>
      <c r="B4970" t="s">
        <v>7356</v>
      </c>
      <c r="C4970" t="s">
        <v>8336</v>
      </c>
      <c r="D4970">
        <v>75128472</v>
      </c>
      <c r="E4970">
        <v>2.08</v>
      </c>
      <c r="F4970">
        <v>7.13</v>
      </c>
    </row>
    <row r="4971" spans="1:6" x14ac:dyDescent="0.3">
      <c r="A4971" t="s">
        <v>8337</v>
      </c>
      <c r="B4971" t="s">
        <v>8338</v>
      </c>
      <c r="C4971" t="s">
        <v>3713</v>
      </c>
      <c r="D4971">
        <v>75150046</v>
      </c>
      <c r="E4971">
        <v>2.29</v>
      </c>
      <c r="F4971">
        <v>7.35</v>
      </c>
    </row>
    <row r="4972" spans="1:6" x14ac:dyDescent="0.3">
      <c r="A4972" t="s">
        <v>8339</v>
      </c>
      <c r="B4972" t="s">
        <v>8340</v>
      </c>
      <c r="C4972" t="s">
        <v>5465</v>
      </c>
      <c r="D4972">
        <v>75162476</v>
      </c>
      <c r="E4972">
        <v>21</v>
      </c>
      <c r="F4972">
        <v>5.14</v>
      </c>
    </row>
    <row r="4973" spans="1:6" x14ac:dyDescent="0.3">
      <c r="A4973" t="s">
        <v>5227</v>
      </c>
      <c r="B4973" t="s">
        <v>7083</v>
      </c>
      <c r="C4973" t="s">
        <v>6139</v>
      </c>
      <c r="D4973">
        <v>75162703</v>
      </c>
      <c r="E4973">
        <v>13.22</v>
      </c>
      <c r="F4973">
        <v>5.86</v>
      </c>
    </row>
    <row r="4974" spans="1:6" x14ac:dyDescent="0.3">
      <c r="A4974" t="s">
        <v>8341</v>
      </c>
      <c r="B4974" t="s">
        <v>8342</v>
      </c>
      <c r="C4974" t="s">
        <v>3978</v>
      </c>
      <c r="D4974">
        <v>75162718</v>
      </c>
      <c r="E4974">
        <v>7.5</v>
      </c>
      <c r="F4974">
        <v>8.25</v>
      </c>
    </row>
    <row r="4975" spans="1:6" x14ac:dyDescent="0.3">
      <c r="A4975" t="s">
        <v>8343</v>
      </c>
      <c r="B4975" t="s">
        <v>7037</v>
      </c>
      <c r="C4975" t="s">
        <v>8344</v>
      </c>
      <c r="D4975">
        <v>75168893</v>
      </c>
      <c r="E4975">
        <v>7.6</v>
      </c>
      <c r="F4975">
        <v>7.5</v>
      </c>
    </row>
    <row r="4976" spans="1:6" x14ac:dyDescent="0.3">
      <c r="A4976" t="s">
        <v>8345</v>
      </c>
      <c r="B4976" t="s">
        <v>8346</v>
      </c>
      <c r="C4976" t="s">
        <v>7418</v>
      </c>
      <c r="D4976">
        <v>75191092</v>
      </c>
      <c r="E4976">
        <v>3.38</v>
      </c>
      <c r="F4976">
        <v>5.75</v>
      </c>
    </row>
    <row r="4977" spans="1:6" x14ac:dyDescent="0.3">
      <c r="A4977" t="s">
        <v>8347</v>
      </c>
      <c r="B4977" t="s">
        <v>8348</v>
      </c>
      <c r="C4977" t="s">
        <v>2911</v>
      </c>
      <c r="D4977">
        <v>75198613</v>
      </c>
      <c r="E4977">
        <v>6.1</v>
      </c>
      <c r="F4977">
        <v>5.5</v>
      </c>
    </row>
    <row r="4978" spans="1:6" x14ac:dyDescent="0.3">
      <c r="A4978" t="s">
        <v>8349</v>
      </c>
      <c r="B4978" t="s">
        <v>8029</v>
      </c>
      <c r="C4978" t="s">
        <v>8350</v>
      </c>
      <c r="D4978">
        <v>75199399</v>
      </c>
      <c r="E4978">
        <v>15.77</v>
      </c>
      <c r="F4978">
        <v>7.69</v>
      </c>
    </row>
    <row r="4979" spans="1:6" x14ac:dyDescent="0.3">
      <c r="A4979" t="s">
        <v>8351</v>
      </c>
      <c r="B4979" t="s">
        <v>8352</v>
      </c>
      <c r="C4979" t="s">
        <v>7834</v>
      </c>
      <c r="D4979">
        <v>75206202</v>
      </c>
      <c r="E4979">
        <v>35</v>
      </c>
      <c r="F4979">
        <v>9.25</v>
      </c>
    </row>
    <row r="4980" spans="1:6" x14ac:dyDescent="0.3">
      <c r="A4980" t="s">
        <v>8353</v>
      </c>
      <c r="B4980" t="s">
        <v>7280</v>
      </c>
      <c r="C4980" t="s">
        <v>8354</v>
      </c>
      <c r="D4980">
        <v>75229531</v>
      </c>
      <c r="E4980">
        <v>1.75</v>
      </c>
      <c r="F4980">
        <v>7.32</v>
      </c>
    </row>
    <row r="4981" spans="1:6" x14ac:dyDescent="0.3">
      <c r="A4981" t="s">
        <v>8355</v>
      </c>
      <c r="B4981" t="s">
        <v>7368</v>
      </c>
      <c r="C4981" t="s">
        <v>1549</v>
      </c>
      <c r="D4981">
        <v>75232616</v>
      </c>
      <c r="E4981">
        <v>22.12</v>
      </c>
      <c r="F4981">
        <v>8.1300000000000008</v>
      </c>
    </row>
    <row r="4982" spans="1:6" x14ac:dyDescent="0.3">
      <c r="A4982" t="s">
        <v>8356</v>
      </c>
      <c r="B4982" t="s">
        <v>8357</v>
      </c>
      <c r="C4982" t="s">
        <v>2224</v>
      </c>
      <c r="D4982">
        <v>75241218</v>
      </c>
      <c r="E4982">
        <v>11.95</v>
      </c>
      <c r="F4982">
        <v>8.74</v>
      </c>
    </row>
    <row r="4983" spans="1:6" x14ac:dyDescent="0.3">
      <c r="A4983" t="s">
        <v>8358</v>
      </c>
      <c r="B4983" t="s">
        <v>6414</v>
      </c>
      <c r="C4983" t="s">
        <v>8359</v>
      </c>
      <c r="D4983">
        <v>75248070</v>
      </c>
      <c r="E4983">
        <v>22.34</v>
      </c>
      <c r="F4983">
        <v>7.18</v>
      </c>
    </row>
    <row r="4984" spans="1:6" x14ac:dyDescent="0.3">
      <c r="A4984" t="s">
        <v>8360</v>
      </c>
      <c r="B4984" t="s">
        <v>5790</v>
      </c>
      <c r="C4984" t="s">
        <v>1111</v>
      </c>
      <c r="D4984">
        <v>75253352</v>
      </c>
      <c r="E4984">
        <v>3.26</v>
      </c>
      <c r="F4984">
        <v>6.33</v>
      </c>
    </row>
    <row r="4985" spans="1:6" x14ac:dyDescent="0.3">
      <c r="A4985" t="s">
        <v>8361</v>
      </c>
      <c r="B4985" t="s">
        <v>3049</v>
      </c>
      <c r="C4985" t="s">
        <v>4519</v>
      </c>
      <c r="D4985">
        <v>75253526</v>
      </c>
      <c r="E4985">
        <v>7</v>
      </c>
      <c r="F4985">
        <v>7.33</v>
      </c>
    </row>
    <row r="4986" spans="1:6" x14ac:dyDescent="0.3">
      <c r="A4986" t="s">
        <v>8362</v>
      </c>
      <c r="B4986" t="s">
        <v>7784</v>
      </c>
      <c r="C4986" t="s">
        <v>6322</v>
      </c>
      <c r="D4986">
        <v>75277905</v>
      </c>
      <c r="E4986">
        <v>3.55</v>
      </c>
      <c r="F4986">
        <v>7.35</v>
      </c>
    </row>
    <row r="4987" spans="1:6" x14ac:dyDescent="0.3">
      <c r="A4987" t="s">
        <v>8363</v>
      </c>
      <c r="B4987" t="s">
        <v>7604</v>
      </c>
      <c r="C4987" t="s">
        <v>8364</v>
      </c>
      <c r="D4987">
        <v>75281685</v>
      </c>
      <c r="E4987">
        <v>2.65</v>
      </c>
      <c r="F4987">
        <v>7.89</v>
      </c>
    </row>
    <row r="4988" spans="1:6" x14ac:dyDescent="0.3">
      <c r="A4988" t="s">
        <v>8365</v>
      </c>
      <c r="B4988" t="s">
        <v>4580</v>
      </c>
      <c r="C4988" t="s">
        <v>2697</v>
      </c>
      <c r="D4988">
        <v>75281752</v>
      </c>
      <c r="E4988">
        <v>8.0299999999999994</v>
      </c>
      <c r="F4988">
        <v>8.44</v>
      </c>
    </row>
    <row r="4989" spans="1:6" x14ac:dyDescent="0.3">
      <c r="A4989" t="s">
        <v>8366</v>
      </c>
      <c r="B4989" t="s">
        <v>8367</v>
      </c>
      <c r="C4989" t="s">
        <v>8368</v>
      </c>
      <c r="D4989">
        <v>75282507</v>
      </c>
      <c r="E4989">
        <v>2.15</v>
      </c>
      <c r="F4989">
        <v>6.13</v>
      </c>
    </row>
    <row r="4990" spans="1:6" x14ac:dyDescent="0.3">
      <c r="A4990" t="s">
        <v>8369</v>
      </c>
      <c r="B4990" t="s">
        <v>7933</v>
      </c>
      <c r="C4990" t="s">
        <v>8370</v>
      </c>
      <c r="D4990">
        <v>75283181</v>
      </c>
      <c r="E4990">
        <v>6.81</v>
      </c>
      <c r="F4990">
        <v>7.82</v>
      </c>
    </row>
    <row r="4991" spans="1:6" x14ac:dyDescent="0.3">
      <c r="A4991" t="s">
        <v>8371</v>
      </c>
      <c r="B4991" t="s">
        <v>5698</v>
      </c>
      <c r="C4991" t="s">
        <v>8372</v>
      </c>
      <c r="D4991">
        <v>75286957</v>
      </c>
      <c r="E4991">
        <v>34</v>
      </c>
      <c r="F4991">
        <v>7.75</v>
      </c>
    </row>
    <row r="4992" spans="1:6" x14ac:dyDescent="0.3">
      <c r="A4992" t="s">
        <v>8373</v>
      </c>
      <c r="B4992" t="s">
        <v>5675</v>
      </c>
      <c r="C4992" t="s">
        <v>6783</v>
      </c>
      <c r="D4992">
        <v>75289880</v>
      </c>
      <c r="E4992">
        <v>2.41</v>
      </c>
      <c r="F4992">
        <v>5.92</v>
      </c>
    </row>
    <row r="4993" spans="1:6" x14ac:dyDescent="0.3">
      <c r="A4993" t="s">
        <v>8374</v>
      </c>
      <c r="B4993" t="s">
        <v>4026</v>
      </c>
      <c r="C4993" t="s">
        <v>1317</v>
      </c>
      <c r="D4993">
        <v>75324485</v>
      </c>
      <c r="E4993">
        <v>4.0599999999999996</v>
      </c>
      <c r="F4993">
        <v>6.79</v>
      </c>
    </row>
    <row r="4994" spans="1:6" x14ac:dyDescent="0.3">
      <c r="A4994" t="s">
        <v>8375</v>
      </c>
      <c r="B4994" t="s">
        <v>8376</v>
      </c>
      <c r="C4994" t="s">
        <v>6224</v>
      </c>
      <c r="D4994">
        <v>75327744</v>
      </c>
      <c r="E4994">
        <v>15.05</v>
      </c>
      <c r="F4994">
        <v>7.88</v>
      </c>
    </row>
    <row r="4995" spans="1:6" x14ac:dyDescent="0.3">
      <c r="A4995" t="s">
        <v>8377</v>
      </c>
      <c r="B4995" t="s">
        <v>8378</v>
      </c>
      <c r="C4995" t="s">
        <v>4942</v>
      </c>
      <c r="D4995">
        <v>75329841</v>
      </c>
      <c r="E4995">
        <v>2.2799999999999998</v>
      </c>
      <c r="F4995">
        <v>7.29</v>
      </c>
    </row>
    <row r="4996" spans="1:6" x14ac:dyDescent="0.3">
      <c r="A4996" t="s">
        <v>8379</v>
      </c>
      <c r="B4996" t="s">
        <v>6525</v>
      </c>
      <c r="C4996" t="s">
        <v>8380</v>
      </c>
      <c r="D4996">
        <v>75350544</v>
      </c>
      <c r="E4996">
        <v>20.57</v>
      </c>
      <c r="F4996">
        <v>8.86</v>
      </c>
    </row>
    <row r="4997" spans="1:6" x14ac:dyDescent="0.3">
      <c r="A4997" t="s">
        <v>8381</v>
      </c>
      <c r="B4997" t="s">
        <v>6346</v>
      </c>
      <c r="C4997" t="s">
        <v>8382</v>
      </c>
      <c r="D4997">
        <v>75350682</v>
      </c>
      <c r="E4997">
        <v>5.21</v>
      </c>
      <c r="F4997">
        <v>7.13</v>
      </c>
    </row>
    <row r="4998" spans="1:6" x14ac:dyDescent="0.3">
      <c r="A4998" t="s">
        <v>8383</v>
      </c>
      <c r="B4998" t="s">
        <v>6848</v>
      </c>
      <c r="C4998" t="s">
        <v>3448</v>
      </c>
      <c r="D4998">
        <v>75387502</v>
      </c>
      <c r="E4998">
        <v>2.84</v>
      </c>
      <c r="F4998">
        <v>8.1999999999999993</v>
      </c>
    </row>
    <row r="4999" spans="1:6" x14ac:dyDescent="0.3">
      <c r="A4999" t="s">
        <v>8384</v>
      </c>
      <c r="B4999" t="s">
        <v>6246</v>
      </c>
      <c r="C4999" t="s">
        <v>8385</v>
      </c>
      <c r="D4999">
        <v>75392136</v>
      </c>
      <c r="E4999">
        <v>6.15</v>
      </c>
      <c r="F4999">
        <v>5.73</v>
      </c>
    </row>
    <row r="5000" spans="1:6" x14ac:dyDescent="0.3">
      <c r="A5000" t="s">
        <v>8386</v>
      </c>
      <c r="B5000" t="s">
        <v>8387</v>
      </c>
      <c r="C5000" t="s">
        <v>2316</v>
      </c>
      <c r="D5000">
        <v>75397533</v>
      </c>
      <c r="E5000">
        <v>7.42</v>
      </c>
      <c r="F5000">
        <v>4.34</v>
      </c>
    </row>
    <row r="5001" spans="1:6" x14ac:dyDescent="0.3">
      <c r="A5001" t="s">
        <v>8388</v>
      </c>
      <c r="B5001" t="s">
        <v>7311</v>
      </c>
      <c r="C5001" t="s">
        <v>8389</v>
      </c>
      <c r="D5001">
        <v>75423002</v>
      </c>
      <c r="E5001">
        <v>11.66</v>
      </c>
      <c r="F5001">
        <v>8.08</v>
      </c>
    </row>
    <row r="5002" spans="1:6" x14ac:dyDescent="0.3">
      <c r="A5002" t="s">
        <v>8390</v>
      </c>
      <c r="B5002" t="s">
        <v>4048</v>
      </c>
      <c r="C5002" t="s">
        <v>2992</v>
      </c>
      <c r="D5002">
        <v>75425556</v>
      </c>
      <c r="E5002">
        <v>8</v>
      </c>
      <c r="F5002">
        <v>7.56</v>
      </c>
    </row>
    <row r="5003" spans="1:6" x14ac:dyDescent="0.3">
      <c r="A5003" t="s">
        <v>8391</v>
      </c>
      <c r="B5003" t="s">
        <v>6396</v>
      </c>
      <c r="C5003" t="s">
        <v>8331</v>
      </c>
      <c r="D5003">
        <v>75438972</v>
      </c>
      <c r="E5003">
        <v>6.33</v>
      </c>
      <c r="F5003">
        <v>5.21</v>
      </c>
    </row>
    <row r="5004" spans="1:6" x14ac:dyDescent="0.3">
      <c r="A5004" t="s">
        <v>8392</v>
      </c>
      <c r="B5004" t="s">
        <v>1053</v>
      </c>
      <c r="C5004" t="s">
        <v>3980</v>
      </c>
      <c r="D5004">
        <v>75455769</v>
      </c>
      <c r="E5004">
        <v>30</v>
      </c>
      <c r="F5004">
        <v>3</v>
      </c>
    </row>
    <row r="5005" spans="1:6" x14ac:dyDescent="0.3">
      <c r="A5005" t="s">
        <v>8393</v>
      </c>
      <c r="B5005" t="s">
        <v>7166</v>
      </c>
      <c r="C5005" t="s">
        <v>1739</v>
      </c>
      <c r="D5005">
        <v>75461562</v>
      </c>
      <c r="E5005">
        <v>19.2</v>
      </c>
      <c r="F5005">
        <v>4.5</v>
      </c>
    </row>
    <row r="5006" spans="1:6" x14ac:dyDescent="0.3">
      <c r="A5006" t="s">
        <v>6131</v>
      </c>
      <c r="B5006" t="s">
        <v>8394</v>
      </c>
      <c r="C5006" t="s">
        <v>8395</v>
      </c>
      <c r="D5006">
        <v>75462015</v>
      </c>
      <c r="E5006">
        <v>14.98</v>
      </c>
      <c r="F5006">
        <v>8.14</v>
      </c>
    </row>
    <row r="5007" spans="1:6" x14ac:dyDescent="0.3">
      <c r="A5007" t="s">
        <v>8396</v>
      </c>
      <c r="B5007" t="s">
        <v>8397</v>
      </c>
      <c r="C5007" t="s">
        <v>6645</v>
      </c>
      <c r="D5007">
        <v>75474135</v>
      </c>
      <c r="E5007">
        <v>1.97</v>
      </c>
      <c r="F5007">
        <v>7.14</v>
      </c>
    </row>
    <row r="5008" spans="1:6" x14ac:dyDescent="0.3">
      <c r="A5008" t="s">
        <v>2132</v>
      </c>
      <c r="B5008" t="s">
        <v>8398</v>
      </c>
      <c r="C5008" t="s">
        <v>7570</v>
      </c>
      <c r="D5008">
        <v>75506485</v>
      </c>
      <c r="E5008">
        <v>4.9400000000000004</v>
      </c>
      <c r="F5008">
        <v>6.06</v>
      </c>
    </row>
    <row r="5009" spans="1:6" x14ac:dyDescent="0.3">
      <c r="A5009" t="s">
        <v>8399</v>
      </c>
      <c r="B5009" t="s">
        <v>277</v>
      </c>
      <c r="C5009" t="s">
        <v>8400</v>
      </c>
      <c r="D5009">
        <v>75517608</v>
      </c>
      <c r="E5009">
        <v>20.05</v>
      </c>
      <c r="F5009">
        <v>5.64</v>
      </c>
    </row>
    <row r="5010" spans="1:6" x14ac:dyDescent="0.3">
      <c r="A5010" t="s">
        <v>8401</v>
      </c>
      <c r="B5010" t="s">
        <v>8149</v>
      </c>
      <c r="C5010" t="s">
        <v>8402</v>
      </c>
      <c r="D5010">
        <v>75518661</v>
      </c>
      <c r="E5010">
        <v>20.52</v>
      </c>
      <c r="F5010">
        <v>6.61</v>
      </c>
    </row>
    <row r="5011" spans="1:6" x14ac:dyDescent="0.3">
      <c r="A5011" t="s">
        <v>8401</v>
      </c>
      <c r="B5011" t="s">
        <v>8149</v>
      </c>
      <c r="C5011" t="s">
        <v>8402</v>
      </c>
      <c r="D5011">
        <v>75518661</v>
      </c>
      <c r="E5011">
        <v>20.52</v>
      </c>
      <c r="F5011">
        <v>6.61</v>
      </c>
    </row>
    <row r="5012" spans="1:6" x14ac:dyDescent="0.3">
      <c r="A5012" t="s">
        <v>8403</v>
      </c>
      <c r="B5012" t="s">
        <v>8404</v>
      </c>
      <c r="C5012" t="s">
        <v>3844</v>
      </c>
      <c r="D5012">
        <v>75525266</v>
      </c>
      <c r="E5012">
        <v>9.3000000000000007</v>
      </c>
      <c r="F5012">
        <v>8.08</v>
      </c>
    </row>
    <row r="5013" spans="1:6" x14ac:dyDescent="0.3">
      <c r="A5013" t="s">
        <v>8403</v>
      </c>
      <c r="B5013" t="s">
        <v>8404</v>
      </c>
      <c r="C5013" t="s">
        <v>3844</v>
      </c>
      <c r="D5013">
        <v>75525266</v>
      </c>
      <c r="E5013">
        <v>9.3000000000000007</v>
      </c>
      <c r="F5013">
        <v>8.08</v>
      </c>
    </row>
    <row r="5014" spans="1:6" x14ac:dyDescent="0.3">
      <c r="A5014" t="s">
        <v>8405</v>
      </c>
      <c r="B5014" t="s">
        <v>6609</v>
      </c>
      <c r="C5014" t="s">
        <v>7299</v>
      </c>
      <c r="D5014">
        <v>75528162</v>
      </c>
      <c r="E5014">
        <v>11.35</v>
      </c>
      <c r="F5014">
        <v>7.8</v>
      </c>
    </row>
    <row r="5015" spans="1:6" x14ac:dyDescent="0.3">
      <c r="A5015" t="s">
        <v>8405</v>
      </c>
      <c r="B5015" t="s">
        <v>6609</v>
      </c>
      <c r="C5015" t="s">
        <v>7299</v>
      </c>
      <c r="D5015">
        <v>75528162</v>
      </c>
      <c r="E5015">
        <v>11.35</v>
      </c>
      <c r="F5015">
        <v>7.8</v>
      </c>
    </row>
    <row r="5016" spans="1:6" x14ac:dyDescent="0.3">
      <c r="A5016" t="s">
        <v>8406</v>
      </c>
      <c r="B5016" t="s">
        <v>8407</v>
      </c>
      <c r="C5016" t="s">
        <v>8408</v>
      </c>
      <c r="D5016">
        <v>75531829</v>
      </c>
      <c r="E5016">
        <v>16.899999999999999</v>
      </c>
      <c r="F5016">
        <v>8.2100000000000009</v>
      </c>
    </row>
    <row r="5017" spans="1:6" x14ac:dyDescent="0.3">
      <c r="A5017" t="s">
        <v>8406</v>
      </c>
      <c r="B5017" t="s">
        <v>8407</v>
      </c>
      <c r="C5017" t="s">
        <v>8408</v>
      </c>
      <c r="D5017">
        <v>75531829</v>
      </c>
      <c r="E5017">
        <v>16.899999999999999</v>
      </c>
      <c r="F5017">
        <v>8.2100000000000009</v>
      </c>
    </row>
    <row r="5018" spans="1:6" x14ac:dyDescent="0.3">
      <c r="A5018" t="s">
        <v>8409</v>
      </c>
      <c r="B5018" t="s">
        <v>8410</v>
      </c>
      <c r="C5018" t="s">
        <v>1329</v>
      </c>
      <c r="D5018">
        <v>75559271</v>
      </c>
      <c r="E5018">
        <v>1.84</v>
      </c>
      <c r="F5018">
        <v>7.1</v>
      </c>
    </row>
    <row r="5019" spans="1:6" x14ac:dyDescent="0.3">
      <c r="A5019" t="s">
        <v>8409</v>
      </c>
      <c r="B5019" t="s">
        <v>8410</v>
      </c>
      <c r="C5019" t="s">
        <v>1329</v>
      </c>
      <c r="D5019">
        <v>75559271</v>
      </c>
      <c r="E5019">
        <v>1.84</v>
      </c>
      <c r="F5019">
        <v>7.1</v>
      </c>
    </row>
    <row r="5020" spans="1:6" x14ac:dyDescent="0.3">
      <c r="A5020" t="s">
        <v>8411</v>
      </c>
      <c r="B5020" t="s">
        <v>2445</v>
      </c>
      <c r="C5020" t="s">
        <v>7589</v>
      </c>
      <c r="D5020">
        <v>75603568</v>
      </c>
      <c r="E5020">
        <v>3.18</v>
      </c>
      <c r="F5020">
        <v>7.49</v>
      </c>
    </row>
    <row r="5021" spans="1:6" x14ac:dyDescent="0.3">
      <c r="A5021" t="s">
        <v>8411</v>
      </c>
      <c r="B5021" t="s">
        <v>2445</v>
      </c>
      <c r="C5021" t="s">
        <v>7589</v>
      </c>
      <c r="D5021">
        <v>75603568</v>
      </c>
      <c r="E5021">
        <v>3.18</v>
      </c>
      <c r="F5021">
        <v>7.49</v>
      </c>
    </row>
    <row r="5022" spans="1:6" x14ac:dyDescent="0.3">
      <c r="A5022" t="s">
        <v>8412</v>
      </c>
      <c r="B5022" t="s">
        <v>7152</v>
      </c>
      <c r="C5022" t="s">
        <v>1658</v>
      </c>
      <c r="D5022">
        <v>75612496</v>
      </c>
      <c r="E5022">
        <v>2.89</v>
      </c>
      <c r="F5022">
        <v>7.7</v>
      </c>
    </row>
    <row r="5023" spans="1:6" x14ac:dyDescent="0.3">
      <c r="A5023" t="s">
        <v>8412</v>
      </c>
      <c r="B5023" t="s">
        <v>7152</v>
      </c>
      <c r="C5023" t="s">
        <v>1658</v>
      </c>
      <c r="D5023">
        <v>75612496</v>
      </c>
      <c r="E5023">
        <v>2.89</v>
      </c>
      <c r="F5023">
        <v>7.7</v>
      </c>
    </row>
    <row r="5024" spans="1:6" x14ac:dyDescent="0.3">
      <c r="A5024" t="s">
        <v>8413</v>
      </c>
      <c r="B5024" t="s">
        <v>8414</v>
      </c>
      <c r="C5024" t="s">
        <v>8415</v>
      </c>
      <c r="D5024">
        <v>75618554</v>
      </c>
      <c r="E5024">
        <v>3.83</v>
      </c>
      <c r="F5024">
        <v>6.42</v>
      </c>
    </row>
    <row r="5025" spans="1:6" x14ac:dyDescent="0.3">
      <c r="A5025" t="s">
        <v>8413</v>
      </c>
      <c r="B5025" t="s">
        <v>8414</v>
      </c>
      <c r="C5025" t="s">
        <v>8415</v>
      </c>
      <c r="D5025">
        <v>75618554</v>
      </c>
      <c r="E5025">
        <v>3.83</v>
      </c>
      <c r="F5025">
        <v>6.42</v>
      </c>
    </row>
    <row r="5026" spans="1:6" x14ac:dyDescent="0.3">
      <c r="A5026" t="s">
        <v>8416</v>
      </c>
      <c r="B5026" t="s">
        <v>8417</v>
      </c>
      <c r="C5026" t="s">
        <v>5320</v>
      </c>
      <c r="D5026">
        <v>75631808</v>
      </c>
      <c r="E5026">
        <v>6.05</v>
      </c>
      <c r="F5026">
        <v>6.24</v>
      </c>
    </row>
    <row r="5027" spans="1:6" x14ac:dyDescent="0.3">
      <c r="A5027" t="s">
        <v>8416</v>
      </c>
      <c r="B5027" t="s">
        <v>8417</v>
      </c>
      <c r="C5027" t="s">
        <v>5320</v>
      </c>
      <c r="D5027">
        <v>75631808</v>
      </c>
      <c r="E5027">
        <v>6.05</v>
      </c>
      <c r="F5027">
        <v>6.24</v>
      </c>
    </row>
    <row r="5028" spans="1:6" x14ac:dyDescent="0.3">
      <c r="A5028" t="s">
        <v>8418</v>
      </c>
      <c r="B5028" t="s">
        <v>2999</v>
      </c>
      <c r="C5028" t="s">
        <v>8419</v>
      </c>
      <c r="D5028">
        <v>75635988</v>
      </c>
      <c r="E5028">
        <v>7.43</v>
      </c>
      <c r="F5028">
        <v>7.2</v>
      </c>
    </row>
    <row r="5029" spans="1:6" x14ac:dyDescent="0.3">
      <c r="A5029" t="s">
        <v>8418</v>
      </c>
      <c r="B5029" t="s">
        <v>2999</v>
      </c>
      <c r="C5029" t="s">
        <v>8419</v>
      </c>
      <c r="D5029">
        <v>75635988</v>
      </c>
      <c r="E5029">
        <v>7.43</v>
      </c>
      <c r="F5029">
        <v>7.2</v>
      </c>
    </row>
    <row r="5030" spans="1:6" x14ac:dyDescent="0.3">
      <c r="A5030" t="s">
        <v>8420</v>
      </c>
      <c r="B5030" t="s">
        <v>8421</v>
      </c>
      <c r="C5030" t="s">
        <v>8422</v>
      </c>
      <c r="D5030">
        <v>75641557</v>
      </c>
      <c r="E5030">
        <v>7</v>
      </c>
      <c r="F5030">
        <v>5.33</v>
      </c>
    </row>
    <row r="5031" spans="1:6" x14ac:dyDescent="0.3">
      <c r="A5031" t="s">
        <v>8420</v>
      </c>
      <c r="B5031" t="s">
        <v>8421</v>
      </c>
      <c r="C5031" t="s">
        <v>8422</v>
      </c>
      <c r="D5031">
        <v>75641557</v>
      </c>
      <c r="E5031">
        <v>7</v>
      </c>
      <c r="F5031">
        <v>5.33</v>
      </c>
    </row>
    <row r="5032" spans="1:6" x14ac:dyDescent="0.3">
      <c r="A5032" t="s">
        <v>8423</v>
      </c>
      <c r="B5032" t="s">
        <v>5449</v>
      </c>
      <c r="C5032" t="s">
        <v>8424</v>
      </c>
      <c r="D5032">
        <v>75665684</v>
      </c>
      <c r="E5032">
        <v>3.73</v>
      </c>
      <c r="F5032">
        <v>5.73</v>
      </c>
    </row>
    <row r="5033" spans="1:6" x14ac:dyDescent="0.3">
      <c r="A5033" t="s">
        <v>8423</v>
      </c>
      <c r="B5033" t="s">
        <v>5449</v>
      </c>
      <c r="C5033" t="s">
        <v>8424</v>
      </c>
      <c r="D5033">
        <v>75665684</v>
      </c>
      <c r="E5033">
        <v>3.73</v>
      </c>
      <c r="F5033">
        <v>5.73</v>
      </c>
    </row>
    <row r="5034" spans="1:6" x14ac:dyDescent="0.3">
      <c r="A5034" t="s">
        <v>8425</v>
      </c>
      <c r="B5034" t="s">
        <v>8032</v>
      </c>
      <c r="C5034" t="s">
        <v>4003</v>
      </c>
      <c r="D5034">
        <v>75671168</v>
      </c>
      <c r="E5034">
        <v>1.61</v>
      </c>
      <c r="F5034">
        <v>7.79</v>
      </c>
    </row>
    <row r="5035" spans="1:6" x14ac:dyDescent="0.3">
      <c r="A5035" t="s">
        <v>8425</v>
      </c>
      <c r="B5035" t="s">
        <v>8032</v>
      </c>
      <c r="C5035" t="s">
        <v>4003</v>
      </c>
      <c r="D5035">
        <v>75671168</v>
      </c>
      <c r="E5035">
        <v>1.61</v>
      </c>
      <c r="F5035">
        <v>7.79</v>
      </c>
    </row>
    <row r="5036" spans="1:6" x14ac:dyDescent="0.3">
      <c r="A5036" t="s">
        <v>8426</v>
      </c>
      <c r="B5036" t="s">
        <v>8427</v>
      </c>
      <c r="C5036" t="s">
        <v>5855</v>
      </c>
      <c r="D5036">
        <v>75673707</v>
      </c>
      <c r="E5036">
        <v>9.67</v>
      </c>
      <c r="F5036">
        <v>6.33</v>
      </c>
    </row>
    <row r="5037" spans="1:6" x14ac:dyDescent="0.3">
      <c r="A5037" t="s">
        <v>8426</v>
      </c>
      <c r="B5037" t="s">
        <v>8427</v>
      </c>
      <c r="C5037" t="s">
        <v>5855</v>
      </c>
      <c r="D5037">
        <v>75673707</v>
      </c>
      <c r="E5037">
        <v>9.67</v>
      </c>
      <c r="F5037">
        <v>6.33</v>
      </c>
    </row>
    <row r="5038" spans="1:6" x14ac:dyDescent="0.3">
      <c r="A5038" t="s">
        <v>8428</v>
      </c>
      <c r="B5038" t="s">
        <v>6079</v>
      </c>
      <c r="C5038" t="s">
        <v>4827</v>
      </c>
      <c r="D5038">
        <v>75718490</v>
      </c>
      <c r="E5038">
        <v>25.22</v>
      </c>
      <c r="F5038">
        <v>7.33</v>
      </c>
    </row>
    <row r="5039" spans="1:6" x14ac:dyDescent="0.3">
      <c r="A5039" t="s">
        <v>8428</v>
      </c>
      <c r="B5039" t="s">
        <v>6079</v>
      </c>
      <c r="C5039" t="s">
        <v>4827</v>
      </c>
      <c r="D5039">
        <v>75718490</v>
      </c>
      <c r="E5039">
        <v>25.22</v>
      </c>
      <c r="F5039">
        <v>7.33</v>
      </c>
    </row>
    <row r="5040" spans="1:6" x14ac:dyDescent="0.3">
      <c r="A5040" t="s">
        <v>8429</v>
      </c>
      <c r="B5040" t="s">
        <v>8430</v>
      </c>
      <c r="C5040" t="s">
        <v>8431</v>
      </c>
      <c r="D5040">
        <v>75727357</v>
      </c>
      <c r="E5040">
        <v>2.04</v>
      </c>
      <c r="F5040">
        <v>6.76</v>
      </c>
    </row>
    <row r="5041" spans="1:6" x14ac:dyDescent="0.3">
      <c r="A5041" t="s">
        <v>8429</v>
      </c>
      <c r="B5041" t="s">
        <v>8430</v>
      </c>
      <c r="C5041" t="s">
        <v>8431</v>
      </c>
      <c r="D5041">
        <v>75727357</v>
      </c>
      <c r="E5041">
        <v>2.04</v>
      </c>
      <c r="F5041">
        <v>6.76</v>
      </c>
    </row>
    <row r="5042" spans="1:6" x14ac:dyDescent="0.3">
      <c r="A5042" t="s">
        <v>8432</v>
      </c>
      <c r="B5042" t="s">
        <v>8433</v>
      </c>
      <c r="C5042" t="s">
        <v>3573</v>
      </c>
      <c r="D5042">
        <v>75762997</v>
      </c>
      <c r="E5042">
        <v>3.03</v>
      </c>
      <c r="F5042">
        <v>6.07</v>
      </c>
    </row>
    <row r="5043" spans="1:6" x14ac:dyDescent="0.3">
      <c r="A5043" t="s">
        <v>8434</v>
      </c>
      <c r="B5043" t="s">
        <v>4184</v>
      </c>
      <c r="C5043" t="s">
        <v>8435</v>
      </c>
      <c r="D5043">
        <v>75765104</v>
      </c>
      <c r="E5043">
        <v>11.09</v>
      </c>
      <c r="F5043">
        <v>6.92</v>
      </c>
    </row>
    <row r="5044" spans="1:6" x14ac:dyDescent="0.3">
      <c r="A5044" t="s">
        <v>8436</v>
      </c>
      <c r="B5044" t="s">
        <v>8437</v>
      </c>
      <c r="C5044" t="s">
        <v>8438</v>
      </c>
      <c r="D5044">
        <v>75766713</v>
      </c>
      <c r="E5044">
        <v>25</v>
      </c>
      <c r="F5044">
        <v>4</v>
      </c>
    </row>
    <row r="5045" spans="1:6" x14ac:dyDescent="0.3">
      <c r="A5045" t="s">
        <v>8439</v>
      </c>
      <c r="B5045" t="s">
        <v>6119</v>
      </c>
      <c r="C5045" t="s">
        <v>1203</v>
      </c>
      <c r="D5045">
        <v>75769818</v>
      </c>
      <c r="E5045">
        <v>6.13</v>
      </c>
      <c r="F5045">
        <v>7.1</v>
      </c>
    </row>
    <row r="5046" spans="1:6" x14ac:dyDescent="0.3">
      <c r="A5046" t="s">
        <v>8440</v>
      </c>
      <c r="B5046" t="s">
        <v>8441</v>
      </c>
      <c r="C5046" t="s">
        <v>3706</v>
      </c>
      <c r="D5046">
        <v>75779429</v>
      </c>
      <c r="E5046">
        <v>4.47</v>
      </c>
      <c r="F5046">
        <v>6.7</v>
      </c>
    </row>
    <row r="5047" spans="1:6" x14ac:dyDescent="0.3">
      <c r="A5047" t="s">
        <v>8442</v>
      </c>
      <c r="B5047" t="s">
        <v>7604</v>
      </c>
      <c r="C5047" t="s">
        <v>8025</v>
      </c>
      <c r="D5047">
        <v>75781004</v>
      </c>
      <c r="E5047">
        <v>5.67</v>
      </c>
      <c r="F5047">
        <v>8.1</v>
      </c>
    </row>
    <row r="5048" spans="1:6" x14ac:dyDescent="0.3">
      <c r="A5048" t="s">
        <v>8443</v>
      </c>
      <c r="B5048" t="s">
        <v>6780</v>
      </c>
      <c r="C5048" t="s">
        <v>4621</v>
      </c>
      <c r="D5048">
        <v>75806677</v>
      </c>
      <c r="E5048">
        <v>17.73</v>
      </c>
      <c r="F5048">
        <v>8.24</v>
      </c>
    </row>
    <row r="5049" spans="1:6" x14ac:dyDescent="0.3">
      <c r="A5049" t="s">
        <v>8444</v>
      </c>
      <c r="B5049" t="s">
        <v>8047</v>
      </c>
      <c r="C5049" t="s">
        <v>8083</v>
      </c>
      <c r="D5049">
        <v>75813671</v>
      </c>
      <c r="E5049">
        <v>33</v>
      </c>
      <c r="F5049">
        <v>8.6</v>
      </c>
    </row>
    <row r="5050" spans="1:6" x14ac:dyDescent="0.3">
      <c r="A5050" t="s">
        <v>8445</v>
      </c>
      <c r="B5050" t="s">
        <v>8446</v>
      </c>
      <c r="C5050" t="s">
        <v>8445</v>
      </c>
      <c r="D5050">
        <v>75841415</v>
      </c>
      <c r="E5050">
        <v>12.82</v>
      </c>
      <c r="F5050">
        <v>5.93</v>
      </c>
    </row>
    <row r="5051" spans="1:6" x14ac:dyDescent="0.3">
      <c r="A5051" t="s">
        <v>8447</v>
      </c>
      <c r="B5051" t="s">
        <v>8448</v>
      </c>
      <c r="C5051" t="s">
        <v>8449</v>
      </c>
      <c r="D5051">
        <v>75857309</v>
      </c>
      <c r="E5051">
        <v>20.399999999999999</v>
      </c>
      <c r="F5051">
        <v>7.16</v>
      </c>
    </row>
    <row r="5052" spans="1:6" x14ac:dyDescent="0.3">
      <c r="A5052" t="s">
        <v>8450</v>
      </c>
      <c r="B5052" t="s">
        <v>5051</v>
      </c>
      <c r="C5052" t="s">
        <v>2456</v>
      </c>
      <c r="D5052">
        <v>75868505</v>
      </c>
      <c r="E5052">
        <v>8.92</v>
      </c>
      <c r="F5052">
        <v>6.3</v>
      </c>
    </row>
    <row r="5053" spans="1:6" x14ac:dyDescent="0.3">
      <c r="A5053" t="s">
        <v>8451</v>
      </c>
      <c r="B5053" t="s">
        <v>7733</v>
      </c>
      <c r="C5053" t="s">
        <v>2079</v>
      </c>
      <c r="D5053">
        <v>75873196</v>
      </c>
      <c r="E5053">
        <v>12.25</v>
      </c>
      <c r="F5053">
        <v>7.83</v>
      </c>
    </row>
    <row r="5054" spans="1:6" x14ac:dyDescent="0.3">
      <c r="A5054" t="s">
        <v>8452</v>
      </c>
      <c r="B5054" t="s">
        <v>8453</v>
      </c>
      <c r="C5054" t="s">
        <v>1044</v>
      </c>
      <c r="D5054">
        <v>75897801</v>
      </c>
      <c r="E5054">
        <v>4.4000000000000004</v>
      </c>
      <c r="F5054">
        <v>7.25</v>
      </c>
    </row>
    <row r="5055" spans="1:6" x14ac:dyDescent="0.3">
      <c r="A5055" t="s">
        <v>8454</v>
      </c>
      <c r="B5055" t="s">
        <v>1899</v>
      </c>
      <c r="C5055" t="s">
        <v>8455</v>
      </c>
      <c r="D5055">
        <v>75905366</v>
      </c>
      <c r="E5055">
        <v>3.32</v>
      </c>
      <c r="F5055">
        <v>5.38</v>
      </c>
    </row>
    <row r="5056" spans="1:6" x14ac:dyDescent="0.3">
      <c r="A5056" t="s">
        <v>8456</v>
      </c>
      <c r="B5056" t="s">
        <v>8457</v>
      </c>
      <c r="C5056" t="s">
        <v>8458</v>
      </c>
      <c r="D5056">
        <v>75941344</v>
      </c>
      <c r="E5056">
        <v>3.21</v>
      </c>
      <c r="F5056">
        <v>6.95</v>
      </c>
    </row>
    <row r="5057" spans="1:6" x14ac:dyDescent="0.3">
      <c r="A5057" t="s">
        <v>8459</v>
      </c>
      <c r="B5057" t="s">
        <v>8460</v>
      </c>
      <c r="C5057" t="s">
        <v>8461</v>
      </c>
      <c r="D5057">
        <v>75972902</v>
      </c>
      <c r="E5057">
        <v>3.89</v>
      </c>
      <c r="F5057">
        <v>5.25</v>
      </c>
    </row>
    <row r="5058" spans="1:6" x14ac:dyDescent="0.3">
      <c r="A5058" t="s">
        <v>8462</v>
      </c>
      <c r="B5058" t="s">
        <v>8463</v>
      </c>
      <c r="C5058" t="s">
        <v>8464</v>
      </c>
      <c r="D5058">
        <v>75993355</v>
      </c>
      <c r="E5058">
        <v>5.5</v>
      </c>
      <c r="F5058">
        <v>6.91</v>
      </c>
    </row>
    <row r="5059" spans="1:6" x14ac:dyDescent="0.3">
      <c r="A5059" t="s">
        <v>8465</v>
      </c>
      <c r="B5059" t="s">
        <v>6195</v>
      </c>
      <c r="C5059" t="s">
        <v>2231</v>
      </c>
      <c r="D5059">
        <v>76010354</v>
      </c>
      <c r="E5059">
        <v>2.2400000000000002</v>
      </c>
      <c r="F5059">
        <v>6.04</v>
      </c>
    </row>
    <row r="5060" spans="1:6" x14ac:dyDescent="0.3">
      <c r="A5060" t="s">
        <v>8466</v>
      </c>
      <c r="B5060" t="s">
        <v>6011</v>
      </c>
      <c r="C5060" t="s">
        <v>8467</v>
      </c>
      <c r="D5060">
        <v>76016356</v>
      </c>
      <c r="E5060">
        <v>4.1900000000000004</v>
      </c>
      <c r="F5060">
        <v>5.96</v>
      </c>
    </row>
    <row r="5061" spans="1:6" x14ac:dyDescent="0.3">
      <c r="A5061" t="s">
        <v>8468</v>
      </c>
      <c r="B5061" t="s">
        <v>6785</v>
      </c>
      <c r="C5061" t="s">
        <v>8469</v>
      </c>
      <c r="D5061">
        <v>76022083</v>
      </c>
      <c r="E5061">
        <v>10.69</v>
      </c>
      <c r="F5061">
        <v>7.72</v>
      </c>
    </row>
    <row r="5062" spans="1:6" x14ac:dyDescent="0.3">
      <c r="A5062" t="s">
        <v>8470</v>
      </c>
      <c r="B5062" t="s">
        <v>8471</v>
      </c>
      <c r="C5062" t="s">
        <v>8472</v>
      </c>
      <c r="D5062">
        <v>76033704</v>
      </c>
      <c r="E5062">
        <v>4.75</v>
      </c>
      <c r="F5062">
        <v>5.57</v>
      </c>
    </row>
    <row r="5063" spans="1:6" x14ac:dyDescent="0.3">
      <c r="A5063" t="s">
        <v>8473</v>
      </c>
      <c r="B5063" t="s">
        <v>8474</v>
      </c>
      <c r="C5063" t="s">
        <v>4519</v>
      </c>
      <c r="D5063">
        <v>76047685</v>
      </c>
      <c r="E5063">
        <v>2.9</v>
      </c>
      <c r="F5063">
        <v>6.09</v>
      </c>
    </row>
    <row r="5064" spans="1:6" x14ac:dyDescent="0.3">
      <c r="A5064" t="s">
        <v>8475</v>
      </c>
      <c r="B5064" t="s">
        <v>8476</v>
      </c>
      <c r="C5064" t="s">
        <v>8477</v>
      </c>
      <c r="D5064">
        <v>76048684</v>
      </c>
      <c r="E5064">
        <v>3</v>
      </c>
      <c r="F5064">
        <v>6</v>
      </c>
    </row>
    <row r="5065" spans="1:6" x14ac:dyDescent="0.3">
      <c r="A5065" t="s">
        <v>8478</v>
      </c>
      <c r="B5065" t="s">
        <v>8479</v>
      </c>
      <c r="C5065" t="s">
        <v>5637</v>
      </c>
      <c r="D5065">
        <v>76050147</v>
      </c>
      <c r="E5065">
        <v>12.03</v>
      </c>
      <c r="F5065">
        <v>8.1</v>
      </c>
    </row>
    <row r="5066" spans="1:6" x14ac:dyDescent="0.3">
      <c r="A5066" t="s">
        <v>8480</v>
      </c>
      <c r="B5066" t="s">
        <v>7261</v>
      </c>
      <c r="C5066" t="s">
        <v>2509</v>
      </c>
      <c r="D5066">
        <v>76070513</v>
      </c>
      <c r="E5066">
        <v>1.86</v>
      </c>
      <c r="F5066">
        <v>6.66</v>
      </c>
    </row>
    <row r="5067" spans="1:6" x14ac:dyDescent="0.3">
      <c r="A5067" t="s">
        <v>7275</v>
      </c>
      <c r="B5067" t="s">
        <v>3222</v>
      </c>
      <c r="C5067" t="s">
        <v>8481</v>
      </c>
      <c r="D5067">
        <v>76074130</v>
      </c>
      <c r="E5067">
        <v>5.89</v>
      </c>
      <c r="F5067">
        <v>8.43</v>
      </c>
    </row>
    <row r="5068" spans="1:6" x14ac:dyDescent="0.3">
      <c r="A5068" t="s">
        <v>8482</v>
      </c>
      <c r="B5068" t="s">
        <v>7813</v>
      </c>
      <c r="C5068" t="s">
        <v>8483</v>
      </c>
      <c r="D5068">
        <v>76077742</v>
      </c>
      <c r="E5068">
        <v>1.78</v>
      </c>
      <c r="F5068">
        <v>5.21</v>
      </c>
    </row>
    <row r="5069" spans="1:6" x14ac:dyDescent="0.3">
      <c r="A5069" t="s">
        <v>8484</v>
      </c>
      <c r="B5069" t="s">
        <v>5877</v>
      </c>
      <c r="C5069" t="s">
        <v>2849</v>
      </c>
      <c r="D5069">
        <v>76103221</v>
      </c>
      <c r="E5069">
        <v>5.18</v>
      </c>
      <c r="F5069">
        <v>6.86</v>
      </c>
    </row>
    <row r="5070" spans="1:6" x14ac:dyDescent="0.3">
      <c r="A5070" t="s">
        <v>8485</v>
      </c>
      <c r="B5070" t="s">
        <v>7356</v>
      </c>
      <c r="C5070" t="s">
        <v>1012</v>
      </c>
      <c r="D5070">
        <v>76107756</v>
      </c>
      <c r="E5070">
        <v>7.04</v>
      </c>
      <c r="F5070">
        <v>8.35</v>
      </c>
    </row>
    <row r="5071" spans="1:6" x14ac:dyDescent="0.3">
      <c r="A5071" t="s">
        <v>8486</v>
      </c>
      <c r="B5071" t="s">
        <v>5449</v>
      </c>
      <c r="C5071" t="s">
        <v>28</v>
      </c>
      <c r="D5071">
        <v>76121003</v>
      </c>
      <c r="E5071">
        <v>9.94</v>
      </c>
      <c r="F5071">
        <v>7.48</v>
      </c>
    </row>
    <row r="5072" spans="1:6" x14ac:dyDescent="0.3">
      <c r="A5072" t="s">
        <v>8487</v>
      </c>
      <c r="B5072" t="s">
        <v>6241</v>
      </c>
      <c r="C5072" t="s">
        <v>7707</v>
      </c>
      <c r="D5072">
        <v>76140704</v>
      </c>
      <c r="E5072">
        <v>14.55</v>
      </c>
      <c r="F5072">
        <v>7.67</v>
      </c>
    </row>
    <row r="5073" spans="1:6" x14ac:dyDescent="0.3">
      <c r="A5073" t="s">
        <v>8488</v>
      </c>
      <c r="B5073" t="s">
        <v>4143</v>
      </c>
      <c r="C5073" t="s">
        <v>6605</v>
      </c>
      <c r="D5073">
        <v>76140874</v>
      </c>
      <c r="E5073">
        <v>2.75</v>
      </c>
      <c r="F5073">
        <v>6.18</v>
      </c>
    </row>
    <row r="5074" spans="1:6" x14ac:dyDescent="0.3">
      <c r="A5074" t="s">
        <v>8489</v>
      </c>
      <c r="B5074" t="s">
        <v>5410</v>
      </c>
      <c r="C5074" t="s">
        <v>8490</v>
      </c>
      <c r="D5074">
        <v>76158198</v>
      </c>
      <c r="E5074">
        <v>7.82</v>
      </c>
      <c r="F5074">
        <v>7.45</v>
      </c>
    </row>
    <row r="5075" spans="1:6" x14ac:dyDescent="0.3">
      <c r="A5075" t="s">
        <v>8491</v>
      </c>
      <c r="B5075" t="s">
        <v>7568</v>
      </c>
      <c r="C5075" t="s">
        <v>3266</v>
      </c>
      <c r="D5075">
        <v>76159410</v>
      </c>
      <c r="E5075">
        <v>32.78</v>
      </c>
      <c r="F5075">
        <v>8.11</v>
      </c>
    </row>
    <row r="5076" spans="1:6" x14ac:dyDescent="0.3">
      <c r="A5076" t="s">
        <v>8492</v>
      </c>
      <c r="B5076" t="s">
        <v>8493</v>
      </c>
      <c r="C5076" t="s">
        <v>6338</v>
      </c>
      <c r="D5076">
        <v>76159556</v>
      </c>
      <c r="E5076">
        <v>10.78</v>
      </c>
      <c r="F5076">
        <v>7.95</v>
      </c>
    </row>
    <row r="5077" spans="1:6" x14ac:dyDescent="0.3">
      <c r="A5077" t="s">
        <v>8494</v>
      </c>
      <c r="B5077" t="s">
        <v>8495</v>
      </c>
      <c r="C5077" t="s">
        <v>8496</v>
      </c>
      <c r="D5077">
        <v>76165378</v>
      </c>
      <c r="E5077">
        <v>10.4</v>
      </c>
      <c r="F5077">
        <v>7.78</v>
      </c>
    </row>
    <row r="5078" spans="1:6" x14ac:dyDescent="0.3">
      <c r="A5078" t="s">
        <v>8497</v>
      </c>
      <c r="B5078" t="s">
        <v>7071</v>
      </c>
      <c r="C5078" t="s">
        <v>3008</v>
      </c>
      <c r="D5078">
        <v>76166083</v>
      </c>
      <c r="E5078">
        <v>28</v>
      </c>
      <c r="F5078">
        <v>10</v>
      </c>
    </row>
    <row r="5079" spans="1:6" x14ac:dyDescent="0.3">
      <c r="A5079" t="s">
        <v>8498</v>
      </c>
      <c r="B5079" t="s">
        <v>6639</v>
      </c>
      <c r="C5079" t="s">
        <v>8499</v>
      </c>
      <c r="D5079">
        <v>76169982</v>
      </c>
      <c r="E5079">
        <v>2.27</v>
      </c>
      <c r="F5079">
        <v>7.69</v>
      </c>
    </row>
    <row r="5080" spans="1:6" x14ac:dyDescent="0.3">
      <c r="A5080" t="s">
        <v>8500</v>
      </c>
      <c r="B5080" t="s">
        <v>8501</v>
      </c>
      <c r="C5080" t="s">
        <v>2965</v>
      </c>
      <c r="D5080">
        <v>76171283</v>
      </c>
      <c r="E5080">
        <v>5.62</v>
      </c>
      <c r="F5080">
        <v>7.77</v>
      </c>
    </row>
    <row r="5081" spans="1:6" x14ac:dyDescent="0.3">
      <c r="A5081" t="s">
        <v>8502</v>
      </c>
      <c r="B5081" t="s">
        <v>7527</v>
      </c>
      <c r="C5081" t="s">
        <v>8503</v>
      </c>
      <c r="D5081">
        <v>76183149</v>
      </c>
      <c r="E5081">
        <v>6.5</v>
      </c>
      <c r="F5081">
        <v>8.1300000000000008</v>
      </c>
    </row>
    <row r="5082" spans="1:6" x14ac:dyDescent="0.3">
      <c r="A5082" t="s">
        <v>8504</v>
      </c>
      <c r="B5082" t="s">
        <v>3832</v>
      </c>
      <c r="C5082" t="s">
        <v>7357</v>
      </c>
      <c r="D5082">
        <v>76189144</v>
      </c>
      <c r="E5082">
        <v>1.78</v>
      </c>
      <c r="F5082">
        <v>7.56</v>
      </c>
    </row>
    <row r="5083" spans="1:6" x14ac:dyDescent="0.3">
      <c r="A5083" t="s">
        <v>8505</v>
      </c>
      <c r="B5083" t="s">
        <v>7444</v>
      </c>
      <c r="C5083" t="s">
        <v>8506</v>
      </c>
      <c r="D5083">
        <v>76196489</v>
      </c>
      <c r="E5083">
        <v>20.5</v>
      </c>
      <c r="F5083">
        <v>8</v>
      </c>
    </row>
    <row r="5084" spans="1:6" x14ac:dyDescent="0.3">
      <c r="A5084" t="s">
        <v>8507</v>
      </c>
      <c r="B5084" t="s">
        <v>8508</v>
      </c>
      <c r="C5084" t="s">
        <v>3852</v>
      </c>
      <c r="D5084">
        <v>76208050</v>
      </c>
      <c r="E5084">
        <v>1.0900000000000001</v>
      </c>
      <c r="F5084">
        <v>7.15</v>
      </c>
    </row>
    <row r="5085" spans="1:6" x14ac:dyDescent="0.3">
      <c r="A5085" t="s">
        <v>8509</v>
      </c>
      <c r="B5085" t="s">
        <v>8510</v>
      </c>
      <c r="C5085" t="s">
        <v>8511</v>
      </c>
      <c r="D5085">
        <v>76218582</v>
      </c>
      <c r="E5085">
        <v>5.5</v>
      </c>
      <c r="F5085">
        <v>7.5</v>
      </c>
    </row>
    <row r="5086" spans="1:6" x14ac:dyDescent="0.3">
      <c r="A5086" t="s">
        <v>8512</v>
      </c>
      <c r="B5086" t="s">
        <v>8513</v>
      </c>
      <c r="C5086" t="s">
        <v>959</v>
      </c>
      <c r="D5086">
        <v>76220584</v>
      </c>
      <c r="E5086">
        <v>11.33</v>
      </c>
      <c r="F5086">
        <v>8</v>
      </c>
    </row>
    <row r="5087" spans="1:6" x14ac:dyDescent="0.3">
      <c r="A5087" t="s">
        <v>8514</v>
      </c>
      <c r="B5087" t="s">
        <v>7494</v>
      </c>
      <c r="C5087" t="s">
        <v>2006</v>
      </c>
      <c r="D5087">
        <v>76251364</v>
      </c>
      <c r="E5087">
        <v>10.14</v>
      </c>
      <c r="F5087">
        <v>6.63</v>
      </c>
    </row>
    <row r="5088" spans="1:6" x14ac:dyDescent="0.3">
      <c r="A5088" t="s">
        <v>8515</v>
      </c>
      <c r="B5088" t="s">
        <v>8516</v>
      </c>
      <c r="C5088" t="s">
        <v>2463</v>
      </c>
      <c r="D5088">
        <v>76252218</v>
      </c>
      <c r="E5088">
        <v>1.79</v>
      </c>
      <c r="F5088">
        <v>6.21</v>
      </c>
    </row>
    <row r="5089" spans="1:6" x14ac:dyDescent="0.3">
      <c r="A5089" t="s">
        <v>8517</v>
      </c>
      <c r="B5089" t="s">
        <v>6834</v>
      </c>
      <c r="C5089" t="s">
        <v>4226</v>
      </c>
      <c r="D5089">
        <v>76277934</v>
      </c>
      <c r="E5089">
        <v>2.33</v>
      </c>
      <c r="F5089">
        <v>5.71</v>
      </c>
    </row>
    <row r="5090" spans="1:6" x14ac:dyDescent="0.3">
      <c r="A5090" t="s">
        <v>8518</v>
      </c>
      <c r="B5090" t="s">
        <v>7177</v>
      </c>
      <c r="C5090" t="s">
        <v>8519</v>
      </c>
      <c r="D5090">
        <v>76280532</v>
      </c>
      <c r="E5090">
        <v>7.08</v>
      </c>
      <c r="F5090">
        <v>8.3699999999999992</v>
      </c>
    </row>
    <row r="5091" spans="1:6" x14ac:dyDescent="0.3">
      <c r="A5091" t="s">
        <v>8520</v>
      </c>
      <c r="B5091" t="s">
        <v>6980</v>
      </c>
      <c r="C5091" t="s">
        <v>8521</v>
      </c>
      <c r="D5091">
        <v>76294880</v>
      </c>
      <c r="E5091">
        <v>12.35</v>
      </c>
      <c r="F5091">
        <v>8</v>
      </c>
    </row>
    <row r="5092" spans="1:6" x14ac:dyDescent="0.3">
      <c r="A5092" t="s">
        <v>8522</v>
      </c>
      <c r="B5092" t="s">
        <v>1890</v>
      </c>
      <c r="C5092" t="s">
        <v>8523</v>
      </c>
      <c r="D5092">
        <v>76298358</v>
      </c>
      <c r="E5092">
        <v>3.06</v>
      </c>
      <c r="F5092">
        <v>6.29</v>
      </c>
    </row>
    <row r="5093" spans="1:6" x14ac:dyDescent="0.3">
      <c r="A5093" t="s">
        <v>8524</v>
      </c>
      <c r="B5093" t="s">
        <v>6633</v>
      </c>
      <c r="C5093" t="s">
        <v>5334</v>
      </c>
      <c r="D5093">
        <v>76337521</v>
      </c>
      <c r="E5093">
        <v>7.44</v>
      </c>
      <c r="F5093">
        <v>8.1300000000000008</v>
      </c>
    </row>
    <row r="5094" spans="1:6" x14ac:dyDescent="0.3">
      <c r="A5094" t="s">
        <v>8525</v>
      </c>
      <c r="B5094" t="s">
        <v>8526</v>
      </c>
      <c r="C5094" t="s">
        <v>1638</v>
      </c>
      <c r="D5094">
        <v>76353502</v>
      </c>
      <c r="E5094">
        <v>6.32</v>
      </c>
      <c r="F5094">
        <v>6.91</v>
      </c>
    </row>
    <row r="5095" spans="1:6" x14ac:dyDescent="0.3">
      <c r="A5095" t="s">
        <v>8527</v>
      </c>
      <c r="B5095" t="s">
        <v>3120</v>
      </c>
      <c r="C5095" t="s">
        <v>1375</v>
      </c>
      <c r="D5095">
        <v>76358953</v>
      </c>
      <c r="E5095">
        <v>28</v>
      </c>
      <c r="F5095">
        <v>8</v>
      </c>
    </row>
    <row r="5096" spans="1:6" x14ac:dyDescent="0.3">
      <c r="A5096" t="s">
        <v>8528</v>
      </c>
      <c r="B5096" t="s">
        <v>8529</v>
      </c>
      <c r="C5096" t="s">
        <v>8530</v>
      </c>
      <c r="D5096">
        <v>76369220</v>
      </c>
      <c r="E5096">
        <v>2.62</v>
      </c>
      <c r="F5096">
        <v>7.57</v>
      </c>
    </row>
    <row r="5097" spans="1:6" x14ac:dyDescent="0.3">
      <c r="A5097" t="s">
        <v>8531</v>
      </c>
      <c r="B5097" t="s">
        <v>5006</v>
      </c>
      <c r="C5097" t="s">
        <v>6256</v>
      </c>
      <c r="D5097">
        <v>76400976</v>
      </c>
      <c r="E5097">
        <v>8.14</v>
      </c>
      <c r="F5097">
        <v>6.17</v>
      </c>
    </row>
    <row r="5098" spans="1:6" x14ac:dyDescent="0.3">
      <c r="A5098" t="s">
        <v>8532</v>
      </c>
      <c r="B5098" t="s">
        <v>8097</v>
      </c>
      <c r="C5098" t="s">
        <v>8533</v>
      </c>
      <c r="D5098">
        <v>76405498</v>
      </c>
      <c r="E5098">
        <v>6.56</v>
      </c>
      <c r="F5098">
        <v>3.5</v>
      </c>
    </row>
    <row r="5099" spans="1:6" x14ac:dyDescent="0.3">
      <c r="A5099" t="s">
        <v>8534</v>
      </c>
      <c r="B5099" t="s">
        <v>5425</v>
      </c>
      <c r="C5099" t="s">
        <v>8535</v>
      </c>
      <c r="D5099">
        <v>76427063</v>
      </c>
      <c r="E5099">
        <v>1.06</v>
      </c>
      <c r="F5099">
        <v>6.39</v>
      </c>
    </row>
    <row r="5100" spans="1:6" x14ac:dyDescent="0.3">
      <c r="A5100" t="s">
        <v>8536</v>
      </c>
      <c r="B5100" t="s">
        <v>8251</v>
      </c>
      <c r="C5100" t="s">
        <v>8537</v>
      </c>
      <c r="D5100">
        <v>76468718</v>
      </c>
      <c r="E5100">
        <v>4.8</v>
      </c>
      <c r="F5100">
        <v>6.11</v>
      </c>
    </row>
    <row r="5101" spans="1:6" x14ac:dyDescent="0.3">
      <c r="A5101" t="s">
        <v>8538</v>
      </c>
      <c r="B5101" t="s">
        <v>4184</v>
      </c>
      <c r="C5101" t="s">
        <v>8331</v>
      </c>
      <c r="D5101">
        <v>76482571</v>
      </c>
      <c r="E5101">
        <v>4.9000000000000004</v>
      </c>
      <c r="F5101">
        <v>6.5</v>
      </c>
    </row>
    <row r="5102" spans="1:6" x14ac:dyDescent="0.3">
      <c r="A5102" t="s">
        <v>8539</v>
      </c>
      <c r="B5102" t="s">
        <v>8540</v>
      </c>
      <c r="C5102" t="s">
        <v>8541</v>
      </c>
      <c r="D5102">
        <v>76484997</v>
      </c>
      <c r="E5102">
        <v>9.94</v>
      </c>
      <c r="F5102">
        <v>7.69</v>
      </c>
    </row>
    <row r="5103" spans="1:6" x14ac:dyDescent="0.3">
      <c r="A5103" t="s">
        <v>8542</v>
      </c>
      <c r="B5103" t="s">
        <v>3128</v>
      </c>
      <c r="C5103" t="s">
        <v>8167</v>
      </c>
      <c r="D5103">
        <v>76485577</v>
      </c>
      <c r="E5103">
        <v>9</v>
      </c>
      <c r="F5103">
        <v>5.5</v>
      </c>
    </row>
    <row r="5104" spans="1:6" x14ac:dyDescent="0.3">
      <c r="A5104" t="s">
        <v>8543</v>
      </c>
      <c r="B5104" t="s">
        <v>1385</v>
      </c>
      <c r="C5104" t="s">
        <v>5091</v>
      </c>
      <c r="D5104">
        <v>76508913</v>
      </c>
      <c r="E5104">
        <v>1.1399999999999999</v>
      </c>
      <c r="F5104">
        <v>7.23</v>
      </c>
    </row>
    <row r="5105" spans="1:6" x14ac:dyDescent="0.3">
      <c r="A5105" t="s">
        <v>6685</v>
      </c>
      <c r="B5105" t="s">
        <v>8544</v>
      </c>
      <c r="C5105" t="s">
        <v>7840</v>
      </c>
      <c r="D5105">
        <v>76512275</v>
      </c>
      <c r="E5105">
        <v>5.97</v>
      </c>
      <c r="F5105">
        <v>6.78</v>
      </c>
    </row>
    <row r="5106" spans="1:6" x14ac:dyDescent="0.3">
      <c r="A5106" t="s">
        <v>5646</v>
      </c>
      <c r="B5106" t="s">
        <v>7545</v>
      </c>
      <c r="C5106" t="s">
        <v>5103</v>
      </c>
      <c r="D5106">
        <v>76516765</v>
      </c>
      <c r="E5106">
        <v>7.6</v>
      </c>
      <c r="F5106">
        <v>6.25</v>
      </c>
    </row>
    <row r="5107" spans="1:6" x14ac:dyDescent="0.3">
      <c r="A5107" t="s">
        <v>8545</v>
      </c>
      <c r="B5107" t="s">
        <v>4690</v>
      </c>
      <c r="C5107" t="s">
        <v>8546</v>
      </c>
      <c r="D5107">
        <v>76524871</v>
      </c>
      <c r="E5107">
        <v>2.96</v>
      </c>
      <c r="F5107">
        <v>6.52</v>
      </c>
    </row>
    <row r="5108" spans="1:6" x14ac:dyDescent="0.3">
      <c r="A5108" t="s">
        <v>8547</v>
      </c>
      <c r="B5108" t="s">
        <v>7025</v>
      </c>
      <c r="C5108" t="s">
        <v>6254</v>
      </c>
      <c r="D5108">
        <v>76532289</v>
      </c>
      <c r="E5108">
        <v>17.55</v>
      </c>
      <c r="F5108">
        <v>7.24</v>
      </c>
    </row>
    <row r="5109" spans="1:6" x14ac:dyDescent="0.3">
      <c r="A5109" t="s">
        <v>8548</v>
      </c>
      <c r="B5109" t="s">
        <v>8549</v>
      </c>
      <c r="C5109" t="s">
        <v>8550</v>
      </c>
      <c r="D5109">
        <v>76543324</v>
      </c>
      <c r="E5109">
        <v>34</v>
      </c>
      <c r="F5109">
        <v>7</v>
      </c>
    </row>
    <row r="5110" spans="1:6" x14ac:dyDescent="0.3">
      <c r="A5110" t="s">
        <v>8551</v>
      </c>
      <c r="B5110" t="s">
        <v>5449</v>
      </c>
      <c r="C5110" t="s">
        <v>1737</v>
      </c>
      <c r="D5110">
        <v>76558714</v>
      </c>
      <c r="E5110">
        <v>15.72</v>
      </c>
      <c r="F5110">
        <v>8.14</v>
      </c>
    </row>
    <row r="5111" spans="1:6" x14ac:dyDescent="0.3">
      <c r="A5111" t="s">
        <v>8552</v>
      </c>
      <c r="B5111" t="s">
        <v>8065</v>
      </c>
      <c r="C5111" t="s">
        <v>847</v>
      </c>
      <c r="D5111">
        <v>76564776</v>
      </c>
      <c r="E5111">
        <v>1.83</v>
      </c>
      <c r="F5111">
        <v>7.21</v>
      </c>
    </row>
    <row r="5112" spans="1:6" x14ac:dyDescent="0.3">
      <c r="A5112" t="s">
        <v>8553</v>
      </c>
      <c r="B5112" t="s">
        <v>7356</v>
      </c>
      <c r="C5112" t="s">
        <v>8554</v>
      </c>
      <c r="D5112">
        <v>76582313</v>
      </c>
      <c r="E5112">
        <v>1.64</v>
      </c>
      <c r="F5112">
        <v>7.06</v>
      </c>
    </row>
    <row r="5113" spans="1:6" x14ac:dyDescent="0.3">
      <c r="A5113" t="s">
        <v>8555</v>
      </c>
      <c r="B5113" t="s">
        <v>3049</v>
      </c>
      <c r="C5113" t="s">
        <v>8556</v>
      </c>
      <c r="D5113">
        <v>76600437</v>
      </c>
      <c r="E5113">
        <v>3.5</v>
      </c>
      <c r="F5113">
        <v>6.36</v>
      </c>
    </row>
    <row r="5114" spans="1:6" x14ac:dyDescent="0.3">
      <c r="A5114" t="s">
        <v>2790</v>
      </c>
      <c r="B5114" t="s">
        <v>6887</v>
      </c>
      <c r="C5114" t="s">
        <v>8557</v>
      </c>
      <c r="D5114">
        <v>76603224</v>
      </c>
      <c r="E5114">
        <v>3.65</v>
      </c>
      <c r="F5114">
        <v>7.57</v>
      </c>
    </row>
    <row r="5115" spans="1:6" x14ac:dyDescent="0.3">
      <c r="A5115" t="s">
        <v>8558</v>
      </c>
      <c r="B5115" t="s">
        <v>4479</v>
      </c>
      <c r="C5115" t="s">
        <v>2332</v>
      </c>
      <c r="D5115">
        <v>76607628</v>
      </c>
      <c r="E5115">
        <v>5.72</v>
      </c>
      <c r="F5115">
        <v>6.5</v>
      </c>
    </row>
    <row r="5116" spans="1:6" x14ac:dyDescent="0.3">
      <c r="A5116" t="s">
        <v>8559</v>
      </c>
      <c r="B5116" t="s">
        <v>6795</v>
      </c>
      <c r="C5116" t="s">
        <v>8560</v>
      </c>
      <c r="D5116">
        <v>76621208</v>
      </c>
      <c r="E5116">
        <v>5.77</v>
      </c>
      <c r="F5116">
        <v>5.71</v>
      </c>
    </row>
    <row r="5117" spans="1:6" x14ac:dyDescent="0.3">
      <c r="A5117" t="s">
        <v>8561</v>
      </c>
      <c r="B5117" t="s">
        <v>5594</v>
      </c>
      <c r="C5117" t="s">
        <v>8562</v>
      </c>
      <c r="D5117">
        <v>76653933</v>
      </c>
      <c r="E5117">
        <v>31</v>
      </c>
      <c r="F5117">
        <v>8.33</v>
      </c>
    </row>
    <row r="5118" spans="1:6" x14ac:dyDescent="0.3">
      <c r="A5118" t="s">
        <v>8563</v>
      </c>
      <c r="B5118" t="s">
        <v>7270</v>
      </c>
      <c r="C5118" t="s">
        <v>4173</v>
      </c>
      <c r="D5118">
        <v>76657690</v>
      </c>
      <c r="E5118">
        <v>16.98</v>
      </c>
      <c r="F5118">
        <v>7.33</v>
      </c>
    </row>
    <row r="5119" spans="1:6" x14ac:dyDescent="0.3">
      <c r="A5119" t="s">
        <v>8564</v>
      </c>
      <c r="B5119" t="s">
        <v>8565</v>
      </c>
      <c r="C5119" t="s">
        <v>8566</v>
      </c>
      <c r="D5119">
        <v>76670086</v>
      </c>
      <c r="E5119">
        <v>21</v>
      </c>
      <c r="F5119">
        <v>7.8</v>
      </c>
    </row>
    <row r="5120" spans="1:6" x14ac:dyDescent="0.3">
      <c r="A5120" t="s">
        <v>8567</v>
      </c>
      <c r="B5120" t="s">
        <v>8529</v>
      </c>
      <c r="C5120" t="s">
        <v>8568</v>
      </c>
      <c r="D5120">
        <v>76678945</v>
      </c>
      <c r="E5120">
        <v>8.11</v>
      </c>
      <c r="F5120">
        <v>6.08</v>
      </c>
    </row>
    <row r="5121" spans="1:6" x14ac:dyDescent="0.3">
      <c r="A5121" t="s">
        <v>8569</v>
      </c>
      <c r="B5121" t="s">
        <v>5733</v>
      </c>
      <c r="C5121" t="s">
        <v>8570</v>
      </c>
      <c r="D5121">
        <v>76682557</v>
      </c>
      <c r="E5121">
        <v>5.6</v>
      </c>
      <c r="F5121">
        <v>5</v>
      </c>
    </row>
    <row r="5122" spans="1:6" x14ac:dyDescent="0.3">
      <c r="A5122" t="s">
        <v>8571</v>
      </c>
      <c r="B5122" t="s">
        <v>7476</v>
      </c>
      <c r="C5122" t="s">
        <v>5586</v>
      </c>
      <c r="D5122">
        <v>76691413</v>
      </c>
      <c r="E5122">
        <v>4.9000000000000004</v>
      </c>
      <c r="F5122">
        <v>6.12</v>
      </c>
    </row>
    <row r="5123" spans="1:6" x14ac:dyDescent="0.3">
      <c r="A5123" t="s">
        <v>8572</v>
      </c>
      <c r="B5123" t="s">
        <v>5350</v>
      </c>
      <c r="C5123" t="s">
        <v>8094</v>
      </c>
      <c r="D5123">
        <v>76698003</v>
      </c>
      <c r="E5123">
        <v>2.93</v>
      </c>
      <c r="F5123">
        <v>6.22</v>
      </c>
    </row>
    <row r="5124" spans="1:6" x14ac:dyDescent="0.3">
      <c r="A5124" t="s">
        <v>8573</v>
      </c>
      <c r="B5124" t="s">
        <v>8574</v>
      </c>
      <c r="C5124" t="s">
        <v>8575</v>
      </c>
      <c r="D5124">
        <v>76698426</v>
      </c>
      <c r="E5124">
        <v>19.29</v>
      </c>
      <c r="F5124">
        <v>3.43</v>
      </c>
    </row>
    <row r="5125" spans="1:6" x14ac:dyDescent="0.3">
      <c r="A5125" t="s">
        <v>8576</v>
      </c>
      <c r="B5125" t="s">
        <v>8577</v>
      </c>
      <c r="C5125" t="s">
        <v>8578</v>
      </c>
      <c r="D5125">
        <v>76702623</v>
      </c>
      <c r="E5125">
        <v>13.16</v>
      </c>
      <c r="F5125">
        <v>8.06</v>
      </c>
    </row>
    <row r="5126" spans="1:6" x14ac:dyDescent="0.3">
      <c r="A5126" t="s">
        <v>8579</v>
      </c>
      <c r="B5126" t="s">
        <v>7747</v>
      </c>
      <c r="C5126" t="s">
        <v>4370</v>
      </c>
      <c r="D5126">
        <v>76714808</v>
      </c>
      <c r="E5126">
        <v>21.75</v>
      </c>
      <c r="F5126">
        <v>4.67</v>
      </c>
    </row>
    <row r="5127" spans="1:6" x14ac:dyDescent="0.3">
      <c r="A5127" t="s">
        <v>8580</v>
      </c>
      <c r="B5127" t="s">
        <v>3550</v>
      </c>
      <c r="C5127" t="s">
        <v>8581</v>
      </c>
      <c r="D5127">
        <v>76726579</v>
      </c>
      <c r="E5127">
        <v>10.51</v>
      </c>
      <c r="F5127">
        <v>7.9</v>
      </c>
    </row>
    <row r="5128" spans="1:6" x14ac:dyDescent="0.3">
      <c r="A5128" t="s">
        <v>8582</v>
      </c>
      <c r="B5128" t="s">
        <v>7604</v>
      </c>
      <c r="C5128" t="s">
        <v>5530</v>
      </c>
      <c r="D5128">
        <v>76737425</v>
      </c>
      <c r="E5128">
        <v>5.31</v>
      </c>
      <c r="F5128">
        <v>7</v>
      </c>
    </row>
    <row r="5129" spans="1:6" x14ac:dyDescent="0.3">
      <c r="A5129" t="s">
        <v>8583</v>
      </c>
      <c r="B5129" t="s">
        <v>6928</v>
      </c>
      <c r="C5129" t="s">
        <v>7381</v>
      </c>
      <c r="D5129">
        <v>76742853</v>
      </c>
      <c r="E5129">
        <v>11.37</v>
      </c>
      <c r="F5129">
        <v>8.8000000000000007</v>
      </c>
    </row>
    <row r="5130" spans="1:6" x14ac:dyDescent="0.3">
      <c r="A5130" t="s">
        <v>8584</v>
      </c>
      <c r="B5130" t="s">
        <v>8585</v>
      </c>
      <c r="C5130" t="s">
        <v>8586</v>
      </c>
      <c r="D5130">
        <v>76749204</v>
      </c>
      <c r="E5130">
        <v>2.86</v>
      </c>
      <c r="F5130">
        <v>6.7</v>
      </c>
    </row>
    <row r="5131" spans="1:6" x14ac:dyDescent="0.3">
      <c r="A5131" t="s">
        <v>8587</v>
      </c>
      <c r="B5131" t="s">
        <v>4849</v>
      </c>
      <c r="C5131" t="s">
        <v>2883</v>
      </c>
      <c r="D5131">
        <v>76760593</v>
      </c>
      <c r="E5131">
        <v>25.07</v>
      </c>
      <c r="F5131">
        <v>6.8</v>
      </c>
    </row>
    <row r="5132" spans="1:6" x14ac:dyDescent="0.3">
      <c r="A5132" t="s">
        <v>8588</v>
      </c>
      <c r="B5132" t="s">
        <v>2203</v>
      </c>
      <c r="C5132" t="s">
        <v>8589</v>
      </c>
      <c r="D5132">
        <v>76767344</v>
      </c>
      <c r="E5132">
        <v>6.98</v>
      </c>
      <c r="F5132">
        <v>5.4</v>
      </c>
    </row>
    <row r="5133" spans="1:6" x14ac:dyDescent="0.3">
      <c r="A5133" t="s">
        <v>8590</v>
      </c>
      <c r="B5133" t="s">
        <v>8591</v>
      </c>
      <c r="C5133" t="s">
        <v>6982</v>
      </c>
      <c r="D5133">
        <v>76770417</v>
      </c>
      <c r="E5133">
        <v>1.94</v>
      </c>
      <c r="F5133">
        <v>6.68</v>
      </c>
    </row>
    <row r="5134" spans="1:6" x14ac:dyDescent="0.3">
      <c r="A5134" t="s">
        <v>8592</v>
      </c>
      <c r="B5134" t="s">
        <v>8593</v>
      </c>
      <c r="C5134" t="s">
        <v>8594</v>
      </c>
      <c r="D5134">
        <v>76777051</v>
      </c>
      <c r="E5134">
        <v>2</v>
      </c>
      <c r="F5134">
        <v>6.38</v>
      </c>
    </row>
    <row r="5135" spans="1:6" x14ac:dyDescent="0.3">
      <c r="A5135" t="s">
        <v>8595</v>
      </c>
      <c r="B5135" t="s">
        <v>7504</v>
      </c>
      <c r="C5135" t="s">
        <v>8596</v>
      </c>
      <c r="D5135">
        <v>76796132</v>
      </c>
      <c r="E5135">
        <v>1.1100000000000001</v>
      </c>
      <c r="F5135">
        <v>6.82</v>
      </c>
    </row>
    <row r="5136" spans="1:6" x14ac:dyDescent="0.3">
      <c r="A5136" t="s">
        <v>8597</v>
      </c>
      <c r="B5136" t="s">
        <v>8598</v>
      </c>
      <c r="C5136" t="s">
        <v>8599</v>
      </c>
      <c r="D5136">
        <v>76799318</v>
      </c>
      <c r="E5136">
        <v>1.89</v>
      </c>
      <c r="F5136">
        <v>4.5999999999999996</v>
      </c>
    </row>
    <row r="5137" spans="1:6" x14ac:dyDescent="0.3">
      <c r="A5137" t="s">
        <v>8600</v>
      </c>
      <c r="B5137" t="s">
        <v>8601</v>
      </c>
      <c r="C5137" t="s">
        <v>8147</v>
      </c>
      <c r="D5137">
        <v>76799716</v>
      </c>
      <c r="E5137">
        <v>2.83</v>
      </c>
      <c r="F5137">
        <v>7.68</v>
      </c>
    </row>
    <row r="5138" spans="1:6" x14ac:dyDescent="0.3">
      <c r="A5138" t="s">
        <v>8602</v>
      </c>
      <c r="B5138" t="s">
        <v>5423</v>
      </c>
      <c r="C5138" t="s">
        <v>8603</v>
      </c>
      <c r="D5138">
        <v>76806230</v>
      </c>
      <c r="E5138">
        <v>2.0499999999999998</v>
      </c>
      <c r="F5138">
        <v>6.66</v>
      </c>
    </row>
    <row r="5139" spans="1:6" x14ac:dyDescent="0.3">
      <c r="A5139" t="s">
        <v>8604</v>
      </c>
      <c r="B5139" t="s">
        <v>3933</v>
      </c>
      <c r="C5139" t="e">
        <f>-Byzantine- TheBlockCave OST</f>
        <v>#NAME?</v>
      </c>
      <c r="D5139">
        <v>76820193</v>
      </c>
      <c r="E5139">
        <v>3.04</v>
      </c>
      <c r="F5139">
        <v>6.86</v>
      </c>
    </row>
    <row r="5140" spans="1:6" x14ac:dyDescent="0.3">
      <c r="A5140" t="s">
        <v>8605</v>
      </c>
      <c r="B5140" t="s">
        <v>4948</v>
      </c>
      <c r="C5140" t="s">
        <v>7677</v>
      </c>
      <c r="D5140">
        <v>76821414</v>
      </c>
      <c r="E5140">
        <v>3.81</v>
      </c>
      <c r="F5140">
        <v>7.4</v>
      </c>
    </row>
    <row r="5141" spans="1:6" x14ac:dyDescent="0.3">
      <c r="A5141" t="s">
        <v>8606</v>
      </c>
      <c r="B5141" t="s">
        <v>8607</v>
      </c>
      <c r="C5141" t="s">
        <v>8608</v>
      </c>
      <c r="D5141">
        <v>76826259</v>
      </c>
      <c r="E5141">
        <v>2.74</v>
      </c>
      <c r="F5141">
        <v>6.46</v>
      </c>
    </row>
    <row r="5142" spans="1:6" x14ac:dyDescent="0.3">
      <c r="A5142" t="s">
        <v>8609</v>
      </c>
      <c r="B5142" t="s">
        <v>7701</v>
      </c>
      <c r="C5142" t="s">
        <v>2332</v>
      </c>
      <c r="D5142">
        <v>76828057</v>
      </c>
      <c r="E5142">
        <v>1.72</v>
      </c>
      <c r="F5142">
        <v>7.04</v>
      </c>
    </row>
    <row r="5143" spans="1:6" x14ac:dyDescent="0.3">
      <c r="A5143" t="s">
        <v>8610</v>
      </c>
      <c r="B5143" t="s">
        <v>8611</v>
      </c>
      <c r="C5143" t="s">
        <v>8232</v>
      </c>
      <c r="D5143">
        <v>76837853</v>
      </c>
      <c r="E5143">
        <v>12.03</v>
      </c>
      <c r="F5143">
        <v>8.06</v>
      </c>
    </row>
    <row r="5144" spans="1:6" x14ac:dyDescent="0.3">
      <c r="A5144" t="s">
        <v>8612</v>
      </c>
      <c r="B5144" t="s">
        <v>8613</v>
      </c>
      <c r="C5144" t="s">
        <v>4744</v>
      </c>
      <c r="D5144">
        <v>76842157</v>
      </c>
      <c r="E5144">
        <v>11.84</v>
      </c>
      <c r="F5144">
        <v>8.27</v>
      </c>
    </row>
    <row r="5145" spans="1:6" x14ac:dyDescent="0.3">
      <c r="A5145" t="s">
        <v>8614</v>
      </c>
      <c r="B5145" t="s">
        <v>8615</v>
      </c>
      <c r="C5145" t="s">
        <v>8616</v>
      </c>
      <c r="D5145">
        <v>76865589</v>
      </c>
      <c r="E5145">
        <v>32</v>
      </c>
      <c r="F5145">
        <v>7</v>
      </c>
    </row>
    <row r="5146" spans="1:6" x14ac:dyDescent="0.3">
      <c r="A5146" t="s">
        <v>8617</v>
      </c>
      <c r="B5146" t="s">
        <v>4930</v>
      </c>
      <c r="C5146" t="s">
        <v>8618</v>
      </c>
      <c r="D5146">
        <v>76866307</v>
      </c>
      <c r="E5146">
        <v>15.98</v>
      </c>
      <c r="F5146">
        <v>7.93</v>
      </c>
    </row>
    <row r="5147" spans="1:6" x14ac:dyDescent="0.3">
      <c r="A5147" t="s">
        <v>8619</v>
      </c>
      <c r="B5147" t="s">
        <v>5790</v>
      </c>
      <c r="C5147" t="s">
        <v>8620</v>
      </c>
      <c r="D5147">
        <v>76869107</v>
      </c>
      <c r="E5147">
        <v>5.88</v>
      </c>
      <c r="F5147">
        <v>7.6</v>
      </c>
    </row>
    <row r="5148" spans="1:6" x14ac:dyDescent="0.3">
      <c r="A5148" t="s">
        <v>8621</v>
      </c>
      <c r="B5148" t="s">
        <v>3634</v>
      </c>
      <c r="C5148" t="s">
        <v>8622</v>
      </c>
      <c r="D5148">
        <v>76872168</v>
      </c>
      <c r="E5148">
        <v>1.68</v>
      </c>
      <c r="F5148">
        <v>7.65</v>
      </c>
    </row>
    <row r="5149" spans="1:6" x14ac:dyDescent="0.3">
      <c r="A5149" t="s">
        <v>8623</v>
      </c>
      <c r="B5149" t="s">
        <v>8220</v>
      </c>
      <c r="C5149" t="s">
        <v>8624</v>
      </c>
      <c r="D5149">
        <v>76872448</v>
      </c>
      <c r="E5149">
        <v>1.1200000000000001</v>
      </c>
      <c r="F5149">
        <v>6.69</v>
      </c>
    </row>
    <row r="5150" spans="1:6" x14ac:dyDescent="0.3">
      <c r="A5150" t="s">
        <v>8625</v>
      </c>
      <c r="B5150" t="s">
        <v>8626</v>
      </c>
      <c r="C5150" t="s">
        <v>6961</v>
      </c>
      <c r="D5150">
        <v>76901547</v>
      </c>
      <c r="E5150">
        <v>2.4900000000000002</v>
      </c>
      <c r="F5150">
        <v>7.13</v>
      </c>
    </row>
    <row r="5151" spans="1:6" x14ac:dyDescent="0.3">
      <c r="A5151" t="s">
        <v>8627</v>
      </c>
      <c r="B5151" t="s">
        <v>8628</v>
      </c>
      <c r="C5151" t="s">
        <v>8629</v>
      </c>
      <c r="D5151">
        <v>76916219</v>
      </c>
      <c r="E5151">
        <v>6.43</v>
      </c>
      <c r="F5151">
        <v>6.88</v>
      </c>
    </row>
    <row r="5152" spans="1:6" x14ac:dyDescent="0.3">
      <c r="A5152" t="s">
        <v>6491</v>
      </c>
      <c r="B5152" t="s">
        <v>1705</v>
      </c>
      <c r="C5152" t="s">
        <v>8630</v>
      </c>
      <c r="D5152">
        <v>76918016</v>
      </c>
      <c r="E5152">
        <v>19</v>
      </c>
      <c r="F5152">
        <v>6</v>
      </c>
    </row>
    <row r="5153" spans="1:6" x14ac:dyDescent="0.3">
      <c r="A5153" t="s">
        <v>8631</v>
      </c>
      <c r="B5153" t="s">
        <v>5228</v>
      </c>
      <c r="C5153" t="s">
        <v>8632</v>
      </c>
      <c r="D5153">
        <v>76921948</v>
      </c>
      <c r="E5153">
        <v>1.93</v>
      </c>
      <c r="F5153">
        <v>7.09</v>
      </c>
    </row>
    <row r="5154" spans="1:6" x14ac:dyDescent="0.3">
      <c r="A5154" t="s">
        <v>8633</v>
      </c>
      <c r="B5154" t="s">
        <v>6337</v>
      </c>
      <c r="C5154" t="s">
        <v>5600</v>
      </c>
      <c r="D5154">
        <v>76923891</v>
      </c>
      <c r="E5154">
        <v>11.75</v>
      </c>
      <c r="F5154">
        <v>8.1</v>
      </c>
    </row>
    <row r="5155" spans="1:6" x14ac:dyDescent="0.3">
      <c r="A5155" t="s">
        <v>8634</v>
      </c>
      <c r="B5155" t="s">
        <v>4934</v>
      </c>
      <c r="C5155" t="s">
        <v>7510</v>
      </c>
      <c r="D5155">
        <v>76923992</v>
      </c>
      <c r="E5155">
        <v>5.73</v>
      </c>
      <c r="F5155">
        <v>7.56</v>
      </c>
    </row>
    <row r="5156" spans="1:6" x14ac:dyDescent="0.3">
      <c r="A5156" t="s">
        <v>8635</v>
      </c>
      <c r="B5156" t="s">
        <v>4184</v>
      </c>
      <c r="C5156" t="s">
        <v>8131</v>
      </c>
      <c r="D5156">
        <v>76929731</v>
      </c>
      <c r="E5156">
        <v>5.91</v>
      </c>
      <c r="F5156">
        <v>7</v>
      </c>
    </row>
    <row r="5157" spans="1:6" x14ac:dyDescent="0.3">
      <c r="A5157" t="s">
        <v>8636</v>
      </c>
      <c r="B5157" t="s">
        <v>7311</v>
      </c>
      <c r="C5157" t="s">
        <v>8637</v>
      </c>
      <c r="D5157">
        <v>76931927</v>
      </c>
      <c r="E5157">
        <v>21.74</v>
      </c>
      <c r="F5157">
        <v>8.67</v>
      </c>
    </row>
    <row r="5158" spans="1:6" x14ac:dyDescent="0.3">
      <c r="A5158" t="s">
        <v>8638</v>
      </c>
      <c r="B5158" t="s">
        <v>6421</v>
      </c>
      <c r="C5158" t="s">
        <v>8639</v>
      </c>
      <c r="D5158">
        <v>76935190</v>
      </c>
      <c r="E5158">
        <v>2.94</v>
      </c>
      <c r="F5158">
        <v>7.12</v>
      </c>
    </row>
    <row r="5159" spans="1:6" x14ac:dyDescent="0.3">
      <c r="A5159" t="s">
        <v>8640</v>
      </c>
      <c r="B5159" t="s">
        <v>8641</v>
      </c>
      <c r="C5159" t="s">
        <v>1188</v>
      </c>
      <c r="D5159">
        <v>76961255</v>
      </c>
      <c r="E5159">
        <v>4.12</v>
      </c>
      <c r="F5159">
        <v>7.7</v>
      </c>
    </row>
    <row r="5160" spans="1:6" x14ac:dyDescent="0.3">
      <c r="A5160" t="s">
        <v>8642</v>
      </c>
      <c r="B5160" t="s">
        <v>8643</v>
      </c>
      <c r="C5160" t="s">
        <v>1386</v>
      </c>
      <c r="D5160">
        <v>76962930</v>
      </c>
      <c r="E5160">
        <v>34.799999999999997</v>
      </c>
      <c r="F5160">
        <v>4.4000000000000004</v>
      </c>
    </row>
    <row r="5161" spans="1:6" x14ac:dyDescent="0.3">
      <c r="A5161" t="s">
        <v>8644</v>
      </c>
      <c r="B5161" t="s">
        <v>8645</v>
      </c>
      <c r="C5161" t="s">
        <v>8646</v>
      </c>
      <c r="D5161">
        <v>76966387</v>
      </c>
      <c r="E5161">
        <v>2.2400000000000002</v>
      </c>
      <c r="F5161">
        <v>6.6</v>
      </c>
    </row>
    <row r="5162" spans="1:6" x14ac:dyDescent="0.3">
      <c r="A5162" t="s">
        <v>8647</v>
      </c>
      <c r="B5162" t="s">
        <v>8648</v>
      </c>
      <c r="C5162" t="s">
        <v>4131</v>
      </c>
      <c r="D5162">
        <v>76966700</v>
      </c>
      <c r="E5162">
        <v>8.77</v>
      </c>
      <c r="F5162">
        <v>5.25</v>
      </c>
    </row>
    <row r="5163" spans="1:6" x14ac:dyDescent="0.3">
      <c r="A5163" t="s">
        <v>8649</v>
      </c>
      <c r="B5163" t="s">
        <v>8650</v>
      </c>
      <c r="C5163" t="s">
        <v>6621</v>
      </c>
      <c r="D5163">
        <v>76991343</v>
      </c>
      <c r="E5163">
        <v>3.65</v>
      </c>
      <c r="F5163">
        <v>7.35</v>
      </c>
    </row>
    <row r="5164" spans="1:6" x14ac:dyDescent="0.3">
      <c r="A5164" t="s">
        <v>8651</v>
      </c>
      <c r="B5164" t="s">
        <v>8652</v>
      </c>
      <c r="C5164" t="s">
        <v>2441</v>
      </c>
      <c r="D5164">
        <v>76997619</v>
      </c>
      <c r="E5164">
        <v>24</v>
      </c>
      <c r="F5164">
        <v>7.5</v>
      </c>
    </row>
    <row r="5165" spans="1:6" x14ac:dyDescent="0.3">
      <c r="A5165" t="s">
        <v>3852</v>
      </c>
      <c r="B5165" t="s">
        <v>4838</v>
      </c>
      <c r="C5165" t="s">
        <v>1263</v>
      </c>
      <c r="D5165">
        <v>76997674</v>
      </c>
      <c r="E5165">
        <v>8.9700000000000006</v>
      </c>
      <c r="F5165">
        <v>7.38</v>
      </c>
    </row>
    <row r="5166" spans="1:6" x14ac:dyDescent="0.3">
      <c r="A5166" t="s">
        <v>8653</v>
      </c>
      <c r="B5166" t="s">
        <v>8201</v>
      </c>
      <c r="C5166" t="s">
        <v>8654</v>
      </c>
      <c r="D5166">
        <v>76998603</v>
      </c>
      <c r="E5166">
        <v>17.5</v>
      </c>
      <c r="F5166">
        <v>7.55</v>
      </c>
    </row>
    <row r="5167" spans="1:6" x14ac:dyDescent="0.3">
      <c r="A5167" t="s">
        <v>8655</v>
      </c>
      <c r="B5167" t="s">
        <v>8656</v>
      </c>
      <c r="C5167" t="s">
        <v>8657</v>
      </c>
      <c r="D5167">
        <v>76998742</v>
      </c>
      <c r="E5167">
        <v>4.8499999999999996</v>
      </c>
      <c r="F5167">
        <v>6.35</v>
      </c>
    </row>
    <row r="5168" spans="1:6" x14ac:dyDescent="0.3">
      <c r="A5168" t="s">
        <v>8658</v>
      </c>
      <c r="B5168" t="s">
        <v>5449</v>
      </c>
      <c r="C5168" t="s">
        <v>8659</v>
      </c>
      <c r="D5168">
        <v>76999577</v>
      </c>
      <c r="E5168">
        <v>3</v>
      </c>
      <c r="F5168">
        <v>7.18</v>
      </c>
    </row>
    <row r="5169" spans="1:6" x14ac:dyDescent="0.3">
      <c r="A5169" t="s">
        <v>8660</v>
      </c>
      <c r="B5169" t="s">
        <v>6615</v>
      </c>
      <c r="C5169" t="s">
        <v>8661</v>
      </c>
      <c r="D5169">
        <v>77003773</v>
      </c>
      <c r="E5169">
        <v>8.75</v>
      </c>
      <c r="F5169">
        <v>7.76</v>
      </c>
    </row>
    <row r="5170" spans="1:6" x14ac:dyDescent="0.3">
      <c r="A5170" t="s">
        <v>8662</v>
      </c>
      <c r="B5170" t="s">
        <v>8663</v>
      </c>
      <c r="C5170" t="s">
        <v>5586</v>
      </c>
      <c r="D5170">
        <v>77005018</v>
      </c>
      <c r="E5170">
        <v>9.83</v>
      </c>
      <c r="F5170">
        <v>6.82</v>
      </c>
    </row>
    <row r="5171" spans="1:6" x14ac:dyDescent="0.3">
      <c r="A5171" t="s">
        <v>8664</v>
      </c>
      <c r="B5171" t="s">
        <v>8665</v>
      </c>
      <c r="C5171" t="s">
        <v>3563</v>
      </c>
      <c r="D5171">
        <v>77016475</v>
      </c>
      <c r="E5171">
        <v>30.5</v>
      </c>
      <c r="F5171">
        <v>3.25</v>
      </c>
    </row>
    <row r="5172" spans="1:6" x14ac:dyDescent="0.3">
      <c r="A5172" t="s">
        <v>8666</v>
      </c>
      <c r="B5172" t="s">
        <v>8667</v>
      </c>
      <c r="C5172" t="s">
        <v>2222</v>
      </c>
      <c r="D5172">
        <v>77020233</v>
      </c>
      <c r="E5172">
        <v>6.89</v>
      </c>
      <c r="F5172">
        <v>6.67</v>
      </c>
    </row>
    <row r="5173" spans="1:6" x14ac:dyDescent="0.3">
      <c r="A5173" t="s">
        <v>8668</v>
      </c>
      <c r="B5173" t="s">
        <v>7933</v>
      </c>
      <c r="C5173" t="s">
        <v>8669</v>
      </c>
      <c r="D5173">
        <v>77023752</v>
      </c>
      <c r="E5173">
        <v>1.57</v>
      </c>
      <c r="F5173">
        <v>7.44</v>
      </c>
    </row>
    <row r="5174" spans="1:6" x14ac:dyDescent="0.3">
      <c r="A5174" t="s">
        <v>8670</v>
      </c>
      <c r="B5174" t="s">
        <v>8671</v>
      </c>
      <c r="C5174" t="s">
        <v>8672</v>
      </c>
      <c r="D5174">
        <v>77031282</v>
      </c>
      <c r="E5174">
        <v>1.8</v>
      </c>
      <c r="F5174">
        <v>6.86</v>
      </c>
    </row>
    <row r="5175" spans="1:6" x14ac:dyDescent="0.3">
      <c r="A5175" t="s">
        <v>8673</v>
      </c>
      <c r="B5175" t="s">
        <v>4540</v>
      </c>
      <c r="C5175" t="s">
        <v>8674</v>
      </c>
      <c r="D5175">
        <v>77031301</v>
      </c>
      <c r="E5175">
        <v>15.43</v>
      </c>
      <c r="F5175">
        <v>7.59</v>
      </c>
    </row>
    <row r="5176" spans="1:6" x14ac:dyDescent="0.3">
      <c r="A5176" t="s">
        <v>8675</v>
      </c>
      <c r="B5176" t="s">
        <v>8394</v>
      </c>
      <c r="C5176" t="s">
        <v>7132</v>
      </c>
      <c r="D5176">
        <v>77031855</v>
      </c>
      <c r="E5176">
        <v>16.86</v>
      </c>
      <c r="F5176">
        <v>8.7899999999999991</v>
      </c>
    </row>
    <row r="5177" spans="1:6" x14ac:dyDescent="0.3">
      <c r="A5177" t="s">
        <v>8676</v>
      </c>
      <c r="B5177" t="s">
        <v>6207</v>
      </c>
      <c r="C5177" t="s">
        <v>8499</v>
      </c>
      <c r="D5177">
        <v>77047889</v>
      </c>
      <c r="E5177">
        <v>5.27</v>
      </c>
      <c r="F5177">
        <v>5.86</v>
      </c>
    </row>
    <row r="5178" spans="1:6" x14ac:dyDescent="0.3">
      <c r="A5178" t="s">
        <v>8677</v>
      </c>
      <c r="B5178" t="s">
        <v>7629</v>
      </c>
      <c r="C5178" t="s">
        <v>4361</v>
      </c>
      <c r="D5178">
        <v>77072167</v>
      </c>
      <c r="E5178">
        <v>2.63</v>
      </c>
      <c r="F5178">
        <v>5.2</v>
      </c>
    </row>
    <row r="5179" spans="1:6" x14ac:dyDescent="0.3">
      <c r="A5179" t="s">
        <v>8678</v>
      </c>
      <c r="B5179" t="s">
        <v>7205</v>
      </c>
      <c r="C5179" t="s">
        <v>3677</v>
      </c>
      <c r="D5179">
        <v>77072447</v>
      </c>
      <c r="E5179">
        <v>4.47</v>
      </c>
      <c r="F5179">
        <v>6.08</v>
      </c>
    </row>
    <row r="5180" spans="1:6" x14ac:dyDescent="0.3">
      <c r="A5180" t="s">
        <v>8679</v>
      </c>
      <c r="B5180" t="s">
        <v>7085</v>
      </c>
      <c r="C5180" t="s">
        <v>8680</v>
      </c>
      <c r="D5180">
        <v>77114615</v>
      </c>
      <c r="E5180">
        <v>21.81</v>
      </c>
      <c r="F5180">
        <v>6.58</v>
      </c>
    </row>
    <row r="5181" spans="1:6" x14ac:dyDescent="0.3">
      <c r="A5181" t="s">
        <v>8681</v>
      </c>
      <c r="B5181" t="s">
        <v>3634</v>
      </c>
      <c r="C5181" t="s">
        <v>723</v>
      </c>
      <c r="D5181">
        <v>77120289</v>
      </c>
      <c r="E5181">
        <v>5.08</v>
      </c>
      <c r="F5181">
        <v>8.27</v>
      </c>
    </row>
    <row r="5182" spans="1:6" x14ac:dyDescent="0.3">
      <c r="A5182" t="s">
        <v>8682</v>
      </c>
      <c r="B5182" t="s">
        <v>7419</v>
      </c>
      <c r="C5182" t="s">
        <v>1205</v>
      </c>
      <c r="D5182">
        <v>77126625</v>
      </c>
      <c r="E5182">
        <v>8.17</v>
      </c>
      <c r="F5182">
        <v>4.5</v>
      </c>
    </row>
    <row r="5183" spans="1:6" x14ac:dyDescent="0.3">
      <c r="A5183" t="s">
        <v>8683</v>
      </c>
      <c r="B5183" t="s">
        <v>8684</v>
      </c>
      <c r="C5183" t="s">
        <v>1129</v>
      </c>
      <c r="D5183">
        <v>77126901</v>
      </c>
      <c r="E5183">
        <v>6.8</v>
      </c>
      <c r="F5183">
        <v>5.75</v>
      </c>
    </row>
    <row r="5184" spans="1:6" x14ac:dyDescent="0.3">
      <c r="A5184" t="s">
        <v>8685</v>
      </c>
      <c r="B5184" t="s">
        <v>8686</v>
      </c>
      <c r="C5184" t="s">
        <v>8687</v>
      </c>
      <c r="D5184">
        <v>77132030</v>
      </c>
      <c r="E5184">
        <v>2.38</v>
      </c>
      <c r="F5184">
        <v>6.7</v>
      </c>
    </row>
    <row r="5185" spans="1:6" x14ac:dyDescent="0.3">
      <c r="A5185" t="s">
        <v>8688</v>
      </c>
      <c r="B5185" t="s">
        <v>5449</v>
      </c>
      <c r="C5185" t="s">
        <v>8689</v>
      </c>
      <c r="D5185">
        <v>77133266</v>
      </c>
      <c r="E5185">
        <v>3.43</v>
      </c>
      <c r="F5185">
        <v>5.67</v>
      </c>
    </row>
    <row r="5186" spans="1:6" x14ac:dyDescent="0.3">
      <c r="A5186" t="s">
        <v>8690</v>
      </c>
      <c r="B5186" t="s">
        <v>8691</v>
      </c>
      <c r="C5186" t="s">
        <v>797</v>
      </c>
      <c r="D5186">
        <v>77134293</v>
      </c>
      <c r="E5186">
        <v>29.25</v>
      </c>
      <c r="F5186">
        <v>7.5</v>
      </c>
    </row>
    <row r="5187" spans="1:6" x14ac:dyDescent="0.3">
      <c r="A5187" t="s">
        <v>8692</v>
      </c>
      <c r="B5187" t="s">
        <v>6932</v>
      </c>
      <c r="C5187" t="s">
        <v>12</v>
      </c>
      <c r="D5187">
        <v>77156515</v>
      </c>
      <c r="E5187">
        <v>5.48</v>
      </c>
      <c r="F5187">
        <v>6.29</v>
      </c>
    </row>
    <row r="5188" spans="1:6" x14ac:dyDescent="0.3">
      <c r="A5188" t="s">
        <v>8693</v>
      </c>
      <c r="B5188" t="s">
        <v>6115</v>
      </c>
      <c r="C5188" t="s">
        <v>6868</v>
      </c>
      <c r="D5188">
        <v>77157523</v>
      </c>
      <c r="E5188">
        <v>2.16</v>
      </c>
      <c r="F5188">
        <v>6.83</v>
      </c>
    </row>
    <row r="5189" spans="1:6" x14ac:dyDescent="0.3">
      <c r="A5189" t="s">
        <v>8694</v>
      </c>
      <c r="B5189" t="s">
        <v>1605</v>
      </c>
      <c r="C5189" t="s">
        <v>8695</v>
      </c>
      <c r="D5189">
        <v>77158262</v>
      </c>
      <c r="E5189">
        <v>11.9</v>
      </c>
      <c r="F5189">
        <v>7.38</v>
      </c>
    </row>
    <row r="5190" spans="1:6" x14ac:dyDescent="0.3">
      <c r="A5190" t="s">
        <v>8696</v>
      </c>
      <c r="B5190" t="s">
        <v>8697</v>
      </c>
      <c r="C5190" t="s">
        <v>7357</v>
      </c>
      <c r="D5190">
        <v>77159883</v>
      </c>
      <c r="E5190">
        <v>23</v>
      </c>
      <c r="F5190">
        <v>8.5</v>
      </c>
    </row>
    <row r="5191" spans="1:6" x14ac:dyDescent="0.3">
      <c r="A5191" t="s">
        <v>8698</v>
      </c>
      <c r="B5191" t="s">
        <v>2843</v>
      </c>
      <c r="C5191" t="s">
        <v>8699</v>
      </c>
      <c r="D5191">
        <v>77164344</v>
      </c>
      <c r="E5191">
        <v>26</v>
      </c>
      <c r="F5191">
        <v>1</v>
      </c>
    </row>
    <row r="5192" spans="1:6" x14ac:dyDescent="0.3">
      <c r="A5192" t="s">
        <v>8700</v>
      </c>
      <c r="B5192" t="s">
        <v>8701</v>
      </c>
      <c r="C5192" t="s">
        <v>5555</v>
      </c>
      <c r="D5192">
        <v>77170800</v>
      </c>
      <c r="E5192">
        <v>6.59</v>
      </c>
      <c r="F5192">
        <v>7</v>
      </c>
    </row>
    <row r="5193" spans="1:6" x14ac:dyDescent="0.3">
      <c r="A5193" t="s">
        <v>8702</v>
      </c>
      <c r="B5193" t="s">
        <v>7784</v>
      </c>
      <c r="C5193" t="s">
        <v>8703</v>
      </c>
      <c r="D5193">
        <v>77205012</v>
      </c>
      <c r="E5193">
        <v>22.98</v>
      </c>
      <c r="F5193">
        <v>6.67</v>
      </c>
    </row>
    <row r="5194" spans="1:6" x14ac:dyDescent="0.3">
      <c r="A5194" t="s">
        <v>8704</v>
      </c>
      <c r="B5194" t="s">
        <v>8705</v>
      </c>
      <c r="C5194" t="s">
        <v>8706</v>
      </c>
      <c r="D5194">
        <v>77213498</v>
      </c>
      <c r="E5194">
        <v>2.58</v>
      </c>
      <c r="F5194">
        <v>6.95</v>
      </c>
    </row>
    <row r="5195" spans="1:6" x14ac:dyDescent="0.3">
      <c r="A5195" t="s">
        <v>8707</v>
      </c>
      <c r="B5195" t="s">
        <v>7563</v>
      </c>
      <c r="C5195" t="s">
        <v>8708</v>
      </c>
      <c r="D5195">
        <v>77223806</v>
      </c>
      <c r="E5195">
        <v>5.75</v>
      </c>
      <c r="F5195">
        <v>8.36</v>
      </c>
    </row>
    <row r="5196" spans="1:6" x14ac:dyDescent="0.3">
      <c r="A5196" t="s">
        <v>8709</v>
      </c>
      <c r="B5196" t="s">
        <v>8710</v>
      </c>
      <c r="C5196" t="s">
        <v>8711</v>
      </c>
      <c r="D5196">
        <v>77236151</v>
      </c>
      <c r="E5196">
        <v>3.11</v>
      </c>
      <c r="F5196">
        <v>5.67</v>
      </c>
    </row>
    <row r="5197" spans="1:6" x14ac:dyDescent="0.3">
      <c r="A5197" t="s">
        <v>8712</v>
      </c>
      <c r="B5197" t="s">
        <v>8713</v>
      </c>
      <c r="C5197" t="s">
        <v>6072</v>
      </c>
      <c r="D5197">
        <v>77243596</v>
      </c>
      <c r="E5197">
        <v>9.85</v>
      </c>
      <c r="F5197">
        <v>7.58</v>
      </c>
    </row>
    <row r="5198" spans="1:6" x14ac:dyDescent="0.3">
      <c r="A5198" t="s">
        <v>8714</v>
      </c>
      <c r="B5198" t="s">
        <v>8715</v>
      </c>
      <c r="C5198" t="s">
        <v>5622</v>
      </c>
      <c r="D5198">
        <v>77251347</v>
      </c>
      <c r="E5198">
        <v>16.03</v>
      </c>
      <c r="F5198">
        <v>5.35</v>
      </c>
    </row>
    <row r="5199" spans="1:6" x14ac:dyDescent="0.3">
      <c r="A5199" t="s">
        <v>8716</v>
      </c>
      <c r="B5199" t="s">
        <v>6698</v>
      </c>
      <c r="C5199" t="s">
        <v>8717</v>
      </c>
      <c r="D5199">
        <v>77255632</v>
      </c>
      <c r="E5199">
        <v>31</v>
      </c>
      <c r="F5199">
        <v>6.83</v>
      </c>
    </row>
    <row r="5200" spans="1:6" x14ac:dyDescent="0.3">
      <c r="A5200" t="s">
        <v>8718</v>
      </c>
      <c r="B5200" t="s">
        <v>5796</v>
      </c>
      <c r="C5200" t="s">
        <v>8499</v>
      </c>
      <c r="D5200">
        <v>77259579</v>
      </c>
      <c r="E5200">
        <v>12.19</v>
      </c>
      <c r="F5200">
        <v>7.25</v>
      </c>
    </row>
    <row r="5201" spans="1:6" x14ac:dyDescent="0.3">
      <c r="A5201" t="s">
        <v>8719</v>
      </c>
      <c r="B5201" t="s">
        <v>7882</v>
      </c>
      <c r="C5201" t="s">
        <v>5555</v>
      </c>
      <c r="D5201">
        <v>77260916</v>
      </c>
      <c r="E5201">
        <v>8.1999999999999993</v>
      </c>
      <c r="F5201">
        <v>6.63</v>
      </c>
    </row>
    <row r="5202" spans="1:6" x14ac:dyDescent="0.3">
      <c r="A5202" t="s">
        <v>8720</v>
      </c>
      <c r="B5202" t="s">
        <v>2203</v>
      </c>
      <c r="C5202" t="s">
        <v>1875</v>
      </c>
      <c r="D5202">
        <v>77261775</v>
      </c>
      <c r="E5202">
        <v>12.71</v>
      </c>
      <c r="F5202">
        <v>5.8</v>
      </c>
    </row>
    <row r="5203" spans="1:6" x14ac:dyDescent="0.3">
      <c r="A5203" t="s">
        <v>8721</v>
      </c>
      <c r="B5203" t="s">
        <v>8722</v>
      </c>
      <c r="C5203" t="s">
        <v>8723</v>
      </c>
      <c r="D5203">
        <v>77268772</v>
      </c>
      <c r="E5203">
        <v>6.64</v>
      </c>
      <c r="F5203">
        <v>6</v>
      </c>
    </row>
    <row r="5204" spans="1:6" x14ac:dyDescent="0.3">
      <c r="A5204" t="s">
        <v>8724</v>
      </c>
      <c r="B5204" t="s">
        <v>8725</v>
      </c>
      <c r="C5204" t="s">
        <v>5489</v>
      </c>
      <c r="D5204">
        <v>77270555</v>
      </c>
      <c r="E5204">
        <v>3.94</v>
      </c>
      <c r="F5204">
        <v>6.76</v>
      </c>
    </row>
    <row r="5205" spans="1:6" x14ac:dyDescent="0.3">
      <c r="A5205" t="s">
        <v>8726</v>
      </c>
      <c r="B5205" t="s">
        <v>4076</v>
      </c>
      <c r="C5205" t="s">
        <v>8727</v>
      </c>
      <c r="D5205">
        <v>77292103</v>
      </c>
      <c r="E5205">
        <v>2.88</v>
      </c>
      <c r="F5205">
        <v>8.42</v>
      </c>
    </row>
    <row r="5206" spans="1:6" x14ac:dyDescent="0.3">
      <c r="A5206" t="s">
        <v>8728</v>
      </c>
      <c r="B5206" t="s">
        <v>8729</v>
      </c>
      <c r="C5206" t="s">
        <v>3247</v>
      </c>
      <c r="D5206">
        <v>77295990</v>
      </c>
      <c r="E5206">
        <v>15.75</v>
      </c>
      <c r="F5206">
        <v>4</v>
      </c>
    </row>
    <row r="5207" spans="1:6" x14ac:dyDescent="0.3">
      <c r="A5207" t="s">
        <v>2397</v>
      </c>
      <c r="B5207" t="s">
        <v>8730</v>
      </c>
      <c r="C5207" t="s">
        <v>1004</v>
      </c>
      <c r="D5207">
        <v>77296635</v>
      </c>
      <c r="E5207">
        <v>11.75</v>
      </c>
      <c r="F5207">
        <v>7.94</v>
      </c>
    </row>
    <row r="5208" spans="1:6" x14ac:dyDescent="0.3">
      <c r="A5208" t="s">
        <v>8731</v>
      </c>
      <c r="B5208" t="s">
        <v>6992</v>
      </c>
      <c r="C5208" t="s">
        <v>8732</v>
      </c>
      <c r="D5208">
        <v>77297910</v>
      </c>
      <c r="E5208">
        <v>3.26</v>
      </c>
      <c r="F5208">
        <v>6.29</v>
      </c>
    </row>
    <row r="5209" spans="1:6" x14ac:dyDescent="0.3">
      <c r="A5209" t="s">
        <v>8733</v>
      </c>
      <c r="B5209" t="s">
        <v>5399</v>
      </c>
      <c r="C5209" t="s">
        <v>8734</v>
      </c>
      <c r="D5209">
        <v>77308301</v>
      </c>
      <c r="E5209">
        <v>13.59</v>
      </c>
      <c r="F5209">
        <v>7.19</v>
      </c>
    </row>
    <row r="5210" spans="1:6" x14ac:dyDescent="0.3">
      <c r="A5210" t="s">
        <v>8735</v>
      </c>
      <c r="B5210" t="s">
        <v>6854</v>
      </c>
      <c r="C5210" t="s">
        <v>8736</v>
      </c>
      <c r="D5210">
        <v>77310650</v>
      </c>
      <c r="E5210">
        <v>30.26</v>
      </c>
      <c r="F5210">
        <v>9.1300000000000008</v>
      </c>
    </row>
    <row r="5211" spans="1:6" x14ac:dyDescent="0.3">
      <c r="A5211" t="s">
        <v>8737</v>
      </c>
      <c r="B5211" t="s">
        <v>5549</v>
      </c>
      <c r="C5211" t="s">
        <v>1539</v>
      </c>
      <c r="D5211">
        <v>77312559</v>
      </c>
      <c r="E5211">
        <v>21.7</v>
      </c>
      <c r="F5211">
        <v>6.53</v>
      </c>
    </row>
    <row r="5212" spans="1:6" x14ac:dyDescent="0.3">
      <c r="A5212" t="s">
        <v>8738</v>
      </c>
      <c r="B5212" t="s">
        <v>8256</v>
      </c>
      <c r="C5212" t="s">
        <v>8739</v>
      </c>
      <c r="D5212">
        <v>77330851</v>
      </c>
      <c r="E5212">
        <v>18.5</v>
      </c>
      <c r="F5212">
        <v>8.4</v>
      </c>
    </row>
    <row r="5213" spans="1:6" x14ac:dyDescent="0.3">
      <c r="A5213" t="s">
        <v>8740</v>
      </c>
      <c r="B5213" t="s">
        <v>8346</v>
      </c>
      <c r="C5213" t="s">
        <v>7967</v>
      </c>
      <c r="D5213">
        <v>77358594</v>
      </c>
      <c r="E5213">
        <v>1.62</v>
      </c>
      <c r="F5213">
        <v>7.6</v>
      </c>
    </row>
    <row r="5214" spans="1:6" x14ac:dyDescent="0.3">
      <c r="A5214" t="s">
        <v>8741</v>
      </c>
      <c r="B5214" t="s">
        <v>8124</v>
      </c>
      <c r="C5214" t="s">
        <v>5991</v>
      </c>
      <c r="D5214">
        <v>77371178</v>
      </c>
      <c r="E5214">
        <v>14.83</v>
      </c>
      <c r="F5214">
        <v>7.35</v>
      </c>
    </row>
    <row r="5215" spans="1:6" x14ac:dyDescent="0.3">
      <c r="A5215" t="s">
        <v>8742</v>
      </c>
      <c r="B5215" t="s">
        <v>8743</v>
      </c>
      <c r="C5215" t="s">
        <v>8744</v>
      </c>
      <c r="D5215">
        <v>77396433</v>
      </c>
      <c r="E5215">
        <v>20.100000000000001</v>
      </c>
      <c r="F5215">
        <v>8.26</v>
      </c>
    </row>
    <row r="5216" spans="1:6" x14ac:dyDescent="0.3">
      <c r="A5216" t="s">
        <v>8745</v>
      </c>
      <c r="B5216" t="s">
        <v>2398</v>
      </c>
      <c r="C5216" t="s">
        <v>5375</v>
      </c>
      <c r="D5216">
        <v>77399845</v>
      </c>
      <c r="E5216">
        <v>3.78</v>
      </c>
      <c r="F5216">
        <v>6.54</v>
      </c>
    </row>
    <row r="5217" spans="1:6" x14ac:dyDescent="0.3">
      <c r="A5217" t="s">
        <v>8746</v>
      </c>
      <c r="B5217" t="s">
        <v>6226</v>
      </c>
      <c r="C5217" t="s">
        <v>8603</v>
      </c>
      <c r="D5217">
        <v>77411210</v>
      </c>
      <c r="E5217">
        <v>5.29</v>
      </c>
      <c r="F5217">
        <v>6.8</v>
      </c>
    </row>
    <row r="5218" spans="1:6" x14ac:dyDescent="0.3">
      <c r="A5218" t="s">
        <v>8747</v>
      </c>
      <c r="B5218" t="s">
        <v>7177</v>
      </c>
      <c r="C5218" t="s">
        <v>8748</v>
      </c>
      <c r="D5218">
        <v>77415447</v>
      </c>
      <c r="E5218">
        <v>2.59</v>
      </c>
      <c r="F5218">
        <v>7.42</v>
      </c>
    </row>
    <row r="5219" spans="1:6" x14ac:dyDescent="0.3">
      <c r="A5219" t="s">
        <v>8749</v>
      </c>
      <c r="B5219" t="s">
        <v>8750</v>
      </c>
      <c r="C5219" t="s">
        <v>20</v>
      </c>
      <c r="D5219">
        <v>77415891</v>
      </c>
      <c r="E5219">
        <v>23</v>
      </c>
      <c r="F5219" t="s">
        <v>3814</v>
      </c>
    </row>
    <row r="5220" spans="1:6" x14ac:dyDescent="0.3">
      <c r="A5220" t="s">
        <v>8751</v>
      </c>
      <c r="B5220" t="s">
        <v>8752</v>
      </c>
      <c r="C5220" t="s">
        <v>8232</v>
      </c>
      <c r="D5220">
        <v>77419510</v>
      </c>
      <c r="E5220">
        <v>7</v>
      </c>
      <c r="F5220">
        <v>4.83</v>
      </c>
    </row>
    <row r="5221" spans="1:6" x14ac:dyDescent="0.3">
      <c r="A5221" t="s">
        <v>8753</v>
      </c>
      <c r="B5221" t="s">
        <v>6202</v>
      </c>
      <c r="C5221" t="s">
        <v>8754</v>
      </c>
      <c r="D5221">
        <v>77421197</v>
      </c>
      <c r="E5221">
        <v>7.35</v>
      </c>
      <c r="F5221">
        <v>4</v>
      </c>
    </row>
    <row r="5222" spans="1:6" x14ac:dyDescent="0.3">
      <c r="A5222" t="s">
        <v>8755</v>
      </c>
      <c r="B5222" t="s">
        <v>3739</v>
      </c>
      <c r="C5222" t="s">
        <v>782</v>
      </c>
      <c r="D5222">
        <v>77428474</v>
      </c>
      <c r="E5222">
        <v>5.3</v>
      </c>
      <c r="F5222">
        <v>6.95</v>
      </c>
    </row>
    <row r="5223" spans="1:6" x14ac:dyDescent="0.3">
      <c r="A5223" t="s">
        <v>8756</v>
      </c>
      <c r="B5223" t="s">
        <v>8757</v>
      </c>
      <c r="C5223" t="s">
        <v>8758</v>
      </c>
      <c r="D5223">
        <v>77435028</v>
      </c>
      <c r="E5223">
        <v>1.1000000000000001</v>
      </c>
      <c r="F5223">
        <v>7.05</v>
      </c>
    </row>
    <row r="5224" spans="1:6" x14ac:dyDescent="0.3">
      <c r="A5224" t="s">
        <v>8759</v>
      </c>
      <c r="B5224" t="s">
        <v>8760</v>
      </c>
      <c r="C5224" t="s">
        <v>8761</v>
      </c>
      <c r="D5224">
        <v>77449142</v>
      </c>
      <c r="E5224">
        <v>4.6500000000000004</v>
      </c>
      <c r="F5224">
        <v>6</v>
      </c>
    </row>
    <row r="5225" spans="1:6" x14ac:dyDescent="0.3">
      <c r="A5225" t="s">
        <v>8762</v>
      </c>
      <c r="B5225" t="s">
        <v>8763</v>
      </c>
      <c r="C5225" t="s">
        <v>832</v>
      </c>
      <c r="D5225">
        <v>77452803</v>
      </c>
      <c r="E5225">
        <v>17.64</v>
      </c>
      <c r="F5225">
        <v>6.89</v>
      </c>
    </row>
    <row r="5226" spans="1:6" x14ac:dyDescent="0.3">
      <c r="A5226" t="s">
        <v>8764</v>
      </c>
      <c r="B5226" t="s">
        <v>8765</v>
      </c>
      <c r="C5226" t="s">
        <v>2796</v>
      </c>
      <c r="D5226">
        <v>77454055</v>
      </c>
      <c r="E5226">
        <v>2.11</v>
      </c>
      <c r="F5226">
        <v>6.4</v>
      </c>
    </row>
    <row r="5227" spans="1:6" x14ac:dyDescent="0.3">
      <c r="A5227" t="s">
        <v>8766</v>
      </c>
      <c r="B5227" t="s">
        <v>6207</v>
      </c>
      <c r="C5227" t="s">
        <v>1165</v>
      </c>
      <c r="D5227">
        <v>77455408</v>
      </c>
      <c r="E5227">
        <v>17.96</v>
      </c>
      <c r="F5227">
        <v>6.11</v>
      </c>
    </row>
    <row r="5228" spans="1:6" x14ac:dyDescent="0.3">
      <c r="A5228" t="s">
        <v>8767</v>
      </c>
      <c r="B5228" t="s">
        <v>6349</v>
      </c>
      <c r="C5228" t="s">
        <v>8768</v>
      </c>
      <c r="D5228">
        <v>77457145</v>
      </c>
      <c r="E5228">
        <v>3.23</v>
      </c>
      <c r="F5228">
        <v>6.1</v>
      </c>
    </row>
    <row r="5229" spans="1:6" x14ac:dyDescent="0.3">
      <c r="A5229" t="s">
        <v>8769</v>
      </c>
      <c r="B5229" t="s">
        <v>6204</v>
      </c>
      <c r="C5229" t="s">
        <v>6068</v>
      </c>
      <c r="D5229">
        <v>77457768</v>
      </c>
      <c r="E5229">
        <v>3.21</v>
      </c>
      <c r="F5229">
        <v>6.08</v>
      </c>
    </row>
    <row r="5230" spans="1:6" x14ac:dyDescent="0.3">
      <c r="A5230" t="s">
        <v>8770</v>
      </c>
      <c r="B5230" t="s">
        <v>8771</v>
      </c>
      <c r="C5230" t="s">
        <v>8772</v>
      </c>
      <c r="D5230">
        <v>77468372</v>
      </c>
      <c r="E5230">
        <v>13.89</v>
      </c>
      <c r="F5230">
        <v>6.11</v>
      </c>
    </row>
    <row r="5231" spans="1:6" x14ac:dyDescent="0.3">
      <c r="A5231" t="s">
        <v>8773</v>
      </c>
      <c r="B5231" t="s">
        <v>7200</v>
      </c>
      <c r="C5231" t="s">
        <v>8581</v>
      </c>
      <c r="D5231">
        <v>77484278</v>
      </c>
      <c r="E5231">
        <v>2.17</v>
      </c>
      <c r="F5231">
        <v>6.75</v>
      </c>
    </row>
    <row r="5232" spans="1:6" x14ac:dyDescent="0.3">
      <c r="A5232" t="s">
        <v>816</v>
      </c>
      <c r="B5232" t="s">
        <v>8774</v>
      </c>
      <c r="C5232" t="s">
        <v>845</v>
      </c>
      <c r="D5232">
        <v>77487419</v>
      </c>
      <c r="E5232">
        <v>27.43</v>
      </c>
      <c r="F5232">
        <v>8</v>
      </c>
    </row>
    <row r="5233" spans="1:6" x14ac:dyDescent="0.3">
      <c r="A5233" t="s">
        <v>8775</v>
      </c>
      <c r="B5233" t="s">
        <v>5093</v>
      </c>
      <c r="C5233" t="s">
        <v>8776</v>
      </c>
      <c r="D5233">
        <v>77488444</v>
      </c>
      <c r="E5233">
        <v>3.41</v>
      </c>
      <c r="F5233">
        <v>6</v>
      </c>
    </row>
    <row r="5234" spans="1:6" x14ac:dyDescent="0.3">
      <c r="A5234" t="s">
        <v>8777</v>
      </c>
      <c r="B5234" t="s">
        <v>7356</v>
      </c>
      <c r="C5234" t="s">
        <v>1174</v>
      </c>
      <c r="D5234">
        <v>77492867</v>
      </c>
      <c r="E5234">
        <v>6.93</v>
      </c>
      <c r="F5234">
        <v>7.4</v>
      </c>
    </row>
    <row r="5235" spans="1:6" x14ac:dyDescent="0.3">
      <c r="A5235" t="s">
        <v>8778</v>
      </c>
      <c r="B5235" t="s">
        <v>5386</v>
      </c>
      <c r="C5235" t="s">
        <v>8779</v>
      </c>
      <c r="D5235">
        <v>77515178</v>
      </c>
      <c r="E5235">
        <v>1.57</v>
      </c>
      <c r="F5235">
        <v>7.91</v>
      </c>
    </row>
    <row r="5236" spans="1:6" x14ac:dyDescent="0.3">
      <c r="A5236" t="s">
        <v>8780</v>
      </c>
      <c r="B5236" t="s">
        <v>6079</v>
      </c>
      <c r="C5236" t="s">
        <v>845</v>
      </c>
      <c r="D5236">
        <v>77518059</v>
      </c>
      <c r="E5236">
        <v>32</v>
      </c>
      <c r="F5236">
        <v>4.5</v>
      </c>
    </row>
    <row r="5237" spans="1:6" x14ac:dyDescent="0.3">
      <c r="A5237" t="s">
        <v>8781</v>
      </c>
      <c r="B5237" t="s">
        <v>8782</v>
      </c>
      <c r="C5237" t="s">
        <v>4654</v>
      </c>
      <c r="D5237">
        <v>77528221</v>
      </c>
      <c r="E5237">
        <v>5.5</v>
      </c>
      <c r="F5237">
        <v>5.25</v>
      </c>
    </row>
    <row r="5238" spans="1:6" x14ac:dyDescent="0.3">
      <c r="A5238" t="s">
        <v>8783</v>
      </c>
      <c r="B5238" t="s">
        <v>5399</v>
      </c>
      <c r="C5238" t="s">
        <v>8784</v>
      </c>
      <c r="D5238">
        <v>77564172</v>
      </c>
      <c r="E5238">
        <v>3.1</v>
      </c>
      <c r="F5238">
        <v>6.31</v>
      </c>
    </row>
    <row r="5239" spans="1:6" x14ac:dyDescent="0.3">
      <c r="A5239" t="s">
        <v>8785</v>
      </c>
      <c r="B5239" t="s">
        <v>7604</v>
      </c>
      <c r="C5239" t="s">
        <v>8301</v>
      </c>
      <c r="D5239">
        <v>77567368</v>
      </c>
      <c r="E5239">
        <v>7.19</v>
      </c>
      <c r="F5239">
        <v>6.69</v>
      </c>
    </row>
    <row r="5240" spans="1:6" x14ac:dyDescent="0.3">
      <c r="A5240" t="s">
        <v>8786</v>
      </c>
      <c r="B5240" t="s">
        <v>8787</v>
      </c>
      <c r="C5240" t="s">
        <v>1015</v>
      </c>
      <c r="D5240">
        <v>77570274</v>
      </c>
      <c r="E5240">
        <v>21.33</v>
      </c>
      <c r="F5240">
        <v>4.63</v>
      </c>
    </row>
    <row r="5241" spans="1:6" x14ac:dyDescent="0.3">
      <c r="A5241" t="s">
        <v>8788</v>
      </c>
      <c r="B5241" t="s">
        <v>2596</v>
      </c>
      <c r="C5241" t="s">
        <v>8789</v>
      </c>
      <c r="D5241">
        <v>77570389</v>
      </c>
      <c r="E5241">
        <v>2.2999999999999998</v>
      </c>
      <c r="F5241">
        <v>7.34</v>
      </c>
    </row>
    <row r="5242" spans="1:6" x14ac:dyDescent="0.3">
      <c r="A5242" t="s">
        <v>8790</v>
      </c>
      <c r="B5242" t="s">
        <v>8791</v>
      </c>
      <c r="C5242" t="s">
        <v>5136</v>
      </c>
      <c r="D5242">
        <v>77582204</v>
      </c>
      <c r="E5242">
        <v>15.13</v>
      </c>
      <c r="F5242">
        <v>7.57</v>
      </c>
    </row>
    <row r="5243" spans="1:6" x14ac:dyDescent="0.3">
      <c r="A5243" t="s">
        <v>8792</v>
      </c>
      <c r="B5243" t="s">
        <v>3189</v>
      </c>
      <c r="C5243" t="s">
        <v>8793</v>
      </c>
      <c r="D5243">
        <v>77592888</v>
      </c>
      <c r="E5243">
        <v>12.31</v>
      </c>
      <c r="F5243">
        <v>5.71</v>
      </c>
    </row>
    <row r="5244" spans="1:6" x14ac:dyDescent="0.3">
      <c r="A5244" t="s">
        <v>8794</v>
      </c>
      <c r="B5244" t="s">
        <v>5654</v>
      </c>
      <c r="C5244" t="s">
        <v>3355</v>
      </c>
      <c r="D5244">
        <v>77597454</v>
      </c>
      <c r="E5244">
        <v>4.01</v>
      </c>
      <c r="F5244">
        <v>6.03</v>
      </c>
    </row>
    <row r="5245" spans="1:6" x14ac:dyDescent="0.3">
      <c r="A5245" t="s">
        <v>8795</v>
      </c>
      <c r="B5245" t="s">
        <v>7397</v>
      </c>
      <c r="C5245" t="s">
        <v>8796</v>
      </c>
      <c r="D5245">
        <v>77613408</v>
      </c>
      <c r="E5245">
        <v>15.21</v>
      </c>
      <c r="F5245">
        <v>8.1999999999999993</v>
      </c>
    </row>
    <row r="5246" spans="1:6" x14ac:dyDescent="0.3">
      <c r="A5246" t="s">
        <v>8797</v>
      </c>
      <c r="B5246" t="s">
        <v>5746</v>
      </c>
      <c r="C5246" t="s">
        <v>6291</v>
      </c>
      <c r="D5246">
        <v>77613845</v>
      </c>
      <c r="E5246">
        <v>3.67</v>
      </c>
      <c r="F5246">
        <v>5.55</v>
      </c>
    </row>
    <row r="5247" spans="1:6" x14ac:dyDescent="0.3">
      <c r="A5247" t="s">
        <v>8798</v>
      </c>
      <c r="B5247" t="s">
        <v>8799</v>
      </c>
      <c r="C5247" t="s">
        <v>8800</v>
      </c>
      <c r="D5247">
        <v>77614559</v>
      </c>
      <c r="E5247">
        <v>7.07</v>
      </c>
      <c r="F5247">
        <v>6.96</v>
      </c>
    </row>
    <row r="5248" spans="1:6" x14ac:dyDescent="0.3">
      <c r="A5248" t="s">
        <v>8801</v>
      </c>
      <c r="B5248" t="s">
        <v>3823</v>
      </c>
      <c r="C5248" t="s">
        <v>2662</v>
      </c>
      <c r="D5248">
        <v>77617824</v>
      </c>
      <c r="E5248">
        <v>2.08</v>
      </c>
      <c r="F5248">
        <v>7.36</v>
      </c>
    </row>
    <row r="5249" spans="1:6" x14ac:dyDescent="0.3">
      <c r="A5249" t="s">
        <v>8802</v>
      </c>
      <c r="B5249" t="s">
        <v>8803</v>
      </c>
      <c r="C5249" t="s">
        <v>6904</v>
      </c>
      <c r="D5249">
        <v>77625483</v>
      </c>
      <c r="E5249">
        <v>9</v>
      </c>
      <c r="F5249">
        <v>5</v>
      </c>
    </row>
    <row r="5250" spans="1:6" x14ac:dyDescent="0.3">
      <c r="A5250" t="s">
        <v>8804</v>
      </c>
      <c r="B5250" t="s">
        <v>2519</v>
      </c>
      <c r="C5250" t="s">
        <v>3160</v>
      </c>
      <c r="D5250">
        <v>77652759</v>
      </c>
      <c r="E5250">
        <v>2.71</v>
      </c>
      <c r="F5250">
        <v>7.77</v>
      </c>
    </row>
    <row r="5251" spans="1:6" x14ac:dyDescent="0.3">
      <c r="A5251" t="s">
        <v>8805</v>
      </c>
      <c r="B5251" t="s">
        <v>8591</v>
      </c>
      <c r="C5251" t="s">
        <v>8806</v>
      </c>
      <c r="D5251">
        <v>77658511</v>
      </c>
      <c r="E5251">
        <v>2.95</v>
      </c>
      <c r="F5251">
        <v>5.63</v>
      </c>
    </row>
    <row r="5252" spans="1:6" x14ac:dyDescent="0.3">
      <c r="A5252" t="s">
        <v>8807</v>
      </c>
      <c r="B5252" t="s">
        <v>8808</v>
      </c>
      <c r="C5252" t="s">
        <v>1004</v>
      </c>
      <c r="D5252">
        <v>77661129</v>
      </c>
      <c r="E5252">
        <v>17.11</v>
      </c>
      <c r="F5252">
        <v>5.5</v>
      </c>
    </row>
    <row r="5253" spans="1:6" x14ac:dyDescent="0.3">
      <c r="A5253" t="s">
        <v>8809</v>
      </c>
      <c r="B5253" t="s">
        <v>8810</v>
      </c>
      <c r="C5253" t="s">
        <v>1030</v>
      </c>
      <c r="D5253">
        <v>77667385</v>
      </c>
      <c r="E5253">
        <v>2.88</v>
      </c>
      <c r="F5253">
        <v>7.88</v>
      </c>
    </row>
    <row r="5254" spans="1:6" x14ac:dyDescent="0.3">
      <c r="A5254" t="s">
        <v>8550</v>
      </c>
      <c r="B5254" t="s">
        <v>8811</v>
      </c>
      <c r="C5254" t="s">
        <v>8550</v>
      </c>
      <c r="D5254">
        <v>77669659</v>
      </c>
      <c r="E5254">
        <v>31</v>
      </c>
      <c r="F5254">
        <v>5</v>
      </c>
    </row>
    <row r="5255" spans="1:6" x14ac:dyDescent="0.3">
      <c r="A5255" t="s">
        <v>8812</v>
      </c>
      <c r="B5255" t="s">
        <v>8813</v>
      </c>
      <c r="C5255" t="s">
        <v>8814</v>
      </c>
      <c r="D5255">
        <v>77670319</v>
      </c>
      <c r="E5255">
        <v>1.25</v>
      </c>
      <c r="F5255">
        <v>6.56</v>
      </c>
    </row>
    <row r="5256" spans="1:6" x14ac:dyDescent="0.3">
      <c r="A5256" t="s">
        <v>8815</v>
      </c>
      <c r="B5256" t="s">
        <v>3274</v>
      </c>
      <c r="C5256" t="s">
        <v>820</v>
      </c>
      <c r="D5256">
        <v>77681476</v>
      </c>
      <c r="E5256">
        <v>31.93</v>
      </c>
      <c r="F5256">
        <v>7.59</v>
      </c>
    </row>
    <row r="5257" spans="1:6" x14ac:dyDescent="0.3">
      <c r="A5257" t="s">
        <v>8816</v>
      </c>
      <c r="B5257" t="s">
        <v>8817</v>
      </c>
      <c r="C5257" t="s">
        <v>8818</v>
      </c>
      <c r="D5257">
        <v>77682205</v>
      </c>
      <c r="E5257">
        <v>2.9</v>
      </c>
      <c r="F5257">
        <v>7.19</v>
      </c>
    </row>
    <row r="5258" spans="1:6" x14ac:dyDescent="0.3">
      <c r="A5258" t="s">
        <v>8819</v>
      </c>
      <c r="B5258" t="s">
        <v>6592</v>
      </c>
      <c r="C5258" t="s">
        <v>8820</v>
      </c>
      <c r="D5258">
        <v>77682438</v>
      </c>
      <c r="E5258">
        <v>7.33</v>
      </c>
      <c r="F5258">
        <v>6</v>
      </c>
    </row>
    <row r="5259" spans="1:6" x14ac:dyDescent="0.3">
      <c r="A5259" t="s">
        <v>8821</v>
      </c>
      <c r="B5259" t="s">
        <v>8256</v>
      </c>
      <c r="C5259" t="s">
        <v>1004</v>
      </c>
      <c r="D5259">
        <v>77690694</v>
      </c>
      <c r="E5259">
        <v>22.94</v>
      </c>
      <c r="F5259">
        <v>6.8</v>
      </c>
    </row>
    <row r="5260" spans="1:6" x14ac:dyDescent="0.3">
      <c r="A5260" t="s">
        <v>8822</v>
      </c>
      <c r="B5260" t="s">
        <v>609</v>
      </c>
      <c r="C5260" t="s">
        <v>8823</v>
      </c>
      <c r="D5260">
        <v>77695201</v>
      </c>
      <c r="E5260">
        <v>7.89</v>
      </c>
      <c r="F5260">
        <v>6.2</v>
      </c>
    </row>
    <row r="5261" spans="1:6" x14ac:dyDescent="0.3">
      <c r="A5261" t="s">
        <v>8824</v>
      </c>
      <c r="B5261" t="s">
        <v>8825</v>
      </c>
      <c r="C5261" t="s">
        <v>2711</v>
      </c>
      <c r="D5261">
        <v>77698239</v>
      </c>
      <c r="E5261">
        <v>21.41</v>
      </c>
      <c r="F5261">
        <v>6.35</v>
      </c>
    </row>
    <row r="5262" spans="1:6" x14ac:dyDescent="0.3">
      <c r="A5262" t="s">
        <v>8826</v>
      </c>
      <c r="B5262" t="s">
        <v>6235</v>
      </c>
      <c r="C5262" t="s">
        <v>8827</v>
      </c>
      <c r="D5262">
        <v>77712240</v>
      </c>
      <c r="E5262">
        <v>3.24</v>
      </c>
      <c r="F5262">
        <v>7.18</v>
      </c>
    </row>
    <row r="5263" spans="1:6" x14ac:dyDescent="0.3">
      <c r="A5263">
        <v>163</v>
      </c>
      <c r="B5263" t="s">
        <v>3374</v>
      </c>
      <c r="C5263" t="s">
        <v>7593</v>
      </c>
      <c r="D5263">
        <v>77723735</v>
      </c>
      <c r="E5263">
        <v>9.3000000000000007</v>
      </c>
      <c r="F5263">
        <v>8.14</v>
      </c>
    </row>
    <row r="5264" spans="1:6" x14ac:dyDescent="0.3">
      <c r="A5264" t="s">
        <v>8828</v>
      </c>
      <c r="B5264" t="s">
        <v>1958</v>
      </c>
      <c r="C5264" t="s">
        <v>8829</v>
      </c>
      <c r="D5264">
        <v>77726505</v>
      </c>
      <c r="E5264">
        <v>18.75</v>
      </c>
      <c r="F5264">
        <v>6</v>
      </c>
    </row>
    <row r="5265" spans="1:6" x14ac:dyDescent="0.3">
      <c r="A5265" t="s">
        <v>8830</v>
      </c>
      <c r="B5265" t="s">
        <v>8831</v>
      </c>
      <c r="C5265" t="s">
        <v>8832</v>
      </c>
      <c r="D5265">
        <v>77732541</v>
      </c>
      <c r="E5265">
        <v>20.11</v>
      </c>
      <c r="F5265">
        <v>5.39</v>
      </c>
    </row>
    <row r="5266" spans="1:6" x14ac:dyDescent="0.3">
      <c r="A5266" t="s">
        <v>8833</v>
      </c>
      <c r="B5266" t="s">
        <v>8834</v>
      </c>
      <c r="C5266" t="s">
        <v>2103</v>
      </c>
      <c r="D5266">
        <v>77740906</v>
      </c>
      <c r="E5266">
        <v>16.11</v>
      </c>
      <c r="F5266">
        <v>5.14</v>
      </c>
    </row>
    <row r="5267" spans="1:6" x14ac:dyDescent="0.3">
      <c r="A5267" t="s">
        <v>8835</v>
      </c>
      <c r="B5267" t="s">
        <v>7250</v>
      </c>
      <c r="C5267" t="s">
        <v>8836</v>
      </c>
      <c r="D5267">
        <v>77743880</v>
      </c>
      <c r="E5267">
        <v>1.97</v>
      </c>
      <c r="F5267">
        <v>7.36</v>
      </c>
    </row>
    <row r="5268" spans="1:6" x14ac:dyDescent="0.3">
      <c r="A5268" t="s">
        <v>8837</v>
      </c>
      <c r="B5268" t="s">
        <v>8838</v>
      </c>
      <c r="C5268" t="s">
        <v>8839</v>
      </c>
      <c r="D5268">
        <v>77748311</v>
      </c>
      <c r="E5268">
        <v>2.41</v>
      </c>
      <c r="F5268">
        <v>6.43</v>
      </c>
    </row>
    <row r="5269" spans="1:6" x14ac:dyDescent="0.3">
      <c r="A5269" t="s">
        <v>8840</v>
      </c>
      <c r="B5269" t="s">
        <v>5115</v>
      </c>
      <c r="C5269" t="s">
        <v>878</v>
      </c>
      <c r="D5269">
        <v>77761740</v>
      </c>
      <c r="E5269">
        <v>12</v>
      </c>
      <c r="F5269">
        <v>5</v>
      </c>
    </row>
    <row r="5270" spans="1:6" x14ac:dyDescent="0.3">
      <c r="A5270" t="s">
        <v>8841</v>
      </c>
      <c r="B5270" t="s">
        <v>8842</v>
      </c>
      <c r="C5270" t="s">
        <v>5463</v>
      </c>
      <c r="D5270">
        <v>77765367</v>
      </c>
      <c r="E5270" t="s">
        <v>3814</v>
      </c>
      <c r="F5270" t="s">
        <v>3814</v>
      </c>
    </row>
    <row r="5271" spans="1:6" x14ac:dyDescent="0.3">
      <c r="A5271" t="s">
        <v>3516</v>
      </c>
      <c r="B5271" t="s">
        <v>7280</v>
      </c>
      <c r="C5271" t="s">
        <v>8843</v>
      </c>
      <c r="D5271">
        <v>77766934</v>
      </c>
      <c r="E5271">
        <v>2.1800000000000002</v>
      </c>
      <c r="F5271">
        <v>6.13</v>
      </c>
    </row>
    <row r="5272" spans="1:6" x14ac:dyDescent="0.3">
      <c r="A5272" t="s">
        <v>8844</v>
      </c>
      <c r="B5272" t="s">
        <v>7210</v>
      </c>
      <c r="C5272" t="s">
        <v>5291</v>
      </c>
      <c r="D5272">
        <v>77767315</v>
      </c>
      <c r="E5272">
        <v>14.17</v>
      </c>
      <c r="F5272">
        <v>5.38</v>
      </c>
    </row>
    <row r="5273" spans="1:6" x14ac:dyDescent="0.3">
      <c r="A5273" t="s">
        <v>8845</v>
      </c>
      <c r="B5273" t="s">
        <v>8846</v>
      </c>
      <c r="C5273" t="s">
        <v>7354</v>
      </c>
      <c r="D5273">
        <v>77777633</v>
      </c>
      <c r="E5273">
        <v>9.86</v>
      </c>
      <c r="F5273">
        <v>7.64</v>
      </c>
    </row>
    <row r="5274" spans="1:6" x14ac:dyDescent="0.3">
      <c r="A5274" t="s">
        <v>8847</v>
      </c>
      <c r="B5274" t="s">
        <v>8848</v>
      </c>
      <c r="C5274" t="s">
        <v>4519</v>
      </c>
      <c r="D5274">
        <v>77780336</v>
      </c>
      <c r="E5274">
        <v>2.61</v>
      </c>
      <c r="F5274">
        <v>5.88</v>
      </c>
    </row>
    <row r="5275" spans="1:6" x14ac:dyDescent="0.3">
      <c r="A5275" t="s">
        <v>8849</v>
      </c>
      <c r="B5275" t="s">
        <v>8850</v>
      </c>
      <c r="C5275" t="s">
        <v>7132</v>
      </c>
      <c r="D5275">
        <v>77781075</v>
      </c>
      <c r="E5275">
        <v>6.7</v>
      </c>
      <c r="F5275">
        <v>7.61</v>
      </c>
    </row>
    <row r="5276" spans="1:6" x14ac:dyDescent="0.3">
      <c r="A5276" t="s">
        <v>8851</v>
      </c>
      <c r="B5276" t="s">
        <v>4546</v>
      </c>
      <c r="C5276" t="s">
        <v>8852</v>
      </c>
      <c r="D5276">
        <v>77808048</v>
      </c>
      <c r="E5276">
        <v>3</v>
      </c>
      <c r="F5276">
        <v>5.32</v>
      </c>
    </row>
    <row r="5277" spans="1:6" x14ac:dyDescent="0.3">
      <c r="A5277" t="s">
        <v>8853</v>
      </c>
      <c r="B5277" t="s">
        <v>8854</v>
      </c>
      <c r="C5277" t="s">
        <v>8855</v>
      </c>
      <c r="D5277">
        <v>77823655</v>
      </c>
      <c r="E5277">
        <v>5.34</v>
      </c>
      <c r="F5277">
        <v>6.5</v>
      </c>
    </row>
    <row r="5278" spans="1:6" x14ac:dyDescent="0.3">
      <c r="A5278" t="s">
        <v>8856</v>
      </c>
      <c r="B5278" t="s">
        <v>8857</v>
      </c>
      <c r="C5278" t="s">
        <v>8858</v>
      </c>
      <c r="D5278">
        <v>77831655</v>
      </c>
      <c r="E5278">
        <v>7.69</v>
      </c>
      <c r="F5278">
        <v>7.72</v>
      </c>
    </row>
    <row r="5279" spans="1:6" x14ac:dyDescent="0.3">
      <c r="A5279" t="s">
        <v>8859</v>
      </c>
      <c r="B5279" t="s">
        <v>8860</v>
      </c>
      <c r="C5279" t="s">
        <v>1030</v>
      </c>
      <c r="D5279">
        <v>77846073</v>
      </c>
      <c r="E5279">
        <v>7.5</v>
      </c>
      <c r="F5279">
        <v>4.75</v>
      </c>
    </row>
    <row r="5280" spans="1:6" x14ac:dyDescent="0.3">
      <c r="A5280" t="s">
        <v>8861</v>
      </c>
      <c r="B5280" t="s">
        <v>8862</v>
      </c>
      <c r="C5280" t="s">
        <v>7606</v>
      </c>
      <c r="D5280">
        <v>77850911</v>
      </c>
      <c r="E5280">
        <v>3.5</v>
      </c>
      <c r="F5280">
        <v>6.71</v>
      </c>
    </row>
    <row r="5281" spans="1:6" x14ac:dyDescent="0.3">
      <c r="A5281" t="s">
        <v>8863</v>
      </c>
      <c r="B5281" t="s">
        <v>8864</v>
      </c>
      <c r="C5281" t="s">
        <v>8193</v>
      </c>
      <c r="D5281">
        <v>77853681</v>
      </c>
      <c r="E5281">
        <v>16.25</v>
      </c>
      <c r="F5281">
        <v>5</v>
      </c>
    </row>
    <row r="5282" spans="1:6" x14ac:dyDescent="0.3">
      <c r="A5282" t="s">
        <v>8865</v>
      </c>
      <c r="B5282" t="s">
        <v>8866</v>
      </c>
      <c r="C5282" t="s">
        <v>1392</v>
      </c>
      <c r="D5282">
        <v>77856632</v>
      </c>
      <c r="E5282">
        <v>5.69</v>
      </c>
      <c r="F5282">
        <v>7.59</v>
      </c>
    </row>
    <row r="5283" spans="1:6" x14ac:dyDescent="0.3">
      <c r="A5283" t="s">
        <v>8867</v>
      </c>
      <c r="B5283" t="s">
        <v>8868</v>
      </c>
      <c r="C5283" t="s">
        <v>8869</v>
      </c>
      <c r="D5283">
        <v>77878647</v>
      </c>
      <c r="E5283">
        <v>21.33</v>
      </c>
      <c r="F5283">
        <v>9</v>
      </c>
    </row>
    <row r="5284" spans="1:6" x14ac:dyDescent="0.3">
      <c r="A5284" t="s">
        <v>8870</v>
      </c>
      <c r="B5284" t="s">
        <v>8340</v>
      </c>
      <c r="C5284" t="s">
        <v>8871</v>
      </c>
      <c r="D5284">
        <v>77884727</v>
      </c>
      <c r="E5284">
        <v>14.4</v>
      </c>
      <c r="F5284">
        <v>7.6</v>
      </c>
    </row>
    <row r="5285" spans="1:6" x14ac:dyDescent="0.3">
      <c r="A5285" t="s">
        <v>8872</v>
      </c>
      <c r="B5285" t="s">
        <v>8873</v>
      </c>
      <c r="C5285" t="s">
        <v>3960</v>
      </c>
      <c r="D5285">
        <v>77895367</v>
      </c>
      <c r="E5285">
        <v>13.13</v>
      </c>
      <c r="F5285">
        <v>6.17</v>
      </c>
    </row>
    <row r="5286" spans="1:6" x14ac:dyDescent="0.3">
      <c r="A5286" t="s">
        <v>884</v>
      </c>
      <c r="B5286" t="s">
        <v>8874</v>
      </c>
      <c r="C5286" t="s">
        <v>885</v>
      </c>
      <c r="D5286">
        <v>77909703</v>
      </c>
      <c r="E5286">
        <v>5.72</v>
      </c>
      <c r="F5286">
        <v>6.3</v>
      </c>
    </row>
    <row r="5287" spans="1:6" x14ac:dyDescent="0.3">
      <c r="A5287" t="s">
        <v>8875</v>
      </c>
      <c r="B5287" t="s">
        <v>8876</v>
      </c>
      <c r="C5287" t="s">
        <v>6089</v>
      </c>
      <c r="D5287">
        <v>77917104</v>
      </c>
      <c r="E5287">
        <v>2.75</v>
      </c>
      <c r="F5287">
        <v>5.82</v>
      </c>
    </row>
    <row r="5288" spans="1:6" x14ac:dyDescent="0.3">
      <c r="A5288" t="s">
        <v>8877</v>
      </c>
      <c r="B5288" t="s">
        <v>8878</v>
      </c>
      <c r="C5288" t="s">
        <v>4278</v>
      </c>
      <c r="D5288">
        <v>77942080</v>
      </c>
      <c r="E5288">
        <v>8.75</v>
      </c>
      <c r="F5288">
        <v>6.56</v>
      </c>
    </row>
    <row r="5289" spans="1:6" x14ac:dyDescent="0.3">
      <c r="A5289" t="s">
        <v>8879</v>
      </c>
      <c r="B5289" t="s">
        <v>1691</v>
      </c>
      <c r="C5289" t="s">
        <v>5375</v>
      </c>
      <c r="D5289">
        <v>77946477</v>
      </c>
      <c r="E5289">
        <v>6.55</v>
      </c>
      <c r="F5289">
        <v>4.33</v>
      </c>
    </row>
    <row r="5290" spans="1:6" x14ac:dyDescent="0.3">
      <c r="A5290" t="s">
        <v>8880</v>
      </c>
      <c r="B5290" t="s">
        <v>8881</v>
      </c>
      <c r="C5290" t="s">
        <v>8185</v>
      </c>
      <c r="D5290">
        <v>77947500</v>
      </c>
      <c r="E5290">
        <v>3.23</v>
      </c>
      <c r="F5290">
        <v>5.55</v>
      </c>
    </row>
    <row r="5291" spans="1:6" x14ac:dyDescent="0.3">
      <c r="A5291" t="s">
        <v>8882</v>
      </c>
      <c r="B5291" t="s">
        <v>8883</v>
      </c>
      <c r="C5291" t="s">
        <v>8884</v>
      </c>
      <c r="D5291">
        <v>77959802</v>
      </c>
      <c r="E5291">
        <v>15.3</v>
      </c>
      <c r="F5291">
        <v>6.03</v>
      </c>
    </row>
    <row r="5292" spans="1:6" x14ac:dyDescent="0.3">
      <c r="A5292" t="s">
        <v>8885</v>
      </c>
      <c r="B5292" t="s">
        <v>7907</v>
      </c>
      <c r="C5292" t="s">
        <v>8657</v>
      </c>
      <c r="D5292">
        <v>78007735</v>
      </c>
      <c r="E5292">
        <v>26.03</v>
      </c>
      <c r="F5292">
        <v>5.36</v>
      </c>
    </row>
    <row r="5293" spans="1:6" x14ac:dyDescent="0.3">
      <c r="A5293" t="s">
        <v>8886</v>
      </c>
      <c r="B5293" t="s">
        <v>7888</v>
      </c>
      <c r="C5293" t="s">
        <v>6301</v>
      </c>
      <c r="D5293">
        <v>78011370</v>
      </c>
      <c r="E5293">
        <v>22</v>
      </c>
      <c r="F5293">
        <v>7</v>
      </c>
    </row>
    <row r="5294" spans="1:6" x14ac:dyDescent="0.3">
      <c r="A5294" t="s">
        <v>4964</v>
      </c>
      <c r="B5294" t="s">
        <v>1276</v>
      </c>
      <c r="C5294" t="s">
        <v>8887</v>
      </c>
      <c r="D5294">
        <v>78051190</v>
      </c>
      <c r="E5294">
        <v>27.81</v>
      </c>
      <c r="F5294">
        <v>8.3000000000000007</v>
      </c>
    </row>
    <row r="5295" spans="1:6" x14ac:dyDescent="0.3">
      <c r="A5295" t="s">
        <v>8888</v>
      </c>
      <c r="B5295" t="s">
        <v>8397</v>
      </c>
      <c r="C5295" t="s">
        <v>7814</v>
      </c>
      <c r="D5295">
        <v>78061371</v>
      </c>
      <c r="E5295">
        <v>3.83</v>
      </c>
      <c r="F5295">
        <v>6.61</v>
      </c>
    </row>
    <row r="5296" spans="1:6" x14ac:dyDescent="0.3">
      <c r="A5296" t="s">
        <v>8889</v>
      </c>
      <c r="B5296" t="s">
        <v>8890</v>
      </c>
      <c r="C5296" t="s">
        <v>3464</v>
      </c>
      <c r="D5296">
        <v>78063900</v>
      </c>
      <c r="E5296">
        <v>1.92</v>
      </c>
      <c r="F5296">
        <v>6.89</v>
      </c>
    </row>
    <row r="5297" spans="1:6" x14ac:dyDescent="0.3">
      <c r="A5297" t="s">
        <v>8891</v>
      </c>
      <c r="B5297" t="s">
        <v>6667</v>
      </c>
      <c r="C5297" t="s">
        <v>6</v>
      </c>
      <c r="D5297">
        <v>78068259</v>
      </c>
      <c r="E5297">
        <v>12.75</v>
      </c>
      <c r="F5297">
        <v>7.29</v>
      </c>
    </row>
    <row r="5298" spans="1:6" x14ac:dyDescent="0.3">
      <c r="A5298" t="s">
        <v>8892</v>
      </c>
      <c r="B5298" t="s">
        <v>7368</v>
      </c>
      <c r="C5298" t="s">
        <v>6432</v>
      </c>
      <c r="D5298">
        <v>78071133</v>
      </c>
      <c r="E5298">
        <v>7</v>
      </c>
      <c r="F5298">
        <v>5.75</v>
      </c>
    </row>
    <row r="5299" spans="1:6" x14ac:dyDescent="0.3">
      <c r="A5299" t="s">
        <v>8893</v>
      </c>
      <c r="B5299" t="s">
        <v>6928</v>
      </c>
      <c r="C5299" t="s">
        <v>1545</v>
      </c>
      <c r="D5299">
        <v>78071802</v>
      </c>
      <c r="E5299">
        <v>4.04</v>
      </c>
      <c r="F5299">
        <v>7.48</v>
      </c>
    </row>
    <row r="5300" spans="1:6" x14ac:dyDescent="0.3">
      <c r="A5300" t="s">
        <v>8894</v>
      </c>
      <c r="B5300" t="s">
        <v>8684</v>
      </c>
      <c r="C5300" t="s">
        <v>5519</v>
      </c>
      <c r="D5300">
        <v>78071979</v>
      </c>
      <c r="E5300">
        <v>7.38</v>
      </c>
      <c r="F5300">
        <v>4.67</v>
      </c>
    </row>
    <row r="5301" spans="1:6" x14ac:dyDescent="0.3">
      <c r="A5301" t="s">
        <v>8895</v>
      </c>
      <c r="B5301" t="s">
        <v>4923</v>
      </c>
      <c r="C5301" t="s">
        <v>1165</v>
      </c>
      <c r="D5301">
        <v>78079575</v>
      </c>
      <c r="E5301">
        <v>6.89</v>
      </c>
      <c r="F5301">
        <v>7.7</v>
      </c>
    </row>
    <row r="5302" spans="1:6" x14ac:dyDescent="0.3">
      <c r="A5302" t="s">
        <v>8896</v>
      </c>
      <c r="B5302" t="s">
        <v>7104</v>
      </c>
      <c r="C5302" t="s">
        <v>8897</v>
      </c>
      <c r="D5302">
        <v>78085792</v>
      </c>
      <c r="E5302">
        <v>1.86</v>
      </c>
      <c r="F5302">
        <v>8.17</v>
      </c>
    </row>
    <row r="5303" spans="1:6" x14ac:dyDescent="0.3">
      <c r="A5303" t="s">
        <v>8898</v>
      </c>
      <c r="B5303" t="s">
        <v>3037</v>
      </c>
      <c r="C5303" t="s">
        <v>5725</v>
      </c>
      <c r="D5303">
        <v>78086050</v>
      </c>
      <c r="E5303">
        <v>3.21</v>
      </c>
      <c r="F5303">
        <v>6.87</v>
      </c>
    </row>
    <row r="5304" spans="1:6" x14ac:dyDescent="0.3">
      <c r="A5304" t="s">
        <v>8899</v>
      </c>
      <c r="B5304" t="s">
        <v>7612</v>
      </c>
      <c r="C5304" t="s">
        <v>6054</v>
      </c>
      <c r="D5304">
        <v>78094805</v>
      </c>
      <c r="E5304">
        <v>2.2200000000000002</v>
      </c>
      <c r="F5304">
        <v>5.7</v>
      </c>
    </row>
    <row r="5305" spans="1:6" x14ac:dyDescent="0.3">
      <c r="A5305" t="s">
        <v>8900</v>
      </c>
      <c r="B5305" t="s">
        <v>8901</v>
      </c>
      <c r="C5305" t="s">
        <v>6072</v>
      </c>
      <c r="D5305">
        <v>78095778</v>
      </c>
      <c r="E5305">
        <v>2.96</v>
      </c>
      <c r="F5305">
        <v>6.1</v>
      </c>
    </row>
    <row r="5306" spans="1:6" x14ac:dyDescent="0.3">
      <c r="A5306" t="s">
        <v>8902</v>
      </c>
      <c r="B5306" t="s">
        <v>8903</v>
      </c>
      <c r="C5306" t="s">
        <v>7707</v>
      </c>
      <c r="D5306">
        <v>78096744</v>
      </c>
      <c r="E5306">
        <v>6.33</v>
      </c>
      <c r="F5306">
        <v>3.83</v>
      </c>
    </row>
    <row r="5307" spans="1:6" x14ac:dyDescent="0.3">
      <c r="A5307" t="s">
        <v>3202</v>
      </c>
      <c r="B5307" t="s">
        <v>8516</v>
      </c>
      <c r="C5307" t="s">
        <v>3839</v>
      </c>
      <c r="D5307">
        <v>78109599</v>
      </c>
      <c r="E5307">
        <v>9.0399999999999991</v>
      </c>
      <c r="F5307">
        <v>6.55</v>
      </c>
    </row>
    <row r="5308" spans="1:6" x14ac:dyDescent="0.3">
      <c r="A5308" t="s">
        <v>8904</v>
      </c>
      <c r="B5308" t="s">
        <v>4561</v>
      </c>
      <c r="C5308" t="s">
        <v>5455</v>
      </c>
      <c r="D5308">
        <v>78115996</v>
      </c>
      <c r="E5308">
        <v>2.67</v>
      </c>
      <c r="F5308">
        <v>6.94</v>
      </c>
    </row>
    <row r="5309" spans="1:6" x14ac:dyDescent="0.3">
      <c r="A5309" t="s">
        <v>8905</v>
      </c>
      <c r="B5309" t="s">
        <v>8906</v>
      </c>
      <c r="C5309" t="s">
        <v>8907</v>
      </c>
      <c r="D5309">
        <v>78117442</v>
      </c>
      <c r="E5309">
        <v>17.38</v>
      </c>
      <c r="F5309">
        <v>6</v>
      </c>
    </row>
    <row r="5310" spans="1:6" x14ac:dyDescent="0.3">
      <c r="A5310" t="s">
        <v>8908</v>
      </c>
      <c r="B5310" t="s">
        <v>8909</v>
      </c>
      <c r="C5310" t="s">
        <v>7645</v>
      </c>
      <c r="D5310">
        <v>78119012</v>
      </c>
      <c r="E5310">
        <v>21.11</v>
      </c>
      <c r="F5310">
        <v>7.79</v>
      </c>
    </row>
    <row r="5311" spans="1:6" x14ac:dyDescent="0.3">
      <c r="A5311" t="s">
        <v>1247</v>
      </c>
      <c r="B5311" t="s">
        <v>6943</v>
      </c>
      <c r="C5311" t="s">
        <v>8910</v>
      </c>
      <c r="D5311">
        <v>78132444</v>
      </c>
      <c r="E5311">
        <v>2.95</v>
      </c>
      <c r="F5311">
        <v>7.29</v>
      </c>
    </row>
    <row r="5312" spans="1:6" x14ac:dyDescent="0.3">
      <c r="A5312" t="s">
        <v>8911</v>
      </c>
      <c r="B5312" t="s">
        <v>8912</v>
      </c>
      <c r="C5312" t="s">
        <v>1205</v>
      </c>
      <c r="D5312">
        <v>78134907</v>
      </c>
      <c r="E5312">
        <v>2.82</v>
      </c>
      <c r="F5312">
        <v>6.3</v>
      </c>
    </row>
    <row r="5313" spans="1:6" x14ac:dyDescent="0.3">
      <c r="A5313" t="s">
        <v>8913</v>
      </c>
      <c r="B5313" t="s">
        <v>8912</v>
      </c>
      <c r="C5313" t="s">
        <v>1205</v>
      </c>
      <c r="D5313">
        <v>78134910</v>
      </c>
      <c r="E5313">
        <v>4.4800000000000004</v>
      </c>
      <c r="F5313">
        <v>3.56</v>
      </c>
    </row>
    <row r="5314" spans="1:6" x14ac:dyDescent="0.3">
      <c r="A5314" t="s">
        <v>8914</v>
      </c>
      <c r="B5314" t="s">
        <v>8915</v>
      </c>
      <c r="C5314" t="s">
        <v>1537</v>
      </c>
      <c r="D5314">
        <v>78146609</v>
      </c>
      <c r="E5314">
        <v>3.16</v>
      </c>
      <c r="F5314">
        <v>7</v>
      </c>
    </row>
    <row r="5315" spans="1:6" x14ac:dyDescent="0.3">
      <c r="A5315" t="s">
        <v>8916</v>
      </c>
      <c r="B5315" t="s">
        <v>6226</v>
      </c>
      <c r="C5315" t="s">
        <v>8917</v>
      </c>
      <c r="D5315">
        <v>78149363</v>
      </c>
      <c r="E5315">
        <v>2.94</v>
      </c>
      <c r="F5315">
        <v>6.78</v>
      </c>
    </row>
    <row r="5316" spans="1:6" x14ac:dyDescent="0.3">
      <c r="A5316" t="s">
        <v>8918</v>
      </c>
      <c r="B5316" t="s">
        <v>8919</v>
      </c>
      <c r="C5316" t="s">
        <v>3006</v>
      </c>
      <c r="D5316">
        <v>78161069</v>
      </c>
      <c r="E5316">
        <v>3.26</v>
      </c>
      <c r="F5316">
        <v>6.78</v>
      </c>
    </row>
    <row r="5317" spans="1:6" x14ac:dyDescent="0.3">
      <c r="A5317" t="s">
        <v>8920</v>
      </c>
      <c r="B5317" t="s">
        <v>6655</v>
      </c>
      <c r="C5317" t="s">
        <v>175</v>
      </c>
      <c r="D5317">
        <v>78164953</v>
      </c>
      <c r="E5317">
        <v>31</v>
      </c>
      <c r="F5317">
        <v>7.75</v>
      </c>
    </row>
    <row r="5318" spans="1:6" x14ac:dyDescent="0.3">
      <c r="A5318" t="s">
        <v>8921</v>
      </c>
      <c r="B5318" t="s">
        <v>6226</v>
      </c>
      <c r="C5318" t="s">
        <v>6461</v>
      </c>
      <c r="D5318">
        <v>78187578</v>
      </c>
      <c r="E5318">
        <v>1.87</v>
      </c>
      <c r="F5318">
        <v>7.26</v>
      </c>
    </row>
    <row r="5319" spans="1:6" x14ac:dyDescent="0.3">
      <c r="A5319" t="s">
        <v>8922</v>
      </c>
      <c r="B5319" t="s">
        <v>8671</v>
      </c>
      <c r="C5319" t="s">
        <v>8923</v>
      </c>
      <c r="D5319">
        <v>78195728</v>
      </c>
      <c r="E5319">
        <v>8.83</v>
      </c>
      <c r="F5319">
        <v>5.76</v>
      </c>
    </row>
    <row r="5320" spans="1:6" x14ac:dyDescent="0.3">
      <c r="A5320" t="s">
        <v>8924</v>
      </c>
      <c r="B5320" t="s">
        <v>5619</v>
      </c>
      <c r="C5320" t="s">
        <v>175</v>
      </c>
      <c r="D5320">
        <v>78206086</v>
      </c>
      <c r="E5320">
        <v>7.17</v>
      </c>
      <c r="F5320">
        <v>6</v>
      </c>
    </row>
    <row r="5321" spans="1:6" x14ac:dyDescent="0.3">
      <c r="A5321" t="s">
        <v>8925</v>
      </c>
      <c r="B5321" t="s">
        <v>8926</v>
      </c>
      <c r="C5321" t="s">
        <v>3000</v>
      </c>
      <c r="D5321">
        <v>78208064</v>
      </c>
      <c r="E5321">
        <v>1.72</v>
      </c>
      <c r="F5321">
        <v>7.15</v>
      </c>
    </row>
    <row r="5322" spans="1:6" x14ac:dyDescent="0.3">
      <c r="A5322" t="s">
        <v>8927</v>
      </c>
      <c r="B5322" t="s">
        <v>7356</v>
      </c>
      <c r="C5322" t="s">
        <v>8928</v>
      </c>
      <c r="D5322">
        <v>78208178</v>
      </c>
      <c r="E5322">
        <v>3.7</v>
      </c>
      <c r="F5322">
        <v>7.32</v>
      </c>
    </row>
    <row r="5323" spans="1:6" x14ac:dyDescent="0.3">
      <c r="A5323" t="s">
        <v>8929</v>
      </c>
      <c r="B5323" t="s">
        <v>6525</v>
      </c>
      <c r="C5323" t="s">
        <v>1165</v>
      </c>
      <c r="D5323">
        <v>78218845</v>
      </c>
      <c r="E5323">
        <v>18.149999999999999</v>
      </c>
      <c r="F5323">
        <v>8.17</v>
      </c>
    </row>
    <row r="5324" spans="1:6" x14ac:dyDescent="0.3">
      <c r="A5324" t="s">
        <v>8930</v>
      </c>
      <c r="B5324" t="s">
        <v>7824</v>
      </c>
      <c r="C5324" t="s">
        <v>6920</v>
      </c>
      <c r="D5324">
        <v>78232710</v>
      </c>
      <c r="E5324">
        <v>17</v>
      </c>
      <c r="F5324">
        <v>8.1</v>
      </c>
    </row>
    <row r="5325" spans="1:6" x14ac:dyDescent="0.3">
      <c r="A5325" t="s">
        <v>8931</v>
      </c>
      <c r="B5325" t="s">
        <v>1958</v>
      </c>
      <c r="C5325" t="s">
        <v>8</v>
      </c>
      <c r="D5325">
        <v>78232736</v>
      </c>
      <c r="E5325">
        <v>30</v>
      </c>
      <c r="F5325">
        <v>7</v>
      </c>
    </row>
    <row r="5326" spans="1:6" x14ac:dyDescent="0.3">
      <c r="A5326" t="s">
        <v>8932</v>
      </c>
      <c r="B5326" t="s">
        <v>8933</v>
      </c>
      <c r="C5326" t="s">
        <v>8934</v>
      </c>
      <c r="D5326">
        <v>78233992</v>
      </c>
      <c r="E5326">
        <v>2.94</v>
      </c>
      <c r="F5326">
        <v>5.05</v>
      </c>
    </row>
    <row r="5327" spans="1:6" x14ac:dyDescent="0.3">
      <c r="A5327" t="s">
        <v>8935</v>
      </c>
      <c r="B5327" t="s">
        <v>3169</v>
      </c>
      <c r="C5327" t="s">
        <v>8936</v>
      </c>
      <c r="D5327">
        <v>78236962</v>
      </c>
      <c r="E5327">
        <v>6</v>
      </c>
      <c r="F5327">
        <v>8.4</v>
      </c>
    </row>
    <row r="5328" spans="1:6" x14ac:dyDescent="0.3">
      <c r="A5328" t="s">
        <v>8937</v>
      </c>
      <c r="B5328" t="s">
        <v>4350</v>
      </c>
      <c r="C5328" t="s">
        <v>8938</v>
      </c>
      <c r="D5328">
        <v>78241497</v>
      </c>
      <c r="E5328">
        <v>11.95</v>
      </c>
      <c r="F5328">
        <v>7.82</v>
      </c>
    </row>
    <row r="5329" spans="1:6" x14ac:dyDescent="0.3">
      <c r="A5329" t="s">
        <v>8939</v>
      </c>
      <c r="B5329" t="s">
        <v>8940</v>
      </c>
      <c r="C5329" t="s">
        <v>8941</v>
      </c>
      <c r="D5329">
        <v>78245383</v>
      </c>
      <c r="E5329">
        <v>17.8</v>
      </c>
      <c r="F5329">
        <v>8</v>
      </c>
    </row>
    <row r="5330" spans="1:6" x14ac:dyDescent="0.3">
      <c r="A5330" t="s">
        <v>8942</v>
      </c>
      <c r="B5330" t="s">
        <v>3125</v>
      </c>
      <c r="C5330" t="s">
        <v>5891</v>
      </c>
      <c r="D5330">
        <v>78248443</v>
      </c>
      <c r="E5330">
        <v>26.23</v>
      </c>
      <c r="F5330">
        <v>8.65</v>
      </c>
    </row>
    <row r="5331" spans="1:6" x14ac:dyDescent="0.3">
      <c r="A5331" t="s">
        <v>8943</v>
      </c>
      <c r="B5331" t="s">
        <v>8944</v>
      </c>
      <c r="C5331" t="s">
        <v>5596</v>
      </c>
      <c r="D5331">
        <v>78250661</v>
      </c>
      <c r="E5331">
        <v>17.329999999999998</v>
      </c>
      <c r="F5331">
        <v>5</v>
      </c>
    </row>
    <row r="5332" spans="1:6" x14ac:dyDescent="0.3">
      <c r="A5332" t="s">
        <v>8945</v>
      </c>
      <c r="B5332" t="s">
        <v>5006</v>
      </c>
      <c r="C5332" t="s">
        <v>8946</v>
      </c>
      <c r="D5332">
        <v>78251336</v>
      </c>
      <c r="E5332">
        <v>9.77</v>
      </c>
      <c r="F5332">
        <v>6.35</v>
      </c>
    </row>
    <row r="5333" spans="1:6" x14ac:dyDescent="0.3">
      <c r="A5333" t="s">
        <v>2698</v>
      </c>
      <c r="B5333" t="s">
        <v>8947</v>
      </c>
      <c r="C5333" t="s">
        <v>8948</v>
      </c>
      <c r="D5333">
        <v>78251348</v>
      </c>
      <c r="E5333">
        <v>3.22</v>
      </c>
      <c r="F5333">
        <v>6.94</v>
      </c>
    </row>
    <row r="5334" spans="1:6" x14ac:dyDescent="0.3">
      <c r="A5334" t="s">
        <v>8949</v>
      </c>
      <c r="B5334" t="s">
        <v>8950</v>
      </c>
      <c r="C5334" t="s">
        <v>7264</v>
      </c>
      <c r="D5334">
        <v>78267418</v>
      </c>
      <c r="E5334">
        <v>2.82</v>
      </c>
      <c r="F5334">
        <v>5.97</v>
      </c>
    </row>
    <row r="5335" spans="1:6" x14ac:dyDescent="0.3">
      <c r="A5335" t="s">
        <v>8951</v>
      </c>
      <c r="B5335" t="s">
        <v>8952</v>
      </c>
      <c r="C5335" t="s">
        <v>8953</v>
      </c>
      <c r="D5335">
        <v>78268435</v>
      </c>
      <c r="E5335">
        <v>14.5</v>
      </c>
      <c r="F5335">
        <v>6.71</v>
      </c>
    </row>
    <row r="5336" spans="1:6" x14ac:dyDescent="0.3">
      <c r="A5336" t="s">
        <v>8954</v>
      </c>
      <c r="B5336" t="s">
        <v>8955</v>
      </c>
      <c r="C5336" t="s">
        <v>8956</v>
      </c>
      <c r="D5336">
        <v>78273507</v>
      </c>
      <c r="E5336">
        <v>3.69</v>
      </c>
      <c r="F5336">
        <v>7.21</v>
      </c>
    </row>
    <row r="5337" spans="1:6" x14ac:dyDescent="0.3">
      <c r="A5337" t="s">
        <v>8957</v>
      </c>
      <c r="B5337" t="s">
        <v>8958</v>
      </c>
      <c r="C5337" t="s">
        <v>7099</v>
      </c>
      <c r="D5337">
        <v>78273890</v>
      </c>
      <c r="E5337">
        <v>10.33</v>
      </c>
      <c r="F5337">
        <v>6.82</v>
      </c>
    </row>
    <row r="5338" spans="1:6" x14ac:dyDescent="0.3">
      <c r="A5338" t="s">
        <v>8959</v>
      </c>
      <c r="B5338" t="s">
        <v>8960</v>
      </c>
      <c r="C5338" t="s">
        <v>8268</v>
      </c>
      <c r="D5338">
        <v>78277793</v>
      </c>
      <c r="E5338">
        <v>24.14</v>
      </c>
      <c r="F5338">
        <v>7</v>
      </c>
    </row>
    <row r="5339" spans="1:6" x14ac:dyDescent="0.3">
      <c r="A5339" t="s">
        <v>8961</v>
      </c>
      <c r="B5339" t="s">
        <v>8962</v>
      </c>
      <c r="C5339" t="s">
        <v>4155</v>
      </c>
      <c r="D5339">
        <v>78280895</v>
      </c>
      <c r="E5339">
        <v>1.22</v>
      </c>
      <c r="F5339">
        <v>6.84</v>
      </c>
    </row>
    <row r="5340" spans="1:6" x14ac:dyDescent="0.3">
      <c r="A5340" t="s">
        <v>8963</v>
      </c>
      <c r="B5340" t="s">
        <v>6615</v>
      </c>
      <c r="C5340" t="s">
        <v>5356</v>
      </c>
      <c r="D5340">
        <v>78295952</v>
      </c>
      <c r="E5340">
        <v>14.86</v>
      </c>
      <c r="F5340">
        <v>7.2</v>
      </c>
    </row>
    <row r="5341" spans="1:6" x14ac:dyDescent="0.3">
      <c r="A5341" t="s">
        <v>8964</v>
      </c>
      <c r="B5341" t="s">
        <v>8965</v>
      </c>
      <c r="C5341" t="s">
        <v>3092</v>
      </c>
      <c r="D5341">
        <v>78304351</v>
      </c>
      <c r="E5341">
        <v>9.5</v>
      </c>
      <c r="F5341">
        <v>8.08</v>
      </c>
    </row>
    <row r="5342" spans="1:6" x14ac:dyDescent="0.3">
      <c r="A5342" t="s">
        <v>8966</v>
      </c>
      <c r="B5342" t="s">
        <v>8060</v>
      </c>
      <c r="C5342" t="s">
        <v>5419</v>
      </c>
      <c r="D5342">
        <v>78312610</v>
      </c>
      <c r="E5342">
        <v>3.33</v>
      </c>
      <c r="F5342">
        <v>5.69</v>
      </c>
    </row>
    <row r="5343" spans="1:6" x14ac:dyDescent="0.3">
      <c r="A5343" t="s">
        <v>8967</v>
      </c>
      <c r="B5343" t="s">
        <v>8574</v>
      </c>
      <c r="C5343" t="s">
        <v>6773</v>
      </c>
      <c r="D5343">
        <v>78326559</v>
      </c>
      <c r="E5343">
        <v>15.12</v>
      </c>
      <c r="F5343">
        <v>7.32</v>
      </c>
    </row>
    <row r="5344" spans="1:6" x14ac:dyDescent="0.3">
      <c r="A5344" t="s">
        <v>7847</v>
      </c>
      <c r="B5344" t="s">
        <v>8968</v>
      </c>
      <c r="C5344" t="s">
        <v>5129</v>
      </c>
      <c r="D5344">
        <v>78328867</v>
      </c>
      <c r="E5344">
        <v>11</v>
      </c>
      <c r="F5344">
        <v>5.25</v>
      </c>
    </row>
    <row r="5345" spans="1:6" x14ac:dyDescent="0.3">
      <c r="A5345" t="s">
        <v>8969</v>
      </c>
      <c r="B5345" t="s">
        <v>8970</v>
      </c>
      <c r="C5345" t="s">
        <v>12</v>
      </c>
      <c r="D5345">
        <v>78331978</v>
      </c>
      <c r="E5345">
        <v>15.6</v>
      </c>
      <c r="F5345">
        <v>7.83</v>
      </c>
    </row>
    <row r="5346" spans="1:6" x14ac:dyDescent="0.3">
      <c r="A5346" t="s">
        <v>8971</v>
      </c>
      <c r="B5346" t="s">
        <v>5642</v>
      </c>
      <c r="C5346" t="s">
        <v>8972</v>
      </c>
      <c r="D5346">
        <v>78360686</v>
      </c>
      <c r="E5346">
        <v>5.97</v>
      </c>
      <c r="F5346">
        <v>7.11</v>
      </c>
    </row>
    <row r="5347" spans="1:6" x14ac:dyDescent="0.3">
      <c r="A5347" t="s">
        <v>8973</v>
      </c>
      <c r="B5347" t="s">
        <v>7604</v>
      </c>
      <c r="C5347" t="s">
        <v>8974</v>
      </c>
      <c r="D5347">
        <v>78361312</v>
      </c>
      <c r="E5347">
        <v>12.83</v>
      </c>
      <c r="F5347">
        <v>8.85</v>
      </c>
    </row>
    <row r="5348" spans="1:6" x14ac:dyDescent="0.3">
      <c r="A5348" t="s">
        <v>8975</v>
      </c>
      <c r="B5348" t="s">
        <v>4184</v>
      </c>
      <c r="C5348" t="s">
        <v>966</v>
      </c>
      <c r="D5348">
        <v>78364516</v>
      </c>
      <c r="E5348">
        <v>8.61</v>
      </c>
      <c r="F5348">
        <v>5.23</v>
      </c>
    </row>
    <row r="5349" spans="1:6" x14ac:dyDescent="0.3">
      <c r="A5349" t="s">
        <v>8976</v>
      </c>
      <c r="B5349" t="s">
        <v>8977</v>
      </c>
      <c r="C5349" t="s">
        <v>8978</v>
      </c>
      <c r="D5349">
        <v>78370793</v>
      </c>
      <c r="E5349">
        <v>7.46</v>
      </c>
      <c r="F5349">
        <v>6</v>
      </c>
    </row>
    <row r="5350" spans="1:6" x14ac:dyDescent="0.3">
      <c r="A5350" t="s">
        <v>8979</v>
      </c>
      <c r="B5350" t="s">
        <v>6688</v>
      </c>
      <c r="C5350" t="s">
        <v>7618</v>
      </c>
      <c r="D5350">
        <v>78374157</v>
      </c>
      <c r="E5350">
        <v>22.95</v>
      </c>
      <c r="F5350">
        <v>6.43</v>
      </c>
    </row>
    <row r="5351" spans="1:6" x14ac:dyDescent="0.3">
      <c r="A5351" t="s">
        <v>8980</v>
      </c>
      <c r="B5351" t="s">
        <v>8981</v>
      </c>
      <c r="C5351" t="s">
        <v>8982</v>
      </c>
      <c r="D5351">
        <v>78385421</v>
      </c>
      <c r="E5351">
        <v>18.71</v>
      </c>
      <c r="F5351">
        <v>8.4700000000000006</v>
      </c>
    </row>
    <row r="5352" spans="1:6" x14ac:dyDescent="0.3">
      <c r="A5352" t="s">
        <v>8983</v>
      </c>
      <c r="B5352" t="s">
        <v>8984</v>
      </c>
      <c r="C5352" t="s">
        <v>7296</v>
      </c>
      <c r="D5352">
        <v>78389731</v>
      </c>
      <c r="E5352">
        <v>14.24</v>
      </c>
      <c r="F5352">
        <v>7.59</v>
      </c>
    </row>
    <row r="5353" spans="1:6" x14ac:dyDescent="0.3">
      <c r="A5353" t="s">
        <v>8985</v>
      </c>
      <c r="B5353" t="s">
        <v>8986</v>
      </c>
      <c r="C5353" t="s">
        <v>857</v>
      </c>
      <c r="D5353">
        <v>78393392</v>
      </c>
      <c r="E5353">
        <v>13.17</v>
      </c>
      <c r="F5353">
        <v>6.86</v>
      </c>
    </row>
    <row r="5354" spans="1:6" x14ac:dyDescent="0.3">
      <c r="A5354" t="s">
        <v>8987</v>
      </c>
      <c r="B5354" t="s">
        <v>8988</v>
      </c>
      <c r="C5354" t="s">
        <v>8989</v>
      </c>
      <c r="D5354">
        <v>78397973</v>
      </c>
      <c r="E5354">
        <v>19.940000000000001</v>
      </c>
      <c r="F5354">
        <v>6.92</v>
      </c>
    </row>
    <row r="5355" spans="1:6" x14ac:dyDescent="0.3">
      <c r="A5355" t="s">
        <v>8990</v>
      </c>
      <c r="B5355" t="s">
        <v>8256</v>
      </c>
      <c r="C5355" t="s">
        <v>8991</v>
      </c>
      <c r="D5355">
        <v>78400556</v>
      </c>
      <c r="E5355">
        <v>17</v>
      </c>
      <c r="F5355">
        <v>6.4</v>
      </c>
    </row>
    <row r="5356" spans="1:6" x14ac:dyDescent="0.3">
      <c r="A5356" t="s">
        <v>8992</v>
      </c>
      <c r="B5356" t="s">
        <v>8743</v>
      </c>
      <c r="C5356" t="s">
        <v>8993</v>
      </c>
      <c r="D5356">
        <v>78407103</v>
      </c>
      <c r="E5356">
        <v>12.78</v>
      </c>
      <c r="F5356">
        <v>8.1300000000000008</v>
      </c>
    </row>
    <row r="5357" spans="1:6" x14ac:dyDescent="0.3">
      <c r="A5357" t="s">
        <v>8994</v>
      </c>
      <c r="B5357" t="s">
        <v>8201</v>
      </c>
      <c r="C5357" t="s">
        <v>8995</v>
      </c>
      <c r="D5357">
        <v>78419471</v>
      </c>
      <c r="E5357">
        <v>8.4700000000000006</v>
      </c>
      <c r="F5357">
        <v>6.54</v>
      </c>
    </row>
    <row r="5358" spans="1:6" x14ac:dyDescent="0.3">
      <c r="A5358" t="s">
        <v>8996</v>
      </c>
      <c r="B5358" t="s">
        <v>3933</v>
      </c>
      <c r="C5358" t="s">
        <v>4262</v>
      </c>
      <c r="D5358">
        <v>78428472</v>
      </c>
      <c r="E5358">
        <v>7.92</v>
      </c>
      <c r="F5358">
        <v>7.4</v>
      </c>
    </row>
    <row r="5359" spans="1:6" x14ac:dyDescent="0.3">
      <c r="A5359" t="s">
        <v>8997</v>
      </c>
      <c r="B5359" t="s">
        <v>4439</v>
      </c>
      <c r="C5359" t="s">
        <v>2388</v>
      </c>
      <c r="D5359">
        <v>78435955</v>
      </c>
      <c r="E5359" t="s">
        <v>3814</v>
      </c>
      <c r="F5359" t="s">
        <v>3814</v>
      </c>
    </row>
    <row r="5360" spans="1:6" x14ac:dyDescent="0.3">
      <c r="A5360" t="s">
        <v>8998</v>
      </c>
      <c r="B5360" t="s">
        <v>8999</v>
      </c>
      <c r="C5360" t="s">
        <v>9000</v>
      </c>
      <c r="D5360">
        <v>78444747</v>
      </c>
      <c r="E5360">
        <v>1.07</v>
      </c>
      <c r="F5360">
        <v>7.12</v>
      </c>
    </row>
    <row r="5361" spans="1:6" x14ac:dyDescent="0.3">
      <c r="A5361" t="s">
        <v>9001</v>
      </c>
      <c r="B5361" t="s">
        <v>3880</v>
      </c>
      <c r="C5361" t="s">
        <v>4665</v>
      </c>
      <c r="D5361">
        <v>78450835</v>
      </c>
      <c r="E5361">
        <v>5.83</v>
      </c>
      <c r="F5361">
        <v>6</v>
      </c>
    </row>
    <row r="5362" spans="1:6" x14ac:dyDescent="0.3">
      <c r="A5362" t="s">
        <v>9002</v>
      </c>
      <c r="B5362" t="s">
        <v>9003</v>
      </c>
      <c r="C5362" t="s">
        <v>9004</v>
      </c>
      <c r="D5362">
        <v>78452379</v>
      </c>
      <c r="E5362">
        <v>7.85</v>
      </c>
      <c r="F5362">
        <v>6.89</v>
      </c>
    </row>
    <row r="5363" spans="1:6" x14ac:dyDescent="0.3">
      <c r="A5363" t="s">
        <v>9005</v>
      </c>
      <c r="B5363" t="s">
        <v>9006</v>
      </c>
      <c r="C5363" t="s">
        <v>9007</v>
      </c>
      <c r="D5363">
        <v>78453172</v>
      </c>
      <c r="E5363">
        <v>12.21</v>
      </c>
      <c r="F5363">
        <v>7.69</v>
      </c>
    </row>
    <row r="5364" spans="1:6" x14ac:dyDescent="0.3">
      <c r="A5364" t="s">
        <v>9008</v>
      </c>
      <c r="B5364" t="s">
        <v>9009</v>
      </c>
      <c r="C5364" t="s">
        <v>4871</v>
      </c>
      <c r="D5364">
        <v>78455855</v>
      </c>
      <c r="E5364">
        <v>3.3</v>
      </c>
      <c r="F5364">
        <v>7.72</v>
      </c>
    </row>
    <row r="5365" spans="1:6" x14ac:dyDescent="0.3">
      <c r="A5365" t="s">
        <v>9010</v>
      </c>
      <c r="B5365" t="s">
        <v>9011</v>
      </c>
      <c r="C5365" t="s">
        <v>5627</v>
      </c>
      <c r="D5365">
        <v>78462931</v>
      </c>
      <c r="E5365">
        <v>2.5099999999999998</v>
      </c>
      <c r="F5365">
        <v>6.31</v>
      </c>
    </row>
    <row r="5366" spans="1:6" x14ac:dyDescent="0.3">
      <c r="A5366" t="s">
        <v>9012</v>
      </c>
      <c r="B5366" t="s">
        <v>9013</v>
      </c>
      <c r="C5366" t="s">
        <v>9014</v>
      </c>
      <c r="D5366">
        <v>78487463</v>
      </c>
      <c r="E5366">
        <v>14.44</v>
      </c>
      <c r="F5366">
        <v>6.13</v>
      </c>
    </row>
    <row r="5367" spans="1:6" x14ac:dyDescent="0.3">
      <c r="A5367" t="s">
        <v>9015</v>
      </c>
      <c r="B5367" t="s">
        <v>9016</v>
      </c>
      <c r="C5367" t="s">
        <v>7111</v>
      </c>
      <c r="D5367">
        <v>78487942</v>
      </c>
      <c r="E5367">
        <v>4.08</v>
      </c>
      <c r="F5367">
        <v>6.67</v>
      </c>
    </row>
    <row r="5368" spans="1:6" x14ac:dyDescent="0.3">
      <c r="A5368" t="s">
        <v>9017</v>
      </c>
      <c r="B5368" t="s">
        <v>8068</v>
      </c>
      <c r="C5368" t="s">
        <v>9018</v>
      </c>
      <c r="D5368">
        <v>78492078</v>
      </c>
      <c r="E5368">
        <v>8.01</v>
      </c>
      <c r="F5368">
        <v>5.45</v>
      </c>
    </row>
    <row r="5369" spans="1:6" x14ac:dyDescent="0.3">
      <c r="A5369" t="s">
        <v>9019</v>
      </c>
      <c r="B5369" t="s">
        <v>7273</v>
      </c>
      <c r="C5369" t="s">
        <v>9020</v>
      </c>
      <c r="D5369">
        <v>78493479</v>
      </c>
      <c r="E5369">
        <v>12.64</v>
      </c>
      <c r="F5369">
        <v>7.63</v>
      </c>
    </row>
    <row r="5370" spans="1:6" x14ac:dyDescent="0.3">
      <c r="A5370" t="s">
        <v>9021</v>
      </c>
      <c r="B5370" t="s">
        <v>6903</v>
      </c>
      <c r="C5370" t="s">
        <v>7550</v>
      </c>
      <c r="D5370">
        <v>78498494</v>
      </c>
      <c r="E5370">
        <v>9.5</v>
      </c>
      <c r="F5370">
        <v>6.5</v>
      </c>
    </row>
    <row r="5371" spans="1:6" x14ac:dyDescent="0.3">
      <c r="A5371" t="s">
        <v>9022</v>
      </c>
      <c r="B5371" t="s">
        <v>9023</v>
      </c>
      <c r="C5371" t="s">
        <v>5091</v>
      </c>
      <c r="D5371">
        <v>78501978</v>
      </c>
      <c r="E5371">
        <v>1.97</v>
      </c>
      <c r="F5371">
        <v>7.07</v>
      </c>
    </row>
    <row r="5372" spans="1:6" x14ac:dyDescent="0.3">
      <c r="A5372" t="s">
        <v>9024</v>
      </c>
      <c r="B5372" t="s">
        <v>6011</v>
      </c>
      <c r="C5372" t="s">
        <v>9025</v>
      </c>
      <c r="D5372">
        <v>78506387</v>
      </c>
      <c r="E5372">
        <v>2.88</v>
      </c>
      <c r="F5372">
        <v>7</v>
      </c>
    </row>
    <row r="5373" spans="1:6" x14ac:dyDescent="0.3">
      <c r="A5373" t="s">
        <v>9026</v>
      </c>
      <c r="B5373" t="s">
        <v>9027</v>
      </c>
      <c r="C5373" t="s">
        <v>977</v>
      </c>
      <c r="D5373">
        <v>78510527</v>
      </c>
      <c r="E5373">
        <v>14.91</v>
      </c>
      <c r="F5373">
        <v>7.24</v>
      </c>
    </row>
    <row r="5374" spans="1:6" x14ac:dyDescent="0.3">
      <c r="A5374" t="s">
        <v>9028</v>
      </c>
      <c r="B5374" t="s">
        <v>9029</v>
      </c>
      <c r="C5374" t="s">
        <v>7140</v>
      </c>
      <c r="D5374">
        <v>78511101</v>
      </c>
      <c r="E5374">
        <v>2.91</v>
      </c>
      <c r="F5374">
        <v>7.8</v>
      </c>
    </row>
    <row r="5375" spans="1:6" x14ac:dyDescent="0.3">
      <c r="A5375" t="s">
        <v>9030</v>
      </c>
      <c r="B5375" t="s">
        <v>2734</v>
      </c>
      <c r="C5375" t="s">
        <v>1129</v>
      </c>
      <c r="D5375">
        <v>78511388</v>
      </c>
      <c r="E5375">
        <v>2.21</v>
      </c>
      <c r="F5375">
        <v>7.1</v>
      </c>
    </row>
    <row r="5376" spans="1:6" x14ac:dyDescent="0.3">
      <c r="A5376" t="s">
        <v>9031</v>
      </c>
      <c r="B5376" t="s">
        <v>9032</v>
      </c>
      <c r="C5376" t="s">
        <v>9033</v>
      </c>
      <c r="D5376">
        <v>78525603</v>
      </c>
      <c r="E5376">
        <v>6.5</v>
      </c>
      <c r="F5376">
        <v>8</v>
      </c>
    </row>
    <row r="5377" spans="1:6" x14ac:dyDescent="0.3">
      <c r="A5377" t="s">
        <v>9034</v>
      </c>
      <c r="B5377" t="s">
        <v>7177</v>
      </c>
      <c r="C5377" t="s">
        <v>9035</v>
      </c>
      <c r="D5377">
        <v>78528225</v>
      </c>
      <c r="E5377">
        <v>15.03</v>
      </c>
      <c r="F5377">
        <v>8.94</v>
      </c>
    </row>
    <row r="5378" spans="1:6" x14ac:dyDescent="0.3">
      <c r="A5378" t="s">
        <v>9036</v>
      </c>
      <c r="B5378" t="s">
        <v>6864</v>
      </c>
      <c r="C5378" t="s">
        <v>820</v>
      </c>
      <c r="D5378">
        <v>78530747</v>
      </c>
      <c r="E5378">
        <v>22.5</v>
      </c>
      <c r="F5378">
        <v>7.2</v>
      </c>
    </row>
    <row r="5379" spans="1:6" x14ac:dyDescent="0.3">
      <c r="A5379" t="s">
        <v>6150</v>
      </c>
      <c r="B5379" t="s">
        <v>9037</v>
      </c>
      <c r="C5379" t="s">
        <v>9038</v>
      </c>
      <c r="D5379">
        <v>78546667</v>
      </c>
      <c r="E5379">
        <v>8.2899999999999991</v>
      </c>
      <c r="F5379">
        <v>6.75</v>
      </c>
    </row>
    <row r="5380" spans="1:6" x14ac:dyDescent="0.3">
      <c r="A5380" t="s">
        <v>9039</v>
      </c>
      <c r="B5380" t="s">
        <v>5443</v>
      </c>
      <c r="C5380" t="s">
        <v>5772</v>
      </c>
      <c r="D5380">
        <v>78549925</v>
      </c>
      <c r="E5380">
        <v>2.91</v>
      </c>
      <c r="F5380">
        <v>5.88</v>
      </c>
    </row>
    <row r="5381" spans="1:6" x14ac:dyDescent="0.3">
      <c r="A5381" t="s">
        <v>9040</v>
      </c>
      <c r="B5381" t="s">
        <v>9041</v>
      </c>
      <c r="C5381" t="s">
        <v>9042</v>
      </c>
      <c r="D5381">
        <v>78556656</v>
      </c>
      <c r="E5381">
        <v>4.34</v>
      </c>
      <c r="F5381">
        <v>6.41</v>
      </c>
    </row>
    <row r="5382" spans="1:6" x14ac:dyDescent="0.3">
      <c r="A5382" t="s">
        <v>9043</v>
      </c>
      <c r="B5382" t="s">
        <v>6650</v>
      </c>
      <c r="C5382" t="s">
        <v>9044</v>
      </c>
      <c r="D5382">
        <v>78602801</v>
      </c>
      <c r="E5382">
        <v>16.989999999999998</v>
      </c>
      <c r="F5382">
        <v>8.8800000000000008</v>
      </c>
    </row>
    <row r="5383" spans="1:6" x14ac:dyDescent="0.3">
      <c r="A5383" t="s">
        <v>9045</v>
      </c>
      <c r="B5383" t="s">
        <v>5928</v>
      </c>
      <c r="C5383" t="s">
        <v>9046</v>
      </c>
      <c r="D5383">
        <v>78610189</v>
      </c>
      <c r="E5383">
        <v>2.21</v>
      </c>
      <c r="F5383">
        <v>5.58</v>
      </c>
    </row>
    <row r="5384" spans="1:6" x14ac:dyDescent="0.3">
      <c r="A5384" t="s">
        <v>9047</v>
      </c>
      <c r="B5384" t="s">
        <v>9048</v>
      </c>
      <c r="C5384" t="s">
        <v>3934</v>
      </c>
      <c r="D5384">
        <v>78610953</v>
      </c>
      <c r="E5384">
        <v>9.41</v>
      </c>
      <c r="F5384">
        <v>6.6</v>
      </c>
    </row>
    <row r="5385" spans="1:6" x14ac:dyDescent="0.3">
      <c r="A5385" t="s">
        <v>9049</v>
      </c>
      <c r="B5385" t="s">
        <v>5006</v>
      </c>
      <c r="C5385" t="s">
        <v>5219</v>
      </c>
      <c r="D5385">
        <v>78625754</v>
      </c>
      <c r="E5385">
        <v>8.9499999999999993</v>
      </c>
      <c r="F5385">
        <v>7.63</v>
      </c>
    </row>
    <row r="5386" spans="1:6" x14ac:dyDescent="0.3">
      <c r="A5386" t="s">
        <v>9050</v>
      </c>
      <c r="B5386" t="s">
        <v>9051</v>
      </c>
      <c r="C5386" t="s">
        <v>4821</v>
      </c>
      <c r="D5386">
        <v>78653808</v>
      </c>
      <c r="E5386">
        <v>22.43</v>
      </c>
      <c r="F5386">
        <v>4.83</v>
      </c>
    </row>
    <row r="5387" spans="1:6" x14ac:dyDescent="0.3">
      <c r="A5387" t="s">
        <v>9052</v>
      </c>
      <c r="B5387" t="s">
        <v>2433</v>
      </c>
      <c r="C5387" t="s">
        <v>6149</v>
      </c>
      <c r="D5387">
        <v>78654896</v>
      </c>
      <c r="E5387">
        <v>1.67</v>
      </c>
      <c r="F5387">
        <v>7.36</v>
      </c>
    </row>
    <row r="5388" spans="1:6" x14ac:dyDescent="0.3">
      <c r="A5388" t="s">
        <v>9053</v>
      </c>
      <c r="B5388" t="s">
        <v>5415</v>
      </c>
      <c r="C5388" t="s">
        <v>9054</v>
      </c>
      <c r="D5388">
        <v>78656091</v>
      </c>
      <c r="E5388">
        <v>19</v>
      </c>
      <c r="F5388">
        <v>8.4499999999999993</v>
      </c>
    </row>
    <row r="5389" spans="1:6" x14ac:dyDescent="0.3">
      <c r="A5389" t="s">
        <v>9055</v>
      </c>
      <c r="B5389" t="s">
        <v>5449</v>
      </c>
      <c r="C5389" t="s">
        <v>9056</v>
      </c>
      <c r="D5389">
        <v>78657674</v>
      </c>
      <c r="E5389">
        <v>13</v>
      </c>
      <c r="F5389">
        <v>6.64</v>
      </c>
    </row>
    <row r="5390" spans="1:6" x14ac:dyDescent="0.3">
      <c r="A5390" t="s">
        <v>9057</v>
      </c>
      <c r="B5390" t="s">
        <v>2203</v>
      </c>
      <c r="C5390" t="s">
        <v>9004</v>
      </c>
      <c r="D5390">
        <v>78676189</v>
      </c>
      <c r="E5390">
        <v>17</v>
      </c>
      <c r="F5390">
        <v>6.5</v>
      </c>
    </row>
    <row r="5391" spans="1:6" x14ac:dyDescent="0.3">
      <c r="A5391" t="s">
        <v>9058</v>
      </c>
      <c r="B5391" t="s">
        <v>8187</v>
      </c>
      <c r="C5391" t="s">
        <v>2739</v>
      </c>
      <c r="D5391">
        <v>78687216</v>
      </c>
      <c r="E5391">
        <v>21.28</v>
      </c>
      <c r="F5391">
        <v>6.98</v>
      </c>
    </row>
    <row r="5392" spans="1:6" x14ac:dyDescent="0.3">
      <c r="A5392" t="s">
        <v>9059</v>
      </c>
      <c r="B5392" t="s">
        <v>5975</v>
      </c>
      <c r="C5392" t="s">
        <v>9060</v>
      </c>
      <c r="D5392">
        <v>78691188</v>
      </c>
      <c r="E5392">
        <v>13.25</v>
      </c>
      <c r="F5392">
        <v>5.73</v>
      </c>
    </row>
    <row r="5393" spans="1:6" x14ac:dyDescent="0.3">
      <c r="A5393" t="s">
        <v>9061</v>
      </c>
      <c r="B5393" t="s">
        <v>9062</v>
      </c>
      <c r="C5393" t="s">
        <v>6757</v>
      </c>
      <c r="D5393">
        <v>78696683</v>
      </c>
      <c r="E5393">
        <v>2.4</v>
      </c>
      <c r="F5393">
        <v>6</v>
      </c>
    </row>
    <row r="5394" spans="1:6" x14ac:dyDescent="0.3">
      <c r="A5394" t="s">
        <v>9063</v>
      </c>
      <c r="B5394" t="s">
        <v>9064</v>
      </c>
      <c r="C5394" t="s">
        <v>9065</v>
      </c>
      <c r="D5394">
        <v>78705373</v>
      </c>
      <c r="E5394">
        <v>2.61</v>
      </c>
      <c r="F5394">
        <v>5.94</v>
      </c>
    </row>
    <row r="5395" spans="1:6" x14ac:dyDescent="0.3">
      <c r="A5395" t="s">
        <v>9066</v>
      </c>
      <c r="B5395" t="s">
        <v>1265</v>
      </c>
      <c r="C5395" t="s">
        <v>704</v>
      </c>
      <c r="D5395">
        <v>78708480</v>
      </c>
      <c r="E5395">
        <v>13.82</v>
      </c>
      <c r="F5395">
        <v>6.72</v>
      </c>
    </row>
    <row r="5396" spans="1:6" x14ac:dyDescent="0.3">
      <c r="A5396" t="s">
        <v>9067</v>
      </c>
      <c r="B5396" t="s">
        <v>7578</v>
      </c>
      <c r="C5396" t="s">
        <v>8370</v>
      </c>
      <c r="D5396">
        <v>78720337</v>
      </c>
      <c r="E5396">
        <v>2.77</v>
      </c>
      <c r="F5396">
        <v>7.64</v>
      </c>
    </row>
    <row r="5397" spans="1:6" x14ac:dyDescent="0.3">
      <c r="A5397" t="s">
        <v>9068</v>
      </c>
      <c r="B5397" t="s">
        <v>9069</v>
      </c>
      <c r="C5397" t="s">
        <v>2540</v>
      </c>
      <c r="D5397">
        <v>78721973</v>
      </c>
      <c r="E5397">
        <v>9.8000000000000007</v>
      </c>
      <c r="F5397">
        <v>7.7</v>
      </c>
    </row>
    <row r="5398" spans="1:6" x14ac:dyDescent="0.3">
      <c r="A5398" t="s">
        <v>9070</v>
      </c>
      <c r="B5398" t="s">
        <v>9071</v>
      </c>
      <c r="C5398" t="s">
        <v>9072</v>
      </c>
      <c r="D5398">
        <v>78722357</v>
      </c>
      <c r="E5398">
        <v>21.63</v>
      </c>
      <c r="F5398">
        <v>8</v>
      </c>
    </row>
    <row r="5399" spans="1:6" x14ac:dyDescent="0.3">
      <c r="A5399" t="s">
        <v>9073</v>
      </c>
      <c r="B5399" t="s">
        <v>8722</v>
      </c>
      <c r="C5399" t="s">
        <v>704</v>
      </c>
      <c r="D5399">
        <v>78724250</v>
      </c>
      <c r="E5399">
        <v>6.33</v>
      </c>
      <c r="F5399">
        <v>7.48</v>
      </c>
    </row>
    <row r="5400" spans="1:6" x14ac:dyDescent="0.3">
      <c r="A5400" t="s">
        <v>9074</v>
      </c>
      <c r="B5400" t="s">
        <v>9075</v>
      </c>
      <c r="C5400" t="s">
        <v>4504</v>
      </c>
      <c r="D5400">
        <v>78738709</v>
      </c>
      <c r="E5400">
        <v>7.37</v>
      </c>
      <c r="F5400">
        <v>6.8</v>
      </c>
    </row>
    <row r="5401" spans="1:6" x14ac:dyDescent="0.3">
      <c r="A5401" t="s">
        <v>9076</v>
      </c>
      <c r="B5401" t="s">
        <v>9077</v>
      </c>
      <c r="C5401" t="s">
        <v>1248</v>
      </c>
      <c r="D5401">
        <v>78747848</v>
      </c>
      <c r="E5401">
        <v>17.8</v>
      </c>
      <c r="F5401">
        <v>6.4</v>
      </c>
    </row>
    <row r="5402" spans="1:6" x14ac:dyDescent="0.3">
      <c r="A5402" t="s">
        <v>9078</v>
      </c>
      <c r="B5402" t="s">
        <v>9079</v>
      </c>
      <c r="C5402" t="s">
        <v>3614</v>
      </c>
      <c r="D5402">
        <v>78752624</v>
      </c>
      <c r="E5402">
        <v>16.86</v>
      </c>
      <c r="F5402">
        <v>7.17</v>
      </c>
    </row>
    <row r="5403" spans="1:6" x14ac:dyDescent="0.3">
      <c r="A5403" t="s">
        <v>9080</v>
      </c>
      <c r="B5403" t="s">
        <v>9081</v>
      </c>
      <c r="C5403" t="s">
        <v>3123</v>
      </c>
      <c r="D5403">
        <v>78756621</v>
      </c>
      <c r="E5403">
        <v>2.71</v>
      </c>
      <c r="F5403">
        <v>6.19</v>
      </c>
    </row>
    <row r="5404" spans="1:6" x14ac:dyDescent="0.3">
      <c r="A5404" t="s">
        <v>9082</v>
      </c>
      <c r="B5404" t="s">
        <v>9083</v>
      </c>
      <c r="C5404" t="s">
        <v>9084</v>
      </c>
      <c r="D5404">
        <v>78774686</v>
      </c>
      <c r="E5404">
        <v>6.91</v>
      </c>
      <c r="F5404">
        <v>7.95</v>
      </c>
    </row>
    <row r="5405" spans="1:6" x14ac:dyDescent="0.3">
      <c r="A5405" t="s">
        <v>9085</v>
      </c>
      <c r="B5405" t="s">
        <v>6841</v>
      </c>
      <c r="C5405" t="s">
        <v>9085</v>
      </c>
      <c r="D5405">
        <v>78775751</v>
      </c>
      <c r="E5405">
        <v>3.82</v>
      </c>
      <c r="F5405">
        <v>7.86</v>
      </c>
    </row>
    <row r="5406" spans="1:6" x14ac:dyDescent="0.3">
      <c r="A5406" t="s">
        <v>9086</v>
      </c>
      <c r="B5406" t="s">
        <v>2519</v>
      </c>
      <c r="C5406" t="s">
        <v>9087</v>
      </c>
      <c r="D5406">
        <v>78797905</v>
      </c>
      <c r="E5406">
        <v>1.75</v>
      </c>
      <c r="F5406">
        <v>6.99</v>
      </c>
    </row>
    <row r="5407" spans="1:6" x14ac:dyDescent="0.3">
      <c r="A5407" t="s">
        <v>9088</v>
      </c>
      <c r="B5407" t="s">
        <v>1794</v>
      </c>
      <c r="C5407" t="s">
        <v>5076</v>
      </c>
      <c r="D5407">
        <v>78798179</v>
      </c>
      <c r="E5407">
        <v>5.24</v>
      </c>
      <c r="F5407">
        <v>6.8</v>
      </c>
    </row>
    <row r="5408" spans="1:6" x14ac:dyDescent="0.3">
      <c r="A5408" t="s">
        <v>9089</v>
      </c>
      <c r="B5408" t="s">
        <v>6226</v>
      </c>
      <c r="C5408" t="s">
        <v>9090</v>
      </c>
      <c r="D5408">
        <v>78810548</v>
      </c>
      <c r="E5408">
        <v>16.010000000000002</v>
      </c>
      <c r="F5408">
        <v>7.72</v>
      </c>
    </row>
    <row r="5409" spans="1:6" x14ac:dyDescent="0.3">
      <c r="A5409" t="s">
        <v>9091</v>
      </c>
      <c r="B5409" t="s">
        <v>9092</v>
      </c>
      <c r="C5409" t="s">
        <v>5666</v>
      </c>
      <c r="D5409">
        <v>78811900</v>
      </c>
      <c r="E5409">
        <v>2.94</v>
      </c>
      <c r="F5409">
        <v>7.22</v>
      </c>
    </row>
    <row r="5410" spans="1:6" x14ac:dyDescent="0.3">
      <c r="A5410" t="s">
        <v>9093</v>
      </c>
      <c r="B5410" t="s">
        <v>9094</v>
      </c>
      <c r="C5410" t="s">
        <v>2167</v>
      </c>
      <c r="D5410">
        <v>78820862</v>
      </c>
      <c r="E5410">
        <v>4.99</v>
      </c>
      <c r="F5410">
        <v>6.6</v>
      </c>
    </row>
    <row r="5411" spans="1:6" x14ac:dyDescent="0.3">
      <c r="A5411" t="s">
        <v>9095</v>
      </c>
      <c r="B5411" t="s">
        <v>5711</v>
      </c>
      <c r="C5411" t="s">
        <v>8703</v>
      </c>
      <c r="D5411">
        <v>78831233</v>
      </c>
      <c r="E5411">
        <v>21.91</v>
      </c>
      <c r="F5411">
        <v>6.85</v>
      </c>
    </row>
    <row r="5412" spans="1:6" x14ac:dyDescent="0.3">
      <c r="A5412" t="s">
        <v>9096</v>
      </c>
      <c r="B5412" t="s">
        <v>6808</v>
      </c>
      <c r="C5412" t="s">
        <v>7840</v>
      </c>
      <c r="D5412">
        <v>78835843</v>
      </c>
      <c r="E5412">
        <v>2.08</v>
      </c>
      <c r="F5412">
        <v>7.13</v>
      </c>
    </row>
    <row r="5413" spans="1:6" x14ac:dyDescent="0.3">
      <c r="A5413" t="s">
        <v>9097</v>
      </c>
      <c r="B5413" t="s">
        <v>9098</v>
      </c>
      <c r="C5413" t="s">
        <v>9099</v>
      </c>
      <c r="D5413">
        <v>78846382</v>
      </c>
      <c r="E5413">
        <v>2.5099999999999998</v>
      </c>
      <c r="F5413">
        <v>6.59</v>
      </c>
    </row>
    <row r="5414" spans="1:6" x14ac:dyDescent="0.3">
      <c r="A5414" t="s">
        <v>9100</v>
      </c>
      <c r="B5414" t="s">
        <v>3212</v>
      </c>
      <c r="C5414" t="s">
        <v>36</v>
      </c>
      <c r="D5414">
        <v>78848830</v>
      </c>
      <c r="E5414">
        <v>11.67</v>
      </c>
      <c r="F5414">
        <v>7.5</v>
      </c>
    </row>
    <row r="5415" spans="1:6" x14ac:dyDescent="0.3">
      <c r="A5415" t="s">
        <v>9101</v>
      </c>
      <c r="B5415" t="s">
        <v>9102</v>
      </c>
      <c r="C5415" t="s">
        <v>1935</v>
      </c>
      <c r="D5415">
        <v>78852723</v>
      </c>
      <c r="E5415">
        <v>9.7100000000000009</v>
      </c>
      <c r="F5415">
        <v>6.2</v>
      </c>
    </row>
    <row r="5416" spans="1:6" x14ac:dyDescent="0.3">
      <c r="A5416" t="s">
        <v>9103</v>
      </c>
      <c r="B5416" t="s">
        <v>5090</v>
      </c>
      <c r="C5416" t="s">
        <v>3945</v>
      </c>
      <c r="D5416">
        <v>78857427</v>
      </c>
      <c r="E5416">
        <v>3.22</v>
      </c>
      <c r="F5416">
        <v>6.75</v>
      </c>
    </row>
    <row r="5417" spans="1:6" x14ac:dyDescent="0.3">
      <c r="A5417" t="s">
        <v>9104</v>
      </c>
      <c r="B5417" t="s">
        <v>9105</v>
      </c>
      <c r="C5417" t="s">
        <v>12</v>
      </c>
      <c r="D5417">
        <v>78873287</v>
      </c>
      <c r="E5417">
        <v>19.66</v>
      </c>
      <c r="F5417">
        <v>8.33</v>
      </c>
    </row>
    <row r="5418" spans="1:6" x14ac:dyDescent="0.3">
      <c r="A5418" t="s">
        <v>9106</v>
      </c>
      <c r="B5418" t="s">
        <v>9107</v>
      </c>
      <c r="C5418" t="s">
        <v>5950</v>
      </c>
      <c r="D5418">
        <v>78892868</v>
      </c>
      <c r="E5418">
        <v>9.36</v>
      </c>
      <c r="F5418">
        <v>8.11</v>
      </c>
    </row>
    <row r="5419" spans="1:6" x14ac:dyDescent="0.3">
      <c r="A5419" t="s">
        <v>9108</v>
      </c>
      <c r="B5419" t="s">
        <v>5449</v>
      </c>
      <c r="C5419" t="s">
        <v>9109</v>
      </c>
      <c r="D5419">
        <v>78898342</v>
      </c>
      <c r="E5419">
        <v>3.33</v>
      </c>
      <c r="F5419">
        <v>6.44</v>
      </c>
    </row>
    <row r="5420" spans="1:6" x14ac:dyDescent="0.3">
      <c r="A5420" t="s">
        <v>9110</v>
      </c>
      <c r="B5420" t="s">
        <v>9111</v>
      </c>
      <c r="C5420" t="s">
        <v>9112</v>
      </c>
      <c r="D5420">
        <v>78900816</v>
      </c>
      <c r="E5420">
        <v>3.87</v>
      </c>
      <c r="F5420">
        <v>6.62</v>
      </c>
    </row>
    <row r="5421" spans="1:6" x14ac:dyDescent="0.3">
      <c r="A5421" t="s">
        <v>9113</v>
      </c>
      <c r="B5421" t="s">
        <v>3181</v>
      </c>
      <c r="C5421" t="s">
        <v>8793</v>
      </c>
      <c r="D5421">
        <v>78901064</v>
      </c>
      <c r="E5421">
        <v>6.33</v>
      </c>
      <c r="F5421">
        <v>8.1999999999999993</v>
      </c>
    </row>
    <row r="5422" spans="1:6" x14ac:dyDescent="0.3">
      <c r="A5422" t="s">
        <v>4935</v>
      </c>
      <c r="B5422" t="s">
        <v>9114</v>
      </c>
      <c r="C5422" t="s">
        <v>4937</v>
      </c>
      <c r="D5422">
        <v>78911670</v>
      </c>
      <c r="E5422">
        <v>3.21</v>
      </c>
      <c r="F5422">
        <v>6.52</v>
      </c>
    </row>
    <row r="5423" spans="1:6" x14ac:dyDescent="0.3">
      <c r="A5423" t="s">
        <v>9115</v>
      </c>
      <c r="B5423" t="s">
        <v>7604</v>
      </c>
      <c r="C5423" t="s">
        <v>9116</v>
      </c>
      <c r="D5423">
        <v>78923634</v>
      </c>
      <c r="E5423">
        <v>17.809999999999999</v>
      </c>
      <c r="F5423">
        <v>6.38</v>
      </c>
    </row>
    <row r="5424" spans="1:6" x14ac:dyDescent="0.3">
      <c r="A5424" t="s">
        <v>9117</v>
      </c>
      <c r="B5424" t="s">
        <v>7311</v>
      </c>
      <c r="C5424" t="s">
        <v>3968</v>
      </c>
      <c r="D5424">
        <v>78923997</v>
      </c>
      <c r="E5424">
        <v>7.86</v>
      </c>
      <c r="F5424">
        <v>8.5399999999999991</v>
      </c>
    </row>
    <row r="5425" spans="1:6" x14ac:dyDescent="0.3">
      <c r="A5425" t="s">
        <v>9118</v>
      </c>
      <c r="B5425" t="s">
        <v>7933</v>
      </c>
      <c r="C5425" t="s">
        <v>6699</v>
      </c>
      <c r="D5425">
        <v>78945916</v>
      </c>
      <c r="E5425">
        <v>1.78</v>
      </c>
      <c r="F5425">
        <v>7.45</v>
      </c>
    </row>
    <row r="5426" spans="1:6" x14ac:dyDescent="0.3">
      <c r="A5426" t="s">
        <v>9119</v>
      </c>
      <c r="B5426" t="s">
        <v>7436</v>
      </c>
      <c r="C5426" t="s">
        <v>9120</v>
      </c>
      <c r="D5426">
        <v>78951948</v>
      </c>
      <c r="E5426">
        <v>18.14</v>
      </c>
      <c r="F5426">
        <v>8</v>
      </c>
    </row>
    <row r="5427" spans="1:6" x14ac:dyDescent="0.3">
      <c r="A5427" t="s">
        <v>9121</v>
      </c>
      <c r="B5427" t="s">
        <v>9122</v>
      </c>
      <c r="C5427" t="s">
        <v>956</v>
      </c>
      <c r="D5427">
        <v>78964835</v>
      </c>
      <c r="E5427">
        <v>4.8899999999999997</v>
      </c>
      <c r="F5427">
        <v>6.94</v>
      </c>
    </row>
    <row r="5428" spans="1:6" x14ac:dyDescent="0.3">
      <c r="A5428" t="s">
        <v>9123</v>
      </c>
      <c r="B5428" t="s">
        <v>8686</v>
      </c>
      <c r="C5428" t="s">
        <v>9124</v>
      </c>
      <c r="D5428">
        <v>78970022</v>
      </c>
      <c r="E5428">
        <v>2.02</v>
      </c>
      <c r="F5428">
        <v>6.89</v>
      </c>
    </row>
    <row r="5429" spans="1:6" x14ac:dyDescent="0.3">
      <c r="A5429" t="s">
        <v>9125</v>
      </c>
      <c r="B5429" t="s">
        <v>7836</v>
      </c>
      <c r="C5429" t="s">
        <v>9126</v>
      </c>
      <c r="D5429">
        <v>78976279</v>
      </c>
      <c r="E5429">
        <v>13</v>
      </c>
      <c r="F5429">
        <v>3</v>
      </c>
    </row>
    <row r="5430" spans="1:6" x14ac:dyDescent="0.3">
      <c r="A5430" t="s">
        <v>9127</v>
      </c>
      <c r="B5430" t="s">
        <v>4380</v>
      </c>
      <c r="C5430" t="s">
        <v>3015</v>
      </c>
      <c r="D5430">
        <v>78985906</v>
      </c>
      <c r="E5430">
        <v>15.32</v>
      </c>
      <c r="F5430">
        <v>6.47</v>
      </c>
    </row>
    <row r="5431" spans="1:6" x14ac:dyDescent="0.3">
      <c r="A5431" t="s">
        <v>9128</v>
      </c>
      <c r="B5431" t="s">
        <v>8479</v>
      </c>
      <c r="C5431" t="s">
        <v>4573</v>
      </c>
      <c r="D5431">
        <v>78990485</v>
      </c>
      <c r="E5431">
        <v>14.1</v>
      </c>
      <c r="F5431">
        <v>7.79</v>
      </c>
    </row>
    <row r="5432" spans="1:6" x14ac:dyDescent="0.3">
      <c r="A5432" t="s">
        <v>9129</v>
      </c>
      <c r="B5432" t="s">
        <v>7782</v>
      </c>
      <c r="C5432" t="s">
        <v>4949</v>
      </c>
      <c r="D5432">
        <v>79006927</v>
      </c>
      <c r="E5432">
        <v>27.66</v>
      </c>
      <c r="F5432">
        <v>8.5</v>
      </c>
    </row>
    <row r="5433" spans="1:6" x14ac:dyDescent="0.3">
      <c r="A5433" t="s">
        <v>9130</v>
      </c>
      <c r="B5433" t="s">
        <v>4377</v>
      </c>
      <c r="C5433" t="s">
        <v>7090</v>
      </c>
      <c r="D5433">
        <v>79008266</v>
      </c>
      <c r="E5433">
        <v>1.79</v>
      </c>
      <c r="F5433">
        <v>7.03</v>
      </c>
    </row>
    <row r="5434" spans="1:6" x14ac:dyDescent="0.3">
      <c r="A5434" t="s">
        <v>9131</v>
      </c>
      <c r="B5434" t="s">
        <v>609</v>
      </c>
      <c r="C5434" t="s">
        <v>4650</v>
      </c>
      <c r="D5434">
        <v>79023478</v>
      </c>
      <c r="E5434">
        <v>27</v>
      </c>
      <c r="F5434">
        <v>8.5</v>
      </c>
    </row>
    <row r="5435" spans="1:6" x14ac:dyDescent="0.3">
      <c r="A5435" t="s">
        <v>9132</v>
      </c>
      <c r="B5435" t="s">
        <v>4690</v>
      </c>
      <c r="C5435" t="s">
        <v>9133</v>
      </c>
      <c r="D5435">
        <v>79027348</v>
      </c>
      <c r="E5435">
        <v>7.33</v>
      </c>
      <c r="F5435">
        <v>6.21</v>
      </c>
    </row>
    <row r="5436" spans="1:6" x14ac:dyDescent="0.3">
      <c r="A5436" t="s">
        <v>9134</v>
      </c>
      <c r="B5436" t="s">
        <v>9135</v>
      </c>
      <c r="C5436" t="s">
        <v>5129</v>
      </c>
      <c r="D5436">
        <v>79046821</v>
      </c>
      <c r="E5436">
        <v>6.5</v>
      </c>
      <c r="F5436">
        <v>7.33</v>
      </c>
    </row>
    <row r="5437" spans="1:6" x14ac:dyDescent="0.3">
      <c r="A5437" t="s">
        <v>9136</v>
      </c>
      <c r="B5437" t="s">
        <v>8328</v>
      </c>
      <c r="C5437" t="s">
        <v>9137</v>
      </c>
      <c r="D5437">
        <v>79052011</v>
      </c>
      <c r="E5437">
        <v>5.95</v>
      </c>
      <c r="F5437">
        <v>7.27</v>
      </c>
    </row>
    <row r="5438" spans="1:6" x14ac:dyDescent="0.3">
      <c r="A5438" t="s">
        <v>9138</v>
      </c>
      <c r="B5438" t="s">
        <v>6795</v>
      </c>
      <c r="C5438" t="s">
        <v>9139</v>
      </c>
      <c r="D5438">
        <v>79054135</v>
      </c>
      <c r="E5438">
        <v>24.16</v>
      </c>
      <c r="F5438">
        <v>6.11</v>
      </c>
    </row>
    <row r="5439" spans="1:6" x14ac:dyDescent="0.3">
      <c r="A5439" t="s">
        <v>9140</v>
      </c>
      <c r="B5439" t="s">
        <v>6940</v>
      </c>
      <c r="C5439" t="s">
        <v>9141</v>
      </c>
      <c r="D5439">
        <v>79054252</v>
      </c>
      <c r="E5439">
        <v>12.17</v>
      </c>
      <c r="F5439">
        <v>7.33</v>
      </c>
    </row>
    <row r="5440" spans="1:6" x14ac:dyDescent="0.3">
      <c r="A5440" t="s">
        <v>9142</v>
      </c>
      <c r="B5440" t="s">
        <v>6361</v>
      </c>
      <c r="C5440" t="s">
        <v>1336</v>
      </c>
      <c r="D5440">
        <v>79075904</v>
      </c>
      <c r="E5440">
        <v>16.170000000000002</v>
      </c>
      <c r="F5440">
        <v>7.38</v>
      </c>
    </row>
    <row r="5441" spans="1:6" x14ac:dyDescent="0.3">
      <c r="A5441" t="s">
        <v>9143</v>
      </c>
      <c r="B5441" t="s">
        <v>9144</v>
      </c>
      <c r="C5441" t="s">
        <v>9145</v>
      </c>
      <c r="D5441">
        <v>79096242</v>
      </c>
      <c r="E5441">
        <v>1.88</v>
      </c>
      <c r="F5441">
        <v>6.83</v>
      </c>
    </row>
    <row r="5442" spans="1:6" x14ac:dyDescent="0.3">
      <c r="A5442" t="s">
        <v>9146</v>
      </c>
      <c r="B5442" t="s">
        <v>9147</v>
      </c>
      <c r="C5442" t="s">
        <v>7589</v>
      </c>
      <c r="D5442">
        <v>79104247</v>
      </c>
      <c r="E5442">
        <v>3.28</v>
      </c>
      <c r="F5442">
        <v>5.67</v>
      </c>
    </row>
    <row r="5443" spans="1:6" x14ac:dyDescent="0.3">
      <c r="A5443" t="s">
        <v>9148</v>
      </c>
      <c r="B5443" t="s">
        <v>1926</v>
      </c>
      <c r="C5443" t="s">
        <v>2463</v>
      </c>
      <c r="D5443">
        <v>79106348</v>
      </c>
      <c r="E5443">
        <v>6.36</v>
      </c>
      <c r="F5443">
        <v>7.07</v>
      </c>
    </row>
    <row r="5444" spans="1:6" x14ac:dyDescent="0.3">
      <c r="A5444" t="s">
        <v>9149</v>
      </c>
      <c r="B5444" t="s">
        <v>5393</v>
      </c>
      <c r="C5444" t="s">
        <v>9150</v>
      </c>
      <c r="D5444">
        <v>79142469</v>
      </c>
      <c r="E5444">
        <v>21.33</v>
      </c>
      <c r="F5444">
        <v>3.6</v>
      </c>
    </row>
    <row r="5445" spans="1:6" x14ac:dyDescent="0.3">
      <c r="A5445" t="s">
        <v>9151</v>
      </c>
      <c r="B5445" t="s">
        <v>7730</v>
      </c>
      <c r="C5445" s="1" t="s">
        <v>5929</v>
      </c>
      <c r="D5445">
        <v>79144750</v>
      </c>
      <c r="E5445">
        <v>15.91</v>
      </c>
      <c r="F5445">
        <v>7.6</v>
      </c>
    </row>
    <row r="5446" spans="1:6" x14ac:dyDescent="0.3">
      <c r="A5446" t="s">
        <v>9152</v>
      </c>
      <c r="B5446" t="s">
        <v>9153</v>
      </c>
      <c r="C5446" t="s">
        <v>3852</v>
      </c>
      <c r="D5446">
        <v>79146983</v>
      </c>
      <c r="E5446">
        <v>24</v>
      </c>
      <c r="F5446">
        <v>7.07</v>
      </c>
    </row>
    <row r="5447" spans="1:6" x14ac:dyDescent="0.3">
      <c r="A5447" t="s">
        <v>9154</v>
      </c>
      <c r="B5447" t="s">
        <v>7085</v>
      </c>
      <c r="C5447" t="s">
        <v>8991</v>
      </c>
      <c r="D5447">
        <v>79162678</v>
      </c>
      <c r="E5447">
        <v>7.67</v>
      </c>
      <c r="F5447">
        <v>5.71</v>
      </c>
    </row>
    <row r="5448" spans="1:6" x14ac:dyDescent="0.3">
      <c r="A5448" t="s">
        <v>9155</v>
      </c>
      <c r="B5448" t="s">
        <v>9156</v>
      </c>
      <c r="C5448" t="s">
        <v>9157</v>
      </c>
      <c r="D5448">
        <v>79169333</v>
      </c>
      <c r="E5448">
        <v>8.1199999999999992</v>
      </c>
      <c r="F5448">
        <v>7.54</v>
      </c>
    </row>
    <row r="5449" spans="1:6" x14ac:dyDescent="0.3">
      <c r="A5449" t="s">
        <v>9158</v>
      </c>
      <c r="B5449" t="s">
        <v>7686</v>
      </c>
      <c r="C5449" t="s">
        <v>9159</v>
      </c>
      <c r="D5449">
        <v>79169589</v>
      </c>
      <c r="E5449">
        <v>5.81</v>
      </c>
      <c r="F5449">
        <v>7.67</v>
      </c>
    </row>
    <row r="5450" spans="1:6" x14ac:dyDescent="0.3">
      <c r="A5450" t="s">
        <v>9160</v>
      </c>
      <c r="B5450" t="s">
        <v>9161</v>
      </c>
      <c r="C5450" t="s">
        <v>9162</v>
      </c>
      <c r="D5450">
        <v>79180912</v>
      </c>
      <c r="E5450">
        <v>15.29</v>
      </c>
      <c r="F5450">
        <v>7.4</v>
      </c>
    </row>
    <row r="5451" spans="1:6" x14ac:dyDescent="0.3">
      <c r="A5451" t="s">
        <v>9163</v>
      </c>
      <c r="B5451" t="s">
        <v>3805</v>
      </c>
      <c r="C5451" t="s">
        <v>9164</v>
      </c>
      <c r="D5451">
        <v>79182381</v>
      </c>
      <c r="E5451">
        <v>5.81</v>
      </c>
      <c r="F5451">
        <v>6.57</v>
      </c>
    </row>
    <row r="5452" spans="1:6" x14ac:dyDescent="0.3">
      <c r="A5452" t="s">
        <v>9165</v>
      </c>
      <c r="B5452" t="s">
        <v>9166</v>
      </c>
      <c r="C5452" t="s">
        <v>9167</v>
      </c>
      <c r="D5452">
        <v>79189296</v>
      </c>
      <c r="E5452">
        <v>3.83</v>
      </c>
      <c r="F5452">
        <v>5.56</v>
      </c>
    </row>
    <row r="5453" spans="1:6" x14ac:dyDescent="0.3">
      <c r="A5453" t="s">
        <v>9168</v>
      </c>
      <c r="B5453" t="s">
        <v>9169</v>
      </c>
      <c r="C5453" t="s">
        <v>8114</v>
      </c>
      <c r="D5453">
        <v>79208931</v>
      </c>
      <c r="E5453">
        <v>3.08</v>
      </c>
      <c r="F5453">
        <v>6.69</v>
      </c>
    </row>
    <row r="5454" spans="1:6" x14ac:dyDescent="0.3">
      <c r="A5454" t="s">
        <v>9170</v>
      </c>
      <c r="B5454" t="s">
        <v>9171</v>
      </c>
      <c r="C5454" t="s">
        <v>9172</v>
      </c>
      <c r="D5454">
        <v>79222740</v>
      </c>
      <c r="E5454">
        <v>10.11</v>
      </c>
      <c r="F5454">
        <v>5.63</v>
      </c>
    </row>
    <row r="5455" spans="1:6" x14ac:dyDescent="0.3">
      <c r="A5455" t="s">
        <v>9173</v>
      </c>
      <c r="B5455" t="s">
        <v>6398</v>
      </c>
      <c r="C5455" t="s">
        <v>9174</v>
      </c>
      <c r="D5455">
        <v>79224367</v>
      </c>
      <c r="E5455">
        <v>5.6</v>
      </c>
      <c r="F5455">
        <v>7.33</v>
      </c>
    </row>
    <row r="5456" spans="1:6" x14ac:dyDescent="0.3">
      <c r="A5456" t="s">
        <v>9175</v>
      </c>
      <c r="B5456" t="s">
        <v>9176</v>
      </c>
      <c r="C5456" t="s">
        <v>7004</v>
      </c>
      <c r="D5456">
        <v>79224515</v>
      </c>
      <c r="E5456">
        <v>4.22</v>
      </c>
      <c r="F5456">
        <v>6</v>
      </c>
    </row>
    <row r="5457" spans="1:6" x14ac:dyDescent="0.3">
      <c r="A5457" t="s">
        <v>9177</v>
      </c>
      <c r="B5457" t="s">
        <v>9178</v>
      </c>
      <c r="C5457" t="s">
        <v>9179</v>
      </c>
      <c r="D5457">
        <v>79238456</v>
      </c>
      <c r="E5457">
        <v>5.87</v>
      </c>
      <c r="F5457">
        <v>8.2899999999999991</v>
      </c>
    </row>
    <row r="5458" spans="1:6" x14ac:dyDescent="0.3">
      <c r="A5458" t="s">
        <v>9180</v>
      </c>
      <c r="B5458" t="s">
        <v>9181</v>
      </c>
      <c r="C5458" t="s">
        <v>9182</v>
      </c>
      <c r="D5458">
        <v>79241744</v>
      </c>
      <c r="E5458">
        <v>8.43</v>
      </c>
      <c r="F5458">
        <v>8</v>
      </c>
    </row>
    <row r="5459" spans="1:6" x14ac:dyDescent="0.3">
      <c r="A5459" t="s">
        <v>9183</v>
      </c>
      <c r="B5459" t="s">
        <v>9184</v>
      </c>
      <c r="C5459" t="s">
        <v>2282</v>
      </c>
      <c r="D5459">
        <v>79242390</v>
      </c>
      <c r="E5459">
        <v>27.08</v>
      </c>
      <c r="F5459">
        <v>9.08</v>
      </c>
    </row>
    <row r="5460" spans="1:6" x14ac:dyDescent="0.3">
      <c r="A5460" t="s">
        <v>9185</v>
      </c>
      <c r="B5460" t="s">
        <v>6079</v>
      </c>
      <c r="C5460" t="s">
        <v>813</v>
      </c>
      <c r="D5460">
        <v>79244693</v>
      </c>
      <c r="E5460">
        <v>30</v>
      </c>
      <c r="F5460">
        <v>4</v>
      </c>
    </row>
    <row r="5461" spans="1:6" x14ac:dyDescent="0.3">
      <c r="A5461" t="s">
        <v>9186</v>
      </c>
      <c r="B5461" t="s">
        <v>2843</v>
      </c>
      <c r="C5461" t="s">
        <v>9187</v>
      </c>
      <c r="D5461">
        <v>79252567</v>
      </c>
      <c r="E5461">
        <v>3.09</v>
      </c>
      <c r="F5461">
        <v>7.19</v>
      </c>
    </row>
    <row r="5462" spans="1:6" x14ac:dyDescent="0.3">
      <c r="A5462" t="s">
        <v>9188</v>
      </c>
      <c r="B5462" t="s">
        <v>7907</v>
      </c>
      <c r="C5462" t="s">
        <v>9189</v>
      </c>
      <c r="D5462">
        <v>79270749</v>
      </c>
      <c r="E5462">
        <v>14.82</v>
      </c>
      <c r="F5462">
        <v>8.81</v>
      </c>
    </row>
    <row r="5463" spans="1:6" x14ac:dyDescent="0.3">
      <c r="A5463" t="s">
        <v>9190</v>
      </c>
      <c r="B5463" t="s">
        <v>4208</v>
      </c>
      <c r="C5463" t="s">
        <v>9</v>
      </c>
      <c r="D5463">
        <v>79286413</v>
      </c>
      <c r="E5463">
        <v>2.96</v>
      </c>
      <c r="F5463">
        <v>7.15</v>
      </c>
    </row>
    <row r="5464" spans="1:6" x14ac:dyDescent="0.3">
      <c r="A5464" t="s">
        <v>9191</v>
      </c>
      <c r="B5464" t="s">
        <v>9192</v>
      </c>
      <c r="C5464" t="s">
        <v>9193</v>
      </c>
      <c r="D5464">
        <v>79303282</v>
      </c>
      <c r="E5464">
        <v>7.27</v>
      </c>
      <c r="F5464">
        <v>8.33</v>
      </c>
    </row>
    <row r="5465" spans="1:6" x14ac:dyDescent="0.3">
      <c r="A5465" t="s">
        <v>9194</v>
      </c>
      <c r="B5465" t="s">
        <v>5449</v>
      </c>
      <c r="C5465" t="s">
        <v>9195</v>
      </c>
      <c r="D5465">
        <v>79304295</v>
      </c>
      <c r="E5465">
        <v>2.16</v>
      </c>
      <c r="F5465">
        <v>7.29</v>
      </c>
    </row>
    <row r="5466" spans="1:6" x14ac:dyDescent="0.3">
      <c r="A5466" t="s">
        <v>4334</v>
      </c>
      <c r="B5466" t="s">
        <v>7456</v>
      </c>
      <c r="C5466" t="s">
        <v>1545</v>
      </c>
      <c r="D5466">
        <v>79322759</v>
      </c>
      <c r="E5466">
        <v>8.1999999999999993</v>
      </c>
      <c r="F5466">
        <v>6</v>
      </c>
    </row>
    <row r="5467" spans="1:6" x14ac:dyDescent="0.3">
      <c r="A5467" t="s">
        <v>9196</v>
      </c>
      <c r="B5467" t="s">
        <v>8256</v>
      </c>
      <c r="C5467" t="s">
        <v>9197</v>
      </c>
      <c r="D5467">
        <v>79329883</v>
      </c>
      <c r="E5467">
        <v>14.87</v>
      </c>
      <c r="F5467">
        <v>7.33</v>
      </c>
    </row>
    <row r="5468" spans="1:6" x14ac:dyDescent="0.3">
      <c r="A5468" t="s">
        <v>9198</v>
      </c>
      <c r="B5468" t="s">
        <v>3472</v>
      </c>
      <c r="C5468" t="s">
        <v>6281</v>
      </c>
      <c r="D5468">
        <v>79338052</v>
      </c>
      <c r="E5468">
        <v>2.76</v>
      </c>
      <c r="F5468">
        <v>6.61</v>
      </c>
    </row>
    <row r="5469" spans="1:6" x14ac:dyDescent="0.3">
      <c r="A5469" t="s">
        <v>9199</v>
      </c>
      <c r="B5469" t="s">
        <v>9200</v>
      </c>
      <c r="C5469" t="s">
        <v>6054</v>
      </c>
      <c r="D5469">
        <v>79349850</v>
      </c>
      <c r="E5469">
        <v>11.09</v>
      </c>
      <c r="F5469">
        <v>7.55</v>
      </c>
    </row>
    <row r="5470" spans="1:6" x14ac:dyDescent="0.3">
      <c r="A5470" t="s">
        <v>9201</v>
      </c>
      <c r="B5470" t="s">
        <v>7933</v>
      </c>
      <c r="C5470" t="s">
        <v>9202</v>
      </c>
      <c r="D5470">
        <v>79353871</v>
      </c>
      <c r="E5470">
        <v>11.13</v>
      </c>
      <c r="F5470">
        <v>8.11</v>
      </c>
    </row>
    <row r="5471" spans="1:6" x14ac:dyDescent="0.3">
      <c r="A5471" t="s">
        <v>9203</v>
      </c>
      <c r="B5471" t="s">
        <v>5790</v>
      </c>
      <c r="C5471" t="s">
        <v>5791</v>
      </c>
      <c r="D5471">
        <v>79357896</v>
      </c>
      <c r="E5471">
        <v>15.4</v>
      </c>
      <c r="F5471">
        <v>8.1300000000000008</v>
      </c>
    </row>
    <row r="5472" spans="1:6" x14ac:dyDescent="0.3">
      <c r="A5472" t="s">
        <v>6186</v>
      </c>
      <c r="B5472" t="s">
        <v>9204</v>
      </c>
      <c r="C5472" t="s">
        <v>2020</v>
      </c>
      <c r="D5472">
        <v>79360104</v>
      </c>
      <c r="E5472">
        <v>13.91</v>
      </c>
      <c r="F5472">
        <v>8.89</v>
      </c>
    </row>
    <row r="5473" spans="1:6" x14ac:dyDescent="0.3">
      <c r="A5473" t="s">
        <v>9205</v>
      </c>
      <c r="B5473" t="s">
        <v>8326</v>
      </c>
      <c r="C5473" t="s">
        <v>7887</v>
      </c>
      <c r="D5473">
        <v>79384628</v>
      </c>
      <c r="E5473">
        <v>10.72</v>
      </c>
      <c r="F5473">
        <v>7.47</v>
      </c>
    </row>
    <row r="5474" spans="1:6" x14ac:dyDescent="0.3">
      <c r="A5474" t="s">
        <v>9206</v>
      </c>
      <c r="B5474" t="s">
        <v>9207</v>
      </c>
      <c r="C5474" t="s">
        <v>6539</v>
      </c>
      <c r="D5474">
        <v>79428382</v>
      </c>
      <c r="E5474">
        <v>19.55</v>
      </c>
      <c r="F5474">
        <v>7.99</v>
      </c>
    </row>
    <row r="5475" spans="1:6" x14ac:dyDescent="0.3">
      <c r="A5475" t="s">
        <v>9208</v>
      </c>
      <c r="B5475" t="s">
        <v>9209</v>
      </c>
      <c r="C5475" t="s">
        <v>8503</v>
      </c>
      <c r="D5475">
        <v>79429515</v>
      </c>
      <c r="E5475">
        <v>3.29</v>
      </c>
      <c r="F5475">
        <v>6.63</v>
      </c>
    </row>
    <row r="5476" spans="1:6" x14ac:dyDescent="0.3">
      <c r="A5476" t="s">
        <v>9210</v>
      </c>
      <c r="B5476" t="s">
        <v>8068</v>
      </c>
      <c r="C5476" t="s">
        <v>8620</v>
      </c>
      <c r="D5476">
        <v>79473624</v>
      </c>
      <c r="E5476">
        <v>23.67</v>
      </c>
      <c r="F5476">
        <v>7.33</v>
      </c>
    </row>
    <row r="5477" spans="1:6" x14ac:dyDescent="0.3">
      <c r="A5477" t="s">
        <v>9211</v>
      </c>
      <c r="B5477" t="s">
        <v>8394</v>
      </c>
      <c r="C5477" t="s">
        <v>9212</v>
      </c>
      <c r="D5477">
        <v>79484035</v>
      </c>
      <c r="E5477">
        <v>27.86</v>
      </c>
      <c r="F5477">
        <v>8.17</v>
      </c>
    </row>
    <row r="5478" spans="1:6" x14ac:dyDescent="0.3">
      <c r="A5478" t="s">
        <v>9213</v>
      </c>
      <c r="B5478" t="s">
        <v>8810</v>
      </c>
      <c r="C5478" t="s">
        <v>9193</v>
      </c>
      <c r="D5478">
        <v>79484722</v>
      </c>
      <c r="E5478">
        <v>4.99</v>
      </c>
      <c r="F5478">
        <v>8.68</v>
      </c>
    </row>
    <row r="5479" spans="1:6" x14ac:dyDescent="0.3">
      <c r="A5479" t="s">
        <v>9214</v>
      </c>
      <c r="B5479" t="s">
        <v>3607</v>
      </c>
      <c r="C5479" t="s">
        <v>5390</v>
      </c>
      <c r="D5479">
        <v>79486213</v>
      </c>
      <c r="E5479">
        <v>4.6900000000000004</v>
      </c>
      <c r="F5479">
        <v>7.21</v>
      </c>
    </row>
    <row r="5480" spans="1:6" x14ac:dyDescent="0.3">
      <c r="A5480" t="s">
        <v>9215</v>
      </c>
      <c r="B5480" t="s">
        <v>5719</v>
      </c>
      <c r="C5480" t="s">
        <v>1098</v>
      </c>
      <c r="D5480">
        <v>79489649</v>
      </c>
      <c r="E5480">
        <v>4.21</v>
      </c>
      <c r="F5480">
        <v>6.11</v>
      </c>
    </row>
    <row r="5481" spans="1:6" x14ac:dyDescent="0.3">
      <c r="A5481" t="s">
        <v>9216</v>
      </c>
      <c r="B5481" t="s">
        <v>9217</v>
      </c>
      <c r="C5481" t="s">
        <v>1650</v>
      </c>
      <c r="D5481">
        <v>79514074</v>
      </c>
      <c r="E5481">
        <v>16</v>
      </c>
      <c r="F5481">
        <v>7.5</v>
      </c>
    </row>
    <row r="5482" spans="1:6" x14ac:dyDescent="0.3">
      <c r="A5482" t="s">
        <v>9218</v>
      </c>
      <c r="B5482" t="s">
        <v>8215</v>
      </c>
      <c r="C5482" t="s">
        <v>9219</v>
      </c>
      <c r="D5482">
        <v>79537831</v>
      </c>
      <c r="E5482">
        <v>2.8</v>
      </c>
      <c r="F5482">
        <v>7.44</v>
      </c>
    </row>
    <row r="5483" spans="1:6" x14ac:dyDescent="0.3">
      <c r="A5483" t="s">
        <v>9220</v>
      </c>
      <c r="B5483" t="s">
        <v>7356</v>
      </c>
      <c r="C5483" t="s">
        <v>3220</v>
      </c>
      <c r="D5483">
        <v>79546293</v>
      </c>
      <c r="E5483">
        <v>21.5</v>
      </c>
      <c r="F5483">
        <v>9</v>
      </c>
    </row>
    <row r="5484" spans="1:6" x14ac:dyDescent="0.3">
      <c r="A5484" t="s">
        <v>9221</v>
      </c>
      <c r="B5484" t="s">
        <v>9222</v>
      </c>
      <c r="C5484" t="s">
        <v>5467</v>
      </c>
      <c r="D5484">
        <v>79548377</v>
      </c>
      <c r="E5484">
        <v>18.27</v>
      </c>
      <c r="F5484">
        <v>7</v>
      </c>
    </row>
    <row r="5485" spans="1:6" x14ac:dyDescent="0.3">
      <c r="A5485" t="s">
        <v>9223</v>
      </c>
      <c r="B5485" t="s">
        <v>7189</v>
      </c>
      <c r="C5485" t="s">
        <v>5849</v>
      </c>
      <c r="D5485">
        <v>79564946</v>
      </c>
      <c r="E5485">
        <v>3.17</v>
      </c>
      <c r="F5485">
        <v>6.44</v>
      </c>
    </row>
    <row r="5486" spans="1:6" x14ac:dyDescent="0.3">
      <c r="A5486" t="s">
        <v>9224</v>
      </c>
      <c r="B5486" t="s">
        <v>8133</v>
      </c>
      <c r="C5486" t="s">
        <v>6020</v>
      </c>
      <c r="D5486">
        <v>79567949</v>
      </c>
      <c r="E5486">
        <v>6.38</v>
      </c>
      <c r="F5486">
        <v>6</v>
      </c>
    </row>
    <row r="5487" spans="1:6" x14ac:dyDescent="0.3">
      <c r="A5487" t="s">
        <v>9225</v>
      </c>
      <c r="B5487" t="s">
        <v>7142</v>
      </c>
      <c r="C5487" t="s">
        <v>9226</v>
      </c>
      <c r="D5487">
        <v>79575587</v>
      </c>
      <c r="E5487">
        <v>4.8499999999999996</v>
      </c>
      <c r="F5487">
        <v>8.11</v>
      </c>
    </row>
    <row r="5488" spans="1:6" x14ac:dyDescent="0.3">
      <c r="A5488" t="s">
        <v>9227</v>
      </c>
      <c r="B5488" t="s">
        <v>9228</v>
      </c>
      <c r="C5488" t="s">
        <v>7446</v>
      </c>
      <c r="D5488">
        <v>79584803</v>
      </c>
      <c r="E5488">
        <v>4.1100000000000003</v>
      </c>
      <c r="F5488">
        <v>5.36</v>
      </c>
    </row>
    <row r="5489" spans="1:6" x14ac:dyDescent="0.3">
      <c r="A5489" t="s">
        <v>9229</v>
      </c>
      <c r="B5489" t="s">
        <v>8722</v>
      </c>
      <c r="C5489" t="s">
        <v>8589</v>
      </c>
      <c r="D5489">
        <v>79586440</v>
      </c>
      <c r="E5489">
        <v>4.24</v>
      </c>
      <c r="F5489">
        <v>5.62</v>
      </c>
    </row>
    <row r="5490" spans="1:6" x14ac:dyDescent="0.3">
      <c r="A5490" t="s">
        <v>9230</v>
      </c>
      <c r="B5490" t="s">
        <v>9111</v>
      </c>
      <c r="C5490" t="s">
        <v>9231</v>
      </c>
      <c r="D5490">
        <v>79601086</v>
      </c>
      <c r="E5490">
        <v>5.98</v>
      </c>
      <c r="F5490">
        <v>6.68</v>
      </c>
    </row>
    <row r="5491" spans="1:6" x14ac:dyDescent="0.3">
      <c r="A5491" t="s">
        <v>9232</v>
      </c>
      <c r="B5491" t="s">
        <v>9233</v>
      </c>
      <c r="C5491" t="s">
        <v>5219</v>
      </c>
      <c r="D5491">
        <v>79619086</v>
      </c>
      <c r="E5491">
        <v>31.06</v>
      </c>
      <c r="F5491">
        <v>8.8000000000000007</v>
      </c>
    </row>
    <row r="5492" spans="1:6" x14ac:dyDescent="0.3">
      <c r="A5492" t="s">
        <v>1777</v>
      </c>
      <c r="B5492" t="s">
        <v>9234</v>
      </c>
      <c r="C5492" t="s">
        <v>9235</v>
      </c>
      <c r="D5492">
        <v>79637805</v>
      </c>
      <c r="E5492">
        <v>2.1</v>
      </c>
      <c r="F5492">
        <v>7.17</v>
      </c>
    </row>
    <row r="5493" spans="1:6" x14ac:dyDescent="0.3">
      <c r="A5493" t="s">
        <v>9236</v>
      </c>
      <c r="B5493" t="s">
        <v>6906</v>
      </c>
      <c r="C5493" t="s">
        <v>6</v>
      </c>
      <c r="D5493">
        <v>79646024</v>
      </c>
      <c r="E5493">
        <v>1.94</v>
      </c>
      <c r="F5493">
        <v>7.27</v>
      </c>
    </row>
    <row r="5494" spans="1:6" x14ac:dyDescent="0.3">
      <c r="A5494" t="s">
        <v>9237</v>
      </c>
      <c r="B5494" t="s">
        <v>7747</v>
      </c>
      <c r="C5494" t="s">
        <v>1205</v>
      </c>
      <c r="D5494">
        <v>79650989</v>
      </c>
      <c r="E5494">
        <v>9.6199999999999992</v>
      </c>
      <c r="F5494">
        <v>7.61</v>
      </c>
    </row>
    <row r="5495" spans="1:6" x14ac:dyDescent="0.3">
      <c r="A5495" t="s">
        <v>9238</v>
      </c>
      <c r="B5495" t="s">
        <v>3681</v>
      </c>
      <c r="C5495" t="s">
        <v>9239</v>
      </c>
      <c r="D5495">
        <v>79654838</v>
      </c>
      <c r="E5495">
        <v>10.7</v>
      </c>
      <c r="F5495">
        <v>6.63</v>
      </c>
    </row>
    <row r="5496" spans="1:6" x14ac:dyDescent="0.3">
      <c r="A5496" t="s">
        <v>9240</v>
      </c>
      <c r="B5496" t="s">
        <v>9241</v>
      </c>
      <c r="C5496" t="s">
        <v>5891</v>
      </c>
      <c r="D5496">
        <v>79655559</v>
      </c>
      <c r="E5496">
        <v>9.8800000000000008</v>
      </c>
      <c r="F5496">
        <v>8.06</v>
      </c>
    </row>
    <row r="5497" spans="1:6" x14ac:dyDescent="0.3">
      <c r="A5497" t="s">
        <v>9242</v>
      </c>
      <c r="B5497" t="s">
        <v>6623</v>
      </c>
      <c r="C5497" t="s">
        <v>2142</v>
      </c>
      <c r="D5497">
        <v>79665466</v>
      </c>
      <c r="E5497">
        <v>25.17</v>
      </c>
      <c r="F5497">
        <v>5.67</v>
      </c>
    </row>
    <row r="5498" spans="1:6" x14ac:dyDescent="0.3">
      <c r="A5498" t="s">
        <v>9243</v>
      </c>
      <c r="B5498" t="s">
        <v>4100</v>
      </c>
      <c r="C5498" t="s">
        <v>9244</v>
      </c>
      <c r="D5498">
        <v>79672578</v>
      </c>
      <c r="E5498">
        <v>3.86</v>
      </c>
      <c r="F5498">
        <v>6.4</v>
      </c>
    </row>
    <row r="5499" spans="1:6" x14ac:dyDescent="0.3">
      <c r="A5499" t="s">
        <v>9245</v>
      </c>
      <c r="B5499" t="s">
        <v>6848</v>
      </c>
      <c r="C5499" t="s">
        <v>9246</v>
      </c>
      <c r="D5499">
        <v>79687657</v>
      </c>
      <c r="E5499">
        <v>2.12</v>
      </c>
      <c r="F5499">
        <v>7.63</v>
      </c>
    </row>
    <row r="5500" spans="1:6" x14ac:dyDescent="0.3">
      <c r="A5500" t="s">
        <v>9186</v>
      </c>
      <c r="B5500" t="s">
        <v>8601</v>
      </c>
      <c r="C5500" t="s">
        <v>9187</v>
      </c>
      <c r="D5500">
        <v>79691289</v>
      </c>
      <c r="E5500">
        <v>2.17</v>
      </c>
      <c r="F5500">
        <v>8.18</v>
      </c>
    </row>
    <row r="5501" spans="1:6" x14ac:dyDescent="0.3">
      <c r="A5501" t="s">
        <v>9247</v>
      </c>
      <c r="B5501" t="s">
        <v>7044</v>
      </c>
      <c r="C5501" t="s">
        <v>1452</v>
      </c>
      <c r="D5501">
        <v>79700901</v>
      </c>
      <c r="E5501">
        <v>3.76</v>
      </c>
      <c r="F5501">
        <v>7.41</v>
      </c>
    </row>
    <row r="5502" spans="1:6" x14ac:dyDescent="0.3">
      <c r="A5502" t="s">
        <v>9248</v>
      </c>
      <c r="B5502" t="s">
        <v>9249</v>
      </c>
      <c r="C5502" t="s">
        <v>8657</v>
      </c>
      <c r="D5502">
        <v>79702587</v>
      </c>
      <c r="E5502">
        <v>11.33</v>
      </c>
      <c r="F5502">
        <v>5.25</v>
      </c>
    </row>
    <row r="5503" spans="1:6" x14ac:dyDescent="0.3">
      <c r="A5503" t="s">
        <v>9250</v>
      </c>
      <c r="B5503" t="s">
        <v>8247</v>
      </c>
      <c r="C5503" t="s">
        <v>9251</v>
      </c>
      <c r="D5503">
        <v>79708492</v>
      </c>
      <c r="E5503">
        <v>4.22</v>
      </c>
      <c r="F5503">
        <v>5.71</v>
      </c>
    </row>
    <row r="5504" spans="1:6" x14ac:dyDescent="0.3">
      <c r="A5504" t="s">
        <v>9252</v>
      </c>
      <c r="B5504" t="s">
        <v>7356</v>
      </c>
      <c r="C5504" t="s">
        <v>9253</v>
      </c>
      <c r="D5504">
        <v>79747970</v>
      </c>
      <c r="E5504">
        <v>13.98</v>
      </c>
      <c r="F5504">
        <v>8</v>
      </c>
    </row>
    <row r="5505" spans="1:6" x14ac:dyDescent="0.3">
      <c r="A5505" t="s">
        <v>9254</v>
      </c>
      <c r="B5505" t="s">
        <v>8251</v>
      </c>
      <c r="C5505" t="s">
        <v>3844</v>
      </c>
      <c r="D5505">
        <v>79756672</v>
      </c>
      <c r="E5505">
        <v>1.08</v>
      </c>
      <c r="F5505">
        <v>6.89</v>
      </c>
    </row>
    <row r="5506" spans="1:6" x14ac:dyDescent="0.3">
      <c r="A5506" t="s">
        <v>9255</v>
      </c>
      <c r="B5506" t="s">
        <v>4184</v>
      </c>
      <c r="C5506" t="s">
        <v>7589</v>
      </c>
      <c r="D5506">
        <v>79763306</v>
      </c>
      <c r="E5506">
        <v>2.11</v>
      </c>
      <c r="F5506">
        <v>6.47</v>
      </c>
    </row>
    <row r="5507" spans="1:6" x14ac:dyDescent="0.3">
      <c r="A5507" t="s">
        <v>6965</v>
      </c>
      <c r="B5507" t="s">
        <v>6998</v>
      </c>
      <c r="C5507" t="s">
        <v>9256</v>
      </c>
      <c r="D5507">
        <v>79770564</v>
      </c>
      <c r="E5507">
        <v>1.05</v>
      </c>
      <c r="F5507">
        <v>6.22</v>
      </c>
    </row>
    <row r="5508" spans="1:6" x14ac:dyDescent="0.3">
      <c r="A5508" t="s">
        <v>9257</v>
      </c>
      <c r="B5508" t="s">
        <v>2614</v>
      </c>
      <c r="C5508" t="s">
        <v>1034</v>
      </c>
      <c r="D5508">
        <v>79771070</v>
      </c>
      <c r="E5508">
        <v>33.5</v>
      </c>
      <c r="F5508">
        <v>2.5</v>
      </c>
    </row>
    <row r="5509" spans="1:6" x14ac:dyDescent="0.3">
      <c r="A5509" t="s">
        <v>9258</v>
      </c>
      <c r="B5509" t="s">
        <v>9259</v>
      </c>
      <c r="C5509" t="s">
        <v>7453</v>
      </c>
      <c r="D5509">
        <v>79790590</v>
      </c>
      <c r="E5509">
        <v>12</v>
      </c>
      <c r="F5509">
        <v>5.67</v>
      </c>
    </row>
    <row r="5510" spans="1:6" x14ac:dyDescent="0.3">
      <c r="A5510" t="s">
        <v>9260</v>
      </c>
      <c r="B5510" t="s">
        <v>8574</v>
      </c>
      <c r="C5510" t="s">
        <v>8359</v>
      </c>
      <c r="D5510">
        <v>79807331</v>
      </c>
      <c r="E5510">
        <v>21.26</v>
      </c>
      <c r="F5510">
        <v>6</v>
      </c>
    </row>
    <row r="5511" spans="1:6" x14ac:dyDescent="0.3">
      <c r="A5511" t="s">
        <v>9261</v>
      </c>
      <c r="B5511" t="s">
        <v>8169</v>
      </c>
      <c r="C5511" t="s">
        <v>9262</v>
      </c>
      <c r="D5511">
        <v>79829184</v>
      </c>
      <c r="E5511">
        <v>8.35</v>
      </c>
      <c r="F5511">
        <v>4.63</v>
      </c>
    </row>
    <row r="5512" spans="1:6" x14ac:dyDescent="0.3">
      <c r="A5512" t="s">
        <v>9263</v>
      </c>
      <c r="B5512" t="s">
        <v>9264</v>
      </c>
      <c r="C5512" t="s">
        <v>8445</v>
      </c>
      <c r="D5512">
        <v>79838280</v>
      </c>
      <c r="E5512">
        <v>9.75</v>
      </c>
      <c r="F5512">
        <v>6.75</v>
      </c>
    </row>
    <row r="5513" spans="1:6" x14ac:dyDescent="0.3">
      <c r="A5513" t="s">
        <v>9265</v>
      </c>
      <c r="B5513" t="s">
        <v>2519</v>
      </c>
      <c r="C5513" t="s">
        <v>8934</v>
      </c>
      <c r="D5513">
        <v>79840720</v>
      </c>
      <c r="E5513">
        <v>2.0699999999999998</v>
      </c>
      <c r="F5513">
        <v>8.0500000000000007</v>
      </c>
    </row>
    <row r="5514" spans="1:6" x14ac:dyDescent="0.3">
      <c r="A5514" t="s">
        <v>9266</v>
      </c>
      <c r="B5514" t="s">
        <v>6615</v>
      </c>
      <c r="C5514" t="s">
        <v>1205</v>
      </c>
      <c r="D5514">
        <v>79846755</v>
      </c>
      <c r="E5514">
        <v>3.5</v>
      </c>
      <c r="F5514">
        <v>6</v>
      </c>
    </row>
    <row r="5515" spans="1:6" x14ac:dyDescent="0.3">
      <c r="A5515" t="s">
        <v>9267</v>
      </c>
      <c r="B5515" t="s">
        <v>9268</v>
      </c>
      <c r="C5515" t="s">
        <v>6770</v>
      </c>
      <c r="D5515">
        <v>79848235</v>
      </c>
      <c r="E5515">
        <v>2.29</v>
      </c>
      <c r="F5515">
        <v>5.38</v>
      </c>
    </row>
    <row r="5516" spans="1:6" x14ac:dyDescent="0.3">
      <c r="A5516" t="s">
        <v>9269</v>
      </c>
      <c r="B5516" t="s">
        <v>7523</v>
      </c>
      <c r="C5516" t="s">
        <v>2254</v>
      </c>
      <c r="D5516">
        <v>79862130</v>
      </c>
      <c r="E5516">
        <v>12.16</v>
      </c>
      <c r="F5516">
        <v>6.68</v>
      </c>
    </row>
    <row r="5517" spans="1:6" x14ac:dyDescent="0.3">
      <c r="A5517" t="s">
        <v>9270</v>
      </c>
      <c r="B5517" t="s">
        <v>9161</v>
      </c>
      <c r="C5517" t="s">
        <v>5780</v>
      </c>
      <c r="D5517">
        <v>79905280</v>
      </c>
      <c r="E5517">
        <v>16.809999999999999</v>
      </c>
      <c r="F5517">
        <v>7.15</v>
      </c>
    </row>
    <row r="5518" spans="1:6" x14ac:dyDescent="0.3">
      <c r="A5518" t="s">
        <v>9271</v>
      </c>
      <c r="B5518" t="s">
        <v>3238</v>
      </c>
      <c r="C5518" t="s">
        <v>4566</v>
      </c>
      <c r="D5518">
        <v>79910473</v>
      </c>
      <c r="E5518">
        <v>8.9700000000000006</v>
      </c>
      <c r="F5518">
        <v>7.7</v>
      </c>
    </row>
    <row r="5519" spans="1:6" x14ac:dyDescent="0.3">
      <c r="A5519" t="s">
        <v>9272</v>
      </c>
      <c r="B5519" t="s">
        <v>3120</v>
      </c>
      <c r="C5519" t="s">
        <v>9273</v>
      </c>
      <c r="D5519">
        <v>79914375</v>
      </c>
      <c r="E5519">
        <v>8.9</v>
      </c>
      <c r="F5519">
        <v>2.6</v>
      </c>
    </row>
    <row r="5520" spans="1:6" x14ac:dyDescent="0.3">
      <c r="A5520" t="s">
        <v>9274</v>
      </c>
      <c r="B5520" t="s">
        <v>7356</v>
      </c>
      <c r="C5520" t="s">
        <v>3891</v>
      </c>
      <c r="D5520">
        <v>79918576</v>
      </c>
      <c r="E5520">
        <v>32.04</v>
      </c>
      <c r="F5520">
        <v>7.38</v>
      </c>
    </row>
    <row r="5521" spans="1:6" x14ac:dyDescent="0.3">
      <c r="A5521" t="s">
        <v>9275</v>
      </c>
      <c r="B5521" t="s">
        <v>277</v>
      </c>
      <c r="C5521" t="s">
        <v>9276</v>
      </c>
      <c r="D5521">
        <v>79922944</v>
      </c>
      <c r="E5521">
        <v>27.75</v>
      </c>
      <c r="F5521">
        <v>7.8</v>
      </c>
    </row>
    <row r="5522" spans="1:6" x14ac:dyDescent="0.3">
      <c r="A5522" t="s">
        <v>9277</v>
      </c>
      <c r="B5522" t="s">
        <v>6421</v>
      </c>
      <c r="C5522" t="s">
        <v>9278</v>
      </c>
      <c r="D5522">
        <v>79933666</v>
      </c>
      <c r="E5522">
        <v>2.69</v>
      </c>
      <c r="F5522">
        <v>7.11</v>
      </c>
    </row>
    <row r="5523" spans="1:6" x14ac:dyDescent="0.3">
      <c r="A5523" t="s">
        <v>9279</v>
      </c>
      <c r="B5523" t="s">
        <v>9280</v>
      </c>
      <c r="C5523" t="s">
        <v>9279</v>
      </c>
      <c r="D5523">
        <v>79938449</v>
      </c>
      <c r="E5523">
        <v>7.63</v>
      </c>
      <c r="F5523">
        <v>7.57</v>
      </c>
    </row>
    <row r="5524" spans="1:6" x14ac:dyDescent="0.3">
      <c r="A5524" t="s">
        <v>9281</v>
      </c>
      <c r="B5524" t="s">
        <v>8743</v>
      </c>
      <c r="C5524" t="s">
        <v>9281</v>
      </c>
      <c r="D5524">
        <v>79947145</v>
      </c>
      <c r="E5524">
        <v>15.13</v>
      </c>
      <c r="F5524">
        <v>6.58</v>
      </c>
    </row>
    <row r="5525" spans="1:6" x14ac:dyDescent="0.3">
      <c r="A5525" t="s">
        <v>9282</v>
      </c>
      <c r="B5525" t="s">
        <v>9283</v>
      </c>
      <c r="C5525" t="s">
        <v>8259</v>
      </c>
      <c r="D5525">
        <v>79957435</v>
      </c>
      <c r="E5525">
        <v>11.27</v>
      </c>
      <c r="F5525">
        <v>7.36</v>
      </c>
    </row>
    <row r="5526" spans="1:6" x14ac:dyDescent="0.3">
      <c r="A5526" t="s">
        <v>9284</v>
      </c>
      <c r="B5526" t="s">
        <v>6366</v>
      </c>
      <c r="C5526" t="s">
        <v>9285</v>
      </c>
      <c r="D5526">
        <v>79958107</v>
      </c>
      <c r="E5526">
        <v>3.24</v>
      </c>
      <c r="F5526">
        <v>7.05</v>
      </c>
    </row>
    <row r="5527" spans="1:6" x14ac:dyDescent="0.3">
      <c r="A5527" t="s">
        <v>9286</v>
      </c>
      <c r="B5527" t="s">
        <v>7604</v>
      </c>
      <c r="C5527" t="s">
        <v>9287</v>
      </c>
      <c r="D5527">
        <v>79970980</v>
      </c>
      <c r="E5527">
        <v>11.17</v>
      </c>
      <c r="F5527">
        <v>8.19</v>
      </c>
    </row>
    <row r="5528" spans="1:6" x14ac:dyDescent="0.3">
      <c r="A5528" t="s">
        <v>9288</v>
      </c>
      <c r="B5528" t="s">
        <v>8808</v>
      </c>
      <c r="C5528" t="s">
        <v>1055</v>
      </c>
      <c r="D5528">
        <v>79975094</v>
      </c>
      <c r="E5528">
        <v>3.7</v>
      </c>
      <c r="F5528">
        <v>6.82</v>
      </c>
    </row>
    <row r="5529" spans="1:6" x14ac:dyDescent="0.3">
      <c r="A5529" t="s">
        <v>9289</v>
      </c>
      <c r="B5529" t="s">
        <v>7261</v>
      </c>
      <c r="C5529" t="s">
        <v>5596</v>
      </c>
      <c r="D5529">
        <v>79997992</v>
      </c>
      <c r="E5529">
        <v>32.36</v>
      </c>
      <c r="F5529">
        <v>6.64</v>
      </c>
    </row>
    <row r="5530" spans="1:6" x14ac:dyDescent="0.3">
      <c r="A5530" t="s">
        <v>9290</v>
      </c>
      <c r="B5530" t="s">
        <v>9291</v>
      </c>
      <c r="C5530" t="s">
        <v>4504</v>
      </c>
      <c r="D5530">
        <v>79999983</v>
      </c>
      <c r="E5530">
        <v>16.829999999999998</v>
      </c>
      <c r="F5530">
        <v>5.6</v>
      </c>
    </row>
    <row r="5531" spans="1:6" x14ac:dyDescent="0.3">
      <c r="A5531" t="s">
        <v>9292</v>
      </c>
      <c r="B5531" t="s">
        <v>5554</v>
      </c>
      <c r="C5531" t="s">
        <v>9293</v>
      </c>
      <c r="D5531">
        <v>80013149</v>
      </c>
      <c r="E5531">
        <v>2.5</v>
      </c>
      <c r="F5531">
        <v>7.98</v>
      </c>
    </row>
    <row r="5532" spans="1:6" x14ac:dyDescent="0.3">
      <c r="A5532" t="s">
        <v>9294</v>
      </c>
      <c r="B5532" t="s">
        <v>9295</v>
      </c>
      <c r="C5532" t="s">
        <v>9296</v>
      </c>
      <c r="D5532">
        <v>80013423</v>
      </c>
      <c r="E5532">
        <v>11.54</v>
      </c>
      <c r="F5532">
        <v>6.76</v>
      </c>
    </row>
    <row r="5533" spans="1:6" x14ac:dyDescent="0.3">
      <c r="A5533" t="s">
        <v>9297</v>
      </c>
      <c r="B5533" t="s">
        <v>8883</v>
      </c>
      <c r="C5533" t="s">
        <v>9018</v>
      </c>
      <c r="D5533">
        <v>80020638</v>
      </c>
      <c r="E5533">
        <v>4.74</v>
      </c>
      <c r="F5533">
        <v>7.56</v>
      </c>
    </row>
    <row r="5534" spans="1:6" x14ac:dyDescent="0.3">
      <c r="A5534" t="s">
        <v>9298</v>
      </c>
      <c r="B5534" t="s">
        <v>8075</v>
      </c>
      <c r="C5534" t="s">
        <v>9299</v>
      </c>
      <c r="D5534">
        <v>80032344</v>
      </c>
      <c r="E5534">
        <v>2.34</v>
      </c>
      <c r="F5534">
        <v>8.3800000000000008</v>
      </c>
    </row>
    <row r="5535" spans="1:6" x14ac:dyDescent="0.3">
      <c r="A5535" t="s">
        <v>9300</v>
      </c>
      <c r="B5535" t="s">
        <v>318</v>
      </c>
      <c r="C5535" t="s">
        <v>9301</v>
      </c>
      <c r="D5535">
        <v>80033619</v>
      </c>
      <c r="E5535">
        <v>3.97</v>
      </c>
      <c r="F5535">
        <v>7.67</v>
      </c>
    </row>
    <row r="5536" spans="1:6" x14ac:dyDescent="0.3">
      <c r="A5536" t="s">
        <v>9302</v>
      </c>
      <c r="B5536" t="s">
        <v>4911</v>
      </c>
      <c r="C5536" t="s">
        <v>6393</v>
      </c>
      <c r="D5536">
        <v>80035038</v>
      </c>
      <c r="E5536">
        <v>1.96</v>
      </c>
      <c r="F5536">
        <v>7</v>
      </c>
    </row>
    <row r="5537" spans="1:6" x14ac:dyDescent="0.3">
      <c r="A5537" t="s">
        <v>9303</v>
      </c>
      <c r="B5537" t="s">
        <v>1576</v>
      </c>
      <c r="C5537" t="s">
        <v>9304</v>
      </c>
      <c r="D5537">
        <v>80044470</v>
      </c>
      <c r="E5537">
        <v>7.11</v>
      </c>
      <c r="F5537">
        <v>6.1</v>
      </c>
    </row>
    <row r="5538" spans="1:6" x14ac:dyDescent="0.3">
      <c r="A5538" t="s">
        <v>9305</v>
      </c>
      <c r="B5538" t="s">
        <v>5928</v>
      </c>
      <c r="C5538" t="s">
        <v>505</v>
      </c>
      <c r="D5538">
        <v>80055017</v>
      </c>
      <c r="E5538">
        <v>2.57</v>
      </c>
      <c r="F5538">
        <v>6.35</v>
      </c>
    </row>
    <row r="5539" spans="1:6" x14ac:dyDescent="0.3">
      <c r="A5539" t="s">
        <v>9306</v>
      </c>
      <c r="B5539" t="s">
        <v>9307</v>
      </c>
      <c r="C5539" t="s">
        <v>4847</v>
      </c>
      <c r="D5539">
        <v>80063520</v>
      </c>
      <c r="E5539">
        <v>3.84</v>
      </c>
      <c r="F5539">
        <v>6.22</v>
      </c>
    </row>
    <row r="5540" spans="1:6" x14ac:dyDescent="0.3">
      <c r="A5540" t="s">
        <v>1229</v>
      </c>
      <c r="B5540" t="s">
        <v>8124</v>
      </c>
      <c r="C5540" t="s">
        <v>1231</v>
      </c>
      <c r="D5540">
        <v>80071923</v>
      </c>
      <c r="E5540">
        <v>3.89</v>
      </c>
      <c r="F5540">
        <v>7.32</v>
      </c>
    </row>
    <row r="5541" spans="1:6" x14ac:dyDescent="0.3">
      <c r="A5541" t="s">
        <v>9308</v>
      </c>
      <c r="B5541" t="s">
        <v>2199</v>
      </c>
      <c r="C5541" t="s">
        <v>1004</v>
      </c>
      <c r="D5541">
        <v>80096067</v>
      </c>
      <c r="E5541">
        <v>11.15</v>
      </c>
      <c r="F5541">
        <v>8</v>
      </c>
    </row>
    <row r="5542" spans="1:6" x14ac:dyDescent="0.3">
      <c r="A5542" t="s">
        <v>9309</v>
      </c>
      <c r="B5542" t="s">
        <v>7154</v>
      </c>
      <c r="C5542" t="s">
        <v>2332</v>
      </c>
      <c r="D5542">
        <v>80123214</v>
      </c>
      <c r="E5542">
        <v>1.1599999999999999</v>
      </c>
      <c r="F5542">
        <v>7.33</v>
      </c>
    </row>
    <row r="5543" spans="1:6" x14ac:dyDescent="0.3">
      <c r="A5543" t="s">
        <v>9310</v>
      </c>
      <c r="B5543" t="s">
        <v>9311</v>
      </c>
      <c r="C5543" t="s">
        <v>5756</v>
      </c>
      <c r="D5543">
        <v>80128324</v>
      </c>
      <c r="E5543">
        <v>8.1</v>
      </c>
      <c r="F5543">
        <v>6.85</v>
      </c>
    </row>
    <row r="5544" spans="1:6" x14ac:dyDescent="0.3">
      <c r="A5544" t="s">
        <v>9312</v>
      </c>
      <c r="B5544" t="s">
        <v>7177</v>
      </c>
      <c r="C5544" t="s">
        <v>8991</v>
      </c>
      <c r="D5544">
        <v>80131918</v>
      </c>
      <c r="E5544">
        <v>1.79</v>
      </c>
      <c r="F5544">
        <v>7.51</v>
      </c>
    </row>
    <row r="5545" spans="1:6" x14ac:dyDescent="0.3">
      <c r="A5545" t="s">
        <v>9313</v>
      </c>
      <c r="B5545" t="s">
        <v>9314</v>
      </c>
      <c r="C5545" t="s">
        <v>9315</v>
      </c>
      <c r="D5545">
        <v>80146024</v>
      </c>
      <c r="E5545">
        <v>1.88</v>
      </c>
      <c r="F5545">
        <v>6.08</v>
      </c>
    </row>
    <row r="5546" spans="1:6" x14ac:dyDescent="0.3">
      <c r="A5546" t="s">
        <v>9316</v>
      </c>
      <c r="B5546" t="s">
        <v>5115</v>
      </c>
      <c r="C5546" t="s">
        <v>17</v>
      </c>
      <c r="D5546">
        <v>80146646</v>
      </c>
      <c r="E5546">
        <v>30.5</v>
      </c>
      <c r="F5546">
        <v>6.5</v>
      </c>
    </row>
    <row r="5547" spans="1:6" x14ac:dyDescent="0.3">
      <c r="A5547" t="s">
        <v>9317</v>
      </c>
      <c r="B5547" t="s">
        <v>9318</v>
      </c>
      <c r="C5547" t="s">
        <v>9319</v>
      </c>
      <c r="D5547">
        <v>80153698</v>
      </c>
      <c r="E5547">
        <v>9.68</v>
      </c>
      <c r="F5547">
        <v>6.05</v>
      </c>
    </row>
    <row r="5548" spans="1:6" x14ac:dyDescent="0.3">
      <c r="A5548" t="s">
        <v>9320</v>
      </c>
      <c r="B5548" t="s">
        <v>8508</v>
      </c>
      <c r="C5548" t="s">
        <v>9167</v>
      </c>
      <c r="D5548">
        <v>80155667</v>
      </c>
      <c r="E5548">
        <v>1.75</v>
      </c>
      <c r="F5548">
        <v>7.75</v>
      </c>
    </row>
    <row r="5549" spans="1:6" x14ac:dyDescent="0.3">
      <c r="A5549" t="s">
        <v>9321</v>
      </c>
      <c r="B5549" t="s">
        <v>6130</v>
      </c>
      <c r="C5549" t="s">
        <v>9322</v>
      </c>
      <c r="D5549">
        <v>80165559</v>
      </c>
      <c r="E5549">
        <v>3.2</v>
      </c>
      <c r="F5549">
        <v>7.59</v>
      </c>
    </row>
    <row r="5550" spans="1:6" x14ac:dyDescent="0.3">
      <c r="A5550" t="s">
        <v>9323</v>
      </c>
      <c r="B5550" t="s">
        <v>3427</v>
      </c>
      <c r="C5550" t="s">
        <v>9324</v>
      </c>
      <c r="D5550">
        <v>80166345</v>
      </c>
      <c r="E5550">
        <v>10.210000000000001</v>
      </c>
      <c r="F5550">
        <v>6.45</v>
      </c>
    </row>
    <row r="5551" spans="1:6" x14ac:dyDescent="0.3">
      <c r="A5551" t="s">
        <v>5866</v>
      </c>
      <c r="B5551" t="s">
        <v>463</v>
      </c>
      <c r="C5551" t="s">
        <v>5866</v>
      </c>
      <c r="D5551">
        <v>80177488</v>
      </c>
      <c r="E5551">
        <v>23.92</v>
      </c>
      <c r="F5551">
        <v>6.81</v>
      </c>
    </row>
    <row r="5552" spans="1:6" x14ac:dyDescent="0.3">
      <c r="A5552" t="s">
        <v>9325</v>
      </c>
      <c r="B5552" t="s">
        <v>4765</v>
      </c>
      <c r="C5552" t="s">
        <v>9326</v>
      </c>
      <c r="D5552">
        <v>80180301</v>
      </c>
      <c r="E5552">
        <v>18.32</v>
      </c>
      <c r="F5552">
        <v>7.59</v>
      </c>
    </row>
    <row r="5553" spans="1:6" x14ac:dyDescent="0.3">
      <c r="A5553" t="s">
        <v>9327</v>
      </c>
      <c r="B5553" t="s">
        <v>5283</v>
      </c>
      <c r="C5553" t="s">
        <v>1531</v>
      </c>
      <c r="D5553">
        <v>80186968</v>
      </c>
      <c r="E5553">
        <v>8</v>
      </c>
      <c r="F5553">
        <v>7.67</v>
      </c>
    </row>
    <row r="5554" spans="1:6" x14ac:dyDescent="0.3">
      <c r="A5554" t="s">
        <v>9328</v>
      </c>
      <c r="B5554" t="s">
        <v>9161</v>
      </c>
      <c r="C5554" t="s">
        <v>9329</v>
      </c>
      <c r="D5554">
        <v>80202147</v>
      </c>
      <c r="E5554">
        <v>16.95</v>
      </c>
      <c r="F5554">
        <v>7.24</v>
      </c>
    </row>
    <row r="5555" spans="1:6" x14ac:dyDescent="0.3">
      <c r="A5555" t="s">
        <v>9330</v>
      </c>
      <c r="B5555" t="s">
        <v>9331</v>
      </c>
      <c r="C5555" t="s">
        <v>5959</v>
      </c>
      <c r="D5555">
        <v>80215815</v>
      </c>
      <c r="E5555">
        <v>4.2</v>
      </c>
      <c r="F5555">
        <v>5.6</v>
      </c>
    </row>
    <row r="5556" spans="1:6" x14ac:dyDescent="0.3">
      <c r="A5556" t="s">
        <v>9332</v>
      </c>
      <c r="B5556" t="s">
        <v>3805</v>
      </c>
      <c r="C5556" t="s">
        <v>9333</v>
      </c>
      <c r="D5556">
        <v>80218929</v>
      </c>
      <c r="E5556">
        <v>2.93</v>
      </c>
      <c r="F5556">
        <v>6.76</v>
      </c>
    </row>
    <row r="5557" spans="1:6" x14ac:dyDescent="0.3">
      <c r="A5557" t="s">
        <v>9334</v>
      </c>
      <c r="B5557" t="s">
        <v>9335</v>
      </c>
      <c r="C5557" t="s">
        <v>6224</v>
      </c>
      <c r="D5557">
        <v>80235017</v>
      </c>
      <c r="E5557">
        <v>3.18</v>
      </c>
      <c r="F5557">
        <v>5.92</v>
      </c>
    </row>
    <row r="5558" spans="1:6" x14ac:dyDescent="0.3">
      <c r="A5558" t="s">
        <v>6307</v>
      </c>
      <c r="B5558" t="s">
        <v>9336</v>
      </c>
      <c r="C5558" t="s">
        <v>6307</v>
      </c>
      <c r="D5558">
        <v>80243744</v>
      </c>
      <c r="E5558">
        <v>3.67</v>
      </c>
      <c r="F5558">
        <v>6.41</v>
      </c>
    </row>
    <row r="5559" spans="1:6" x14ac:dyDescent="0.3">
      <c r="A5559" t="s">
        <v>9337</v>
      </c>
      <c r="B5559" t="s">
        <v>5449</v>
      </c>
      <c r="C5559" t="s">
        <v>9338</v>
      </c>
      <c r="D5559">
        <v>80249977</v>
      </c>
      <c r="E5559">
        <v>1.83</v>
      </c>
      <c r="F5559">
        <v>6.42</v>
      </c>
    </row>
    <row r="5560" spans="1:6" x14ac:dyDescent="0.3">
      <c r="A5560" t="s">
        <v>9339</v>
      </c>
      <c r="B5560" t="s">
        <v>6980</v>
      </c>
      <c r="C5560" t="s">
        <v>9340</v>
      </c>
      <c r="D5560">
        <v>80252396</v>
      </c>
      <c r="E5560">
        <v>26</v>
      </c>
      <c r="F5560">
        <v>7.5</v>
      </c>
    </row>
    <row r="5561" spans="1:6" x14ac:dyDescent="0.3">
      <c r="A5561" t="s">
        <v>9341</v>
      </c>
      <c r="B5561" t="s">
        <v>7200</v>
      </c>
      <c r="C5561" t="s">
        <v>6783</v>
      </c>
      <c r="D5561">
        <v>80257348</v>
      </c>
      <c r="E5561">
        <v>2.84</v>
      </c>
      <c r="F5561">
        <v>5.94</v>
      </c>
    </row>
    <row r="5562" spans="1:6" x14ac:dyDescent="0.3">
      <c r="A5562" t="s">
        <v>9342</v>
      </c>
      <c r="B5562" t="s">
        <v>9343</v>
      </c>
      <c r="C5562" t="s">
        <v>898</v>
      </c>
      <c r="D5562">
        <v>80257622</v>
      </c>
      <c r="E5562">
        <v>5.08</v>
      </c>
      <c r="F5562">
        <v>6.63</v>
      </c>
    </row>
    <row r="5563" spans="1:6" x14ac:dyDescent="0.3">
      <c r="A5563" t="s">
        <v>9344</v>
      </c>
      <c r="B5563" t="s">
        <v>9345</v>
      </c>
      <c r="C5563" t="s">
        <v>2231</v>
      </c>
      <c r="D5563">
        <v>80268259</v>
      </c>
      <c r="E5563">
        <v>15.47</v>
      </c>
      <c r="F5563">
        <v>7.52</v>
      </c>
    </row>
    <row r="5564" spans="1:6" x14ac:dyDescent="0.3">
      <c r="A5564" t="s">
        <v>9346</v>
      </c>
      <c r="B5564" t="s">
        <v>5410</v>
      </c>
      <c r="C5564" t="s">
        <v>1165</v>
      </c>
      <c r="D5564">
        <v>80278274</v>
      </c>
      <c r="E5564">
        <v>11.02</v>
      </c>
      <c r="F5564">
        <v>6</v>
      </c>
    </row>
    <row r="5565" spans="1:6" x14ac:dyDescent="0.3">
      <c r="A5565" t="s">
        <v>9347</v>
      </c>
      <c r="B5565" t="s">
        <v>9348</v>
      </c>
      <c r="C5565" t="s">
        <v>7467</v>
      </c>
      <c r="D5565">
        <v>80289988</v>
      </c>
      <c r="E5565">
        <v>10.45</v>
      </c>
      <c r="F5565">
        <v>7.44</v>
      </c>
    </row>
    <row r="5566" spans="1:6" x14ac:dyDescent="0.3">
      <c r="A5566" t="s">
        <v>9349</v>
      </c>
      <c r="B5566" t="s">
        <v>3780</v>
      </c>
      <c r="C5566" t="s">
        <v>1658</v>
      </c>
      <c r="D5566">
        <v>80293947</v>
      </c>
      <c r="E5566" t="s">
        <v>3814</v>
      </c>
      <c r="F5566" t="s">
        <v>3814</v>
      </c>
    </row>
    <row r="5567" spans="1:6" x14ac:dyDescent="0.3">
      <c r="A5567" t="s">
        <v>9350</v>
      </c>
      <c r="B5567" t="s">
        <v>6298</v>
      </c>
      <c r="C5567" t="s">
        <v>9351</v>
      </c>
      <c r="D5567">
        <v>80297890</v>
      </c>
      <c r="E5567">
        <v>2.65</v>
      </c>
      <c r="F5567">
        <v>6.43</v>
      </c>
    </row>
    <row r="5568" spans="1:6" x14ac:dyDescent="0.3">
      <c r="A5568" t="s">
        <v>9352</v>
      </c>
      <c r="B5568" t="s">
        <v>8397</v>
      </c>
      <c r="C5568" t="s">
        <v>9353</v>
      </c>
      <c r="D5568">
        <v>80304449</v>
      </c>
      <c r="E5568">
        <v>8.6300000000000008</v>
      </c>
      <c r="F5568">
        <v>7.93</v>
      </c>
    </row>
    <row r="5569" spans="1:6" x14ac:dyDescent="0.3">
      <c r="A5569" t="s">
        <v>9354</v>
      </c>
      <c r="B5569" t="s">
        <v>5701</v>
      </c>
      <c r="C5569" t="s">
        <v>4067</v>
      </c>
      <c r="D5569">
        <v>80319629</v>
      </c>
      <c r="E5569">
        <v>4</v>
      </c>
      <c r="F5569">
        <v>6.88</v>
      </c>
    </row>
    <row r="5570" spans="1:6" x14ac:dyDescent="0.3">
      <c r="A5570" t="s">
        <v>9355</v>
      </c>
      <c r="B5570" t="s">
        <v>9356</v>
      </c>
      <c r="C5570" t="s">
        <v>9116</v>
      </c>
      <c r="D5570">
        <v>80320061</v>
      </c>
      <c r="E5570">
        <v>4.71</v>
      </c>
      <c r="F5570">
        <v>5.6</v>
      </c>
    </row>
    <row r="5571" spans="1:6" x14ac:dyDescent="0.3">
      <c r="A5571" t="s">
        <v>9357</v>
      </c>
      <c r="B5571" t="s">
        <v>8045</v>
      </c>
      <c r="C5571" t="s">
        <v>6781</v>
      </c>
      <c r="D5571">
        <v>80335620</v>
      </c>
      <c r="E5571">
        <v>21.36</v>
      </c>
      <c r="F5571">
        <v>7.58</v>
      </c>
    </row>
    <row r="5572" spans="1:6" x14ac:dyDescent="0.3">
      <c r="A5572" t="s">
        <v>9358</v>
      </c>
      <c r="B5572" t="s">
        <v>8876</v>
      </c>
      <c r="C5572" t="s">
        <v>929</v>
      </c>
      <c r="D5572">
        <v>80342624</v>
      </c>
      <c r="E5572">
        <v>7.85</v>
      </c>
      <c r="F5572">
        <v>6.42</v>
      </c>
    </row>
    <row r="5573" spans="1:6" x14ac:dyDescent="0.3">
      <c r="A5573" t="s">
        <v>9359</v>
      </c>
      <c r="B5573" t="s">
        <v>6903</v>
      </c>
      <c r="C5573" t="s">
        <v>2285</v>
      </c>
      <c r="D5573">
        <v>80356801</v>
      </c>
      <c r="E5573">
        <v>8.9</v>
      </c>
      <c r="F5573">
        <v>6.89</v>
      </c>
    </row>
    <row r="5574" spans="1:6" x14ac:dyDescent="0.3">
      <c r="A5574" t="s">
        <v>9360</v>
      </c>
      <c r="B5574" t="s">
        <v>9361</v>
      </c>
      <c r="C5574" t="s">
        <v>2142</v>
      </c>
      <c r="D5574">
        <v>80364245</v>
      </c>
      <c r="E5574">
        <v>6.92</v>
      </c>
      <c r="F5574">
        <v>7.48</v>
      </c>
    </row>
    <row r="5575" spans="1:6" x14ac:dyDescent="0.3">
      <c r="A5575" t="s">
        <v>9362</v>
      </c>
      <c r="B5575" t="s">
        <v>6919</v>
      </c>
      <c r="C5575" t="s">
        <v>9363</v>
      </c>
      <c r="D5575">
        <v>80370596</v>
      </c>
      <c r="E5575">
        <v>3.59</v>
      </c>
      <c r="F5575">
        <v>6.67</v>
      </c>
    </row>
    <row r="5576" spans="1:6" x14ac:dyDescent="0.3">
      <c r="A5576" t="s">
        <v>9364</v>
      </c>
      <c r="B5576" t="s">
        <v>3692</v>
      </c>
      <c r="C5576" t="s">
        <v>9365</v>
      </c>
      <c r="D5576">
        <v>80387492</v>
      </c>
      <c r="E5576">
        <v>2.86</v>
      </c>
      <c r="F5576">
        <v>6.72</v>
      </c>
    </row>
    <row r="5577" spans="1:6" x14ac:dyDescent="0.3">
      <c r="A5577" t="s">
        <v>9366</v>
      </c>
      <c r="B5577" t="s">
        <v>9367</v>
      </c>
      <c r="C5577" t="s">
        <v>8796</v>
      </c>
      <c r="D5577">
        <v>80414693</v>
      </c>
      <c r="E5577">
        <v>1.94</v>
      </c>
      <c r="F5577">
        <v>6.95</v>
      </c>
    </row>
    <row r="5578" spans="1:6" x14ac:dyDescent="0.3">
      <c r="A5578" t="s">
        <v>9368</v>
      </c>
      <c r="B5578" t="s">
        <v>3800</v>
      </c>
      <c r="C5578" t="s">
        <v>9369</v>
      </c>
      <c r="D5578">
        <v>80414998</v>
      </c>
      <c r="E5578">
        <v>16.05</v>
      </c>
      <c r="F5578">
        <v>9.2100000000000009</v>
      </c>
    </row>
    <row r="5579" spans="1:6" x14ac:dyDescent="0.3">
      <c r="A5579" t="s">
        <v>9370</v>
      </c>
      <c r="B5579" t="s">
        <v>9371</v>
      </c>
      <c r="C5579" t="s">
        <v>9372</v>
      </c>
      <c r="D5579">
        <v>80431008</v>
      </c>
      <c r="E5579">
        <v>2.25</v>
      </c>
      <c r="F5579">
        <v>7.06</v>
      </c>
    </row>
    <row r="5580" spans="1:6" x14ac:dyDescent="0.3">
      <c r="A5580" t="s">
        <v>9373</v>
      </c>
      <c r="B5580" t="s">
        <v>7261</v>
      </c>
      <c r="C5580" t="s">
        <v>8784</v>
      </c>
      <c r="D5580">
        <v>80433444</v>
      </c>
      <c r="E5580">
        <v>2</v>
      </c>
      <c r="F5580">
        <v>7.38</v>
      </c>
    </row>
    <row r="5581" spans="1:6" x14ac:dyDescent="0.3">
      <c r="A5581" t="s">
        <v>9374</v>
      </c>
      <c r="B5581" t="s">
        <v>2203</v>
      </c>
      <c r="C5581" t="s">
        <v>7149</v>
      </c>
      <c r="D5581">
        <v>80435232</v>
      </c>
      <c r="E5581">
        <v>6.86</v>
      </c>
      <c r="F5581">
        <v>5.33</v>
      </c>
    </row>
    <row r="5582" spans="1:6" x14ac:dyDescent="0.3">
      <c r="A5582" t="s">
        <v>9375</v>
      </c>
      <c r="B5582" t="s">
        <v>9376</v>
      </c>
      <c r="C5582" t="s">
        <v>8533</v>
      </c>
      <c r="D5582">
        <v>80435482</v>
      </c>
      <c r="E5582">
        <v>1.94</v>
      </c>
      <c r="F5582">
        <v>6.57</v>
      </c>
    </row>
    <row r="5583" spans="1:6" x14ac:dyDescent="0.3">
      <c r="A5583" t="s">
        <v>9377</v>
      </c>
      <c r="B5583" t="s">
        <v>9378</v>
      </c>
      <c r="C5583" t="s">
        <v>3264</v>
      </c>
      <c r="D5583">
        <v>80440411</v>
      </c>
      <c r="E5583">
        <v>9.74</v>
      </c>
      <c r="F5583">
        <v>6.58</v>
      </c>
    </row>
    <row r="5584" spans="1:6" x14ac:dyDescent="0.3">
      <c r="A5584" t="s">
        <v>9379</v>
      </c>
      <c r="B5584" t="s">
        <v>8326</v>
      </c>
      <c r="C5584" t="s">
        <v>9380</v>
      </c>
      <c r="D5584">
        <v>80447535</v>
      </c>
      <c r="E5584">
        <v>8.6199999999999992</v>
      </c>
      <c r="F5584">
        <v>8</v>
      </c>
    </row>
    <row r="5585" spans="1:6" x14ac:dyDescent="0.3">
      <c r="A5585" t="s">
        <v>9381</v>
      </c>
      <c r="B5585" t="s">
        <v>8988</v>
      </c>
      <c r="C5585" t="s">
        <v>9382</v>
      </c>
      <c r="D5585">
        <v>80464670</v>
      </c>
      <c r="E5585">
        <v>17.64</v>
      </c>
      <c r="F5585">
        <v>5.8</v>
      </c>
    </row>
    <row r="5586" spans="1:6" x14ac:dyDescent="0.3">
      <c r="A5586" t="s">
        <v>9383</v>
      </c>
      <c r="B5586" t="s">
        <v>8020</v>
      </c>
      <c r="C5586" t="s">
        <v>9384</v>
      </c>
      <c r="D5586">
        <v>80487759</v>
      </c>
      <c r="E5586">
        <v>3.68</v>
      </c>
      <c r="F5586">
        <v>7.59</v>
      </c>
    </row>
    <row r="5587" spans="1:6" x14ac:dyDescent="0.3">
      <c r="A5587" t="s">
        <v>9385</v>
      </c>
      <c r="B5587" t="s">
        <v>9386</v>
      </c>
      <c r="C5587" t="s">
        <v>1670</v>
      </c>
      <c r="D5587">
        <v>80489571</v>
      </c>
      <c r="E5587">
        <v>4.49</v>
      </c>
      <c r="F5587">
        <v>7.12</v>
      </c>
    </row>
    <row r="5588" spans="1:6" x14ac:dyDescent="0.3">
      <c r="A5588" t="s">
        <v>9387</v>
      </c>
      <c r="B5588" t="s">
        <v>8348</v>
      </c>
      <c r="C5588" t="s">
        <v>3789</v>
      </c>
      <c r="D5588">
        <v>80506463</v>
      </c>
      <c r="E5588">
        <v>2.27</v>
      </c>
      <c r="F5588">
        <v>6.39</v>
      </c>
    </row>
    <row r="5589" spans="1:6" x14ac:dyDescent="0.3">
      <c r="A5589" t="s">
        <v>9388</v>
      </c>
      <c r="B5589" t="s">
        <v>9389</v>
      </c>
      <c r="C5589" t="s">
        <v>9390</v>
      </c>
      <c r="D5589">
        <v>80529928</v>
      </c>
      <c r="E5589">
        <v>27.5</v>
      </c>
      <c r="F5589">
        <v>1.5</v>
      </c>
    </row>
    <row r="5590" spans="1:6" x14ac:dyDescent="0.3">
      <c r="A5590" t="s">
        <v>9391</v>
      </c>
      <c r="B5590" t="s">
        <v>4578</v>
      </c>
      <c r="C5590" t="s">
        <v>6851</v>
      </c>
      <c r="D5590">
        <v>80554177</v>
      </c>
      <c r="E5590">
        <v>4.76</v>
      </c>
      <c r="F5590">
        <v>6.73</v>
      </c>
    </row>
    <row r="5591" spans="1:6" x14ac:dyDescent="0.3">
      <c r="A5591" t="s">
        <v>9392</v>
      </c>
      <c r="B5591" t="s">
        <v>9393</v>
      </c>
      <c r="C5591" t="s">
        <v>9394</v>
      </c>
      <c r="D5591">
        <v>80560662</v>
      </c>
      <c r="E5591">
        <v>5.27</v>
      </c>
      <c r="F5591">
        <v>8.1999999999999993</v>
      </c>
    </row>
    <row r="5592" spans="1:6" x14ac:dyDescent="0.3">
      <c r="A5592" t="s">
        <v>9395</v>
      </c>
      <c r="B5592" t="s">
        <v>9396</v>
      </c>
      <c r="C5592" t="s">
        <v>4361</v>
      </c>
      <c r="D5592">
        <v>80565100</v>
      </c>
      <c r="E5592">
        <v>8.67</v>
      </c>
      <c r="F5592">
        <v>6.67</v>
      </c>
    </row>
    <row r="5593" spans="1:6" x14ac:dyDescent="0.3">
      <c r="A5593" t="s">
        <v>9397</v>
      </c>
      <c r="B5593" t="s">
        <v>8256</v>
      </c>
      <c r="C5593" t="s">
        <v>9398</v>
      </c>
      <c r="D5593">
        <v>80575901</v>
      </c>
      <c r="E5593">
        <v>19.93</v>
      </c>
      <c r="F5593">
        <v>8.2100000000000009</v>
      </c>
    </row>
    <row r="5594" spans="1:6" x14ac:dyDescent="0.3">
      <c r="A5594" t="s">
        <v>9399</v>
      </c>
      <c r="B5594" t="s">
        <v>7356</v>
      </c>
      <c r="C5594" t="s">
        <v>8490</v>
      </c>
      <c r="D5594">
        <v>80585951</v>
      </c>
      <c r="E5594">
        <v>31.33</v>
      </c>
      <c r="F5594">
        <v>6.33</v>
      </c>
    </row>
    <row r="5595" spans="1:6" x14ac:dyDescent="0.3">
      <c r="A5595" t="s">
        <v>9400</v>
      </c>
      <c r="B5595" t="s">
        <v>9401</v>
      </c>
      <c r="C5595" t="s">
        <v>9402</v>
      </c>
      <c r="D5595">
        <v>80588137</v>
      </c>
      <c r="E5595">
        <v>24</v>
      </c>
      <c r="F5595">
        <v>7.22</v>
      </c>
    </row>
    <row r="5596" spans="1:6" x14ac:dyDescent="0.3">
      <c r="A5596" t="s">
        <v>9403</v>
      </c>
      <c r="B5596" t="s">
        <v>9404</v>
      </c>
      <c r="C5596" t="s">
        <v>9405</v>
      </c>
      <c r="D5596">
        <v>80604648</v>
      </c>
      <c r="E5596">
        <v>4.1100000000000003</v>
      </c>
      <c r="F5596">
        <v>6.27</v>
      </c>
    </row>
    <row r="5597" spans="1:6" x14ac:dyDescent="0.3">
      <c r="A5597" t="s">
        <v>9406</v>
      </c>
      <c r="B5597" t="s">
        <v>9407</v>
      </c>
      <c r="C5597" t="s">
        <v>8499</v>
      </c>
      <c r="D5597">
        <v>80622292</v>
      </c>
      <c r="E5597">
        <v>4.2699999999999996</v>
      </c>
      <c r="F5597">
        <v>6.15</v>
      </c>
    </row>
    <row r="5598" spans="1:6" x14ac:dyDescent="0.3">
      <c r="A5598" t="s">
        <v>9408</v>
      </c>
      <c r="B5598" t="s">
        <v>9409</v>
      </c>
      <c r="C5598" s="2">
        <v>0.47708333333333336</v>
      </c>
      <c r="D5598">
        <v>80647754</v>
      </c>
      <c r="E5598">
        <v>24.08</v>
      </c>
      <c r="F5598">
        <v>5.46</v>
      </c>
    </row>
    <row r="5599" spans="1:6" x14ac:dyDescent="0.3">
      <c r="A5599" t="s">
        <v>9410</v>
      </c>
      <c r="B5599" t="s">
        <v>9411</v>
      </c>
      <c r="C5599" t="s">
        <v>9412</v>
      </c>
      <c r="D5599">
        <v>80654321</v>
      </c>
      <c r="E5599">
        <v>3.7</v>
      </c>
      <c r="F5599">
        <v>6.23</v>
      </c>
    </row>
    <row r="5600" spans="1:6" x14ac:dyDescent="0.3">
      <c r="A5600" t="s">
        <v>9413</v>
      </c>
      <c r="B5600" t="s">
        <v>8854</v>
      </c>
      <c r="C5600" t="s">
        <v>9414</v>
      </c>
      <c r="D5600">
        <v>80659665</v>
      </c>
      <c r="E5600">
        <v>3.86</v>
      </c>
      <c r="F5600">
        <v>6.1</v>
      </c>
    </row>
    <row r="5601" spans="1:6" x14ac:dyDescent="0.3">
      <c r="A5601" t="s">
        <v>9415</v>
      </c>
      <c r="B5601" t="s">
        <v>6771</v>
      </c>
      <c r="C5601" t="s">
        <v>6167</v>
      </c>
      <c r="D5601">
        <v>80663480</v>
      </c>
      <c r="E5601">
        <v>15.83</v>
      </c>
      <c r="F5601">
        <v>5.5</v>
      </c>
    </row>
    <row r="5602" spans="1:6" x14ac:dyDescent="0.3">
      <c r="A5602" t="s">
        <v>9416</v>
      </c>
      <c r="B5602" t="s">
        <v>6079</v>
      </c>
      <c r="C5602" t="s">
        <v>9417</v>
      </c>
      <c r="D5602">
        <v>80671416</v>
      </c>
      <c r="E5602">
        <v>14.25</v>
      </c>
      <c r="F5602">
        <v>5.41</v>
      </c>
    </row>
    <row r="5603" spans="1:6" x14ac:dyDescent="0.3">
      <c r="A5603" t="s">
        <v>9418</v>
      </c>
      <c r="B5603" t="s">
        <v>9419</v>
      </c>
      <c r="C5603" t="s">
        <v>9420</v>
      </c>
      <c r="D5603">
        <v>80679986</v>
      </c>
      <c r="E5603">
        <v>3.07</v>
      </c>
      <c r="F5603">
        <v>6.26</v>
      </c>
    </row>
    <row r="5604" spans="1:6" x14ac:dyDescent="0.3">
      <c r="A5604" t="s">
        <v>6027</v>
      </c>
      <c r="B5604" t="s">
        <v>9421</v>
      </c>
      <c r="C5604" t="s">
        <v>6027</v>
      </c>
      <c r="D5604">
        <v>80688784</v>
      </c>
      <c r="E5604">
        <v>1.71</v>
      </c>
      <c r="F5604">
        <v>8.41</v>
      </c>
    </row>
    <row r="5605" spans="1:6" x14ac:dyDescent="0.3">
      <c r="A5605" t="s">
        <v>9422</v>
      </c>
      <c r="B5605" t="s">
        <v>9423</v>
      </c>
      <c r="C5605" t="s">
        <v>9424</v>
      </c>
      <c r="D5605">
        <v>80692142</v>
      </c>
      <c r="E5605">
        <v>4.1399999999999997</v>
      </c>
      <c r="F5605">
        <v>6.28</v>
      </c>
    </row>
    <row r="5606" spans="1:6" x14ac:dyDescent="0.3">
      <c r="A5606" t="s">
        <v>9425</v>
      </c>
      <c r="B5606" t="s">
        <v>8944</v>
      </c>
      <c r="C5606" t="s">
        <v>6251</v>
      </c>
      <c r="D5606">
        <v>80698918</v>
      </c>
      <c r="E5606">
        <v>24</v>
      </c>
      <c r="F5606">
        <v>8</v>
      </c>
    </row>
    <row r="5607" spans="1:6" x14ac:dyDescent="0.3">
      <c r="A5607" t="s">
        <v>9426</v>
      </c>
      <c r="B5607" t="s">
        <v>8765</v>
      </c>
      <c r="C5607" t="s">
        <v>9394</v>
      </c>
      <c r="D5607">
        <v>80717751</v>
      </c>
      <c r="E5607">
        <v>2.17</v>
      </c>
      <c r="F5607">
        <v>6.66</v>
      </c>
    </row>
    <row r="5608" spans="1:6" x14ac:dyDescent="0.3">
      <c r="A5608" t="s">
        <v>9427</v>
      </c>
      <c r="B5608" t="s">
        <v>192</v>
      </c>
      <c r="C5608" t="s">
        <v>6356</v>
      </c>
      <c r="D5608">
        <v>80727197</v>
      </c>
      <c r="E5608">
        <v>9.9600000000000009</v>
      </c>
      <c r="F5608">
        <v>7.42</v>
      </c>
    </row>
    <row r="5609" spans="1:6" x14ac:dyDescent="0.3">
      <c r="A5609" t="s">
        <v>9428</v>
      </c>
      <c r="B5609" t="s">
        <v>3255</v>
      </c>
      <c r="C5609" t="s">
        <v>7716</v>
      </c>
      <c r="D5609">
        <v>80735278</v>
      </c>
      <c r="E5609">
        <v>23.5</v>
      </c>
      <c r="F5609">
        <v>8</v>
      </c>
    </row>
    <row r="5610" spans="1:6" x14ac:dyDescent="0.3">
      <c r="A5610" t="s">
        <v>9429</v>
      </c>
      <c r="B5610" t="s">
        <v>9430</v>
      </c>
      <c r="C5610" t="s">
        <v>4173</v>
      </c>
      <c r="D5610">
        <v>80735687</v>
      </c>
      <c r="E5610">
        <v>15.23</v>
      </c>
      <c r="F5610">
        <v>7.36</v>
      </c>
    </row>
    <row r="5611" spans="1:6" x14ac:dyDescent="0.3">
      <c r="A5611" t="s">
        <v>9431</v>
      </c>
      <c r="B5611" t="s">
        <v>4893</v>
      </c>
      <c r="C5611" t="s">
        <v>2938</v>
      </c>
      <c r="D5611">
        <v>80736286</v>
      </c>
      <c r="E5611">
        <v>8.3000000000000007</v>
      </c>
      <c r="F5611">
        <v>8.15</v>
      </c>
    </row>
    <row r="5612" spans="1:6" x14ac:dyDescent="0.3">
      <c r="A5612" t="s">
        <v>9432</v>
      </c>
      <c r="B5612" t="s">
        <v>2843</v>
      </c>
      <c r="C5612" t="s">
        <v>9433</v>
      </c>
      <c r="D5612">
        <v>80740310</v>
      </c>
      <c r="E5612">
        <v>18.72</v>
      </c>
      <c r="F5612">
        <v>7.29</v>
      </c>
    </row>
    <row r="5613" spans="1:6" x14ac:dyDescent="0.3">
      <c r="A5613" t="s">
        <v>9434</v>
      </c>
      <c r="B5613" t="s">
        <v>9435</v>
      </c>
      <c r="C5613" t="s">
        <v>9436</v>
      </c>
      <c r="D5613">
        <v>80741511</v>
      </c>
      <c r="E5613">
        <v>5</v>
      </c>
      <c r="F5613">
        <v>6.24</v>
      </c>
    </row>
    <row r="5614" spans="1:6" x14ac:dyDescent="0.3">
      <c r="A5614" t="s">
        <v>9437</v>
      </c>
      <c r="B5614" t="s">
        <v>9102</v>
      </c>
      <c r="C5614" t="s">
        <v>5291</v>
      </c>
      <c r="D5614">
        <v>80752934</v>
      </c>
      <c r="E5614">
        <v>6.82</v>
      </c>
      <c r="F5614">
        <v>5.38</v>
      </c>
    </row>
    <row r="5615" spans="1:6" x14ac:dyDescent="0.3">
      <c r="A5615" t="s">
        <v>9438</v>
      </c>
      <c r="B5615" t="s">
        <v>4208</v>
      </c>
      <c r="C5615" t="s">
        <v>5812</v>
      </c>
      <c r="D5615">
        <v>80754589</v>
      </c>
      <c r="E5615">
        <v>3.84</v>
      </c>
      <c r="F5615">
        <v>6.65</v>
      </c>
    </row>
    <row r="5616" spans="1:6" x14ac:dyDescent="0.3">
      <c r="A5616" t="s">
        <v>9439</v>
      </c>
      <c r="B5616" t="s">
        <v>7501</v>
      </c>
      <c r="C5616" t="s">
        <v>6017</v>
      </c>
      <c r="D5616">
        <v>80758004</v>
      </c>
      <c r="E5616">
        <v>3.05</v>
      </c>
      <c r="F5616">
        <v>6.77</v>
      </c>
    </row>
    <row r="5617" spans="1:6" x14ac:dyDescent="0.3">
      <c r="A5617" t="s">
        <v>9440</v>
      </c>
      <c r="B5617" t="s">
        <v>7629</v>
      </c>
      <c r="C5617" t="s">
        <v>9441</v>
      </c>
      <c r="D5617">
        <v>80771172</v>
      </c>
      <c r="E5617">
        <v>1.22</v>
      </c>
      <c r="F5617">
        <v>6.59</v>
      </c>
    </row>
    <row r="5618" spans="1:6" x14ac:dyDescent="0.3">
      <c r="A5618" t="s">
        <v>9442</v>
      </c>
      <c r="B5618" t="s">
        <v>7311</v>
      </c>
      <c r="C5618" t="s">
        <v>9443</v>
      </c>
      <c r="D5618">
        <v>80774022</v>
      </c>
      <c r="E5618">
        <v>2.75</v>
      </c>
      <c r="F5618">
        <v>7.32</v>
      </c>
    </row>
    <row r="5619" spans="1:6" x14ac:dyDescent="0.3">
      <c r="A5619" t="s">
        <v>9444</v>
      </c>
      <c r="B5619" t="s">
        <v>8430</v>
      </c>
      <c r="C5619" t="s">
        <v>5918</v>
      </c>
      <c r="D5619">
        <v>80790301</v>
      </c>
      <c r="E5619">
        <v>1.57</v>
      </c>
      <c r="F5619">
        <v>5.18</v>
      </c>
    </row>
    <row r="5620" spans="1:6" x14ac:dyDescent="0.3">
      <c r="A5620" t="s">
        <v>9445</v>
      </c>
      <c r="B5620" t="s">
        <v>9446</v>
      </c>
      <c r="C5620" t="s">
        <v>9447</v>
      </c>
      <c r="D5620">
        <v>80798994</v>
      </c>
      <c r="E5620">
        <v>5.2</v>
      </c>
      <c r="F5620">
        <v>7.27</v>
      </c>
    </row>
    <row r="5621" spans="1:6" x14ac:dyDescent="0.3">
      <c r="A5621" t="s">
        <v>9448</v>
      </c>
      <c r="B5621" t="s">
        <v>9449</v>
      </c>
      <c r="C5621" t="s">
        <v>1727</v>
      </c>
      <c r="D5621">
        <v>80811179</v>
      </c>
      <c r="E5621">
        <v>12.01</v>
      </c>
      <c r="F5621">
        <v>7.27</v>
      </c>
    </row>
    <row r="5622" spans="1:6" x14ac:dyDescent="0.3">
      <c r="A5622" t="s">
        <v>9450</v>
      </c>
      <c r="B5622" t="s">
        <v>4097</v>
      </c>
      <c r="C5622" t="s">
        <v>5359</v>
      </c>
      <c r="D5622">
        <v>80815520</v>
      </c>
      <c r="E5622">
        <v>3.83</v>
      </c>
      <c r="F5622">
        <v>6.67</v>
      </c>
    </row>
    <row r="5623" spans="1:6" x14ac:dyDescent="0.3">
      <c r="A5623" t="s">
        <v>9451</v>
      </c>
      <c r="B5623" t="s">
        <v>7228</v>
      </c>
      <c r="C5623" t="s">
        <v>9452</v>
      </c>
      <c r="D5623">
        <v>80828558</v>
      </c>
      <c r="E5623">
        <v>3.86</v>
      </c>
      <c r="F5623">
        <v>7.4</v>
      </c>
    </row>
    <row r="5624" spans="1:6" x14ac:dyDescent="0.3">
      <c r="A5624" t="s">
        <v>9453</v>
      </c>
      <c r="B5624" t="s">
        <v>951</v>
      </c>
      <c r="C5624" t="s">
        <v>4262</v>
      </c>
      <c r="D5624">
        <v>80853350</v>
      </c>
      <c r="E5624">
        <v>4.49</v>
      </c>
      <c r="F5624">
        <v>5.51</v>
      </c>
    </row>
    <row r="5625" spans="1:6" x14ac:dyDescent="0.3">
      <c r="A5625" t="s">
        <v>9454</v>
      </c>
      <c r="B5625" t="s">
        <v>9455</v>
      </c>
      <c r="C5625" t="s">
        <v>7707</v>
      </c>
      <c r="D5625">
        <v>80855405</v>
      </c>
      <c r="E5625">
        <v>5.17</v>
      </c>
      <c r="F5625">
        <v>7.92</v>
      </c>
    </row>
    <row r="5626" spans="1:6" x14ac:dyDescent="0.3">
      <c r="A5626" t="s">
        <v>9456</v>
      </c>
      <c r="B5626" t="s">
        <v>9457</v>
      </c>
      <c r="C5626" t="s">
        <v>8331</v>
      </c>
      <c r="D5626">
        <v>80866617</v>
      </c>
      <c r="E5626">
        <v>5.38</v>
      </c>
      <c r="F5626">
        <v>7.03</v>
      </c>
    </row>
    <row r="5627" spans="1:6" x14ac:dyDescent="0.3">
      <c r="A5627" t="s">
        <v>9458</v>
      </c>
      <c r="B5627" t="s">
        <v>3681</v>
      </c>
      <c r="C5627" t="s">
        <v>9459</v>
      </c>
      <c r="D5627">
        <v>80868922</v>
      </c>
      <c r="E5627">
        <v>6.62</v>
      </c>
      <c r="F5627">
        <v>5.91</v>
      </c>
    </row>
    <row r="5628" spans="1:6" x14ac:dyDescent="0.3">
      <c r="A5628" t="s">
        <v>9460</v>
      </c>
      <c r="B5628" t="s">
        <v>4578</v>
      </c>
      <c r="C5628" t="s">
        <v>12</v>
      </c>
      <c r="D5628">
        <v>80882111</v>
      </c>
      <c r="E5628">
        <v>5.17</v>
      </c>
      <c r="F5628">
        <v>6.42</v>
      </c>
    </row>
    <row r="5629" spans="1:6" x14ac:dyDescent="0.3">
      <c r="A5629" t="s">
        <v>9461</v>
      </c>
      <c r="B5629" t="s">
        <v>7130</v>
      </c>
      <c r="C5629" t="s">
        <v>9462</v>
      </c>
      <c r="D5629">
        <v>80893049</v>
      </c>
      <c r="E5629">
        <v>1.93</v>
      </c>
      <c r="F5629">
        <v>6.31</v>
      </c>
    </row>
    <row r="5630" spans="1:6" x14ac:dyDescent="0.3">
      <c r="A5630" t="s">
        <v>9463</v>
      </c>
      <c r="B5630" t="s">
        <v>4578</v>
      </c>
      <c r="C5630" t="s">
        <v>121</v>
      </c>
      <c r="D5630">
        <v>80894729</v>
      </c>
      <c r="E5630">
        <v>13.25</v>
      </c>
      <c r="F5630">
        <v>7.5</v>
      </c>
    </row>
    <row r="5631" spans="1:6" x14ac:dyDescent="0.3">
      <c r="A5631" t="s">
        <v>9464</v>
      </c>
      <c r="B5631" t="s">
        <v>9465</v>
      </c>
      <c r="C5631" t="s">
        <v>4802</v>
      </c>
      <c r="D5631">
        <v>80906353</v>
      </c>
      <c r="E5631">
        <v>4.37</v>
      </c>
      <c r="F5631">
        <v>7.67</v>
      </c>
    </row>
    <row r="5632" spans="1:6" x14ac:dyDescent="0.3">
      <c r="A5632" t="s">
        <v>9466</v>
      </c>
      <c r="B5632" t="s">
        <v>9467</v>
      </c>
      <c r="C5632" t="s">
        <v>9468</v>
      </c>
      <c r="D5632">
        <v>80929627</v>
      </c>
      <c r="E5632">
        <v>4.4800000000000004</v>
      </c>
      <c r="F5632">
        <v>6.33</v>
      </c>
    </row>
    <row r="5633" spans="1:6" x14ac:dyDescent="0.3">
      <c r="A5633" t="s">
        <v>9469</v>
      </c>
      <c r="B5633" t="s">
        <v>7523</v>
      </c>
      <c r="C5633" t="s">
        <v>9470</v>
      </c>
      <c r="D5633">
        <v>80935415</v>
      </c>
      <c r="E5633">
        <v>2.12</v>
      </c>
      <c r="F5633">
        <v>6.47</v>
      </c>
    </row>
    <row r="5634" spans="1:6" x14ac:dyDescent="0.3">
      <c r="A5634" t="s">
        <v>9471</v>
      </c>
      <c r="B5634" t="s">
        <v>6887</v>
      </c>
      <c r="C5634" t="s">
        <v>9472</v>
      </c>
      <c r="D5634">
        <v>80937467</v>
      </c>
      <c r="E5634">
        <v>11.43</v>
      </c>
      <c r="F5634">
        <v>7.4</v>
      </c>
    </row>
    <row r="5635" spans="1:6" x14ac:dyDescent="0.3">
      <c r="A5635" t="s">
        <v>9473</v>
      </c>
      <c r="B5635" t="s">
        <v>7320</v>
      </c>
      <c r="C5635" t="s">
        <v>9474</v>
      </c>
      <c r="D5635">
        <v>80944885</v>
      </c>
      <c r="E5635">
        <v>8.84</v>
      </c>
      <c r="F5635">
        <v>7.44</v>
      </c>
    </row>
    <row r="5636" spans="1:6" x14ac:dyDescent="0.3">
      <c r="A5636" t="s">
        <v>9475</v>
      </c>
      <c r="B5636" t="s">
        <v>7327</v>
      </c>
      <c r="C5636" t="s">
        <v>9476</v>
      </c>
      <c r="D5636">
        <v>80966089</v>
      </c>
      <c r="E5636">
        <v>32</v>
      </c>
      <c r="F5636">
        <v>8.64</v>
      </c>
    </row>
    <row r="5637" spans="1:6" x14ac:dyDescent="0.3">
      <c r="A5637" t="s">
        <v>9477</v>
      </c>
      <c r="B5637" t="s">
        <v>9478</v>
      </c>
      <c r="C5637" t="s">
        <v>1925</v>
      </c>
      <c r="D5637">
        <v>80966929</v>
      </c>
      <c r="E5637">
        <v>19.32</v>
      </c>
      <c r="F5637">
        <v>6.5</v>
      </c>
    </row>
    <row r="5638" spans="1:6" x14ac:dyDescent="0.3">
      <c r="A5638" t="s">
        <v>9479</v>
      </c>
      <c r="B5638" t="s">
        <v>9480</v>
      </c>
      <c r="C5638" t="s">
        <v>6617</v>
      </c>
      <c r="D5638">
        <v>80977518</v>
      </c>
      <c r="E5638">
        <v>12.91</v>
      </c>
      <c r="F5638">
        <v>6.78</v>
      </c>
    </row>
    <row r="5639" spans="1:6" x14ac:dyDescent="0.3">
      <c r="A5639" t="s">
        <v>9481</v>
      </c>
      <c r="B5639" t="s">
        <v>2053</v>
      </c>
      <c r="C5639" t="s">
        <v>4654</v>
      </c>
      <c r="D5639">
        <v>80983470</v>
      </c>
      <c r="E5639">
        <v>17.11</v>
      </c>
      <c r="F5639">
        <v>8.44</v>
      </c>
    </row>
    <row r="5640" spans="1:6" x14ac:dyDescent="0.3">
      <c r="A5640" t="s">
        <v>9482</v>
      </c>
      <c r="B5640" t="s">
        <v>9483</v>
      </c>
      <c r="C5640" t="s">
        <v>9484</v>
      </c>
      <c r="D5640">
        <v>80987708</v>
      </c>
      <c r="E5640">
        <v>3.82</v>
      </c>
      <c r="F5640">
        <v>5.81</v>
      </c>
    </row>
    <row r="5641" spans="1:6" x14ac:dyDescent="0.3">
      <c r="A5641" t="s">
        <v>9485</v>
      </c>
      <c r="B5641" t="s">
        <v>9486</v>
      </c>
      <c r="C5641" t="s">
        <v>2001</v>
      </c>
      <c r="D5641">
        <v>80994187</v>
      </c>
      <c r="E5641">
        <v>13.4</v>
      </c>
      <c r="F5641">
        <v>8.25</v>
      </c>
    </row>
    <row r="5642" spans="1:6" x14ac:dyDescent="0.3">
      <c r="A5642" t="s">
        <v>9487</v>
      </c>
      <c r="B5642" t="s">
        <v>9488</v>
      </c>
      <c r="C5642" t="s">
        <v>6781</v>
      </c>
      <c r="D5642">
        <v>80994362</v>
      </c>
      <c r="E5642">
        <v>11.97</v>
      </c>
      <c r="F5642">
        <v>7</v>
      </c>
    </row>
    <row r="5643" spans="1:6" x14ac:dyDescent="0.3">
      <c r="A5643" t="s">
        <v>9489</v>
      </c>
      <c r="B5643" t="s">
        <v>2843</v>
      </c>
      <c r="C5643" t="s">
        <v>9490</v>
      </c>
      <c r="D5643">
        <v>80998327</v>
      </c>
      <c r="E5643">
        <v>1.01</v>
      </c>
      <c r="F5643">
        <v>7.1</v>
      </c>
    </row>
    <row r="5644" spans="1:6" x14ac:dyDescent="0.3">
      <c r="A5644" t="s">
        <v>9491</v>
      </c>
      <c r="B5644" t="s">
        <v>5877</v>
      </c>
      <c r="C5644" t="s">
        <v>9492</v>
      </c>
      <c r="D5644">
        <v>80999273</v>
      </c>
      <c r="E5644">
        <v>14.32</v>
      </c>
      <c r="F5644">
        <v>7.69</v>
      </c>
    </row>
    <row r="5645" spans="1:6" x14ac:dyDescent="0.3">
      <c r="A5645" t="s">
        <v>9493</v>
      </c>
      <c r="B5645" t="s">
        <v>9494</v>
      </c>
      <c r="C5645" t="s">
        <v>3228</v>
      </c>
      <c r="D5645">
        <v>81010355</v>
      </c>
      <c r="E5645">
        <v>22.5</v>
      </c>
      <c r="F5645">
        <v>5</v>
      </c>
    </row>
    <row r="5646" spans="1:6" x14ac:dyDescent="0.3">
      <c r="A5646" t="s">
        <v>9495</v>
      </c>
      <c r="B5646" t="s">
        <v>7356</v>
      </c>
      <c r="C5646">
        <v>1077</v>
      </c>
      <c r="D5646">
        <v>81011195</v>
      </c>
      <c r="E5646" t="s">
        <v>3814</v>
      </c>
      <c r="F5646" t="s">
        <v>3814</v>
      </c>
    </row>
    <row r="5647" spans="1:6" x14ac:dyDescent="0.3">
      <c r="A5647" t="s">
        <v>9496</v>
      </c>
      <c r="B5647" t="s">
        <v>9497</v>
      </c>
      <c r="C5647" t="s">
        <v>6551</v>
      </c>
      <c r="D5647">
        <v>81021213</v>
      </c>
      <c r="E5647">
        <v>1.69</v>
      </c>
      <c r="F5647">
        <v>7.88</v>
      </c>
    </row>
    <row r="5648" spans="1:6" x14ac:dyDescent="0.3">
      <c r="A5648" t="s">
        <v>9498</v>
      </c>
      <c r="B5648" t="s">
        <v>9499</v>
      </c>
      <c r="C5648" t="s">
        <v>898</v>
      </c>
      <c r="D5648">
        <v>81026757</v>
      </c>
      <c r="E5648">
        <v>12</v>
      </c>
      <c r="F5648" t="s">
        <v>3814</v>
      </c>
    </row>
    <row r="5649" spans="1:6" x14ac:dyDescent="0.3">
      <c r="A5649" t="s">
        <v>9500</v>
      </c>
      <c r="B5649" t="s">
        <v>6871</v>
      </c>
      <c r="C5649" t="s">
        <v>3706</v>
      </c>
      <c r="D5649">
        <v>81041659</v>
      </c>
      <c r="E5649">
        <v>27.14</v>
      </c>
      <c r="F5649">
        <v>8.14</v>
      </c>
    </row>
    <row r="5650" spans="1:6" x14ac:dyDescent="0.3">
      <c r="A5650" t="s">
        <v>9501</v>
      </c>
      <c r="B5650" t="s">
        <v>3125</v>
      </c>
      <c r="C5650" t="s">
        <v>9502</v>
      </c>
      <c r="D5650">
        <v>81043147</v>
      </c>
      <c r="E5650">
        <v>19.2</v>
      </c>
      <c r="F5650">
        <v>8.7899999999999991</v>
      </c>
    </row>
    <row r="5651" spans="1:6" x14ac:dyDescent="0.3">
      <c r="A5651" t="s">
        <v>9503</v>
      </c>
      <c r="B5651" t="s">
        <v>5696</v>
      </c>
      <c r="C5651" t="s">
        <v>20</v>
      </c>
      <c r="D5651">
        <v>81061872</v>
      </c>
      <c r="E5651">
        <v>9.67</v>
      </c>
      <c r="F5651">
        <v>6</v>
      </c>
    </row>
    <row r="5652" spans="1:6" x14ac:dyDescent="0.3">
      <c r="A5652" t="s">
        <v>9504</v>
      </c>
      <c r="B5652" t="s">
        <v>9505</v>
      </c>
      <c r="C5652" t="s">
        <v>9506</v>
      </c>
      <c r="D5652">
        <v>81062838</v>
      </c>
      <c r="E5652">
        <v>2.86</v>
      </c>
      <c r="F5652">
        <v>6.56</v>
      </c>
    </row>
    <row r="5653" spans="1:6" x14ac:dyDescent="0.3">
      <c r="A5653" t="s">
        <v>9507</v>
      </c>
      <c r="B5653" t="s">
        <v>9508</v>
      </c>
      <c r="C5653" t="s">
        <v>1598</v>
      </c>
      <c r="D5653">
        <v>81081933</v>
      </c>
      <c r="E5653">
        <v>4</v>
      </c>
      <c r="F5653">
        <v>6.29</v>
      </c>
    </row>
    <row r="5654" spans="1:6" x14ac:dyDescent="0.3">
      <c r="A5654" t="s">
        <v>4790</v>
      </c>
      <c r="B5654" t="s">
        <v>9509</v>
      </c>
      <c r="C5654" t="s">
        <v>7381</v>
      </c>
      <c r="D5654">
        <v>81088606</v>
      </c>
      <c r="E5654">
        <v>4.82</v>
      </c>
      <c r="F5654">
        <v>8</v>
      </c>
    </row>
    <row r="5655" spans="1:6" x14ac:dyDescent="0.3">
      <c r="A5655" t="s">
        <v>9510</v>
      </c>
      <c r="B5655" t="s">
        <v>4277</v>
      </c>
      <c r="C5655" t="s">
        <v>8562</v>
      </c>
      <c r="D5655">
        <v>81091186</v>
      </c>
      <c r="E5655">
        <v>16.12</v>
      </c>
      <c r="F5655">
        <v>8.66</v>
      </c>
    </row>
    <row r="5656" spans="1:6" x14ac:dyDescent="0.3">
      <c r="A5656" t="s">
        <v>9511</v>
      </c>
      <c r="B5656" t="s">
        <v>9512</v>
      </c>
      <c r="C5656" t="s">
        <v>9513</v>
      </c>
      <c r="D5656">
        <v>81095598</v>
      </c>
      <c r="E5656">
        <v>4.43</v>
      </c>
      <c r="F5656">
        <v>6.5</v>
      </c>
    </row>
    <row r="5657" spans="1:6" x14ac:dyDescent="0.3">
      <c r="A5657" t="s">
        <v>9514</v>
      </c>
      <c r="B5657" t="s">
        <v>4328</v>
      </c>
      <c r="C5657" t="s">
        <v>5136</v>
      </c>
      <c r="D5657">
        <v>81102689</v>
      </c>
      <c r="E5657">
        <v>16.600000000000001</v>
      </c>
      <c r="F5657">
        <v>5.79</v>
      </c>
    </row>
    <row r="5658" spans="1:6" x14ac:dyDescent="0.3">
      <c r="A5658" t="s">
        <v>9515</v>
      </c>
      <c r="B5658" t="s">
        <v>7639</v>
      </c>
      <c r="C5658" t="s">
        <v>9515</v>
      </c>
      <c r="D5658">
        <v>81103792</v>
      </c>
      <c r="E5658">
        <v>5.31</v>
      </c>
      <c r="F5658">
        <v>7.62</v>
      </c>
    </row>
    <row r="5659" spans="1:6" x14ac:dyDescent="0.3">
      <c r="A5659" t="s">
        <v>9516</v>
      </c>
      <c r="B5659" t="s">
        <v>9517</v>
      </c>
      <c r="C5659" t="s">
        <v>121</v>
      </c>
      <c r="D5659">
        <v>81107508</v>
      </c>
      <c r="E5659">
        <v>19.600000000000001</v>
      </c>
      <c r="F5659">
        <v>8</v>
      </c>
    </row>
    <row r="5660" spans="1:6" x14ac:dyDescent="0.3">
      <c r="A5660" t="s">
        <v>9518</v>
      </c>
      <c r="B5660" t="s">
        <v>6220</v>
      </c>
      <c r="C5660" t="s">
        <v>1855</v>
      </c>
      <c r="D5660">
        <v>81107735</v>
      </c>
      <c r="E5660">
        <v>30</v>
      </c>
      <c r="F5660">
        <v>10</v>
      </c>
    </row>
    <row r="5661" spans="1:6" x14ac:dyDescent="0.3">
      <c r="A5661" t="s">
        <v>9519</v>
      </c>
      <c r="B5661" t="s">
        <v>9520</v>
      </c>
      <c r="C5661" t="s">
        <v>9521</v>
      </c>
      <c r="D5661">
        <v>81112144</v>
      </c>
      <c r="E5661">
        <v>8.08</v>
      </c>
      <c r="F5661">
        <v>7.4</v>
      </c>
    </row>
    <row r="5662" spans="1:6" x14ac:dyDescent="0.3">
      <c r="A5662" t="s">
        <v>9522</v>
      </c>
      <c r="B5662" t="s">
        <v>4078</v>
      </c>
      <c r="C5662" t="s">
        <v>9523</v>
      </c>
      <c r="D5662">
        <v>81132916</v>
      </c>
      <c r="E5662">
        <v>8</v>
      </c>
      <c r="F5662">
        <v>6.25</v>
      </c>
    </row>
    <row r="5663" spans="1:6" x14ac:dyDescent="0.3">
      <c r="A5663" t="s">
        <v>9524</v>
      </c>
      <c r="B5663" t="s">
        <v>8955</v>
      </c>
      <c r="C5663" t="s">
        <v>9525</v>
      </c>
      <c r="D5663">
        <v>81136160</v>
      </c>
      <c r="E5663">
        <v>11.91</v>
      </c>
      <c r="F5663">
        <v>8.36</v>
      </c>
    </row>
    <row r="5664" spans="1:6" x14ac:dyDescent="0.3">
      <c r="A5664" t="s">
        <v>1320</v>
      </c>
      <c r="B5664" t="s">
        <v>4439</v>
      </c>
      <c r="C5664" t="s">
        <v>1320</v>
      </c>
      <c r="D5664">
        <v>81139702</v>
      </c>
      <c r="E5664">
        <v>35</v>
      </c>
      <c r="F5664">
        <v>10</v>
      </c>
    </row>
    <row r="5665" spans="1:6" x14ac:dyDescent="0.3">
      <c r="A5665" t="s">
        <v>9526</v>
      </c>
      <c r="B5665" t="s">
        <v>8817</v>
      </c>
      <c r="C5665" t="s">
        <v>9527</v>
      </c>
      <c r="D5665">
        <v>81145071</v>
      </c>
      <c r="E5665">
        <v>5.12</v>
      </c>
      <c r="F5665">
        <v>6.3</v>
      </c>
    </row>
    <row r="5666" spans="1:6" x14ac:dyDescent="0.3">
      <c r="A5666" t="s">
        <v>9528</v>
      </c>
      <c r="B5666" t="s">
        <v>8977</v>
      </c>
      <c r="C5666" t="s">
        <v>9529</v>
      </c>
      <c r="D5666">
        <v>81148582</v>
      </c>
      <c r="E5666">
        <v>20.28</v>
      </c>
      <c r="F5666">
        <v>7.38</v>
      </c>
    </row>
    <row r="5667" spans="1:6" x14ac:dyDescent="0.3">
      <c r="A5667" t="s">
        <v>9530</v>
      </c>
      <c r="B5667" t="s">
        <v>7129</v>
      </c>
      <c r="C5667" t="s">
        <v>6372</v>
      </c>
      <c r="D5667">
        <v>81149042</v>
      </c>
      <c r="E5667">
        <v>28</v>
      </c>
      <c r="F5667">
        <v>7.5</v>
      </c>
    </row>
    <row r="5668" spans="1:6" x14ac:dyDescent="0.3">
      <c r="A5668" t="s">
        <v>9531</v>
      </c>
      <c r="B5668" t="s">
        <v>6267</v>
      </c>
      <c r="C5668" t="s">
        <v>6117</v>
      </c>
      <c r="D5668">
        <v>81155420</v>
      </c>
      <c r="E5668">
        <v>1.18</v>
      </c>
      <c r="F5668">
        <v>7.76</v>
      </c>
    </row>
    <row r="5669" spans="1:6" x14ac:dyDescent="0.3">
      <c r="A5669" t="s">
        <v>9532</v>
      </c>
      <c r="B5669" t="s">
        <v>9367</v>
      </c>
      <c r="C5669" t="s">
        <v>713</v>
      </c>
      <c r="D5669">
        <v>81160012</v>
      </c>
      <c r="E5669">
        <v>1.25</v>
      </c>
      <c r="F5669">
        <v>6.66</v>
      </c>
    </row>
    <row r="5670" spans="1:6" x14ac:dyDescent="0.3">
      <c r="A5670" t="s">
        <v>9533</v>
      </c>
      <c r="B5670" t="s">
        <v>8906</v>
      </c>
      <c r="C5670" t="s">
        <v>9534</v>
      </c>
      <c r="D5670">
        <v>81161308</v>
      </c>
      <c r="E5670">
        <v>25.29</v>
      </c>
      <c r="F5670">
        <v>9</v>
      </c>
    </row>
    <row r="5671" spans="1:6" x14ac:dyDescent="0.3">
      <c r="A5671" t="s">
        <v>9535</v>
      </c>
      <c r="B5671" t="s">
        <v>8249</v>
      </c>
      <c r="C5671" t="s">
        <v>2938</v>
      </c>
      <c r="D5671">
        <v>81162638</v>
      </c>
      <c r="E5671">
        <v>7.6</v>
      </c>
      <c r="F5671">
        <v>7.52</v>
      </c>
    </row>
    <row r="5672" spans="1:6" x14ac:dyDescent="0.3">
      <c r="A5672" t="s">
        <v>9536</v>
      </c>
      <c r="B5672" t="s">
        <v>9537</v>
      </c>
      <c r="C5672" t="s">
        <v>9157</v>
      </c>
      <c r="D5672">
        <v>81168338</v>
      </c>
      <c r="E5672">
        <v>6.14</v>
      </c>
      <c r="F5672">
        <v>6.83</v>
      </c>
    </row>
    <row r="5673" spans="1:6" x14ac:dyDescent="0.3">
      <c r="A5673" t="s">
        <v>9538</v>
      </c>
      <c r="B5673" t="s">
        <v>7604</v>
      </c>
      <c r="C5673" t="s">
        <v>9539</v>
      </c>
      <c r="D5673">
        <v>81184180</v>
      </c>
      <c r="E5673">
        <v>11.53</v>
      </c>
      <c r="F5673">
        <v>6.53</v>
      </c>
    </row>
    <row r="5674" spans="1:6" x14ac:dyDescent="0.3">
      <c r="A5674" t="s">
        <v>9540</v>
      </c>
      <c r="B5674" t="s">
        <v>6280</v>
      </c>
      <c r="C5674" t="s">
        <v>9541</v>
      </c>
      <c r="D5674">
        <v>81186977</v>
      </c>
      <c r="E5674">
        <v>1.89</v>
      </c>
      <c r="F5674">
        <v>7.77</v>
      </c>
    </row>
    <row r="5675" spans="1:6" x14ac:dyDescent="0.3">
      <c r="A5675" t="s">
        <v>9542</v>
      </c>
      <c r="B5675" t="s">
        <v>7747</v>
      </c>
      <c r="C5675" t="s">
        <v>7589</v>
      </c>
      <c r="D5675">
        <v>81189627</v>
      </c>
      <c r="E5675">
        <v>18.57</v>
      </c>
      <c r="F5675">
        <v>8.5</v>
      </c>
    </row>
    <row r="5676" spans="1:6" x14ac:dyDescent="0.3">
      <c r="A5676" t="s">
        <v>9543</v>
      </c>
      <c r="B5676" t="s">
        <v>9544</v>
      </c>
      <c r="C5676" t="s">
        <v>9545</v>
      </c>
      <c r="D5676">
        <v>81206634</v>
      </c>
      <c r="E5676">
        <v>2.91</v>
      </c>
      <c r="F5676">
        <v>6.06</v>
      </c>
    </row>
    <row r="5677" spans="1:6" x14ac:dyDescent="0.3">
      <c r="A5677" t="s">
        <v>9546</v>
      </c>
      <c r="B5677" t="s">
        <v>9547</v>
      </c>
      <c r="C5677" t="s">
        <v>1764</v>
      </c>
      <c r="D5677">
        <v>81211129</v>
      </c>
      <c r="E5677">
        <v>16.2</v>
      </c>
      <c r="F5677">
        <v>7.74</v>
      </c>
    </row>
    <row r="5678" spans="1:6" x14ac:dyDescent="0.3">
      <c r="A5678" t="s">
        <v>9548</v>
      </c>
      <c r="B5678" t="s">
        <v>8909</v>
      </c>
      <c r="C5678" t="s">
        <v>2543</v>
      </c>
      <c r="D5678">
        <v>81218331</v>
      </c>
      <c r="E5678">
        <v>19.5</v>
      </c>
      <c r="F5678">
        <v>7.83</v>
      </c>
    </row>
    <row r="5679" spans="1:6" x14ac:dyDescent="0.3">
      <c r="A5679" t="s">
        <v>9549</v>
      </c>
      <c r="B5679" t="s">
        <v>9550</v>
      </c>
      <c r="C5679" t="s">
        <v>9551</v>
      </c>
      <c r="D5679">
        <v>81229172</v>
      </c>
      <c r="E5679">
        <v>10.86</v>
      </c>
      <c r="F5679">
        <v>6.43</v>
      </c>
    </row>
    <row r="5680" spans="1:6" x14ac:dyDescent="0.3">
      <c r="A5680" t="s">
        <v>9552</v>
      </c>
      <c r="B5680" t="s">
        <v>8040</v>
      </c>
      <c r="C5680" t="s">
        <v>9133</v>
      </c>
      <c r="D5680">
        <v>81236129</v>
      </c>
      <c r="E5680">
        <v>10.33</v>
      </c>
      <c r="F5680">
        <v>7.2</v>
      </c>
    </row>
    <row r="5681" spans="1:6" x14ac:dyDescent="0.3">
      <c r="A5681" t="s">
        <v>9553</v>
      </c>
      <c r="B5681" t="s">
        <v>9554</v>
      </c>
      <c r="C5681" t="s">
        <v>9555</v>
      </c>
      <c r="D5681">
        <v>81251976</v>
      </c>
      <c r="E5681">
        <v>4.2300000000000004</v>
      </c>
      <c r="F5681">
        <v>7.38</v>
      </c>
    </row>
    <row r="5682" spans="1:6" x14ac:dyDescent="0.3">
      <c r="A5682" t="s">
        <v>9556</v>
      </c>
      <c r="B5682" t="s">
        <v>5790</v>
      </c>
      <c r="C5682" t="s">
        <v>9557</v>
      </c>
      <c r="D5682">
        <v>81253839</v>
      </c>
      <c r="E5682">
        <v>2.56</v>
      </c>
      <c r="F5682">
        <v>7.1</v>
      </c>
    </row>
    <row r="5683" spans="1:6" x14ac:dyDescent="0.3">
      <c r="A5683" t="s">
        <v>9558</v>
      </c>
      <c r="B5683" t="s">
        <v>8070</v>
      </c>
      <c r="C5683" t="s">
        <v>9559</v>
      </c>
      <c r="D5683">
        <v>81257586</v>
      </c>
      <c r="E5683">
        <v>20.85</v>
      </c>
      <c r="F5683">
        <v>6.96</v>
      </c>
    </row>
    <row r="5684" spans="1:6" x14ac:dyDescent="0.3">
      <c r="A5684" t="s">
        <v>9560</v>
      </c>
      <c r="B5684" t="s">
        <v>7419</v>
      </c>
      <c r="C5684" t="s">
        <v>23</v>
      </c>
      <c r="D5684">
        <v>81259239</v>
      </c>
      <c r="E5684">
        <v>4.0599999999999996</v>
      </c>
      <c r="F5684">
        <v>6.14</v>
      </c>
    </row>
    <row r="5685" spans="1:6" x14ac:dyDescent="0.3">
      <c r="A5685" t="s">
        <v>9561</v>
      </c>
      <c r="B5685" t="s">
        <v>9562</v>
      </c>
      <c r="C5685" t="s">
        <v>9563</v>
      </c>
      <c r="D5685">
        <v>81260156</v>
      </c>
      <c r="E5685">
        <v>11</v>
      </c>
      <c r="F5685">
        <v>8</v>
      </c>
    </row>
    <row r="5686" spans="1:6" x14ac:dyDescent="0.3">
      <c r="A5686" t="s">
        <v>9564</v>
      </c>
      <c r="B5686" t="s">
        <v>9565</v>
      </c>
      <c r="C5686" t="s">
        <v>9566</v>
      </c>
      <c r="D5686">
        <v>81278667</v>
      </c>
      <c r="E5686">
        <v>9.6</v>
      </c>
      <c r="F5686">
        <v>7.67</v>
      </c>
    </row>
    <row r="5687" spans="1:6" x14ac:dyDescent="0.3">
      <c r="A5687" t="s">
        <v>9567</v>
      </c>
      <c r="B5687" t="s">
        <v>1758</v>
      </c>
      <c r="C5687" t="s">
        <v>4244</v>
      </c>
      <c r="D5687">
        <v>81280541</v>
      </c>
      <c r="E5687">
        <v>25.67</v>
      </c>
      <c r="F5687">
        <v>6.33</v>
      </c>
    </row>
    <row r="5688" spans="1:6" x14ac:dyDescent="0.3">
      <c r="A5688" t="s">
        <v>9568</v>
      </c>
      <c r="B5688" t="s">
        <v>8251</v>
      </c>
      <c r="C5688" t="s">
        <v>7132</v>
      </c>
      <c r="D5688">
        <v>81280825</v>
      </c>
      <c r="E5688">
        <v>3.07</v>
      </c>
      <c r="F5688">
        <v>6.82</v>
      </c>
    </row>
    <row r="5689" spans="1:6" x14ac:dyDescent="0.3">
      <c r="A5689" t="s">
        <v>9569</v>
      </c>
      <c r="B5689" t="s">
        <v>5031</v>
      </c>
      <c r="C5689" t="s">
        <v>9570</v>
      </c>
      <c r="D5689">
        <v>81281891</v>
      </c>
      <c r="E5689">
        <v>23.94</v>
      </c>
      <c r="F5689">
        <v>8.5</v>
      </c>
    </row>
    <row r="5690" spans="1:6" x14ac:dyDescent="0.3">
      <c r="A5690" t="s">
        <v>9571</v>
      </c>
      <c r="B5690" t="s">
        <v>9572</v>
      </c>
      <c r="C5690" t="s">
        <v>9523</v>
      </c>
      <c r="D5690">
        <v>81295652</v>
      </c>
      <c r="E5690">
        <v>3.85</v>
      </c>
      <c r="F5690">
        <v>7.04</v>
      </c>
    </row>
    <row r="5691" spans="1:6" x14ac:dyDescent="0.3">
      <c r="A5691" t="s">
        <v>9573</v>
      </c>
      <c r="B5691" t="s">
        <v>9574</v>
      </c>
      <c r="C5691" t="s">
        <v>8025</v>
      </c>
      <c r="D5691">
        <v>81351691</v>
      </c>
      <c r="E5691">
        <v>15.09</v>
      </c>
      <c r="F5691">
        <v>5.09</v>
      </c>
    </row>
    <row r="5692" spans="1:6" x14ac:dyDescent="0.3">
      <c r="A5692" t="s">
        <v>9575</v>
      </c>
      <c r="B5692" t="s">
        <v>9062</v>
      </c>
      <c r="C5692" t="s">
        <v>9576</v>
      </c>
      <c r="D5692">
        <v>81358362</v>
      </c>
      <c r="E5692">
        <v>15.25</v>
      </c>
      <c r="F5692">
        <v>8.75</v>
      </c>
    </row>
    <row r="5693" spans="1:6" x14ac:dyDescent="0.3">
      <c r="A5693" t="s">
        <v>9577</v>
      </c>
      <c r="B5693" t="s">
        <v>9578</v>
      </c>
      <c r="C5693" t="s">
        <v>2961</v>
      </c>
      <c r="D5693">
        <v>81360233</v>
      </c>
      <c r="E5693">
        <v>6.04</v>
      </c>
      <c r="F5693">
        <v>6.44</v>
      </c>
    </row>
    <row r="5694" spans="1:6" x14ac:dyDescent="0.3">
      <c r="A5694" t="s">
        <v>9579</v>
      </c>
      <c r="B5694" t="s">
        <v>9580</v>
      </c>
      <c r="C5694" t="s">
        <v>3448</v>
      </c>
      <c r="D5694">
        <v>81365900</v>
      </c>
      <c r="E5694">
        <v>11.57</v>
      </c>
      <c r="F5694">
        <v>5.25</v>
      </c>
    </row>
    <row r="5695" spans="1:6" x14ac:dyDescent="0.3">
      <c r="A5695" t="s">
        <v>9581</v>
      </c>
      <c r="B5695" t="s">
        <v>9582</v>
      </c>
      <c r="C5695" t="s">
        <v>9583</v>
      </c>
      <c r="D5695">
        <v>81372683</v>
      </c>
      <c r="E5695">
        <v>30.67</v>
      </c>
      <c r="F5695">
        <v>7.67</v>
      </c>
    </row>
    <row r="5696" spans="1:6" x14ac:dyDescent="0.3">
      <c r="A5696" t="s">
        <v>9584</v>
      </c>
      <c r="B5696" t="s">
        <v>7824</v>
      </c>
      <c r="C5696" t="s">
        <v>9585</v>
      </c>
      <c r="D5696">
        <v>81372788</v>
      </c>
      <c r="E5696">
        <v>31</v>
      </c>
      <c r="F5696">
        <v>2</v>
      </c>
    </row>
    <row r="5697" spans="1:6" x14ac:dyDescent="0.3">
      <c r="A5697" t="s">
        <v>9586</v>
      </c>
      <c r="B5697" t="s">
        <v>9587</v>
      </c>
      <c r="C5697" t="s">
        <v>1183</v>
      </c>
      <c r="D5697">
        <v>81373023</v>
      </c>
      <c r="E5697">
        <v>30.1</v>
      </c>
      <c r="F5697">
        <v>7.67</v>
      </c>
    </row>
    <row r="5698" spans="1:6" x14ac:dyDescent="0.3">
      <c r="A5698" t="s">
        <v>9588</v>
      </c>
      <c r="B5698" t="s">
        <v>7563</v>
      </c>
      <c r="C5698" t="s">
        <v>2758</v>
      </c>
      <c r="D5698">
        <v>81374245</v>
      </c>
      <c r="E5698">
        <v>14.34</v>
      </c>
      <c r="F5698">
        <v>6.46</v>
      </c>
    </row>
    <row r="5699" spans="1:6" x14ac:dyDescent="0.3">
      <c r="A5699" t="s">
        <v>9589</v>
      </c>
      <c r="B5699" t="s">
        <v>9590</v>
      </c>
      <c r="C5699" t="s">
        <v>2697</v>
      </c>
      <c r="D5699">
        <v>81377553</v>
      </c>
      <c r="E5699">
        <v>18.5</v>
      </c>
      <c r="F5699">
        <v>5</v>
      </c>
    </row>
    <row r="5700" spans="1:6" x14ac:dyDescent="0.3">
      <c r="A5700" t="s">
        <v>9591</v>
      </c>
      <c r="B5700" t="s">
        <v>9592</v>
      </c>
      <c r="C5700" t="s">
        <v>9593</v>
      </c>
      <c r="D5700">
        <v>81377748</v>
      </c>
      <c r="E5700">
        <v>3.89</v>
      </c>
      <c r="F5700">
        <v>6.4</v>
      </c>
    </row>
    <row r="5701" spans="1:6" x14ac:dyDescent="0.3">
      <c r="A5701" t="s">
        <v>9594</v>
      </c>
      <c r="B5701" t="s">
        <v>8810</v>
      </c>
      <c r="C5701" t="s">
        <v>7132</v>
      </c>
      <c r="D5701">
        <v>81391957</v>
      </c>
      <c r="E5701">
        <v>2.0299999999999998</v>
      </c>
      <c r="F5701">
        <v>8.9499999999999993</v>
      </c>
    </row>
    <row r="5702" spans="1:6" x14ac:dyDescent="0.3">
      <c r="A5702" t="s">
        <v>9595</v>
      </c>
      <c r="B5702" t="s">
        <v>9596</v>
      </c>
      <c r="C5702" t="s">
        <v>3448</v>
      </c>
      <c r="D5702">
        <v>81396967</v>
      </c>
      <c r="E5702">
        <v>16.78</v>
      </c>
      <c r="F5702">
        <v>7.56</v>
      </c>
    </row>
    <row r="5703" spans="1:6" x14ac:dyDescent="0.3">
      <c r="A5703" t="s">
        <v>9597</v>
      </c>
      <c r="B5703" t="s">
        <v>9598</v>
      </c>
      <c r="C5703" t="s">
        <v>5459</v>
      </c>
      <c r="D5703">
        <v>81404714</v>
      </c>
      <c r="E5703">
        <v>18.63</v>
      </c>
      <c r="F5703">
        <v>6.57</v>
      </c>
    </row>
    <row r="5704" spans="1:6" x14ac:dyDescent="0.3">
      <c r="A5704" t="s">
        <v>9599</v>
      </c>
      <c r="B5704" t="s">
        <v>9600</v>
      </c>
      <c r="C5704" t="s">
        <v>8632</v>
      </c>
      <c r="D5704">
        <v>81413188</v>
      </c>
      <c r="E5704">
        <v>19.260000000000002</v>
      </c>
      <c r="F5704">
        <v>6.64</v>
      </c>
    </row>
    <row r="5705" spans="1:6" x14ac:dyDescent="0.3">
      <c r="A5705" t="s">
        <v>9601</v>
      </c>
      <c r="B5705" t="s">
        <v>9602</v>
      </c>
      <c r="C5705" t="s">
        <v>5866</v>
      </c>
      <c r="D5705">
        <v>81428833</v>
      </c>
      <c r="E5705">
        <v>13.06</v>
      </c>
      <c r="F5705">
        <v>7.8</v>
      </c>
    </row>
    <row r="5706" spans="1:6" x14ac:dyDescent="0.3">
      <c r="A5706" t="s">
        <v>9603</v>
      </c>
      <c r="B5706" t="s">
        <v>9604</v>
      </c>
      <c r="C5706" t="s">
        <v>9605</v>
      </c>
      <c r="D5706">
        <v>81429222</v>
      </c>
      <c r="E5706">
        <v>28.6</v>
      </c>
      <c r="F5706">
        <v>3.8</v>
      </c>
    </row>
    <row r="5707" spans="1:6" x14ac:dyDescent="0.3">
      <c r="A5707" t="s">
        <v>9606</v>
      </c>
      <c r="B5707" t="s">
        <v>6884</v>
      </c>
      <c r="C5707" t="s">
        <v>2911</v>
      </c>
      <c r="D5707">
        <v>81435156</v>
      </c>
      <c r="E5707">
        <v>28</v>
      </c>
      <c r="F5707">
        <v>8</v>
      </c>
    </row>
    <row r="5708" spans="1:6" x14ac:dyDescent="0.3">
      <c r="A5708" t="s">
        <v>9607</v>
      </c>
      <c r="B5708" t="s">
        <v>2843</v>
      </c>
      <c r="C5708" t="s">
        <v>1560</v>
      </c>
      <c r="D5708">
        <v>81449508</v>
      </c>
      <c r="E5708">
        <v>2.15</v>
      </c>
      <c r="F5708">
        <v>6.23</v>
      </c>
    </row>
    <row r="5709" spans="1:6" x14ac:dyDescent="0.3">
      <c r="A5709" t="s">
        <v>9608</v>
      </c>
      <c r="B5709" t="s">
        <v>2756</v>
      </c>
      <c r="C5709" t="s">
        <v>9609</v>
      </c>
      <c r="D5709">
        <v>81451870</v>
      </c>
      <c r="E5709">
        <v>1.3</v>
      </c>
      <c r="F5709">
        <v>7.89</v>
      </c>
    </row>
    <row r="5710" spans="1:6" x14ac:dyDescent="0.3">
      <c r="A5710" t="s">
        <v>9610</v>
      </c>
      <c r="B5710" t="s">
        <v>9611</v>
      </c>
      <c r="C5710" t="s">
        <v>771</v>
      </c>
      <c r="D5710">
        <v>81460556</v>
      </c>
      <c r="E5710">
        <v>16.09</v>
      </c>
      <c r="F5710">
        <v>4.09</v>
      </c>
    </row>
    <row r="5711" spans="1:6" x14ac:dyDescent="0.3">
      <c r="A5711" t="s">
        <v>9612</v>
      </c>
      <c r="B5711" t="s">
        <v>9613</v>
      </c>
      <c r="C5711" t="s">
        <v>7840</v>
      </c>
      <c r="D5711">
        <v>81477702</v>
      </c>
      <c r="E5711">
        <v>3.7</v>
      </c>
      <c r="F5711">
        <v>6.16</v>
      </c>
    </row>
    <row r="5712" spans="1:6" x14ac:dyDescent="0.3">
      <c r="A5712" t="s">
        <v>9614</v>
      </c>
      <c r="B5712" t="s">
        <v>7523</v>
      </c>
      <c r="C5712" t="s">
        <v>9615</v>
      </c>
      <c r="D5712">
        <v>81480122</v>
      </c>
      <c r="E5712">
        <v>2.04</v>
      </c>
      <c r="F5712">
        <v>6.64</v>
      </c>
    </row>
    <row r="5713" spans="1:6" x14ac:dyDescent="0.3">
      <c r="A5713" t="s">
        <v>9616</v>
      </c>
      <c r="B5713" t="s">
        <v>9166</v>
      </c>
      <c r="C5713" t="s">
        <v>6027</v>
      </c>
      <c r="D5713">
        <v>81481578</v>
      </c>
      <c r="E5713">
        <v>4.38</v>
      </c>
      <c r="F5713">
        <v>5.6</v>
      </c>
    </row>
    <row r="5714" spans="1:6" x14ac:dyDescent="0.3">
      <c r="A5714" t="s">
        <v>9617</v>
      </c>
      <c r="B5714" t="s">
        <v>9618</v>
      </c>
      <c r="C5714" t="s">
        <v>9619</v>
      </c>
      <c r="D5714">
        <v>81482522</v>
      </c>
      <c r="E5714">
        <v>11.58</v>
      </c>
      <c r="F5714">
        <v>8.6199999999999992</v>
      </c>
    </row>
    <row r="5715" spans="1:6" x14ac:dyDescent="0.3">
      <c r="A5715" t="s">
        <v>9620</v>
      </c>
      <c r="B5715" t="s">
        <v>5900</v>
      </c>
      <c r="C5715" t="s">
        <v>4125</v>
      </c>
      <c r="D5715">
        <v>81483974</v>
      </c>
      <c r="E5715">
        <v>6.61</v>
      </c>
      <c r="F5715">
        <v>5.5</v>
      </c>
    </row>
    <row r="5716" spans="1:6" x14ac:dyDescent="0.3">
      <c r="A5716" t="s">
        <v>7251</v>
      </c>
      <c r="B5716" t="s">
        <v>9621</v>
      </c>
      <c r="C5716" t="s">
        <v>8232</v>
      </c>
      <c r="D5716">
        <v>81487788</v>
      </c>
      <c r="E5716" t="s">
        <v>3814</v>
      </c>
      <c r="F5716" t="s">
        <v>3814</v>
      </c>
    </row>
    <row r="5717" spans="1:6" x14ac:dyDescent="0.3">
      <c r="A5717" t="s">
        <v>9622</v>
      </c>
      <c r="B5717" t="s">
        <v>9623</v>
      </c>
      <c r="C5717" t="s">
        <v>9624</v>
      </c>
      <c r="D5717">
        <v>81493932</v>
      </c>
      <c r="E5717">
        <v>9.8800000000000008</v>
      </c>
      <c r="F5717">
        <v>6.4</v>
      </c>
    </row>
    <row r="5718" spans="1:6" x14ac:dyDescent="0.3">
      <c r="A5718" t="s">
        <v>9625</v>
      </c>
      <c r="B5718" t="s">
        <v>9626</v>
      </c>
      <c r="C5718" t="s">
        <v>9627</v>
      </c>
      <c r="D5718">
        <v>81518815</v>
      </c>
      <c r="E5718">
        <v>23</v>
      </c>
      <c r="F5718">
        <v>10</v>
      </c>
    </row>
    <row r="5719" spans="1:6" x14ac:dyDescent="0.3">
      <c r="A5719" t="s">
        <v>9628</v>
      </c>
      <c r="B5719" t="s">
        <v>7356</v>
      </c>
      <c r="C5719" t="s">
        <v>8038</v>
      </c>
      <c r="D5719">
        <v>81535535</v>
      </c>
      <c r="E5719">
        <v>30.09</v>
      </c>
      <c r="F5719">
        <v>8.58</v>
      </c>
    </row>
    <row r="5720" spans="1:6" x14ac:dyDescent="0.3">
      <c r="A5720" t="s">
        <v>9629</v>
      </c>
      <c r="B5720" t="s">
        <v>5206</v>
      </c>
      <c r="C5720" t="s">
        <v>9630</v>
      </c>
      <c r="D5720">
        <v>81548163</v>
      </c>
      <c r="E5720">
        <v>26.6</v>
      </c>
      <c r="F5720">
        <v>9.27</v>
      </c>
    </row>
    <row r="5721" spans="1:6" x14ac:dyDescent="0.3">
      <c r="A5721" t="s">
        <v>9631</v>
      </c>
      <c r="B5721" t="s">
        <v>7095</v>
      </c>
      <c r="C5721" t="s">
        <v>9632</v>
      </c>
      <c r="D5721">
        <v>81549790</v>
      </c>
      <c r="E5721">
        <v>21.63</v>
      </c>
      <c r="F5721">
        <v>6.63</v>
      </c>
    </row>
    <row r="5722" spans="1:6" x14ac:dyDescent="0.3">
      <c r="A5722" t="s">
        <v>9633</v>
      </c>
      <c r="B5722" t="s">
        <v>9178</v>
      </c>
      <c r="C5722" t="s">
        <v>7967</v>
      </c>
      <c r="D5722">
        <v>81566874</v>
      </c>
      <c r="E5722">
        <v>17.71</v>
      </c>
      <c r="F5722">
        <v>8</v>
      </c>
    </row>
    <row r="5723" spans="1:6" x14ac:dyDescent="0.3">
      <c r="A5723" t="s">
        <v>9634</v>
      </c>
      <c r="B5723" t="s">
        <v>4857</v>
      </c>
      <c r="C5723" t="s">
        <v>9635</v>
      </c>
      <c r="D5723">
        <v>81571309</v>
      </c>
      <c r="E5723">
        <v>4.03</v>
      </c>
      <c r="F5723">
        <v>7.48</v>
      </c>
    </row>
    <row r="5724" spans="1:6" x14ac:dyDescent="0.3">
      <c r="A5724" t="s">
        <v>9636</v>
      </c>
      <c r="B5724" t="s">
        <v>9637</v>
      </c>
      <c r="C5724" t="s">
        <v>4909</v>
      </c>
      <c r="D5724">
        <v>81573217</v>
      </c>
      <c r="E5724">
        <v>16.16</v>
      </c>
      <c r="F5724">
        <v>3.56</v>
      </c>
    </row>
    <row r="5725" spans="1:6" x14ac:dyDescent="0.3">
      <c r="A5725" t="s">
        <v>9638</v>
      </c>
      <c r="B5725" t="s">
        <v>9639</v>
      </c>
      <c r="C5725" t="s">
        <v>9640</v>
      </c>
      <c r="D5725">
        <v>81580511</v>
      </c>
      <c r="E5725">
        <v>7.27</v>
      </c>
      <c r="F5725">
        <v>8.3800000000000008</v>
      </c>
    </row>
    <row r="5726" spans="1:6" x14ac:dyDescent="0.3">
      <c r="A5726" t="s">
        <v>9641</v>
      </c>
      <c r="B5726" t="s">
        <v>7356</v>
      </c>
      <c r="C5726" t="s">
        <v>7354</v>
      </c>
      <c r="D5726">
        <v>81583127</v>
      </c>
      <c r="E5726">
        <v>29</v>
      </c>
      <c r="F5726">
        <v>3.17</v>
      </c>
    </row>
    <row r="5727" spans="1:6" x14ac:dyDescent="0.3">
      <c r="A5727" t="s">
        <v>9642</v>
      </c>
      <c r="B5727" t="s">
        <v>9643</v>
      </c>
      <c r="C5727" t="s">
        <v>1101</v>
      </c>
      <c r="D5727">
        <v>81586966</v>
      </c>
      <c r="E5727" t="s">
        <v>3814</v>
      </c>
      <c r="F5727" t="s">
        <v>3814</v>
      </c>
    </row>
    <row r="5728" spans="1:6" x14ac:dyDescent="0.3">
      <c r="A5728" t="s">
        <v>9644</v>
      </c>
      <c r="B5728" t="s">
        <v>9645</v>
      </c>
      <c r="C5728" t="s">
        <v>20</v>
      </c>
      <c r="D5728">
        <v>81602361</v>
      </c>
      <c r="E5728">
        <v>3.45</v>
      </c>
      <c r="F5728">
        <v>6.2</v>
      </c>
    </row>
    <row r="5729" spans="1:6" x14ac:dyDescent="0.3">
      <c r="A5729" t="s">
        <v>9646</v>
      </c>
      <c r="B5729" t="s">
        <v>7104</v>
      </c>
      <c r="C5729" t="s">
        <v>6985</v>
      </c>
      <c r="D5729">
        <v>81608598</v>
      </c>
      <c r="E5729">
        <v>3</v>
      </c>
      <c r="F5729">
        <v>7.56</v>
      </c>
    </row>
    <row r="5730" spans="1:6" x14ac:dyDescent="0.3">
      <c r="A5730" t="s">
        <v>9647</v>
      </c>
      <c r="B5730" t="s">
        <v>5206</v>
      </c>
      <c r="C5730" t="s">
        <v>3351</v>
      </c>
      <c r="D5730">
        <v>81611247</v>
      </c>
      <c r="E5730">
        <v>4.95</v>
      </c>
      <c r="F5730">
        <v>7.89</v>
      </c>
    </row>
    <row r="5731" spans="1:6" x14ac:dyDescent="0.3">
      <c r="A5731" t="s">
        <v>9648</v>
      </c>
      <c r="B5731" t="s">
        <v>9423</v>
      </c>
      <c r="C5731" t="s">
        <v>9649</v>
      </c>
      <c r="D5731">
        <v>81617669</v>
      </c>
      <c r="E5731">
        <v>2.09</v>
      </c>
      <c r="F5731">
        <v>6.97</v>
      </c>
    </row>
    <row r="5732" spans="1:6" x14ac:dyDescent="0.3">
      <c r="A5732" t="s">
        <v>9650</v>
      </c>
      <c r="B5732" t="s">
        <v>9651</v>
      </c>
      <c r="C5732" t="s">
        <v>3658</v>
      </c>
      <c r="D5732">
        <v>81617828</v>
      </c>
      <c r="E5732">
        <v>5.73</v>
      </c>
      <c r="F5732">
        <v>5</v>
      </c>
    </row>
    <row r="5733" spans="1:6" x14ac:dyDescent="0.3">
      <c r="A5733" t="s">
        <v>9652</v>
      </c>
      <c r="B5733" t="s">
        <v>9653</v>
      </c>
      <c r="C5733" t="s">
        <v>5756</v>
      </c>
      <c r="D5733">
        <v>81628687</v>
      </c>
      <c r="E5733">
        <v>7.4</v>
      </c>
      <c r="F5733">
        <v>5</v>
      </c>
    </row>
    <row r="5734" spans="1:6" x14ac:dyDescent="0.3">
      <c r="A5734" t="s">
        <v>9654</v>
      </c>
      <c r="B5734" t="s">
        <v>9655</v>
      </c>
      <c r="C5734" t="s">
        <v>4488</v>
      </c>
      <c r="D5734">
        <v>81636212</v>
      </c>
      <c r="E5734">
        <v>12.5</v>
      </c>
      <c r="F5734">
        <v>9</v>
      </c>
    </row>
    <row r="5735" spans="1:6" x14ac:dyDescent="0.3">
      <c r="A5735" t="s">
        <v>9656</v>
      </c>
      <c r="B5735" t="s">
        <v>7177</v>
      </c>
      <c r="C5735" t="s">
        <v>9657</v>
      </c>
      <c r="D5735">
        <v>81655996</v>
      </c>
      <c r="E5735">
        <v>10.89</v>
      </c>
      <c r="F5735">
        <v>8.75</v>
      </c>
    </row>
    <row r="5736" spans="1:6" x14ac:dyDescent="0.3">
      <c r="A5736" t="s">
        <v>9658</v>
      </c>
      <c r="B5736" t="s">
        <v>9659</v>
      </c>
      <c r="C5736" t="s">
        <v>9660</v>
      </c>
      <c r="D5736">
        <v>81656376</v>
      </c>
      <c r="E5736">
        <v>28.67</v>
      </c>
      <c r="F5736">
        <v>7.33</v>
      </c>
    </row>
    <row r="5737" spans="1:6" x14ac:dyDescent="0.3">
      <c r="A5737" t="s">
        <v>9661</v>
      </c>
      <c r="B5737" t="s">
        <v>8686</v>
      </c>
      <c r="C5737" t="s">
        <v>4164</v>
      </c>
      <c r="D5737">
        <v>81657786</v>
      </c>
      <c r="E5737">
        <v>12.12</v>
      </c>
      <c r="F5737">
        <v>6.83</v>
      </c>
    </row>
    <row r="5738" spans="1:6" x14ac:dyDescent="0.3">
      <c r="A5738" t="s">
        <v>9662</v>
      </c>
      <c r="B5738" t="s">
        <v>9663</v>
      </c>
      <c r="C5738" t="s">
        <v>9664</v>
      </c>
      <c r="D5738">
        <v>81658196</v>
      </c>
      <c r="E5738">
        <v>6.38</v>
      </c>
      <c r="F5738">
        <v>8</v>
      </c>
    </row>
    <row r="5739" spans="1:6" x14ac:dyDescent="0.3">
      <c r="A5739" t="s">
        <v>9665</v>
      </c>
      <c r="B5739" t="s">
        <v>5386</v>
      </c>
      <c r="C5739" t="s">
        <v>7190</v>
      </c>
      <c r="D5739">
        <v>81669594</v>
      </c>
      <c r="E5739">
        <v>16.55</v>
      </c>
      <c r="F5739">
        <v>7.54</v>
      </c>
    </row>
    <row r="5740" spans="1:6" x14ac:dyDescent="0.3">
      <c r="A5740" t="s">
        <v>9666</v>
      </c>
      <c r="B5740" t="s">
        <v>7604</v>
      </c>
      <c r="C5740" t="s">
        <v>8038</v>
      </c>
      <c r="D5740">
        <v>81688494</v>
      </c>
      <c r="E5740">
        <v>21.73</v>
      </c>
      <c r="F5740">
        <v>8.4</v>
      </c>
    </row>
    <row r="5741" spans="1:6" x14ac:dyDescent="0.3">
      <c r="A5741" t="s">
        <v>9667</v>
      </c>
      <c r="B5741" t="s">
        <v>9668</v>
      </c>
      <c r="C5741" t="s">
        <v>9669</v>
      </c>
      <c r="D5741">
        <v>81689997</v>
      </c>
      <c r="E5741">
        <v>6.5</v>
      </c>
      <c r="F5741">
        <v>5.5</v>
      </c>
    </row>
    <row r="5742" spans="1:6" x14ac:dyDescent="0.3">
      <c r="A5742" t="s">
        <v>9670</v>
      </c>
      <c r="B5742" t="s">
        <v>9671</v>
      </c>
      <c r="C5742" t="s">
        <v>1560</v>
      </c>
      <c r="D5742">
        <v>81699240</v>
      </c>
      <c r="E5742">
        <v>2.2999999999999998</v>
      </c>
      <c r="F5742">
        <v>6.96</v>
      </c>
    </row>
    <row r="5743" spans="1:6" x14ac:dyDescent="0.3">
      <c r="A5743" t="s">
        <v>9672</v>
      </c>
      <c r="B5743" t="s">
        <v>9673</v>
      </c>
      <c r="C5743" t="s">
        <v>3722</v>
      </c>
      <c r="D5743">
        <v>81702995</v>
      </c>
      <c r="E5743">
        <v>7.25</v>
      </c>
      <c r="F5743">
        <v>6.19</v>
      </c>
    </row>
    <row r="5744" spans="1:6" x14ac:dyDescent="0.3">
      <c r="A5744" t="s">
        <v>9674</v>
      </c>
      <c r="B5744" t="s">
        <v>7592</v>
      </c>
      <c r="C5744" t="s">
        <v>8083</v>
      </c>
      <c r="D5744">
        <v>81721025</v>
      </c>
      <c r="E5744">
        <v>33</v>
      </c>
      <c r="F5744">
        <v>7.67</v>
      </c>
    </row>
    <row r="5745" spans="1:6" x14ac:dyDescent="0.3">
      <c r="A5745" t="s">
        <v>9675</v>
      </c>
      <c r="B5745" t="s">
        <v>9676</v>
      </c>
      <c r="C5745" t="s">
        <v>6868</v>
      </c>
      <c r="D5745">
        <v>81725236</v>
      </c>
      <c r="E5745">
        <v>21.3</v>
      </c>
      <c r="F5745">
        <v>7.2</v>
      </c>
    </row>
    <row r="5746" spans="1:6" x14ac:dyDescent="0.3">
      <c r="A5746" t="s">
        <v>9677</v>
      </c>
      <c r="B5746" t="s">
        <v>9678</v>
      </c>
      <c r="C5746" t="s">
        <v>9679</v>
      </c>
      <c r="D5746">
        <v>81726232</v>
      </c>
      <c r="E5746">
        <v>21.43</v>
      </c>
      <c r="F5746">
        <v>5.5</v>
      </c>
    </row>
    <row r="5747" spans="1:6" x14ac:dyDescent="0.3">
      <c r="A5747" t="s">
        <v>9680</v>
      </c>
      <c r="B5747" t="s">
        <v>6226</v>
      </c>
      <c r="C5747" t="s">
        <v>9681</v>
      </c>
      <c r="D5747">
        <v>81730370</v>
      </c>
      <c r="E5747">
        <v>3.1</v>
      </c>
      <c r="F5747">
        <v>6.61</v>
      </c>
    </row>
    <row r="5748" spans="1:6" x14ac:dyDescent="0.3">
      <c r="A5748" t="s">
        <v>9682</v>
      </c>
      <c r="B5748" t="s">
        <v>3800</v>
      </c>
      <c r="C5748" t="s">
        <v>8793</v>
      </c>
      <c r="D5748">
        <v>81742215</v>
      </c>
      <c r="E5748">
        <v>4.4400000000000004</v>
      </c>
      <c r="F5748">
        <v>7.25</v>
      </c>
    </row>
    <row r="5749" spans="1:6" x14ac:dyDescent="0.3">
      <c r="A5749" t="s">
        <v>9683</v>
      </c>
      <c r="B5749" t="s">
        <v>9684</v>
      </c>
      <c r="C5749" t="s">
        <v>9685</v>
      </c>
      <c r="D5749">
        <v>81744548</v>
      </c>
      <c r="E5749">
        <v>21.26</v>
      </c>
      <c r="F5749">
        <v>5.87</v>
      </c>
    </row>
    <row r="5750" spans="1:6" x14ac:dyDescent="0.3">
      <c r="A5750" t="s">
        <v>9686</v>
      </c>
      <c r="B5750" t="s">
        <v>6349</v>
      </c>
      <c r="C5750" t="s">
        <v>9687</v>
      </c>
      <c r="D5750">
        <v>81748963</v>
      </c>
      <c r="E5750">
        <v>16.87</v>
      </c>
      <c r="F5750">
        <v>5.59</v>
      </c>
    </row>
    <row r="5751" spans="1:6" x14ac:dyDescent="0.3">
      <c r="A5751" t="s">
        <v>9688</v>
      </c>
      <c r="B5751" t="s">
        <v>91</v>
      </c>
      <c r="C5751" t="s">
        <v>9689</v>
      </c>
      <c r="D5751">
        <v>81753058</v>
      </c>
      <c r="E5751">
        <v>24</v>
      </c>
      <c r="F5751">
        <v>2.67</v>
      </c>
    </row>
    <row r="5752" spans="1:6" x14ac:dyDescent="0.3">
      <c r="A5752" t="s">
        <v>6965</v>
      </c>
      <c r="B5752" t="s">
        <v>9690</v>
      </c>
      <c r="C5752" t="s">
        <v>4488</v>
      </c>
      <c r="D5752">
        <v>81754967</v>
      </c>
      <c r="E5752">
        <v>25.67</v>
      </c>
      <c r="F5752">
        <v>5</v>
      </c>
    </row>
    <row r="5753" spans="1:6" x14ac:dyDescent="0.3">
      <c r="A5753" t="s">
        <v>9691</v>
      </c>
      <c r="B5753" t="s">
        <v>9692</v>
      </c>
      <c r="C5753" t="s">
        <v>9693</v>
      </c>
      <c r="D5753">
        <v>81764520</v>
      </c>
      <c r="E5753">
        <v>5.74</v>
      </c>
      <c r="F5753">
        <v>6.42</v>
      </c>
    </row>
    <row r="5754" spans="1:6" x14ac:dyDescent="0.3">
      <c r="A5754" t="s">
        <v>9694</v>
      </c>
      <c r="B5754" t="s">
        <v>5283</v>
      </c>
      <c r="C5754" t="s">
        <v>2907</v>
      </c>
      <c r="D5754">
        <v>81781838</v>
      </c>
      <c r="E5754">
        <v>2.25</v>
      </c>
      <c r="F5754">
        <v>6.77</v>
      </c>
    </row>
    <row r="5755" spans="1:6" x14ac:dyDescent="0.3">
      <c r="A5755" t="s">
        <v>9695</v>
      </c>
      <c r="B5755" t="s">
        <v>9696</v>
      </c>
      <c r="C5755" t="s">
        <v>2948</v>
      </c>
      <c r="D5755">
        <v>81787230</v>
      </c>
      <c r="E5755">
        <v>9.1300000000000008</v>
      </c>
      <c r="F5755">
        <v>7.17</v>
      </c>
    </row>
    <row r="5756" spans="1:6" x14ac:dyDescent="0.3">
      <c r="A5756" t="s">
        <v>9697</v>
      </c>
      <c r="B5756" t="s">
        <v>6115</v>
      </c>
      <c r="C5756" t="s">
        <v>9698</v>
      </c>
      <c r="D5756">
        <v>81799275</v>
      </c>
      <c r="E5756">
        <v>7.22</v>
      </c>
      <c r="F5756">
        <v>7.67</v>
      </c>
    </row>
    <row r="5757" spans="1:6" x14ac:dyDescent="0.3">
      <c r="A5757" t="s">
        <v>9699</v>
      </c>
      <c r="B5757" t="s">
        <v>2534</v>
      </c>
      <c r="C5757" t="s">
        <v>4696</v>
      </c>
      <c r="D5757">
        <v>81806143</v>
      </c>
      <c r="E5757">
        <v>6.25</v>
      </c>
      <c r="F5757">
        <v>7.63</v>
      </c>
    </row>
    <row r="5758" spans="1:6" x14ac:dyDescent="0.3">
      <c r="A5758" t="s">
        <v>9700</v>
      </c>
      <c r="B5758" t="s">
        <v>8883</v>
      </c>
      <c r="C5758" t="s">
        <v>9701</v>
      </c>
      <c r="D5758">
        <v>81809708</v>
      </c>
      <c r="E5758">
        <v>4.3499999999999996</v>
      </c>
      <c r="F5758">
        <v>6.79</v>
      </c>
    </row>
    <row r="5759" spans="1:6" x14ac:dyDescent="0.3">
      <c r="A5759" t="s">
        <v>9702</v>
      </c>
      <c r="B5759" t="s">
        <v>6635</v>
      </c>
      <c r="C5759" t="s">
        <v>7637</v>
      </c>
      <c r="D5759">
        <v>81816424</v>
      </c>
      <c r="E5759">
        <v>19.07</v>
      </c>
      <c r="F5759">
        <v>7.85</v>
      </c>
    </row>
    <row r="5760" spans="1:6" x14ac:dyDescent="0.3">
      <c r="A5760" t="s">
        <v>9703</v>
      </c>
      <c r="B5760" t="s">
        <v>3098</v>
      </c>
      <c r="C5760" t="s">
        <v>9704</v>
      </c>
      <c r="D5760">
        <v>81825825</v>
      </c>
      <c r="E5760">
        <v>16.510000000000002</v>
      </c>
      <c r="F5760">
        <v>8</v>
      </c>
    </row>
    <row r="5761" spans="1:6" x14ac:dyDescent="0.3">
      <c r="A5761" t="s">
        <v>9705</v>
      </c>
      <c r="B5761" t="s">
        <v>9706</v>
      </c>
      <c r="C5761" t="s">
        <v>5555</v>
      </c>
      <c r="D5761">
        <v>81830152</v>
      </c>
      <c r="E5761">
        <v>11.67</v>
      </c>
      <c r="F5761">
        <v>6.5</v>
      </c>
    </row>
    <row r="5762" spans="1:6" x14ac:dyDescent="0.3">
      <c r="A5762" t="s">
        <v>9707</v>
      </c>
      <c r="B5762" t="s">
        <v>8460</v>
      </c>
      <c r="C5762" t="s">
        <v>9394</v>
      </c>
      <c r="D5762">
        <v>81861461</v>
      </c>
      <c r="E5762">
        <v>3.73</v>
      </c>
      <c r="F5762">
        <v>5.92</v>
      </c>
    </row>
    <row r="5763" spans="1:6" x14ac:dyDescent="0.3">
      <c r="A5763" t="s">
        <v>7777</v>
      </c>
      <c r="B5763" t="s">
        <v>9708</v>
      </c>
      <c r="C5763" t="s">
        <v>9709</v>
      </c>
      <c r="D5763">
        <v>81863904</v>
      </c>
      <c r="E5763">
        <v>1.04</v>
      </c>
      <c r="F5763">
        <v>7.62</v>
      </c>
    </row>
    <row r="5764" spans="1:6" x14ac:dyDescent="0.3">
      <c r="A5764" t="s">
        <v>9710</v>
      </c>
      <c r="B5764" t="s">
        <v>9711</v>
      </c>
      <c r="C5764" t="s">
        <v>9712</v>
      </c>
      <c r="D5764">
        <v>81867250</v>
      </c>
      <c r="E5764">
        <v>8.15</v>
      </c>
      <c r="F5764">
        <v>7.5</v>
      </c>
    </row>
    <row r="5765" spans="1:6" x14ac:dyDescent="0.3">
      <c r="A5765" t="s">
        <v>9713</v>
      </c>
      <c r="B5765" t="s">
        <v>7933</v>
      </c>
      <c r="C5765" t="s">
        <v>9714</v>
      </c>
      <c r="D5765">
        <v>81880541</v>
      </c>
      <c r="E5765">
        <v>13</v>
      </c>
      <c r="F5765">
        <v>8.27</v>
      </c>
    </row>
    <row r="5766" spans="1:6" x14ac:dyDescent="0.3">
      <c r="A5766" t="s">
        <v>9715</v>
      </c>
      <c r="B5766" t="s">
        <v>8342</v>
      </c>
      <c r="C5766" t="s">
        <v>2660</v>
      </c>
      <c r="D5766">
        <v>81888299</v>
      </c>
      <c r="E5766">
        <v>10.06</v>
      </c>
      <c r="F5766">
        <v>8.81</v>
      </c>
    </row>
    <row r="5767" spans="1:6" x14ac:dyDescent="0.3">
      <c r="A5767" t="s">
        <v>8582</v>
      </c>
      <c r="B5767" t="s">
        <v>6676</v>
      </c>
      <c r="C5767" t="s">
        <v>7518</v>
      </c>
      <c r="D5767">
        <v>81888927</v>
      </c>
      <c r="E5767">
        <v>1.71</v>
      </c>
      <c r="F5767">
        <v>6.44</v>
      </c>
    </row>
    <row r="5768" spans="1:6" x14ac:dyDescent="0.3">
      <c r="A5768" t="s">
        <v>9716</v>
      </c>
      <c r="B5768" t="s">
        <v>9717</v>
      </c>
      <c r="C5768" t="s">
        <v>8281</v>
      </c>
      <c r="D5768">
        <v>81901277</v>
      </c>
      <c r="E5768">
        <v>7.66</v>
      </c>
      <c r="F5768">
        <v>7.08</v>
      </c>
    </row>
    <row r="5769" spans="1:6" x14ac:dyDescent="0.3">
      <c r="A5769" t="s">
        <v>9718</v>
      </c>
      <c r="B5769" t="s">
        <v>8743</v>
      </c>
      <c r="C5769" t="s">
        <v>9719</v>
      </c>
      <c r="D5769">
        <v>81906166</v>
      </c>
      <c r="E5769">
        <v>29</v>
      </c>
      <c r="F5769">
        <v>9</v>
      </c>
    </row>
    <row r="5770" spans="1:6" x14ac:dyDescent="0.3">
      <c r="A5770" t="s">
        <v>9720</v>
      </c>
      <c r="B5770" t="s">
        <v>9721</v>
      </c>
      <c r="C5770" t="s">
        <v>9714</v>
      </c>
      <c r="D5770">
        <v>81925556</v>
      </c>
      <c r="E5770">
        <v>2.91</v>
      </c>
      <c r="F5770">
        <v>7.59</v>
      </c>
    </row>
    <row r="5771" spans="1:6" x14ac:dyDescent="0.3">
      <c r="A5771" t="s">
        <v>9722</v>
      </c>
      <c r="B5771" t="s">
        <v>8493</v>
      </c>
      <c r="C5771" t="s">
        <v>1200</v>
      </c>
      <c r="D5771">
        <v>81937422</v>
      </c>
      <c r="E5771">
        <v>11.04</v>
      </c>
      <c r="F5771">
        <v>7.83</v>
      </c>
    </row>
    <row r="5772" spans="1:6" x14ac:dyDescent="0.3">
      <c r="A5772" t="s">
        <v>9723</v>
      </c>
      <c r="B5772" t="s">
        <v>6980</v>
      </c>
      <c r="C5772" t="s">
        <v>5596</v>
      </c>
      <c r="D5772">
        <v>81944593</v>
      </c>
      <c r="E5772">
        <v>22.07</v>
      </c>
      <c r="F5772">
        <v>6.89</v>
      </c>
    </row>
    <row r="5773" spans="1:6" x14ac:dyDescent="0.3">
      <c r="A5773" t="s">
        <v>9724</v>
      </c>
      <c r="B5773" t="s">
        <v>5464</v>
      </c>
      <c r="C5773" t="s">
        <v>4155</v>
      </c>
      <c r="D5773">
        <v>81948472</v>
      </c>
      <c r="E5773">
        <v>12.92</v>
      </c>
      <c r="F5773">
        <v>8.2200000000000006</v>
      </c>
    </row>
    <row r="5774" spans="1:6" x14ac:dyDescent="0.3">
      <c r="A5774" t="s">
        <v>9725</v>
      </c>
      <c r="B5774" t="s">
        <v>7789</v>
      </c>
      <c r="C5774" t="s">
        <v>9726</v>
      </c>
      <c r="D5774">
        <v>81949828</v>
      </c>
      <c r="E5774">
        <v>15.68</v>
      </c>
      <c r="F5774">
        <v>7.48</v>
      </c>
    </row>
    <row r="5775" spans="1:6" x14ac:dyDescent="0.3">
      <c r="A5775" t="s">
        <v>9727</v>
      </c>
      <c r="B5775" t="s">
        <v>9728</v>
      </c>
      <c r="C5775" t="s">
        <v>9729</v>
      </c>
      <c r="D5775">
        <v>81972926</v>
      </c>
      <c r="E5775">
        <v>19.77</v>
      </c>
      <c r="F5775">
        <v>6</v>
      </c>
    </row>
    <row r="5776" spans="1:6" x14ac:dyDescent="0.3">
      <c r="A5776" t="s">
        <v>9730</v>
      </c>
      <c r="B5776" t="s">
        <v>8338</v>
      </c>
      <c r="C5776" t="s">
        <v>3641</v>
      </c>
      <c r="D5776">
        <v>81992249</v>
      </c>
      <c r="E5776">
        <v>4.75</v>
      </c>
      <c r="F5776">
        <v>7.24</v>
      </c>
    </row>
    <row r="5777" spans="1:6" x14ac:dyDescent="0.3">
      <c r="A5777" t="s">
        <v>9731</v>
      </c>
      <c r="B5777" t="s">
        <v>9732</v>
      </c>
      <c r="C5777" t="s">
        <v>2970</v>
      </c>
      <c r="D5777">
        <v>81993851</v>
      </c>
      <c r="E5777">
        <v>15.42</v>
      </c>
      <c r="F5777">
        <v>4.21</v>
      </c>
    </row>
    <row r="5778" spans="1:6" x14ac:dyDescent="0.3">
      <c r="A5778" t="s">
        <v>9733</v>
      </c>
      <c r="B5778" t="s">
        <v>5696</v>
      </c>
      <c r="C5778" t="s">
        <v>6</v>
      </c>
      <c r="D5778">
        <v>81998680</v>
      </c>
      <c r="E5778" t="s">
        <v>3814</v>
      </c>
      <c r="F5778" t="s">
        <v>3814</v>
      </c>
    </row>
    <row r="5779" spans="1:6" x14ac:dyDescent="0.3">
      <c r="A5779" t="s">
        <v>9734</v>
      </c>
      <c r="B5779" t="s">
        <v>9735</v>
      </c>
      <c r="C5779" t="s">
        <v>9736</v>
      </c>
      <c r="D5779">
        <v>81998718</v>
      </c>
      <c r="E5779">
        <v>14.29</v>
      </c>
      <c r="F5779">
        <v>6.75</v>
      </c>
    </row>
    <row r="5780" spans="1:6" x14ac:dyDescent="0.3">
      <c r="A5780" t="s">
        <v>9737</v>
      </c>
      <c r="B5780" t="s">
        <v>1227</v>
      </c>
      <c r="C5780" t="s">
        <v>898</v>
      </c>
      <c r="D5780">
        <v>82015235</v>
      </c>
      <c r="E5780">
        <v>11.2</v>
      </c>
      <c r="F5780">
        <v>7.63</v>
      </c>
    </row>
    <row r="5781" spans="1:6" x14ac:dyDescent="0.3">
      <c r="A5781" t="s">
        <v>9738</v>
      </c>
      <c r="B5781" t="s">
        <v>4936</v>
      </c>
      <c r="C5781" t="s">
        <v>6072</v>
      </c>
      <c r="D5781">
        <v>82026581</v>
      </c>
      <c r="E5781">
        <v>6.4</v>
      </c>
      <c r="F5781">
        <v>7.64</v>
      </c>
    </row>
    <row r="5782" spans="1:6" x14ac:dyDescent="0.3">
      <c r="A5782" t="s">
        <v>9739</v>
      </c>
      <c r="B5782" t="s">
        <v>7629</v>
      </c>
      <c r="C5782" t="s">
        <v>9740</v>
      </c>
      <c r="D5782">
        <v>82029149</v>
      </c>
      <c r="E5782">
        <v>2.93</v>
      </c>
      <c r="F5782">
        <v>6.67</v>
      </c>
    </row>
    <row r="5783" spans="1:6" x14ac:dyDescent="0.3">
      <c r="A5783" t="s">
        <v>5227</v>
      </c>
      <c r="B5783" t="s">
        <v>9283</v>
      </c>
      <c r="C5783" t="s">
        <v>9046</v>
      </c>
      <c r="D5783">
        <v>82031904</v>
      </c>
      <c r="E5783">
        <v>1.91</v>
      </c>
      <c r="F5783">
        <v>6.46</v>
      </c>
    </row>
    <row r="5784" spans="1:6" x14ac:dyDescent="0.3">
      <c r="A5784" t="s">
        <v>9741</v>
      </c>
      <c r="B5784" t="s">
        <v>9742</v>
      </c>
      <c r="C5784" t="s">
        <v>9020</v>
      </c>
      <c r="D5784">
        <v>82039302</v>
      </c>
      <c r="E5784">
        <v>10.73</v>
      </c>
      <c r="F5784">
        <v>7.89</v>
      </c>
    </row>
    <row r="5785" spans="1:6" x14ac:dyDescent="0.3">
      <c r="A5785" t="s">
        <v>9743</v>
      </c>
      <c r="B5785" t="s">
        <v>9744</v>
      </c>
      <c r="C5785" t="s">
        <v>8134</v>
      </c>
      <c r="D5785">
        <v>82050378</v>
      </c>
      <c r="E5785">
        <v>5.22</v>
      </c>
      <c r="F5785">
        <v>6.57</v>
      </c>
    </row>
    <row r="5786" spans="1:6" x14ac:dyDescent="0.3">
      <c r="A5786" t="s">
        <v>9745</v>
      </c>
      <c r="B5786" t="s">
        <v>9746</v>
      </c>
      <c r="C5786" t="s">
        <v>9747</v>
      </c>
      <c r="D5786">
        <v>82091055</v>
      </c>
      <c r="E5786">
        <v>13.83</v>
      </c>
      <c r="F5786">
        <v>8.07</v>
      </c>
    </row>
    <row r="5787" spans="1:6" x14ac:dyDescent="0.3">
      <c r="A5787" t="s">
        <v>9748</v>
      </c>
      <c r="B5787" t="s">
        <v>9749</v>
      </c>
      <c r="C5787" t="s">
        <v>8674</v>
      </c>
      <c r="D5787">
        <v>82092116</v>
      </c>
      <c r="E5787">
        <v>20.11</v>
      </c>
      <c r="F5787">
        <v>7.91</v>
      </c>
    </row>
    <row r="5788" spans="1:6" x14ac:dyDescent="0.3">
      <c r="A5788" t="s">
        <v>9750</v>
      </c>
      <c r="B5788" t="s">
        <v>6145</v>
      </c>
      <c r="C5788" t="s">
        <v>5812</v>
      </c>
      <c r="D5788">
        <v>82104326</v>
      </c>
      <c r="E5788">
        <v>14.07</v>
      </c>
      <c r="F5788">
        <v>5.75</v>
      </c>
    </row>
    <row r="5789" spans="1:6" x14ac:dyDescent="0.3">
      <c r="A5789" t="s">
        <v>9751</v>
      </c>
      <c r="B5789" t="s">
        <v>9752</v>
      </c>
      <c r="C5789" t="s">
        <v>9753</v>
      </c>
      <c r="D5789">
        <v>82106233</v>
      </c>
      <c r="E5789">
        <v>7.3</v>
      </c>
      <c r="F5789">
        <v>8.4700000000000006</v>
      </c>
    </row>
    <row r="5790" spans="1:6" x14ac:dyDescent="0.3">
      <c r="A5790" t="s">
        <v>9754</v>
      </c>
      <c r="B5790" t="s">
        <v>6655</v>
      </c>
      <c r="C5790" t="s">
        <v>9755</v>
      </c>
      <c r="D5790">
        <v>82135935</v>
      </c>
      <c r="E5790">
        <v>5.36</v>
      </c>
      <c r="F5790">
        <v>5.98</v>
      </c>
    </row>
    <row r="5791" spans="1:6" x14ac:dyDescent="0.3">
      <c r="A5791" t="s">
        <v>9756</v>
      </c>
      <c r="B5791" t="s">
        <v>9757</v>
      </c>
      <c r="C5791" t="s">
        <v>3417</v>
      </c>
      <c r="D5791">
        <v>82141471</v>
      </c>
      <c r="E5791">
        <v>4.83</v>
      </c>
      <c r="F5791">
        <v>6.5</v>
      </c>
    </row>
    <row r="5792" spans="1:6" x14ac:dyDescent="0.3">
      <c r="A5792" t="s">
        <v>9758</v>
      </c>
      <c r="B5792" t="s">
        <v>7067</v>
      </c>
      <c r="C5792" t="s">
        <v>8100</v>
      </c>
      <c r="D5792">
        <v>82148336</v>
      </c>
      <c r="E5792">
        <v>22.69</v>
      </c>
      <c r="F5792">
        <v>8.4499999999999993</v>
      </c>
    </row>
    <row r="5793" spans="1:6" x14ac:dyDescent="0.3">
      <c r="A5793" t="s">
        <v>9759</v>
      </c>
      <c r="B5793" t="s">
        <v>6811</v>
      </c>
      <c r="C5793" t="s">
        <v>3958</v>
      </c>
      <c r="D5793">
        <v>82164023</v>
      </c>
      <c r="E5793">
        <v>2.0299999999999998</v>
      </c>
      <c r="F5793">
        <v>6.76</v>
      </c>
    </row>
    <row r="5794" spans="1:6" x14ac:dyDescent="0.3">
      <c r="A5794" t="s">
        <v>9760</v>
      </c>
      <c r="B5794" t="s">
        <v>4690</v>
      </c>
      <c r="C5794" t="s">
        <v>9340</v>
      </c>
      <c r="D5794">
        <v>82166068</v>
      </c>
      <c r="E5794">
        <v>4.63</v>
      </c>
      <c r="F5794">
        <v>6.48</v>
      </c>
    </row>
    <row r="5795" spans="1:6" x14ac:dyDescent="0.3">
      <c r="A5795" t="s">
        <v>9761</v>
      </c>
      <c r="B5795" t="s">
        <v>8808</v>
      </c>
      <c r="C5795" t="s">
        <v>1129</v>
      </c>
      <c r="D5795">
        <v>82170150</v>
      </c>
      <c r="E5795">
        <v>8.76</v>
      </c>
      <c r="F5795">
        <v>6.69</v>
      </c>
    </row>
    <row r="5796" spans="1:6" x14ac:dyDescent="0.3">
      <c r="A5796" t="s">
        <v>9762</v>
      </c>
      <c r="B5796" t="s">
        <v>9763</v>
      </c>
      <c r="C5796" t="s">
        <v>9764</v>
      </c>
      <c r="D5796">
        <v>82172844</v>
      </c>
      <c r="E5796">
        <v>33</v>
      </c>
      <c r="F5796">
        <v>7.5</v>
      </c>
    </row>
    <row r="5797" spans="1:6" x14ac:dyDescent="0.3">
      <c r="A5797" t="s">
        <v>9765</v>
      </c>
      <c r="B5797" t="s">
        <v>9766</v>
      </c>
      <c r="C5797" t="s">
        <v>9767</v>
      </c>
      <c r="D5797">
        <v>82178114</v>
      </c>
      <c r="E5797">
        <v>4.37</v>
      </c>
      <c r="F5797">
        <v>4.67</v>
      </c>
    </row>
    <row r="5798" spans="1:6" x14ac:dyDescent="0.3">
      <c r="A5798" t="s">
        <v>9768</v>
      </c>
      <c r="B5798" t="s">
        <v>9361</v>
      </c>
      <c r="C5798" t="s">
        <v>3555</v>
      </c>
      <c r="D5798">
        <v>82210980</v>
      </c>
      <c r="E5798">
        <v>14.24</v>
      </c>
      <c r="F5798">
        <v>6.89</v>
      </c>
    </row>
    <row r="5799" spans="1:6" x14ac:dyDescent="0.3">
      <c r="A5799" t="s">
        <v>9769</v>
      </c>
      <c r="B5799" t="s">
        <v>5464</v>
      </c>
      <c r="C5799" t="s">
        <v>9770</v>
      </c>
      <c r="D5799">
        <v>82217720</v>
      </c>
      <c r="E5799">
        <v>31.67</v>
      </c>
      <c r="F5799">
        <v>7</v>
      </c>
    </row>
    <row r="5800" spans="1:6" x14ac:dyDescent="0.3">
      <c r="A5800" t="s">
        <v>9771</v>
      </c>
      <c r="B5800" t="s">
        <v>9772</v>
      </c>
      <c r="C5800" t="s">
        <v>2304</v>
      </c>
      <c r="D5800">
        <v>82225395</v>
      </c>
      <c r="E5800">
        <v>29</v>
      </c>
      <c r="F5800">
        <v>6.5</v>
      </c>
    </row>
    <row r="5801" spans="1:6" x14ac:dyDescent="0.3">
      <c r="A5801" t="s">
        <v>9773</v>
      </c>
      <c r="B5801" t="s">
        <v>7588</v>
      </c>
      <c r="C5801" t="s">
        <v>9774</v>
      </c>
      <c r="D5801">
        <v>82249742</v>
      </c>
      <c r="E5801" t="s">
        <v>3814</v>
      </c>
      <c r="F5801" t="s">
        <v>3814</v>
      </c>
    </row>
    <row r="5802" spans="1:6" x14ac:dyDescent="0.3">
      <c r="A5802" t="s">
        <v>9775</v>
      </c>
      <c r="B5802" t="s">
        <v>9776</v>
      </c>
      <c r="C5802" t="s">
        <v>7780</v>
      </c>
      <c r="D5802">
        <v>82261227</v>
      </c>
      <c r="E5802">
        <v>12.75</v>
      </c>
      <c r="F5802">
        <v>7.22</v>
      </c>
    </row>
    <row r="5803" spans="1:6" x14ac:dyDescent="0.3">
      <c r="A5803" t="s">
        <v>9777</v>
      </c>
      <c r="B5803" t="s">
        <v>4100</v>
      </c>
      <c r="C5803" t="s">
        <v>1352</v>
      </c>
      <c r="D5803">
        <v>82273446</v>
      </c>
      <c r="E5803">
        <v>18.2</v>
      </c>
      <c r="F5803">
        <v>7.6</v>
      </c>
    </row>
    <row r="5804" spans="1:6" x14ac:dyDescent="0.3">
      <c r="A5804" t="s">
        <v>9778</v>
      </c>
      <c r="B5804" t="s">
        <v>8159</v>
      </c>
      <c r="C5804" t="s">
        <v>5010</v>
      </c>
      <c r="D5804">
        <v>82289713</v>
      </c>
      <c r="E5804">
        <v>1.1499999999999999</v>
      </c>
      <c r="F5804">
        <v>6.34</v>
      </c>
    </row>
    <row r="5805" spans="1:6" x14ac:dyDescent="0.3">
      <c r="A5805" t="s">
        <v>9779</v>
      </c>
      <c r="B5805" t="s">
        <v>9780</v>
      </c>
      <c r="C5805" t="s">
        <v>5948</v>
      </c>
      <c r="D5805">
        <v>82290013</v>
      </c>
      <c r="E5805">
        <v>3.25</v>
      </c>
      <c r="F5805">
        <v>6.34</v>
      </c>
    </row>
    <row r="5806" spans="1:6" x14ac:dyDescent="0.3">
      <c r="A5806" t="s">
        <v>9781</v>
      </c>
      <c r="B5806" t="s">
        <v>6644</v>
      </c>
      <c r="C5806" t="s">
        <v>4186</v>
      </c>
      <c r="D5806">
        <v>82292721</v>
      </c>
      <c r="E5806">
        <v>18</v>
      </c>
      <c r="F5806">
        <v>0</v>
      </c>
    </row>
    <row r="5807" spans="1:6" x14ac:dyDescent="0.3">
      <c r="A5807" t="s">
        <v>9782</v>
      </c>
      <c r="B5807" t="s">
        <v>8981</v>
      </c>
      <c r="C5807" t="s">
        <v>9783</v>
      </c>
      <c r="D5807">
        <v>82307650</v>
      </c>
      <c r="E5807">
        <v>9.73</v>
      </c>
      <c r="F5807">
        <v>7.66</v>
      </c>
    </row>
    <row r="5808" spans="1:6" x14ac:dyDescent="0.3">
      <c r="A5808" t="s">
        <v>9784</v>
      </c>
      <c r="B5808" t="s">
        <v>9785</v>
      </c>
      <c r="C5808" t="s">
        <v>9786</v>
      </c>
      <c r="D5808">
        <v>82310746</v>
      </c>
      <c r="E5808">
        <v>4.8</v>
      </c>
      <c r="F5808">
        <v>2.75</v>
      </c>
    </row>
    <row r="5809" spans="1:6" x14ac:dyDescent="0.3">
      <c r="A5809" t="s">
        <v>9787</v>
      </c>
      <c r="B5809" t="s">
        <v>9788</v>
      </c>
      <c r="C5809" t="s">
        <v>9787</v>
      </c>
      <c r="D5809">
        <v>82310797</v>
      </c>
      <c r="E5809">
        <v>2.89</v>
      </c>
      <c r="F5809">
        <v>6.42</v>
      </c>
    </row>
    <row r="5810" spans="1:6" x14ac:dyDescent="0.3">
      <c r="A5810" t="s">
        <v>9789</v>
      </c>
      <c r="B5810" t="s">
        <v>9790</v>
      </c>
      <c r="C5810" t="s">
        <v>9116</v>
      </c>
      <c r="D5810">
        <v>82332077</v>
      </c>
      <c r="E5810">
        <v>2.12</v>
      </c>
      <c r="F5810">
        <v>6.41</v>
      </c>
    </row>
    <row r="5811" spans="1:6" x14ac:dyDescent="0.3">
      <c r="A5811" t="s">
        <v>9791</v>
      </c>
      <c r="B5811" t="s">
        <v>9792</v>
      </c>
      <c r="C5811" t="s">
        <v>2810</v>
      </c>
      <c r="D5811">
        <v>82335470</v>
      </c>
      <c r="E5811">
        <v>15.96</v>
      </c>
      <c r="F5811">
        <v>5.95</v>
      </c>
    </row>
    <row r="5812" spans="1:6" x14ac:dyDescent="0.3">
      <c r="A5812" t="s">
        <v>9793</v>
      </c>
      <c r="B5812" t="s">
        <v>9794</v>
      </c>
      <c r="C5812" t="s">
        <v>4818</v>
      </c>
      <c r="D5812">
        <v>82341813</v>
      </c>
      <c r="E5812">
        <v>23.67</v>
      </c>
      <c r="F5812">
        <v>7.33</v>
      </c>
    </row>
    <row r="5813" spans="1:6" x14ac:dyDescent="0.3">
      <c r="A5813" t="s">
        <v>9795</v>
      </c>
      <c r="B5813" t="s">
        <v>7701</v>
      </c>
      <c r="C5813" t="s">
        <v>1667</v>
      </c>
      <c r="D5813">
        <v>82347990</v>
      </c>
      <c r="E5813">
        <v>3</v>
      </c>
      <c r="F5813">
        <v>6.32</v>
      </c>
    </row>
    <row r="5814" spans="1:6" x14ac:dyDescent="0.3">
      <c r="A5814" t="s">
        <v>9796</v>
      </c>
      <c r="B5814" t="s">
        <v>8516</v>
      </c>
      <c r="C5814" t="s">
        <v>1213</v>
      </c>
      <c r="D5814">
        <v>82348741</v>
      </c>
      <c r="E5814">
        <v>23.04</v>
      </c>
      <c r="F5814">
        <v>5.63</v>
      </c>
    </row>
    <row r="5815" spans="1:6" x14ac:dyDescent="0.3">
      <c r="A5815" t="s">
        <v>9797</v>
      </c>
      <c r="B5815" t="s">
        <v>9798</v>
      </c>
      <c r="C5815" t="s">
        <v>9799</v>
      </c>
      <c r="D5815">
        <v>82360413</v>
      </c>
      <c r="E5815">
        <v>12.2</v>
      </c>
      <c r="F5815">
        <v>6</v>
      </c>
    </row>
    <row r="5816" spans="1:6" x14ac:dyDescent="0.3">
      <c r="A5816" t="s">
        <v>9800</v>
      </c>
      <c r="B5816" t="s">
        <v>7604</v>
      </c>
      <c r="C5816" t="s">
        <v>727</v>
      </c>
      <c r="D5816">
        <v>82363775</v>
      </c>
      <c r="E5816">
        <v>10.36</v>
      </c>
      <c r="F5816">
        <v>8.76</v>
      </c>
    </row>
    <row r="5817" spans="1:6" x14ac:dyDescent="0.3">
      <c r="A5817" t="s">
        <v>9801</v>
      </c>
      <c r="B5817" t="s">
        <v>9234</v>
      </c>
      <c r="C5817" t="s">
        <v>8503</v>
      </c>
      <c r="D5817">
        <v>82364304</v>
      </c>
      <c r="E5817">
        <v>8.7100000000000009</v>
      </c>
      <c r="F5817">
        <v>6.58</v>
      </c>
    </row>
    <row r="5818" spans="1:6" x14ac:dyDescent="0.3">
      <c r="A5818" t="s">
        <v>9802</v>
      </c>
      <c r="B5818" t="s">
        <v>8565</v>
      </c>
      <c r="C5818" t="s">
        <v>9803</v>
      </c>
      <c r="D5818">
        <v>82373243</v>
      </c>
      <c r="E5818">
        <v>13.64</v>
      </c>
      <c r="F5818">
        <v>8.44</v>
      </c>
    </row>
    <row r="5819" spans="1:6" x14ac:dyDescent="0.3">
      <c r="A5819" t="s">
        <v>9804</v>
      </c>
      <c r="B5819" t="s">
        <v>8988</v>
      </c>
      <c r="C5819" t="s">
        <v>4254</v>
      </c>
      <c r="D5819">
        <v>82382742</v>
      </c>
      <c r="E5819">
        <v>20.29</v>
      </c>
      <c r="F5819">
        <v>6.29</v>
      </c>
    </row>
    <row r="5820" spans="1:6" x14ac:dyDescent="0.3">
      <c r="A5820" t="s">
        <v>9805</v>
      </c>
      <c r="B5820" t="s">
        <v>2583</v>
      </c>
      <c r="C5820" t="s">
        <v>9806</v>
      </c>
      <c r="D5820">
        <v>82388666</v>
      </c>
      <c r="E5820">
        <v>6.5</v>
      </c>
      <c r="F5820">
        <v>7.57</v>
      </c>
    </row>
    <row r="5821" spans="1:6" x14ac:dyDescent="0.3">
      <c r="A5821" t="s">
        <v>9807</v>
      </c>
      <c r="B5821" t="s">
        <v>2203</v>
      </c>
      <c r="C5821" t="s">
        <v>9808</v>
      </c>
      <c r="D5821">
        <v>82427310</v>
      </c>
      <c r="E5821">
        <v>3.93</v>
      </c>
      <c r="F5821">
        <v>5.05</v>
      </c>
    </row>
    <row r="5822" spans="1:6" x14ac:dyDescent="0.3">
      <c r="A5822" t="s">
        <v>9809</v>
      </c>
      <c r="B5822" t="s">
        <v>7582</v>
      </c>
      <c r="C5822" t="s">
        <v>5772</v>
      </c>
      <c r="D5822">
        <v>82442669</v>
      </c>
      <c r="E5822">
        <v>1.67</v>
      </c>
      <c r="F5822">
        <v>7.3</v>
      </c>
    </row>
    <row r="5823" spans="1:6" x14ac:dyDescent="0.3">
      <c r="A5823" t="s">
        <v>9810</v>
      </c>
      <c r="B5823" t="s">
        <v>9811</v>
      </c>
      <c r="C5823" t="s">
        <v>4650</v>
      </c>
      <c r="D5823">
        <v>82444998</v>
      </c>
      <c r="E5823">
        <v>3.97</v>
      </c>
      <c r="F5823">
        <v>5.64</v>
      </c>
    </row>
    <row r="5824" spans="1:6" x14ac:dyDescent="0.3">
      <c r="A5824" t="s">
        <v>9812</v>
      </c>
      <c r="B5824" t="s">
        <v>9776</v>
      </c>
      <c r="C5824" t="s">
        <v>9813</v>
      </c>
      <c r="D5824">
        <v>82455539</v>
      </c>
      <c r="E5824">
        <v>8.75</v>
      </c>
      <c r="F5824">
        <v>5.9</v>
      </c>
    </row>
    <row r="5825" spans="1:6" x14ac:dyDescent="0.3">
      <c r="A5825" t="s">
        <v>9814</v>
      </c>
      <c r="B5825" t="s">
        <v>5538</v>
      </c>
      <c r="C5825" t="s">
        <v>9815</v>
      </c>
      <c r="D5825">
        <v>82493638</v>
      </c>
      <c r="E5825">
        <v>17.71</v>
      </c>
      <c r="F5825">
        <v>6.46</v>
      </c>
    </row>
    <row r="5826" spans="1:6" x14ac:dyDescent="0.3">
      <c r="A5826" t="s">
        <v>9816</v>
      </c>
      <c r="B5826" t="s">
        <v>9817</v>
      </c>
      <c r="C5826" t="s">
        <v>9818</v>
      </c>
      <c r="D5826">
        <v>82495121</v>
      </c>
      <c r="E5826">
        <v>3.64</v>
      </c>
      <c r="F5826">
        <v>5.92</v>
      </c>
    </row>
    <row r="5827" spans="1:6" x14ac:dyDescent="0.3">
      <c r="A5827" t="s">
        <v>9819</v>
      </c>
      <c r="B5827" t="s">
        <v>9820</v>
      </c>
      <c r="C5827" t="s">
        <v>818</v>
      </c>
      <c r="D5827">
        <v>82500244</v>
      </c>
      <c r="E5827">
        <v>15.96</v>
      </c>
      <c r="F5827">
        <v>7</v>
      </c>
    </row>
    <row r="5828" spans="1:6" x14ac:dyDescent="0.3">
      <c r="A5828" t="s">
        <v>9821</v>
      </c>
      <c r="B5828" t="s">
        <v>2228</v>
      </c>
      <c r="C5828" t="s">
        <v>3035</v>
      </c>
      <c r="D5828">
        <v>82510517</v>
      </c>
      <c r="E5828">
        <v>2.93</v>
      </c>
      <c r="F5828">
        <v>7.98</v>
      </c>
    </row>
    <row r="5829" spans="1:6" x14ac:dyDescent="0.3">
      <c r="A5829" t="s">
        <v>9822</v>
      </c>
      <c r="B5829" t="s">
        <v>9823</v>
      </c>
      <c r="C5829" t="s">
        <v>4488</v>
      </c>
      <c r="D5829">
        <v>82526134</v>
      </c>
      <c r="E5829">
        <v>3.25</v>
      </c>
      <c r="F5829">
        <v>6.85</v>
      </c>
    </row>
    <row r="5830" spans="1:6" x14ac:dyDescent="0.3">
      <c r="A5830" t="s">
        <v>9824</v>
      </c>
      <c r="B5830" t="s">
        <v>6615</v>
      </c>
      <c r="C5830" t="s">
        <v>2388</v>
      </c>
      <c r="D5830">
        <v>82534159</v>
      </c>
      <c r="E5830">
        <v>18.5</v>
      </c>
      <c r="F5830">
        <v>3</v>
      </c>
    </row>
    <row r="5831" spans="1:6" x14ac:dyDescent="0.3">
      <c r="A5831" t="s">
        <v>9825</v>
      </c>
      <c r="B5831" t="s">
        <v>9826</v>
      </c>
      <c r="C5831" t="s">
        <v>1418</v>
      </c>
      <c r="D5831">
        <v>82544060</v>
      </c>
      <c r="E5831" t="s">
        <v>3814</v>
      </c>
      <c r="F5831" t="s">
        <v>3814</v>
      </c>
    </row>
    <row r="5832" spans="1:6" x14ac:dyDescent="0.3">
      <c r="A5832" t="s">
        <v>9827</v>
      </c>
      <c r="B5832" t="s">
        <v>8663</v>
      </c>
      <c r="C5832" t="s">
        <v>6909</v>
      </c>
      <c r="D5832">
        <v>82550944</v>
      </c>
      <c r="E5832">
        <v>4</v>
      </c>
      <c r="F5832">
        <v>5.08</v>
      </c>
    </row>
    <row r="5833" spans="1:6" x14ac:dyDescent="0.3">
      <c r="A5833" t="s">
        <v>9828</v>
      </c>
      <c r="B5833" t="s">
        <v>6361</v>
      </c>
      <c r="C5833" t="s">
        <v>8793</v>
      </c>
      <c r="D5833">
        <v>82560305</v>
      </c>
      <c r="E5833">
        <v>5.75</v>
      </c>
      <c r="F5833">
        <v>7.28</v>
      </c>
    </row>
    <row r="5834" spans="1:6" x14ac:dyDescent="0.3">
      <c r="A5834" t="s">
        <v>9829</v>
      </c>
      <c r="B5834" t="s">
        <v>9830</v>
      </c>
      <c r="C5834" t="s">
        <v>6432</v>
      </c>
      <c r="D5834">
        <v>82560640</v>
      </c>
      <c r="E5834">
        <v>2.54</v>
      </c>
      <c r="F5834">
        <v>5.89</v>
      </c>
    </row>
    <row r="5835" spans="1:6" x14ac:dyDescent="0.3">
      <c r="A5835" t="s">
        <v>9831</v>
      </c>
      <c r="B5835" t="s">
        <v>9832</v>
      </c>
      <c r="C5835" t="s">
        <v>6</v>
      </c>
      <c r="D5835">
        <v>82564680</v>
      </c>
      <c r="E5835">
        <v>18.57</v>
      </c>
      <c r="F5835">
        <v>4.83</v>
      </c>
    </row>
    <row r="5836" spans="1:6" x14ac:dyDescent="0.3">
      <c r="A5836" t="s">
        <v>9833</v>
      </c>
      <c r="B5836" t="s">
        <v>9834</v>
      </c>
      <c r="C5836" t="s">
        <v>9835</v>
      </c>
      <c r="D5836">
        <v>82572617</v>
      </c>
      <c r="E5836">
        <v>9.51</v>
      </c>
      <c r="F5836">
        <v>7.5</v>
      </c>
    </row>
    <row r="5837" spans="1:6" x14ac:dyDescent="0.3">
      <c r="A5837" t="s">
        <v>9836</v>
      </c>
      <c r="B5837" t="s">
        <v>9837</v>
      </c>
      <c r="C5837" t="s">
        <v>5812</v>
      </c>
      <c r="D5837">
        <v>82573813</v>
      </c>
      <c r="E5837">
        <v>5.0599999999999996</v>
      </c>
      <c r="F5837">
        <v>6.88</v>
      </c>
    </row>
    <row r="5838" spans="1:6" x14ac:dyDescent="0.3">
      <c r="A5838" t="s">
        <v>9838</v>
      </c>
      <c r="B5838" t="s">
        <v>9839</v>
      </c>
      <c r="C5838" t="s">
        <v>3551</v>
      </c>
      <c r="D5838">
        <v>82575128</v>
      </c>
      <c r="E5838">
        <v>6.69</v>
      </c>
      <c r="F5838">
        <v>8.8000000000000007</v>
      </c>
    </row>
    <row r="5839" spans="1:6" x14ac:dyDescent="0.3">
      <c r="A5839" t="s">
        <v>9840</v>
      </c>
      <c r="B5839" t="s">
        <v>9841</v>
      </c>
      <c r="C5839" t="s">
        <v>9842</v>
      </c>
      <c r="D5839">
        <v>82587931</v>
      </c>
      <c r="E5839">
        <v>18</v>
      </c>
      <c r="F5839">
        <v>6.33</v>
      </c>
    </row>
    <row r="5840" spans="1:6" x14ac:dyDescent="0.3">
      <c r="A5840" t="s">
        <v>9843</v>
      </c>
      <c r="B5840" t="s">
        <v>9844</v>
      </c>
      <c r="C5840" t="s">
        <v>9845</v>
      </c>
      <c r="D5840">
        <v>82595578</v>
      </c>
      <c r="E5840">
        <v>16.920000000000002</v>
      </c>
      <c r="F5840">
        <v>7.96</v>
      </c>
    </row>
    <row r="5841" spans="1:6" x14ac:dyDescent="0.3">
      <c r="A5841" t="s">
        <v>9846</v>
      </c>
      <c r="B5841" t="s">
        <v>9847</v>
      </c>
      <c r="C5841" t="s">
        <v>6342</v>
      </c>
      <c r="D5841">
        <v>82598548</v>
      </c>
      <c r="E5841">
        <v>21.28</v>
      </c>
      <c r="F5841">
        <v>7.54</v>
      </c>
    </row>
    <row r="5842" spans="1:6" x14ac:dyDescent="0.3">
      <c r="A5842" t="s">
        <v>9848</v>
      </c>
      <c r="B5842" t="s">
        <v>9849</v>
      </c>
      <c r="C5842" t="s">
        <v>9850</v>
      </c>
      <c r="D5842">
        <v>82599323</v>
      </c>
      <c r="E5842">
        <v>17.38</v>
      </c>
      <c r="F5842">
        <v>7.43</v>
      </c>
    </row>
    <row r="5843" spans="1:6" x14ac:dyDescent="0.3">
      <c r="A5843" t="s">
        <v>9851</v>
      </c>
      <c r="B5843" t="s">
        <v>2362</v>
      </c>
      <c r="C5843" t="s">
        <v>797</v>
      </c>
      <c r="D5843">
        <v>82605676</v>
      </c>
      <c r="E5843">
        <v>9.3800000000000008</v>
      </c>
      <c r="F5843">
        <v>7.93</v>
      </c>
    </row>
    <row r="5844" spans="1:6" x14ac:dyDescent="0.3">
      <c r="A5844" t="s">
        <v>9852</v>
      </c>
      <c r="B5844" t="s">
        <v>4540</v>
      </c>
      <c r="C5844" t="s">
        <v>9853</v>
      </c>
      <c r="D5844">
        <v>82606722</v>
      </c>
      <c r="E5844" t="s">
        <v>3814</v>
      </c>
      <c r="F5844" t="s">
        <v>3814</v>
      </c>
    </row>
    <row r="5845" spans="1:6" x14ac:dyDescent="0.3">
      <c r="A5845" t="s">
        <v>9854</v>
      </c>
      <c r="B5845" t="s">
        <v>9855</v>
      </c>
      <c r="C5845" t="s">
        <v>9856</v>
      </c>
      <c r="D5845">
        <v>82608821</v>
      </c>
      <c r="E5845">
        <v>5.36</v>
      </c>
      <c r="F5845">
        <v>7.14</v>
      </c>
    </row>
    <row r="5846" spans="1:6" x14ac:dyDescent="0.3">
      <c r="A5846" t="s">
        <v>9857</v>
      </c>
      <c r="B5846" t="s">
        <v>9858</v>
      </c>
      <c r="C5846" t="s">
        <v>9859</v>
      </c>
      <c r="D5846">
        <v>82614693</v>
      </c>
      <c r="E5846">
        <v>2.83</v>
      </c>
      <c r="F5846">
        <v>5.15</v>
      </c>
    </row>
    <row r="5847" spans="1:6" x14ac:dyDescent="0.3">
      <c r="A5847" t="s">
        <v>9860</v>
      </c>
      <c r="B5847" t="s">
        <v>8397</v>
      </c>
      <c r="C5847" t="s">
        <v>9861</v>
      </c>
      <c r="D5847">
        <v>82618299</v>
      </c>
      <c r="E5847">
        <v>2.39</v>
      </c>
      <c r="F5847">
        <v>7.08</v>
      </c>
    </row>
    <row r="5848" spans="1:6" x14ac:dyDescent="0.3">
      <c r="A5848" t="s">
        <v>9862</v>
      </c>
      <c r="B5848" t="s">
        <v>9863</v>
      </c>
      <c r="C5848" t="s">
        <v>9864</v>
      </c>
      <c r="D5848">
        <v>82620233</v>
      </c>
      <c r="E5848">
        <v>12.6</v>
      </c>
      <c r="F5848">
        <v>7.78</v>
      </c>
    </row>
    <row r="5849" spans="1:6" x14ac:dyDescent="0.3">
      <c r="A5849" t="s">
        <v>9865</v>
      </c>
      <c r="B5849" t="s">
        <v>9866</v>
      </c>
      <c r="C5849" t="s">
        <v>313</v>
      </c>
      <c r="D5849">
        <v>82620343</v>
      </c>
      <c r="E5849">
        <v>13</v>
      </c>
      <c r="F5849">
        <v>6.33</v>
      </c>
    </row>
    <row r="5850" spans="1:6" x14ac:dyDescent="0.3">
      <c r="A5850" t="s">
        <v>9867</v>
      </c>
      <c r="B5850" t="s">
        <v>9178</v>
      </c>
      <c r="C5850" t="s">
        <v>9868</v>
      </c>
      <c r="D5850">
        <v>82622155</v>
      </c>
      <c r="E5850">
        <v>4.53</v>
      </c>
      <c r="F5850">
        <v>7.61</v>
      </c>
    </row>
    <row r="5851" spans="1:6" x14ac:dyDescent="0.3">
      <c r="A5851" t="s">
        <v>9869</v>
      </c>
      <c r="B5851" t="s">
        <v>9870</v>
      </c>
      <c r="C5851" t="s">
        <v>9609</v>
      </c>
      <c r="D5851">
        <v>82622349</v>
      </c>
      <c r="E5851">
        <v>6</v>
      </c>
      <c r="F5851">
        <v>3.54</v>
      </c>
    </row>
    <row r="5852" spans="1:6" x14ac:dyDescent="0.3">
      <c r="A5852" t="s">
        <v>9871</v>
      </c>
      <c r="B5852" t="s">
        <v>8903</v>
      </c>
      <c r="C5852" t="s">
        <v>4981</v>
      </c>
      <c r="D5852">
        <v>82624251</v>
      </c>
      <c r="E5852">
        <v>1.97</v>
      </c>
      <c r="F5852">
        <v>6.84</v>
      </c>
    </row>
    <row r="5853" spans="1:6" x14ac:dyDescent="0.3">
      <c r="A5853" t="s">
        <v>9872</v>
      </c>
      <c r="B5853" t="s">
        <v>9873</v>
      </c>
      <c r="C5853" t="s">
        <v>9874</v>
      </c>
      <c r="D5853">
        <v>82629562</v>
      </c>
      <c r="E5853">
        <v>2</v>
      </c>
      <c r="F5853">
        <v>6.9</v>
      </c>
    </row>
    <row r="5854" spans="1:6" x14ac:dyDescent="0.3">
      <c r="A5854" t="s">
        <v>9875</v>
      </c>
      <c r="B5854" t="s">
        <v>3051</v>
      </c>
      <c r="C5854" t="s">
        <v>9876</v>
      </c>
      <c r="D5854">
        <v>82634432</v>
      </c>
      <c r="E5854">
        <v>2.76</v>
      </c>
      <c r="F5854">
        <v>6.88</v>
      </c>
    </row>
    <row r="5855" spans="1:6" x14ac:dyDescent="0.3">
      <c r="A5855" t="s">
        <v>9877</v>
      </c>
      <c r="B5855" t="s">
        <v>4196</v>
      </c>
      <c r="C5855" t="s">
        <v>1174</v>
      </c>
      <c r="D5855">
        <v>82663422</v>
      </c>
      <c r="E5855">
        <v>19.329999999999998</v>
      </c>
      <c r="F5855">
        <v>6.17</v>
      </c>
    </row>
    <row r="5856" spans="1:6" x14ac:dyDescent="0.3">
      <c r="A5856" t="s">
        <v>9878</v>
      </c>
      <c r="B5856" t="s">
        <v>6403</v>
      </c>
      <c r="C5856" t="s">
        <v>8499</v>
      </c>
      <c r="D5856">
        <v>82671886</v>
      </c>
      <c r="E5856">
        <v>18.82</v>
      </c>
      <c r="F5856">
        <v>8.0500000000000007</v>
      </c>
    </row>
    <row r="5857" spans="1:6" x14ac:dyDescent="0.3">
      <c r="A5857" t="s">
        <v>9879</v>
      </c>
      <c r="B5857" t="s">
        <v>8743</v>
      </c>
      <c r="C5857" t="s">
        <v>9880</v>
      </c>
      <c r="D5857">
        <v>82678911</v>
      </c>
      <c r="E5857">
        <v>4.0199999999999996</v>
      </c>
      <c r="F5857">
        <v>6.94</v>
      </c>
    </row>
    <row r="5858" spans="1:6" x14ac:dyDescent="0.3">
      <c r="A5858" t="s">
        <v>9881</v>
      </c>
      <c r="B5858" t="s">
        <v>9318</v>
      </c>
      <c r="C5858" t="s">
        <v>9882</v>
      </c>
      <c r="D5858">
        <v>82683424</v>
      </c>
      <c r="E5858">
        <v>4.25</v>
      </c>
      <c r="F5858">
        <v>4.63</v>
      </c>
    </row>
    <row r="5859" spans="1:6" x14ac:dyDescent="0.3">
      <c r="A5859" t="s">
        <v>9883</v>
      </c>
      <c r="B5859" t="s">
        <v>9884</v>
      </c>
      <c r="C5859" t="s">
        <v>9885</v>
      </c>
      <c r="D5859">
        <v>82705726</v>
      </c>
      <c r="E5859">
        <v>2.78</v>
      </c>
      <c r="F5859">
        <v>7.7</v>
      </c>
    </row>
    <row r="5860" spans="1:6" x14ac:dyDescent="0.3">
      <c r="A5860" t="s">
        <v>9886</v>
      </c>
      <c r="B5860" t="s">
        <v>9887</v>
      </c>
      <c r="C5860" t="s">
        <v>9888</v>
      </c>
      <c r="D5860">
        <v>82735727</v>
      </c>
      <c r="E5860">
        <v>11.51</v>
      </c>
      <c r="F5860">
        <v>5.36</v>
      </c>
    </row>
    <row r="5861" spans="1:6" x14ac:dyDescent="0.3">
      <c r="A5861" t="s">
        <v>9889</v>
      </c>
      <c r="B5861" t="s">
        <v>9890</v>
      </c>
      <c r="C5861" t="s">
        <v>9891</v>
      </c>
      <c r="D5861">
        <v>82748921</v>
      </c>
      <c r="E5861">
        <v>29.25</v>
      </c>
      <c r="F5861">
        <v>7.25</v>
      </c>
    </row>
    <row r="5862" spans="1:6" x14ac:dyDescent="0.3">
      <c r="A5862" t="s">
        <v>5772</v>
      </c>
      <c r="B5862" t="s">
        <v>6841</v>
      </c>
      <c r="C5862" t="s">
        <v>5772</v>
      </c>
      <c r="D5862">
        <v>82749804</v>
      </c>
      <c r="E5862">
        <v>17.579999999999998</v>
      </c>
      <c r="F5862">
        <v>6.59</v>
      </c>
    </row>
    <row r="5863" spans="1:6" x14ac:dyDescent="0.3">
      <c r="A5863" t="s">
        <v>1971</v>
      </c>
      <c r="B5863" t="s">
        <v>9892</v>
      </c>
      <c r="C5863" t="s">
        <v>1972</v>
      </c>
      <c r="D5863">
        <v>82751607</v>
      </c>
      <c r="E5863">
        <v>18</v>
      </c>
      <c r="F5863">
        <v>4.5</v>
      </c>
    </row>
    <row r="5864" spans="1:6" x14ac:dyDescent="0.3">
      <c r="A5864" t="s">
        <v>9893</v>
      </c>
      <c r="B5864" t="s">
        <v>9894</v>
      </c>
      <c r="C5864" t="s">
        <v>2383</v>
      </c>
      <c r="D5864">
        <v>82753580</v>
      </c>
      <c r="E5864">
        <v>5.67</v>
      </c>
      <c r="F5864">
        <v>7.67</v>
      </c>
    </row>
    <row r="5865" spans="1:6" x14ac:dyDescent="0.3">
      <c r="A5865" t="s">
        <v>9895</v>
      </c>
      <c r="B5865" t="s">
        <v>8060</v>
      </c>
      <c r="C5865" t="s">
        <v>3367</v>
      </c>
      <c r="D5865">
        <v>82755027</v>
      </c>
      <c r="E5865">
        <v>1.42</v>
      </c>
      <c r="F5865">
        <v>6.41</v>
      </c>
    </row>
    <row r="5866" spans="1:6" x14ac:dyDescent="0.3">
      <c r="A5866" t="s">
        <v>9896</v>
      </c>
      <c r="B5866" t="s">
        <v>8017</v>
      </c>
      <c r="C5866" t="s">
        <v>6961</v>
      </c>
      <c r="D5866">
        <v>82772188</v>
      </c>
      <c r="E5866">
        <v>3.38</v>
      </c>
      <c r="F5866">
        <v>4.6900000000000004</v>
      </c>
    </row>
    <row r="5867" spans="1:6" x14ac:dyDescent="0.3">
      <c r="A5867" t="s">
        <v>9897</v>
      </c>
      <c r="B5867" t="s">
        <v>9898</v>
      </c>
      <c r="C5867" t="s">
        <v>3381</v>
      </c>
      <c r="D5867">
        <v>82778322</v>
      </c>
      <c r="E5867">
        <v>2.95</v>
      </c>
      <c r="F5867">
        <v>6.68</v>
      </c>
    </row>
    <row r="5868" spans="1:6" x14ac:dyDescent="0.3">
      <c r="A5868" t="s">
        <v>9899</v>
      </c>
      <c r="B5868" t="s">
        <v>5884</v>
      </c>
      <c r="C5868" t="s">
        <v>9900</v>
      </c>
      <c r="D5868">
        <v>82804029</v>
      </c>
      <c r="E5868">
        <v>3.22</v>
      </c>
      <c r="F5868">
        <v>7.32</v>
      </c>
    </row>
    <row r="5869" spans="1:6" x14ac:dyDescent="0.3">
      <c r="A5869" t="s">
        <v>9901</v>
      </c>
      <c r="B5869" t="s">
        <v>9902</v>
      </c>
      <c r="C5869" t="s">
        <v>9903</v>
      </c>
      <c r="D5869">
        <v>82824219</v>
      </c>
      <c r="E5869">
        <v>17.309999999999999</v>
      </c>
      <c r="F5869">
        <v>6.88</v>
      </c>
    </row>
    <row r="5870" spans="1:6" x14ac:dyDescent="0.3">
      <c r="A5870" t="s">
        <v>9904</v>
      </c>
      <c r="B5870" t="s">
        <v>3255</v>
      </c>
      <c r="C5870" t="s">
        <v>9905</v>
      </c>
      <c r="D5870">
        <v>82840612</v>
      </c>
      <c r="E5870">
        <v>2.8</v>
      </c>
      <c r="F5870">
        <v>6.84</v>
      </c>
    </row>
    <row r="5871" spans="1:6" x14ac:dyDescent="0.3">
      <c r="A5871" t="s">
        <v>9906</v>
      </c>
      <c r="B5871" t="s">
        <v>9907</v>
      </c>
      <c r="C5871" t="s">
        <v>5987</v>
      </c>
      <c r="D5871">
        <v>82841589</v>
      </c>
      <c r="E5871">
        <v>11.15</v>
      </c>
      <c r="F5871">
        <v>7.5</v>
      </c>
    </row>
    <row r="5872" spans="1:6" x14ac:dyDescent="0.3">
      <c r="A5872" t="s">
        <v>2222</v>
      </c>
      <c r="B5872" t="s">
        <v>9908</v>
      </c>
      <c r="C5872" t="s">
        <v>2222</v>
      </c>
      <c r="D5872">
        <v>82855728</v>
      </c>
      <c r="E5872">
        <v>3.89</v>
      </c>
      <c r="F5872">
        <v>6.33</v>
      </c>
    </row>
    <row r="5873" spans="1:6" x14ac:dyDescent="0.3">
      <c r="A5873" t="s">
        <v>9909</v>
      </c>
      <c r="B5873" t="s">
        <v>5915</v>
      </c>
      <c r="C5873" t="s">
        <v>1183</v>
      </c>
      <c r="D5873">
        <v>82883301</v>
      </c>
      <c r="E5873">
        <v>19.600000000000001</v>
      </c>
      <c r="F5873">
        <v>4.5</v>
      </c>
    </row>
    <row r="5874" spans="1:6" x14ac:dyDescent="0.3">
      <c r="A5874" t="s">
        <v>9910</v>
      </c>
      <c r="B5874" t="s">
        <v>9911</v>
      </c>
      <c r="C5874" t="s">
        <v>8991</v>
      </c>
      <c r="D5874">
        <v>82894951</v>
      </c>
      <c r="E5874">
        <v>16.61</v>
      </c>
      <c r="F5874">
        <v>7.29</v>
      </c>
    </row>
    <row r="5875" spans="1:6" x14ac:dyDescent="0.3">
      <c r="A5875" t="s">
        <v>9912</v>
      </c>
      <c r="B5875" t="s">
        <v>8421</v>
      </c>
      <c r="C5875" t="s">
        <v>9913</v>
      </c>
      <c r="D5875">
        <v>82945531</v>
      </c>
      <c r="E5875">
        <v>14.79</v>
      </c>
      <c r="F5875">
        <v>5.71</v>
      </c>
    </row>
    <row r="5876" spans="1:6" x14ac:dyDescent="0.3">
      <c r="A5876" t="s">
        <v>9914</v>
      </c>
      <c r="B5876" t="s">
        <v>6505</v>
      </c>
      <c r="C5876" t="s">
        <v>9915</v>
      </c>
      <c r="D5876">
        <v>82955990</v>
      </c>
      <c r="E5876">
        <v>1.31</v>
      </c>
      <c r="F5876">
        <v>7.2</v>
      </c>
    </row>
    <row r="5877" spans="1:6" x14ac:dyDescent="0.3">
      <c r="A5877" t="s">
        <v>9916</v>
      </c>
      <c r="B5877" t="s">
        <v>9917</v>
      </c>
      <c r="C5877" t="s">
        <v>9918</v>
      </c>
      <c r="D5877">
        <v>82963221</v>
      </c>
      <c r="E5877">
        <v>17</v>
      </c>
      <c r="F5877">
        <v>8</v>
      </c>
    </row>
    <row r="5878" spans="1:6" x14ac:dyDescent="0.3">
      <c r="A5878" t="s">
        <v>9919</v>
      </c>
      <c r="B5878" t="s">
        <v>7578</v>
      </c>
      <c r="C5878" t="s">
        <v>4247</v>
      </c>
      <c r="D5878">
        <v>82965477</v>
      </c>
      <c r="E5878">
        <v>6.21</v>
      </c>
      <c r="F5878">
        <v>8.25</v>
      </c>
    </row>
    <row r="5879" spans="1:6" x14ac:dyDescent="0.3">
      <c r="A5879" t="s">
        <v>9920</v>
      </c>
      <c r="B5879" t="s">
        <v>7604</v>
      </c>
      <c r="C5879" t="s">
        <v>9921</v>
      </c>
      <c r="D5879">
        <v>82975375</v>
      </c>
      <c r="E5879">
        <v>4.46</v>
      </c>
      <c r="F5879">
        <v>5.94</v>
      </c>
    </row>
    <row r="5880" spans="1:6" x14ac:dyDescent="0.3">
      <c r="A5880" t="s">
        <v>9922</v>
      </c>
      <c r="B5880" t="s">
        <v>3598</v>
      </c>
      <c r="C5880" t="s">
        <v>9923</v>
      </c>
      <c r="D5880">
        <v>82977900</v>
      </c>
      <c r="E5880">
        <v>2.95</v>
      </c>
      <c r="F5880">
        <v>6.82</v>
      </c>
    </row>
    <row r="5881" spans="1:6" x14ac:dyDescent="0.3">
      <c r="A5881" t="s">
        <v>9924</v>
      </c>
      <c r="B5881" t="s">
        <v>9407</v>
      </c>
      <c r="C5881" t="s">
        <v>9925</v>
      </c>
      <c r="D5881">
        <v>82980374</v>
      </c>
      <c r="E5881">
        <v>4.2</v>
      </c>
      <c r="F5881">
        <v>6</v>
      </c>
    </row>
    <row r="5882" spans="1:6" x14ac:dyDescent="0.3">
      <c r="A5882" t="s">
        <v>9926</v>
      </c>
      <c r="B5882" t="s">
        <v>6119</v>
      </c>
      <c r="C5882" t="s">
        <v>989</v>
      </c>
      <c r="D5882">
        <v>82990422</v>
      </c>
      <c r="E5882">
        <v>2.2200000000000002</v>
      </c>
      <c r="F5882">
        <v>7.79</v>
      </c>
    </row>
    <row r="5883" spans="1:6" x14ac:dyDescent="0.3">
      <c r="A5883" t="s">
        <v>9927</v>
      </c>
      <c r="B5883" t="s">
        <v>9928</v>
      </c>
      <c r="C5883" t="s">
        <v>4186</v>
      </c>
      <c r="D5883">
        <v>82995562</v>
      </c>
      <c r="E5883">
        <v>7.36</v>
      </c>
      <c r="F5883">
        <v>7.11</v>
      </c>
    </row>
    <row r="5884" spans="1:6" x14ac:dyDescent="0.3">
      <c r="A5884" t="s">
        <v>9929</v>
      </c>
      <c r="B5884" t="s">
        <v>9930</v>
      </c>
      <c r="C5884" t="s">
        <v>7307</v>
      </c>
      <c r="D5884">
        <v>83006797</v>
      </c>
      <c r="E5884">
        <v>3.07</v>
      </c>
      <c r="F5884">
        <v>6.92</v>
      </c>
    </row>
    <row r="5885" spans="1:6" x14ac:dyDescent="0.3">
      <c r="A5885" t="s">
        <v>7902</v>
      </c>
      <c r="B5885" t="s">
        <v>9098</v>
      </c>
      <c r="C5885" t="s">
        <v>7902</v>
      </c>
      <c r="D5885">
        <v>83018204</v>
      </c>
      <c r="E5885">
        <v>15.69</v>
      </c>
      <c r="F5885">
        <v>7.46</v>
      </c>
    </row>
    <row r="5886" spans="1:6" x14ac:dyDescent="0.3">
      <c r="A5886" t="s">
        <v>9931</v>
      </c>
      <c r="B5886" t="s">
        <v>9932</v>
      </c>
      <c r="C5886" t="s">
        <v>9770</v>
      </c>
      <c r="D5886">
        <v>83019263</v>
      </c>
      <c r="E5886">
        <v>5.61</v>
      </c>
      <c r="F5886">
        <v>8.15</v>
      </c>
    </row>
    <row r="5887" spans="1:6" x14ac:dyDescent="0.3">
      <c r="A5887" t="s">
        <v>9933</v>
      </c>
      <c r="B5887" t="s">
        <v>2433</v>
      </c>
      <c r="C5887" t="s">
        <v>2337</v>
      </c>
      <c r="D5887">
        <v>83021088</v>
      </c>
      <c r="E5887">
        <v>7.99</v>
      </c>
      <c r="F5887">
        <v>6.92</v>
      </c>
    </row>
    <row r="5888" spans="1:6" x14ac:dyDescent="0.3">
      <c r="A5888" t="s">
        <v>9934</v>
      </c>
      <c r="B5888" t="s">
        <v>9935</v>
      </c>
      <c r="C5888" t="s">
        <v>17</v>
      </c>
      <c r="D5888">
        <v>83023427</v>
      </c>
      <c r="E5888">
        <v>4.8600000000000003</v>
      </c>
      <c r="F5888">
        <v>6.21</v>
      </c>
    </row>
    <row r="5889" spans="1:6" x14ac:dyDescent="0.3">
      <c r="A5889" t="s">
        <v>9936</v>
      </c>
      <c r="B5889" t="s">
        <v>4546</v>
      </c>
      <c r="C5889" t="s">
        <v>6356</v>
      </c>
      <c r="D5889">
        <v>83025300</v>
      </c>
      <c r="E5889">
        <v>4.82</v>
      </c>
      <c r="F5889">
        <v>7.34</v>
      </c>
    </row>
    <row r="5890" spans="1:6" x14ac:dyDescent="0.3">
      <c r="A5890" t="s">
        <v>9937</v>
      </c>
      <c r="B5890" t="s">
        <v>5654</v>
      </c>
      <c r="C5890" t="s">
        <v>5450</v>
      </c>
      <c r="D5890">
        <v>83058116</v>
      </c>
      <c r="E5890">
        <v>4.13</v>
      </c>
      <c r="F5890">
        <v>6.82</v>
      </c>
    </row>
    <row r="5891" spans="1:6" x14ac:dyDescent="0.3">
      <c r="A5891" t="s">
        <v>9938</v>
      </c>
      <c r="B5891" t="s">
        <v>5698</v>
      </c>
      <c r="C5891" t="s">
        <v>9938</v>
      </c>
      <c r="D5891">
        <v>83059349</v>
      </c>
      <c r="E5891">
        <v>19.829999999999998</v>
      </c>
      <c r="F5891">
        <v>4</v>
      </c>
    </row>
    <row r="5892" spans="1:6" x14ac:dyDescent="0.3">
      <c r="A5892" t="s">
        <v>9939</v>
      </c>
      <c r="B5892" t="s">
        <v>6795</v>
      </c>
      <c r="C5892" t="s">
        <v>9940</v>
      </c>
      <c r="D5892">
        <v>83060018</v>
      </c>
      <c r="E5892">
        <v>7.8</v>
      </c>
      <c r="F5892">
        <v>6</v>
      </c>
    </row>
    <row r="5893" spans="1:6" x14ac:dyDescent="0.3">
      <c r="A5893" t="s">
        <v>9941</v>
      </c>
      <c r="B5893" t="s">
        <v>9942</v>
      </c>
      <c r="C5893" t="s">
        <v>9943</v>
      </c>
      <c r="D5893">
        <v>83066201</v>
      </c>
      <c r="E5893">
        <v>2.79</v>
      </c>
      <c r="F5893">
        <v>6.65</v>
      </c>
    </row>
    <row r="5894" spans="1:6" x14ac:dyDescent="0.3">
      <c r="A5894" t="s">
        <v>9944</v>
      </c>
      <c r="B5894" t="s">
        <v>9200</v>
      </c>
      <c r="C5894" t="s">
        <v>6098</v>
      </c>
      <c r="D5894">
        <v>83074062</v>
      </c>
      <c r="E5894">
        <v>8.73</v>
      </c>
      <c r="F5894">
        <v>6.91</v>
      </c>
    </row>
    <row r="5895" spans="1:6" x14ac:dyDescent="0.3">
      <c r="A5895" t="s">
        <v>9945</v>
      </c>
      <c r="B5895" t="s">
        <v>1110</v>
      </c>
      <c r="C5895" t="s">
        <v>9946</v>
      </c>
      <c r="D5895">
        <v>83098728</v>
      </c>
      <c r="E5895">
        <v>21.98</v>
      </c>
      <c r="F5895">
        <v>8.2200000000000006</v>
      </c>
    </row>
    <row r="5896" spans="1:6" x14ac:dyDescent="0.3">
      <c r="A5896" t="s">
        <v>9947</v>
      </c>
      <c r="B5896" t="s">
        <v>7046</v>
      </c>
      <c r="C5896" t="s">
        <v>6580</v>
      </c>
      <c r="D5896">
        <v>83102095</v>
      </c>
      <c r="E5896">
        <v>17.329999999999998</v>
      </c>
      <c r="F5896">
        <v>6.63</v>
      </c>
    </row>
    <row r="5897" spans="1:6" x14ac:dyDescent="0.3">
      <c r="A5897" t="s">
        <v>9948</v>
      </c>
      <c r="B5897" t="s">
        <v>4690</v>
      </c>
      <c r="C5897" t="s">
        <v>2006</v>
      </c>
      <c r="D5897">
        <v>83102123</v>
      </c>
      <c r="E5897">
        <v>19.43</v>
      </c>
      <c r="F5897">
        <v>7.71</v>
      </c>
    </row>
    <row r="5898" spans="1:6" x14ac:dyDescent="0.3">
      <c r="A5898" t="s">
        <v>9949</v>
      </c>
      <c r="B5898" t="s">
        <v>4154</v>
      </c>
      <c r="C5898" t="s">
        <v>8519</v>
      </c>
      <c r="D5898">
        <v>83107375</v>
      </c>
      <c r="E5898">
        <v>30.17</v>
      </c>
      <c r="F5898">
        <v>9</v>
      </c>
    </row>
    <row r="5899" spans="1:6" x14ac:dyDescent="0.3">
      <c r="A5899" t="s">
        <v>9950</v>
      </c>
      <c r="B5899" t="s">
        <v>5206</v>
      </c>
      <c r="C5899" t="s">
        <v>9951</v>
      </c>
      <c r="D5899">
        <v>83107945</v>
      </c>
      <c r="E5899">
        <v>23.4</v>
      </c>
      <c r="F5899">
        <v>9.33</v>
      </c>
    </row>
    <row r="5900" spans="1:6" x14ac:dyDescent="0.3">
      <c r="A5900" t="s">
        <v>9952</v>
      </c>
      <c r="B5900" t="s">
        <v>9953</v>
      </c>
      <c r="C5900" t="s">
        <v>9954</v>
      </c>
      <c r="D5900">
        <v>83108698</v>
      </c>
      <c r="E5900">
        <v>4.66</v>
      </c>
      <c r="F5900">
        <v>8.0399999999999991</v>
      </c>
    </row>
    <row r="5901" spans="1:6" x14ac:dyDescent="0.3">
      <c r="A5901" t="s">
        <v>6016</v>
      </c>
      <c r="B5901" t="s">
        <v>2539</v>
      </c>
      <c r="C5901" t="s">
        <v>6017</v>
      </c>
      <c r="D5901">
        <v>83119412</v>
      </c>
      <c r="E5901">
        <v>2.63</v>
      </c>
      <c r="F5901">
        <v>6.9</v>
      </c>
    </row>
    <row r="5902" spans="1:6" x14ac:dyDescent="0.3">
      <c r="A5902" t="s">
        <v>9955</v>
      </c>
      <c r="B5902" t="s">
        <v>9956</v>
      </c>
      <c r="C5902" t="s">
        <v>9957</v>
      </c>
      <c r="D5902">
        <v>83124429</v>
      </c>
      <c r="E5902">
        <v>3.49</v>
      </c>
      <c r="F5902">
        <v>5.82</v>
      </c>
    </row>
    <row r="5903" spans="1:6" x14ac:dyDescent="0.3">
      <c r="A5903" t="s">
        <v>9958</v>
      </c>
      <c r="B5903" t="s">
        <v>8457</v>
      </c>
      <c r="C5903" t="s">
        <v>845</v>
      </c>
      <c r="D5903">
        <v>83144000</v>
      </c>
      <c r="E5903">
        <v>4.99</v>
      </c>
      <c r="F5903">
        <v>6.16</v>
      </c>
    </row>
    <row r="5904" spans="1:6" x14ac:dyDescent="0.3">
      <c r="A5904" t="s">
        <v>9959</v>
      </c>
      <c r="B5904" t="s">
        <v>9960</v>
      </c>
      <c r="C5904" t="s">
        <v>4841</v>
      </c>
      <c r="D5904">
        <v>83153420</v>
      </c>
      <c r="E5904">
        <v>2.0099999999999998</v>
      </c>
      <c r="F5904">
        <v>6.68</v>
      </c>
    </row>
    <row r="5905" spans="1:6" x14ac:dyDescent="0.3">
      <c r="A5905" t="s">
        <v>9961</v>
      </c>
      <c r="B5905" t="s">
        <v>7052</v>
      </c>
      <c r="C5905" t="s">
        <v>5812</v>
      </c>
      <c r="D5905">
        <v>83158255</v>
      </c>
      <c r="E5905">
        <v>1.98</v>
      </c>
      <c r="F5905">
        <v>8.65</v>
      </c>
    </row>
    <row r="5906" spans="1:6" x14ac:dyDescent="0.3">
      <c r="A5906" t="s">
        <v>9962</v>
      </c>
      <c r="B5906" t="s">
        <v>1147</v>
      </c>
      <c r="C5906" t="s">
        <v>1560</v>
      </c>
      <c r="D5906">
        <v>83164497</v>
      </c>
      <c r="E5906">
        <v>28.38</v>
      </c>
      <c r="F5906">
        <v>7.38</v>
      </c>
    </row>
    <row r="5907" spans="1:6" x14ac:dyDescent="0.3">
      <c r="A5907" t="s">
        <v>9963</v>
      </c>
      <c r="B5907" t="s">
        <v>3994</v>
      </c>
      <c r="C5907" t="s">
        <v>3757</v>
      </c>
      <c r="D5907">
        <v>83180549</v>
      </c>
      <c r="E5907">
        <v>2.2599999999999998</v>
      </c>
      <c r="F5907">
        <v>5.93</v>
      </c>
    </row>
    <row r="5908" spans="1:6" x14ac:dyDescent="0.3">
      <c r="A5908" t="s">
        <v>9964</v>
      </c>
      <c r="B5908" t="s">
        <v>9965</v>
      </c>
      <c r="C5908" t="s">
        <v>7738</v>
      </c>
      <c r="D5908">
        <v>83182503</v>
      </c>
      <c r="E5908">
        <v>3.37</v>
      </c>
      <c r="F5908">
        <v>7.18</v>
      </c>
    </row>
    <row r="5909" spans="1:6" x14ac:dyDescent="0.3">
      <c r="A5909" t="s">
        <v>9966</v>
      </c>
      <c r="B5909" t="s">
        <v>1853</v>
      </c>
      <c r="C5909" t="s">
        <v>1062</v>
      </c>
      <c r="D5909">
        <v>83198674</v>
      </c>
      <c r="E5909">
        <v>16.77</v>
      </c>
      <c r="F5909">
        <v>7.71</v>
      </c>
    </row>
    <row r="5910" spans="1:6" x14ac:dyDescent="0.3">
      <c r="A5910" t="s">
        <v>9967</v>
      </c>
      <c r="B5910" t="s">
        <v>5393</v>
      </c>
      <c r="C5910" t="s">
        <v>8632</v>
      </c>
      <c r="D5910">
        <v>83202464</v>
      </c>
      <c r="E5910">
        <v>12.15</v>
      </c>
      <c r="F5910">
        <v>6.77</v>
      </c>
    </row>
    <row r="5911" spans="1:6" x14ac:dyDescent="0.3">
      <c r="A5911" t="s">
        <v>9968</v>
      </c>
      <c r="B5911" t="s">
        <v>5928</v>
      </c>
      <c r="C5911" t="s">
        <v>9969</v>
      </c>
      <c r="D5911">
        <v>83204161</v>
      </c>
      <c r="E5911">
        <v>9.9600000000000009</v>
      </c>
      <c r="F5911">
        <v>8</v>
      </c>
    </row>
    <row r="5912" spans="1:6" x14ac:dyDescent="0.3">
      <c r="A5912" t="s">
        <v>9970</v>
      </c>
      <c r="B5912" t="s">
        <v>9971</v>
      </c>
      <c r="C5912" t="s">
        <v>9972</v>
      </c>
      <c r="D5912">
        <v>83204544</v>
      </c>
      <c r="E5912">
        <v>24.67</v>
      </c>
      <c r="F5912">
        <v>7.33</v>
      </c>
    </row>
    <row r="5913" spans="1:6" x14ac:dyDescent="0.3">
      <c r="A5913" t="s">
        <v>9973</v>
      </c>
      <c r="B5913" t="s">
        <v>9105</v>
      </c>
      <c r="C5913" t="s">
        <v>36</v>
      </c>
      <c r="D5913">
        <v>83214961</v>
      </c>
      <c r="E5913">
        <v>23</v>
      </c>
      <c r="F5913">
        <v>8</v>
      </c>
    </row>
    <row r="5914" spans="1:6" x14ac:dyDescent="0.3">
      <c r="A5914" t="s">
        <v>9974</v>
      </c>
      <c r="B5914" t="s">
        <v>3231</v>
      </c>
      <c r="C5914" t="s">
        <v>4443</v>
      </c>
      <c r="D5914">
        <v>83217028</v>
      </c>
      <c r="E5914">
        <v>7.57</v>
      </c>
      <c r="F5914">
        <v>5</v>
      </c>
    </row>
    <row r="5915" spans="1:6" x14ac:dyDescent="0.3">
      <c r="A5915" t="s">
        <v>9975</v>
      </c>
      <c r="B5915" t="s">
        <v>9976</v>
      </c>
      <c r="C5915" t="s">
        <v>4592</v>
      </c>
      <c r="D5915">
        <v>83227136</v>
      </c>
      <c r="E5915">
        <v>7.29</v>
      </c>
      <c r="F5915">
        <v>3</v>
      </c>
    </row>
    <row r="5916" spans="1:6" x14ac:dyDescent="0.3">
      <c r="A5916" t="s">
        <v>9977</v>
      </c>
      <c r="B5916" t="s">
        <v>8906</v>
      </c>
      <c r="C5916" t="s">
        <v>9978</v>
      </c>
      <c r="D5916">
        <v>83230995</v>
      </c>
      <c r="E5916">
        <v>15.5</v>
      </c>
      <c r="F5916">
        <v>3</v>
      </c>
    </row>
    <row r="5917" spans="1:6" x14ac:dyDescent="0.3">
      <c r="A5917" t="s">
        <v>5545</v>
      </c>
      <c r="B5917" t="s">
        <v>7604</v>
      </c>
      <c r="C5917" t="s">
        <v>5742</v>
      </c>
      <c r="D5917">
        <v>83235400</v>
      </c>
      <c r="E5917">
        <v>27</v>
      </c>
      <c r="F5917">
        <v>7.75</v>
      </c>
    </row>
    <row r="5918" spans="1:6" x14ac:dyDescent="0.3">
      <c r="A5918" t="s">
        <v>9979</v>
      </c>
      <c r="B5918" t="s">
        <v>7980</v>
      </c>
      <c r="C5918" t="s">
        <v>9980</v>
      </c>
      <c r="D5918">
        <v>83241295</v>
      </c>
      <c r="E5918">
        <v>15.89</v>
      </c>
      <c r="F5918">
        <v>7.42</v>
      </c>
    </row>
    <row r="5919" spans="1:6" x14ac:dyDescent="0.3">
      <c r="A5919" t="s">
        <v>9981</v>
      </c>
      <c r="B5919" t="s">
        <v>9982</v>
      </c>
      <c r="C5919" t="s">
        <v>9983</v>
      </c>
      <c r="D5919">
        <v>83256789</v>
      </c>
      <c r="E5919">
        <v>5.87</v>
      </c>
      <c r="F5919">
        <v>7</v>
      </c>
    </row>
    <row r="5920" spans="1:6" x14ac:dyDescent="0.3">
      <c r="A5920" t="s">
        <v>9984</v>
      </c>
      <c r="B5920" t="s">
        <v>7311</v>
      </c>
      <c r="C5920" t="s">
        <v>9985</v>
      </c>
      <c r="D5920">
        <v>83259251</v>
      </c>
      <c r="E5920">
        <v>1.72</v>
      </c>
      <c r="F5920">
        <v>7.98</v>
      </c>
    </row>
    <row r="5921" spans="1:6" x14ac:dyDescent="0.3">
      <c r="A5921" t="s">
        <v>9986</v>
      </c>
      <c r="B5921" t="s">
        <v>9467</v>
      </c>
      <c r="C5921" t="s">
        <v>9987</v>
      </c>
      <c r="D5921">
        <v>83265357</v>
      </c>
      <c r="E5921">
        <v>7.21</v>
      </c>
      <c r="F5921">
        <v>9.3699999999999992</v>
      </c>
    </row>
    <row r="5922" spans="1:6" x14ac:dyDescent="0.3">
      <c r="A5922" t="s">
        <v>9988</v>
      </c>
      <c r="B5922" t="s">
        <v>2203</v>
      </c>
      <c r="C5922" t="s">
        <v>9989</v>
      </c>
      <c r="D5922">
        <v>83268944</v>
      </c>
      <c r="E5922">
        <v>22.75</v>
      </c>
      <c r="F5922">
        <v>3.25</v>
      </c>
    </row>
    <row r="5923" spans="1:6" x14ac:dyDescent="0.3">
      <c r="A5923" t="s">
        <v>9990</v>
      </c>
      <c r="B5923" t="s">
        <v>9991</v>
      </c>
      <c r="C5923" t="s">
        <v>2885</v>
      </c>
      <c r="D5923">
        <v>83270254</v>
      </c>
      <c r="E5923">
        <v>2.77</v>
      </c>
      <c r="F5923">
        <v>6.93</v>
      </c>
    </row>
    <row r="5924" spans="1:6" x14ac:dyDescent="0.3">
      <c r="A5924" t="s">
        <v>9992</v>
      </c>
      <c r="B5924" t="s">
        <v>9993</v>
      </c>
      <c r="C5924" t="s">
        <v>9994</v>
      </c>
      <c r="D5924">
        <v>83289571</v>
      </c>
      <c r="E5924">
        <v>2.81</v>
      </c>
      <c r="F5924">
        <v>5.75</v>
      </c>
    </row>
    <row r="5925" spans="1:6" x14ac:dyDescent="0.3">
      <c r="A5925" t="s">
        <v>9995</v>
      </c>
      <c r="B5925" t="s">
        <v>8808</v>
      </c>
      <c r="C5925" t="s">
        <v>9996</v>
      </c>
      <c r="D5925">
        <v>83290622</v>
      </c>
      <c r="E5925">
        <v>3.71</v>
      </c>
      <c r="F5925">
        <v>7.68</v>
      </c>
    </row>
    <row r="5926" spans="1:6" x14ac:dyDescent="0.3">
      <c r="A5926" t="s">
        <v>9997</v>
      </c>
      <c r="B5926" t="s">
        <v>7784</v>
      </c>
      <c r="C5926">
        <v>128</v>
      </c>
      <c r="D5926">
        <v>83292647</v>
      </c>
      <c r="E5926">
        <v>6.87</v>
      </c>
      <c r="F5926">
        <v>7.81</v>
      </c>
    </row>
    <row r="5927" spans="1:6" x14ac:dyDescent="0.3">
      <c r="A5927" t="s">
        <v>9998</v>
      </c>
      <c r="B5927" t="s">
        <v>3634</v>
      </c>
      <c r="C5927" t="s">
        <v>5150</v>
      </c>
      <c r="D5927">
        <v>83294687</v>
      </c>
      <c r="E5927">
        <v>1.81</v>
      </c>
      <c r="F5927">
        <v>7.66</v>
      </c>
    </row>
    <row r="5928" spans="1:6" x14ac:dyDescent="0.3">
      <c r="A5928" t="s">
        <v>9999</v>
      </c>
      <c r="B5928" t="s">
        <v>9866</v>
      </c>
      <c r="C5928" t="s">
        <v>10000</v>
      </c>
      <c r="D5928">
        <v>83296274</v>
      </c>
      <c r="E5928">
        <v>5.9</v>
      </c>
      <c r="F5928">
        <v>7.3</v>
      </c>
    </row>
    <row r="5929" spans="1:6" x14ac:dyDescent="0.3">
      <c r="A5929" t="s">
        <v>10001</v>
      </c>
      <c r="B5929" t="s">
        <v>6793</v>
      </c>
      <c r="C5929" t="s">
        <v>10002</v>
      </c>
      <c r="D5929">
        <v>83298273</v>
      </c>
      <c r="E5929">
        <v>23</v>
      </c>
      <c r="F5929">
        <v>9.33</v>
      </c>
    </row>
    <row r="5930" spans="1:6" x14ac:dyDescent="0.3">
      <c r="A5930" t="s">
        <v>10003</v>
      </c>
      <c r="B5930" t="s">
        <v>8020</v>
      </c>
      <c r="C5930" t="s">
        <v>2644</v>
      </c>
      <c r="D5930">
        <v>83300843</v>
      </c>
      <c r="E5930">
        <v>7.5</v>
      </c>
      <c r="F5930">
        <v>7.43</v>
      </c>
    </row>
    <row r="5931" spans="1:6" x14ac:dyDescent="0.3">
      <c r="A5931" t="s">
        <v>10004</v>
      </c>
      <c r="B5931" t="s">
        <v>10005</v>
      </c>
      <c r="C5931" t="s">
        <v>3355</v>
      </c>
      <c r="D5931">
        <v>83306378</v>
      </c>
      <c r="E5931">
        <v>18.18</v>
      </c>
      <c r="F5931">
        <v>7.78</v>
      </c>
    </row>
    <row r="5932" spans="1:6" x14ac:dyDescent="0.3">
      <c r="A5932" t="s">
        <v>10006</v>
      </c>
      <c r="B5932" t="s">
        <v>10007</v>
      </c>
      <c r="C5932" t="s">
        <v>7677</v>
      </c>
      <c r="D5932">
        <v>83309243</v>
      </c>
      <c r="E5932">
        <v>7.83</v>
      </c>
      <c r="F5932">
        <v>7.29</v>
      </c>
    </row>
    <row r="5933" spans="1:6" x14ac:dyDescent="0.3">
      <c r="A5933" t="s">
        <v>10008</v>
      </c>
      <c r="B5933" t="s">
        <v>10009</v>
      </c>
      <c r="C5933" t="s">
        <v>5945</v>
      </c>
      <c r="D5933">
        <v>83315343</v>
      </c>
      <c r="E5933">
        <v>2.79</v>
      </c>
      <c r="F5933">
        <v>7.53</v>
      </c>
    </row>
    <row r="5934" spans="1:6" x14ac:dyDescent="0.3">
      <c r="A5934" t="s">
        <v>10010</v>
      </c>
      <c r="B5934" t="s">
        <v>5796</v>
      </c>
      <c r="C5934" t="s">
        <v>10011</v>
      </c>
      <c r="D5934">
        <v>83320529</v>
      </c>
      <c r="E5934">
        <v>3.13</v>
      </c>
      <c r="F5934">
        <v>7.73</v>
      </c>
    </row>
    <row r="5935" spans="1:6" x14ac:dyDescent="0.3">
      <c r="A5935" t="s">
        <v>10012</v>
      </c>
      <c r="B5935" t="s">
        <v>5401</v>
      </c>
      <c r="C5935" t="s">
        <v>7785</v>
      </c>
      <c r="D5935">
        <v>83323273</v>
      </c>
      <c r="E5935">
        <v>3.69</v>
      </c>
      <c r="F5935">
        <v>8.09</v>
      </c>
    </row>
    <row r="5936" spans="1:6" x14ac:dyDescent="0.3">
      <c r="A5936" t="s">
        <v>10013</v>
      </c>
      <c r="B5936" t="s">
        <v>6130</v>
      </c>
      <c r="C5936" t="s">
        <v>10014</v>
      </c>
      <c r="D5936">
        <v>83323659</v>
      </c>
      <c r="E5936">
        <v>6.72</v>
      </c>
      <c r="F5936">
        <v>7.6</v>
      </c>
    </row>
    <row r="5937" spans="1:6" x14ac:dyDescent="0.3">
      <c r="A5937" t="s">
        <v>10015</v>
      </c>
      <c r="B5937" t="s">
        <v>3159</v>
      </c>
      <c r="C5937" t="s">
        <v>10016</v>
      </c>
      <c r="D5937">
        <v>83323867</v>
      </c>
      <c r="E5937">
        <v>3.58</v>
      </c>
      <c r="F5937">
        <v>6.42</v>
      </c>
    </row>
    <row r="5938" spans="1:6" x14ac:dyDescent="0.3">
      <c r="A5938" t="s">
        <v>10017</v>
      </c>
      <c r="B5938" t="s">
        <v>3906</v>
      </c>
      <c r="C5938" t="s">
        <v>10018</v>
      </c>
      <c r="D5938">
        <v>83324400</v>
      </c>
      <c r="E5938">
        <v>3.44</v>
      </c>
      <c r="F5938">
        <v>6.21</v>
      </c>
    </row>
    <row r="5939" spans="1:6" x14ac:dyDescent="0.3">
      <c r="A5939" t="s">
        <v>10019</v>
      </c>
      <c r="B5939" t="s">
        <v>6943</v>
      </c>
      <c r="C5939" t="s">
        <v>9157</v>
      </c>
      <c r="D5939">
        <v>83324930</v>
      </c>
      <c r="E5939">
        <v>3.86</v>
      </c>
      <c r="F5939">
        <v>7.25</v>
      </c>
    </row>
    <row r="5940" spans="1:6" x14ac:dyDescent="0.3">
      <c r="A5940" t="s">
        <v>10020</v>
      </c>
      <c r="B5940" t="s">
        <v>10021</v>
      </c>
      <c r="C5940" t="s">
        <v>6251</v>
      </c>
      <c r="D5940">
        <v>83325053</v>
      </c>
      <c r="E5940">
        <v>10.33</v>
      </c>
      <c r="F5940">
        <v>5</v>
      </c>
    </row>
    <row r="5941" spans="1:6" x14ac:dyDescent="0.3">
      <c r="A5941" t="s">
        <v>10022</v>
      </c>
      <c r="B5941" t="s">
        <v>6088</v>
      </c>
      <c r="C5941" t="s">
        <v>10023</v>
      </c>
      <c r="D5941">
        <v>83325180</v>
      </c>
      <c r="E5941">
        <v>2.0099999999999998</v>
      </c>
      <c r="F5941">
        <v>7.55</v>
      </c>
    </row>
    <row r="5942" spans="1:6" x14ac:dyDescent="0.3">
      <c r="A5942" t="s">
        <v>10024</v>
      </c>
      <c r="B5942" t="s">
        <v>1041</v>
      </c>
      <c r="C5942" t="s">
        <v>1129</v>
      </c>
      <c r="D5942">
        <v>83325475</v>
      </c>
      <c r="E5942">
        <v>20.6</v>
      </c>
      <c r="F5942">
        <v>6.4</v>
      </c>
    </row>
    <row r="5943" spans="1:6" x14ac:dyDescent="0.3">
      <c r="A5943" t="s">
        <v>10025</v>
      </c>
      <c r="B5943" t="s">
        <v>4162</v>
      </c>
      <c r="C5943" t="s">
        <v>1188</v>
      </c>
      <c r="D5943">
        <v>83327980</v>
      </c>
      <c r="E5943">
        <v>27</v>
      </c>
      <c r="F5943">
        <v>8</v>
      </c>
    </row>
    <row r="5944" spans="1:6" x14ac:dyDescent="0.3">
      <c r="A5944" t="s">
        <v>10026</v>
      </c>
      <c r="B5944" t="s">
        <v>6688</v>
      </c>
      <c r="C5944" t="s">
        <v>10027</v>
      </c>
      <c r="D5944">
        <v>83340498</v>
      </c>
      <c r="E5944">
        <v>25.52</v>
      </c>
      <c r="F5944">
        <v>7.6</v>
      </c>
    </row>
    <row r="5945" spans="1:6" x14ac:dyDescent="0.3">
      <c r="A5945" t="s">
        <v>10028</v>
      </c>
      <c r="B5945" t="s">
        <v>7177</v>
      </c>
      <c r="C5945" t="s">
        <v>10029</v>
      </c>
      <c r="D5945">
        <v>83357887</v>
      </c>
      <c r="E5945">
        <v>23.01</v>
      </c>
      <c r="F5945">
        <v>8.23</v>
      </c>
    </row>
    <row r="5946" spans="1:6" x14ac:dyDescent="0.3">
      <c r="A5946" t="s">
        <v>10030</v>
      </c>
      <c r="B5946" t="s">
        <v>9006</v>
      </c>
      <c r="C5946" t="s">
        <v>10031</v>
      </c>
      <c r="D5946">
        <v>83364232</v>
      </c>
      <c r="E5946">
        <v>12.29</v>
      </c>
      <c r="F5946">
        <v>6.77</v>
      </c>
    </row>
    <row r="5947" spans="1:6" x14ac:dyDescent="0.3">
      <c r="A5947" t="s">
        <v>10032</v>
      </c>
      <c r="B5947" t="s">
        <v>3051</v>
      </c>
      <c r="C5947" t="s">
        <v>10033</v>
      </c>
      <c r="D5947">
        <v>83384354</v>
      </c>
      <c r="E5947">
        <v>2.75</v>
      </c>
      <c r="F5947">
        <v>5.81</v>
      </c>
    </row>
    <row r="5948" spans="1:6" x14ac:dyDescent="0.3">
      <c r="A5948" t="s">
        <v>10034</v>
      </c>
      <c r="B5948" t="s">
        <v>5145</v>
      </c>
      <c r="C5948" t="s">
        <v>8179</v>
      </c>
      <c r="D5948">
        <v>83388701</v>
      </c>
      <c r="E5948">
        <v>2.79</v>
      </c>
      <c r="F5948">
        <v>6.65</v>
      </c>
    </row>
    <row r="5949" spans="1:6" x14ac:dyDescent="0.3">
      <c r="A5949" t="s">
        <v>10035</v>
      </c>
      <c r="B5949" t="s">
        <v>336</v>
      </c>
      <c r="C5949" t="s">
        <v>4331</v>
      </c>
      <c r="D5949">
        <v>83410727</v>
      </c>
      <c r="E5949">
        <v>4.01</v>
      </c>
      <c r="F5949">
        <v>7.11</v>
      </c>
    </row>
    <row r="5950" spans="1:6" x14ac:dyDescent="0.3">
      <c r="A5950" t="s">
        <v>10036</v>
      </c>
      <c r="B5950" t="s">
        <v>8697</v>
      </c>
      <c r="C5950" t="s">
        <v>4288</v>
      </c>
      <c r="D5950">
        <v>83421663</v>
      </c>
      <c r="E5950">
        <v>25.67</v>
      </c>
      <c r="F5950">
        <v>7.33</v>
      </c>
    </row>
    <row r="5951" spans="1:6" x14ac:dyDescent="0.3">
      <c r="A5951" t="s">
        <v>10037</v>
      </c>
      <c r="B5951" t="s">
        <v>10038</v>
      </c>
      <c r="C5951" t="s">
        <v>10039</v>
      </c>
      <c r="D5951">
        <v>83426697</v>
      </c>
      <c r="E5951">
        <v>2.57</v>
      </c>
      <c r="F5951">
        <v>6.93</v>
      </c>
    </row>
    <row r="5952" spans="1:6" x14ac:dyDescent="0.3">
      <c r="A5952" t="s">
        <v>10040</v>
      </c>
      <c r="B5952" t="s">
        <v>10041</v>
      </c>
      <c r="C5952" t="s">
        <v>1598</v>
      </c>
      <c r="D5952">
        <v>83428841</v>
      </c>
      <c r="E5952">
        <v>13.53</v>
      </c>
      <c r="F5952">
        <v>7.12</v>
      </c>
    </row>
    <row r="5953" spans="1:6" x14ac:dyDescent="0.3">
      <c r="A5953" t="s">
        <v>10042</v>
      </c>
      <c r="B5953" t="s">
        <v>10007</v>
      </c>
      <c r="C5953" t="s">
        <v>2184</v>
      </c>
      <c r="D5953">
        <v>83431859</v>
      </c>
      <c r="E5953">
        <v>16.12</v>
      </c>
      <c r="F5953">
        <v>7.79</v>
      </c>
    </row>
    <row r="5954" spans="1:6" x14ac:dyDescent="0.3">
      <c r="A5954" t="s">
        <v>10043</v>
      </c>
      <c r="B5954" t="s">
        <v>9446</v>
      </c>
      <c r="C5954" t="s">
        <v>10044</v>
      </c>
      <c r="D5954">
        <v>83434113</v>
      </c>
      <c r="E5954">
        <v>8</v>
      </c>
      <c r="F5954">
        <v>5.5</v>
      </c>
    </row>
    <row r="5955" spans="1:6" x14ac:dyDescent="0.3">
      <c r="A5955" t="s">
        <v>10045</v>
      </c>
      <c r="B5955" t="s">
        <v>7933</v>
      </c>
      <c r="C5955" t="s">
        <v>10046</v>
      </c>
      <c r="D5955">
        <v>83444471</v>
      </c>
      <c r="E5955">
        <v>6.92</v>
      </c>
      <c r="F5955">
        <v>7.77</v>
      </c>
    </row>
    <row r="5956" spans="1:6" x14ac:dyDescent="0.3">
      <c r="A5956" t="s">
        <v>10047</v>
      </c>
      <c r="B5956" t="s">
        <v>8187</v>
      </c>
      <c r="C5956" t="s">
        <v>8632</v>
      </c>
      <c r="D5956">
        <v>83444609</v>
      </c>
      <c r="E5956">
        <v>20.350000000000001</v>
      </c>
      <c r="F5956">
        <v>7.36</v>
      </c>
    </row>
    <row r="5957" spans="1:6" x14ac:dyDescent="0.3">
      <c r="A5957" t="s">
        <v>10048</v>
      </c>
      <c r="B5957" t="s">
        <v>7965</v>
      </c>
      <c r="C5957" t="s">
        <v>10049</v>
      </c>
      <c r="D5957">
        <v>83445906</v>
      </c>
      <c r="E5957">
        <v>2.08</v>
      </c>
      <c r="F5957">
        <v>5.13</v>
      </c>
    </row>
    <row r="5958" spans="1:6" x14ac:dyDescent="0.3">
      <c r="A5958" t="s">
        <v>10050</v>
      </c>
      <c r="B5958" t="s">
        <v>9386</v>
      </c>
      <c r="C5958" t="s">
        <v>7550</v>
      </c>
      <c r="D5958">
        <v>83450319</v>
      </c>
      <c r="E5958">
        <v>5.2</v>
      </c>
      <c r="F5958">
        <v>7.24</v>
      </c>
    </row>
    <row r="5959" spans="1:6" x14ac:dyDescent="0.3">
      <c r="A5959" t="s">
        <v>10051</v>
      </c>
      <c r="B5959" t="s">
        <v>6992</v>
      </c>
      <c r="C5959" t="s">
        <v>9018</v>
      </c>
      <c r="D5959">
        <v>83463213</v>
      </c>
      <c r="E5959">
        <v>2.0699999999999998</v>
      </c>
      <c r="F5959">
        <v>7.23</v>
      </c>
    </row>
    <row r="5960" spans="1:6" x14ac:dyDescent="0.3">
      <c r="A5960" t="s">
        <v>10052</v>
      </c>
      <c r="B5960" t="s">
        <v>4100</v>
      </c>
      <c r="C5960" t="s">
        <v>3446</v>
      </c>
      <c r="D5960">
        <v>83475944</v>
      </c>
      <c r="E5960">
        <v>3.73</v>
      </c>
      <c r="F5960">
        <v>6.59</v>
      </c>
    </row>
    <row r="5961" spans="1:6" x14ac:dyDescent="0.3">
      <c r="A5961" t="s">
        <v>10053</v>
      </c>
      <c r="B5961" t="s">
        <v>9446</v>
      </c>
      <c r="C5961" t="s">
        <v>10054</v>
      </c>
      <c r="D5961">
        <v>83543340</v>
      </c>
      <c r="E5961">
        <v>8.85</v>
      </c>
      <c r="F5961">
        <v>7.28</v>
      </c>
    </row>
    <row r="5962" spans="1:6" x14ac:dyDescent="0.3">
      <c r="A5962" t="s">
        <v>10055</v>
      </c>
      <c r="B5962" t="s">
        <v>8876</v>
      </c>
      <c r="C5962" t="s">
        <v>10056</v>
      </c>
      <c r="D5962">
        <v>83561236</v>
      </c>
      <c r="E5962">
        <v>7.49</v>
      </c>
      <c r="F5962">
        <v>7.54</v>
      </c>
    </row>
    <row r="5963" spans="1:6" x14ac:dyDescent="0.3">
      <c r="A5963" t="s">
        <v>10057</v>
      </c>
      <c r="B5963" t="s">
        <v>8055</v>
      </c>
      <c r="C5963" t="s">
        <v>7868</v>
      </c>
      <c r="D5963">
        <v>83570278</v>
      </c>
      <c r="E5963">
        <v>22.87</v>
      </c>
      <c r="F5963">
        <v>7.73</v>
      </c>
    </row>
    <row r="5964" spans="1:6" x14ac:dyDescent="0.3">
      <c r="A5964" t="s">
        <v>10058</v>
      </c>
      <c r="B5964" t="s">
        <v>8701</v>
      </c>
      <c r="C5964" t="s">
        <v>1925</v>
      </c>
      <c r="D5964">
        <v>83571562</v>
      </c>
      <c r="E5964">
        <v>2.2599999999999998</v>
      </c>
      <c r="F5964">
        <v>8.3000000000000007</v>
      </c>
    </row>
    <row r="5965" spans="1:6" x14ac:dyDescent="0.3">
      <c r="A5965" t="s">
        <v>10059</v>
      </c>
      <c r="B5965" t="s">
        <v>9991</v>
      </c>
      <c r="C5965" t="s">
        <v>3677</v>
      </c>
      <c r="D5965">
        <v>83591265</v>
      </c>
      <c r="E5965">
        <v>9.16</v>
      </c>
      <c r="F5965">
        <v>7.43</v>
      </c>
    </row>
    <row r="5966" spans="1:6" x14ac:dyDescent="0.3">
      <c r="A5966" t="s">
        <v>10060</v>
      </c>
      <c r="B5966" t="s">
        <v>10061</v>
      </c>
      <c r="C5966" t="s">
        <v>731</v>
      </c>
      <c r="D5966">
        <v>83593349</v>
      </c>
      <c r="E5966">
        <v>3.83</v>
      </c>
      <c r="F5966">
        <v>7.76</v>
      </c>
    </row>
    <row r="5967" spans="1:6" x14ac:dyDescent="0.3">
      <c r="A5967" t="s">
        <v>10062</v>
      </c>
      <c r="B5967" t="s">
        <v>7523</v>
      </c>
      <c r="C5967" t="s">
        <v>10063</v>
      </c>
      <c r="D5967">
        <v>83594010</v>
      </c>
      <c r="E5967">
        <v>2.81</v>
      </c>
      <c r="F5967">
        <v>7</v>
      </c>
    </row>
    <row r="5968" spans="1:6" x14ac:dyDescent="0.3">
      <c r="A5968" t="s">
        <v>10064</v>
      </c>
      <c r="B5968" t="s">
        <v>10065</v>
      </c>
      <c r="C5968" t="s">
        <v>5129</v>
      </c>
      <c r="D5968">
        <v>83600822</v>
      </c>
      <c r="E5968">
        <v>16.149999999999999</v>
      </c>
      <c r="F5968">
        <v>4</v>
      </c>
    </row>
    <row r="5969" spans="1:6" x14ac:dyDescent="0.3">
      <c r="A5969" t="s">
        <v>10066</v>
      </c>
      <c r="B5969" t="s">
        <v>9509</v>
      </c>
      <c r="C5969" t="s">
        <v>5489</v>
      </c>
      <c r="D5969">
        <v>83620412</v>
      </c>
      <c r="E5969">
        <v>2.44</v>
      </c>
      <c r="F5969">
        <v>7.88</v>
      </c>
    </row>
    <row r="5970" spans="1:6" x14ac:dyDescent="0.3">
      <c r="A5970" t="s">
        <v>10067</v>
      </c>
      <c r="B5970" t="s">
        <v>8065</v>
      </c>
      <c r="C5970" t="s">
        <v>10068</v>
      </c>
      <c r="D5970">
        <v>83635872</v>
      </c>
      <c r="E5970">
        <v>15.48</v>
      </c>
      <c r="F5970">
        <v>7.85</v>
      </c>
    </row>
    <row r="5971" spans="1:6" x14ac:dyDescent="0.3">
      <c r="A5971" t="s">
        <v>10069</v>
      </c>
      <c r="B5971" t="s">
        <v>9071</v>
      </c>
      <c r="C5971" t="s">
        <v>10070</v>
      </c>
      <c r="D5971">
        <v>83658556</v>
      </c>
      <c r="E5971">
        <v>21</v>
      </c>
      <c r="F5971">
        <v>7.23</v>
      </c>
    </row>
    <row r="5972" spans="1:6" x14ac:dyDescent="0.3">
      <c r="A5972" t="s">
        <v>10071</v>
      </c>
      <c r="B5972" t="s">
        <v>5412</v>
      </c>
      <c r="C5972" t="s">
        <v>8541</v>
      </c>
      <c r="D5972">
        <v>83676299</v>
      </c>
      <c r="E5972">
        <v>26</v>
      </c>
      <c r="F5972">
        <v>7.09</v>
      </c>
    </row>
    <row r="5973" spans="1:6" x14ac:dyDescent="0.3">
      <c r="A5973" t="s">
        <v>3828</v>
      </c>
      <c r="B5973" t="s">
        <v>8730</v>
      </c>
      <c r="C5973" t="s">
        <v>723</v>
      </c>
      <c r="D5973">
        <v>83676485</v>
      </c>
      <c r="E5973">
        <v>18</v>
      </c>
      <c r="F5973">
        <v>6.67</v>
      </c>
    </row>
    <row r="5974" spans="1:6" x14ac:dyDescent="0.3">
      <c r="A5974" t="s">
        <v>10072</v>
      </c>
      <c r="B5974" t="s">
        <v>10073</v>
      </c>
      <c r="C5974" t="s">
        <v>4045</v>
      </c>
      <c r="D5974">
        <v>83697006</v>
      </c>
      <c r="E5974">
        <v>31.17</v>
      </c>
      <c r="F5974">
        <v>7.75</v>
      </c>
    </row>
    <row r="5975" spans="1:6" x14ac:dyDescent="0.3">
      <c r="A5975" t="s">
        <v>10074</v>
      </c>
      <c r="B5975" t="s">
        <v>10075</v>
      </c>
      <c r="C5975" t="s">
        <v>7877</v>
      </c>
      <c r="D5975">
        <v>83698783</v>
      </c>
      <c r="E5975">
        <v>25</v>
      </c>
      <c r="F5975">
        <v>1</v>
      </c>
    </row>
    <row r="5976" spans="1:6" x14ac:dyDescent="0.3">
      <c r="A5976" t="s">
        <v>10076</v>
      </c>
      <c r="B5976" t="s">
        <v>8808</v>
      </c>
      <c r="C5976" t="s">
        <v>10077</v>
      </c>
      <c r="D5976">
        <v>83726325</v>
      </c>
      <c r="E5976">
        <v>5.42</v>
      </c>
      <c r="F5976">
        <v>8.64</v>
      </c>
    </row>
    <row r="5977" spans="1:6" x14ac:dyDescent="0.3">
      <c r="A5977" t="s">
        <v>10078</v>
      </c>
      <c r="B5977" t="s">
        <v>10079</v>
      </c>
      <c r="C5977" t="s">
        <v>6054</v>
      </c>
      <c r="D5977">
        <v>83730530</v>
      </c>
      <c r="E5977">
        <v>11.76</v>
      </c>
      <c r="F5977">
        <v>7.91</v>
      </c>
    </row>
    <row r="5978" spans="1:6" x14ac:dyDescent="0.3">
      <c r="A5978" t="s">
        <v>10080</v>
      </c>
      <c r="B5978" t="s">
        <v>6887</v>
      </c>
      <c r="C5978" t="s">
        <v>10081</v>
      </c>
      <c r="D5978">
        <v>83763012</v>
      </c>
      <c r="E5978">
        <v>4</v>
      </c>
      <c r="F5978">
        <v>6.11</v>
      </c>
    </row>
    <row r="5979" spans="1:6" x14ac:dyDescent="0.3">
      <c r="A5979" t="s">
        <v>10082</v>
      </c>
      <c r="B5979" t="s">
        <v>6867</v>
      </c>
      <c r="C5979" t="s">
        <v>7307</v>
      </c>
      <c r="D5979">
        <v>83780814</v>
      </c>
      <c r="E5979">
        <v>1.24</v>
      </c>
      <c r="F5979">
        <v>6.68</v>
      </c>
    </row>
    <row r="5980" spans="1:6" x14ac:dyDescent="0.3">
      <c r="A5980" t="s">
        <v>10083</v>
      </c>
      <c r="B5980" t="s">
        <v>10084</v>
      </c>
      <c r="C5980" t="s">
        <v>12</v>
      </c>
      <c r="D5980">
        <v>83801688</v>
      </c>
      <c r="E5980">
        <v>21.22</v>
      </c>
      <c r="F5980">
        <v>7.47</v>
      </c>
    </row>
    <row r="5981" spans="1:6" x14ac:dyDescent="0.3">
      <c r="A5981" t="s">
        <v>10085</v>
      </c>
      <c r="B5981" t="s">
        <v>4971</v>
      </c>
      <c r="C5981" t="s">
        <v>6745</v>
      </c>
      <c r="D5981">
        <v>83825373</v>
      </c>
      <c r="E5981">
        <v>23.01</v>
      </c>
      <c r="F5981">
        <v>7.78</v>
      </c>
    </row>
    <row r="5982" spans="1:6" x14ac:dyDescent="0.3">
      <c r="A5982" t="s">
        <v>10086</v>
      </c>
      <c r="B5982" t="s">
        <v>7585</v>
      </c>
      <c r="C5982" t="s">
        <v>6440</v>
      </c>
      <c r="D5982">
        <v>83828782</v>
      </c>
      <c r="E5982">
        <v>16.21</v>
      </c>
      <c r="F5982">
        <v>8.11</v>
      </c>
    </row>
    <row r="5983" spans="1:6" x14ac:dyDescent="0.3">
      <c r="A5983" t="s">
        <v>2698</v>
      </c>
      <c r="B5983" t="s">
        <v>10087</v>
      </c>
      <c r="C5983" t="s">
        <v>6072</v>
      </c>
      <c r="D5983">
        <v>83835964</v>
      </c>
      <c r="E5983">
        <v>4.88</v>
      </c>
      <c r="F5983">
        <v>4.5999999999999996</v>
      </c>
    </row>
    <row r="5984" spans="1:6" x14ac:dyDescent="0.3">
      <c r="A5984" t="s">
        <v>10088</v>
      </c>
      <c r="B5984" t="s">
        <v>5415</v>
      </c>
      <c r="C5984" t="s">
        <v>10089</v>
      </c>
      <c r="D5984">
        <v>83851639</v>
      </c>
      <c r="E5984">
        <v>2.98</v>
      </c>
      <c r="F5984">
        <v>5.41</v>
      </c>
    </row>
    <row r="5985" spans="1:6" x14ac:dyDescent="0.3">
      <c r="A5985" t="s">
        <v>415</v>
      </c>
      <c r="B5985" t="s">
        <v>1331</v>
      </c>
      <c r="C5985" t="s">
        <v>727</v>
      </c>
      <c r="D5985">
        <v>83862752</v>
      </c>
      <c r="E5985">
        <v>17.47</v>
      </c>
      <c r="F5985">
        <v>5.71</v>
      </c>
    </row>
    <row r="5986" spans="1:6" x14ac:dyDescent="0.3">
      <c r="A5986" t="s">
        <v>10090</v>
      </c>
      <c r="B5986" t="s">
        <v>10091</v>
      </c>
      <c r="C5986" t="s">
        <v>7299</v>
      </c>
      <c r="D5986">
        <v>83863798</v>
      </c>
      <c r="E5986">
        <v>13.55</v>
      </c>
      <c r="F5986">
        <v>7.55</v>
      </c>
    </row>
    <row r="5987" spans="1:6" x14ac:dyDescent="0.3">
      <c r="A5987" t="s">
        <v>10092</v>
      </c>
      <c r="B5987" t="s">
        <v>10093</v>
      </c>
      <c r="C5987" t="s">
        <v>10094</v>
      </c>
      <c r="D5987">
        <v>83888772</v>
      </c>
      <c r="E5987">
        <v>16.25</v>
      </c>
      <c r="F5987">
        <v>7.25</v>
      </c>
    </row>
    <row r="5988" spans="1:6" x14ac:dyDescent="0.3">
      <c r="A5988" t="s">
        <v>10095</v>
      </c>
      <c r="B5988" t="s">
        <v>3692</v>
      </c>
      <c r="C5988" t="s">
        <v>1145</v>
      </c>
      <c r="D5988">
        <v>83902039</v>
      </c>
      <c r="E5988">
        <v>2.93</v>
      </c>
      <c r="F5988">
        <v>6.69</v>
      </c>
    </row>
    <row r="5989" spans="1:6" x14ac:dyDescent="0.3">
      <c r="A5989" t="s">
        <v>10096</v>
      </c>
      <c r="B5989" t="s">
        <v>7504</v>
      </c>
      <c r="C5989" t="s">
        <v>2194</v>
      </c>
      <c r="D5989">
        <v>83914474</v>
      </c>
      <c r="E5989">
        <v>31</v>
      </c>
      <c r="F5989">
        <v>5.5</v>
      </c>
    </row>
    <row r="5990" spans="1:6" x14ac:dyDescent="0.3">
      <c r="A5990" t="s">
        <v>10097</v>
      </c>
      <c r="B5990" t="s">
        <v>5654</v>
      </c>
      <c r="C5990" t="s">
        <v>5849</v>
      </c>
      <c r="D5990">
        <v>83940954</v>
      </c>
      <c r="E5990">
        <v>1.77</v>
      </c>
      <c r="F5990">
        <v>8.07</v>
      </c>
    </row>
    <row r="5991" spans="1:6" x14ac:dyDescent="0.3">
      <c r="A5991" t="s">
        <v>10098</v>
      </c>
      <c r="B5991" t="s">
        <v>2843</v>
      </c>
      <c r="C5991" t="s">
        <v>9868</v>
      </c>
      <c r="D5991">
        <v>83941297</v>
      </c>
      <c r="E5991">
        <v>7.18</v>
      </c>
      <c r="F5991">
        <v>8.4600000000000009</v>
      </c>
    </row>
    <row r="5992" spans="1:6" x14ac:dyDescent="0.3">
      <c r="A5992" t="s">
        <v>10099</v>
      </c>
      <c r="B5992" t="s">
        <v>9181</v>
      </c>
      <c r="C5992" t="s">
        <v>10100</v>
      </c>
      <c r="D5992">
        <v>83945032</v>
      </c>
      <c r="E5992">
        <v>1.82</v>
      </c>
      <c r="F5992">
        <v>8.4</v>
      </c>
    </row>
    <row r="5993" spans="1:6" x14ac:dyDescent="0.3">
      <c r="A5993" t="s">
        <v>10101</v>
      </c>
      <c r="B5993" t="s">
        <v>10102</v>
      </c>
      <c r="C5993" t="s">
        <v>2316</v>
      </c>
      <c r="D5993">
        <v>83948570</v>
      </c>
      <c r="E5993">
        <v>20.83</v>
      </c>
      <c r="F5993">
        <v>4.83</v>
      </c>
    </row>
    <row r="5994" spans="1:6" x14ac:dyDescent="0.3">
      <c r="A5994" t="s">
        <v>10103</v>
      </c>
      <c r="B5994" t="s">
        <v>6556</v>
      </c>
      <c r="C5994" t="s">
        <v>39</v>
      </c>
      <c r="D5994">
        <v>83969616</v>
      </c>
      <c r="E5994">
        <v>31</v>
      </c>
      <c r="F5994">
        <v>3</v>
      </c>
    </row>
    <row r="5995" spans="1:6" x14ac:dyDescent="0.3">
      <c r="A5995" t="s">
        <v>4365</v>
      </c>
      <c r="B5995" t="s">
        <v>4044</v>
      </c>
      <c r="C5995" t="s">
        <v>2231</v>
      </c>
      <c r="D5995">
        <v>84005021</v>
      </c>
      <c r="E5995">
        <v>8</v>
      </c>
      <c r="F5995">
        <v>7.57</v>
      </c>
    </row>
    <row r="5996" spans="1:6" x14ac:dyDescent="0.3">
      <c r="A5996" t="s">
        <v>10104</v>
      </c>
      <c r="B5996" t="s">
        <v>10105</v>
      </c>
      <c r="C5996" t="s">
        <v>23</v>
      </c>
      <c r="D5996">
        <v>84035083</v>
      </c>
      <c r="E5996">
        <v>11.99</v>
      </c>
      <c r="F5996">
        <v>4.9000000000000004</v>
      </c>
    </row>
    <row r="5997" spans="1:6" x14ac:dyDescent="0.3">
      <c r="A5997" t="s">
        <v>10106</v>
      </c>
      <c r="B5997" t="s">
        <v>8070</v>
      </c>
      <c r="C5997" t="s">
        <v>10107</v>
      </c>
      <c r="D5997">
        <v>84057079</v>
      </c>
      <c r="E5997">
        <v>2.95</v>
      </c>
      <c r="F5997">
        <v>6.86</v>
      </c>
    </row>
    <row r="5998" spans="1:6" x14ac:dyDescent="0.3">
      <c r="A5998" t="s">
        <v>10108</v>
      </c>
      <c r="B5998" t="s">
        <v>4613</v>
      </c>
      <c r="C5998" t="s">
        <v>10109</v>
      </c>
      <c r="D5998">
        <v>84062060</v>
      </c>
      <c r="E5998">
        <v>11.95</v>
      </c>
      <c r="F5998">
        <v>8.07</v>
      </c>
    </row>
    <row r="5999" spans="1:6" x14ac:dyDescent="0.3">
      <c r="A5999" t="s">
        <v>7615</v>
      </c>
      <c r="B5999" t="s">
        <v>6525</v>
      </c>
      <c r="C5999" t="s">
        <v>6072</v>
      </c>
      <c r="D5999">
        <v>84064573</v>
      </c>
      <c r="E5999">
        <v>18.350000000000001</v>
      </c>
      <c r="F5999">
        <v>9</v>
      </c>
    </row>
    <row r="6000" spans="1:6" x14ac:dyDescent="0.3">
      <c r="A6000" t="s">
        <v>10110</v>
      </c>
      <c r="B6000" t="s">
        <v>9873</v>
      </c>
      <c r="C6000" t="s">
        <v>10111</v>
      </c>
      <c r="D6000">
        <v>84065336</v>
      </c>
      <c r="E6000">
        <v>7.01</v>
      </c>
      <c r="F6000">
        <v>7.43</v>
      </c>
    </row>
    <row r="6001" spans="1:6" x14ac:dyDescent="0.3">
      <c r="A6001" t="s">
        <v>10112</v>
      </c>
      <c r="B6001" t="s">
        <v>10113</v>
      </c>
      <c r="C6001" t="s">
        <v>10114</v>
      </c>
      <c r="D6001">
        <v>84089569</v>
      </c>
      <c r="E6001">
        <v>1.87</v>
      </c>
      <c r="F6001">
        <v>6.27</v>
      </c>
    </row>
    <row r="6002" spans="1:6" x14ac:dyDescent="0.3">
      <c r="A6002" t="s">
        <v>10115</v>
      </c>
      <c r="B6002" t="s">
        <v>10116</v>
      </c>
      <c r="C6002" t="s">
        <v>6155</v>
      </c>
      <c r="D6002">
        <v>84114885</v>
      </c>
      <c r="E6002">
        <v>31.5</v>
      </c>
      <c r="F6002">
        <v>8.5</v>
      </c>
    </row>
    <row r="6003" spans="1:6" x14ac:dyDescent="0.3">
      <c r="A6003" t="s">
        <v>10117</v>
      </c>
      <c r="B6003" t="s">
        <v>10118</v>
      </c>
      <c r="C6003" t="s">
        <v>771</v>
      </c>
      <c r="D6003">
        <v>84140347</v>
      </c>
      <c r="E6003">
        <v>26.5</v>
      </c>
      <c r="F6003">
        <v>8</v>
      </c>
    </row>
    <row r="6004" spans="1:6" x14ac:dyDescent="0.3">
      <c r="A6004" t="s">
        <v>10119</v>
      </c>
      <c r="B6004" t="s">
        <v>9663</v>
      </c>
      <c r="C6004" t="s">
        <v>9985</v>
      </c>
      <c r="D6004">
        <v>84176366</v>
      </c>
      <c r="E6004">
        <v>3.98</v>
      </c>
      <c r="F6004">
        <v>7.46</v>
      </c>
    </row>
    <row r="6005" spans="1:6" x14ac:dyDescent="0.3">
      <c r="A6005" t="s">
        <v>10120</v>
      </c>
      <c r="B6005" t="s">
        <v>10121</v>
      </c>
      <c r="C6005" t="s">
        <v>10122</v>
      </c>
      <c r="D6005">
        <v>84192903</v>
      </c>
      <c r="E6005">
        <v>11.5</v>
      </c>
      <c r="F6005">
        <v>7</v>
      </c>
    </row>
    <row r="6006" spans="1:6" x14ac:dyDescent="0.3">
      <c r="A6006" t="s">
        <v>10123</v>
      </c>
      <c r="B6006" t="s">
        <v>10124</v>
      </c>
      <c r="C6006" t="s">
        <v>10125</v>
      </c>
      <c r="D6006">
        <v>84197775</v>
      </c>
      <c r="E6006">
        <v>1.92</v>
      </c>
      <c r="F6006">
        <v>6.45</v>
      </c>
    </row>
    <row r="6007" spans="1:6" x14ac:dyDescent="0.3">
      <c r="A6007" t="s">
        <v>7479</v>
      </c>
      <c r="B6007" t="s">
        <v>10126</v>
      </c>
      <c r="C6007" t="s">
        <v>4473</v>
      </c>
      <c r="D6007">
        <v>84262151</v>
      </c>
      <c r="E6007">
        <v>15.49</v>
      </c>
      <c r="F6007">
        <v>6</v>
      </c>
    </row>
    <row r="6008" spans="1:6" x14ac:dyDescent="0.3">
      <c r="A6008" t="s">
        <v>10127</v>
      </c>
      <c r="B6008" t="s">
        <v>8817</v>
      </c>
      <c r="C6008" t="s">
        <v>10128</v>
      </c>
      <c r="D6008">
        <v>84265103</v>
      </c>
      <c r="E6008">
        <v>6.43</v>
      </c>
      <c r="F6008">
        <v>5.25</v>
      </c>
    </row>
    <row r="6009" spans="1:6" x14ac:dyDescent="0.3">
      <c r="A6009" t="s">
        <v>10129</v>
      </c>
      <c r="B6009" t="s">
        <v>6611</v>
      </c>
      <c r="C6009" t="s">
        <v>10130</v>
      </c>
      <c r="D6009">
        <v>84265500</v>
      </c>
      <c r="E6009">
        <v>15.6</v>
      </c>
      <c r="F6009">
        <v>8.2899999999999991</v>
      </c>
    </row>
    <row r="6010" spans="1:6" x14ac:dyDescent="0.3">
      <c r="A6010" t="s">
        <v>10131</v>
      </c>
      <c r="B6010" t="s">
        <v>9574</v>
      </c>
      <c r="C6010" t="s">
        <v>10132</v>
      </c>
      <c r="D6010">
        <v>84285168</v>
      </c>
      <c r="E6010">
        <v>3.38</v>
      </c>
      <c r="F6010">
        <v>6.83</v>
      </c>
    </row>
    <row r="6011" spans="1:6" x14ac:dyDescent="0.3">
      <c r="A6011" s="3">
        <v>0.79166666666666663</v>
      </c>
      <c r="B6011" t="s">
        <v>1576</v>
      </c>
      <c r="C6011" t="s">
        <v>10133</v>
      </c>
      <c r="D6011">
        <v>84299938</v>
      </c>
      <c r="E6011">
        <v>5.26</v>
      </c>
      <c r="F6011">
        <v>6.97</v>
      </c>
    </row>
    <row r="6012" spans="1:6" x14ac:dyDescent="0.3">
      <c r="A6012" t="s">
        <v>10134</v>
      </c>
      <c r="B6012" t="s">
        <v>9361</v>
      </c>
      <c r="C6012" t="s">
        <v>5219</v>
      </c>
      <c r="D6012">
        <v>84324862</v>
      </c>
      <c r="E6012">
        <v>15.83</v>
      </c>
      <c r="F6012">
        <v>6.82</v>
      </c>
    </row>
    <row r="6013" spans="1:6" x14ac:dyDescent="0.3">
      <c r="A6013" t="s">
        <v>10135</v>
      </c>
      <c r="B6013" t="s">
        <v>10136</v>
      </c>
      <c r="C6013" t="s">
        <v>10137</v>
      </c>
      <c r="D6013">
        <v>84325817</v>
      </c>
      <c r="E6013">
        <v>21.84</v>
      </c>
      <c r="F6013">
        <v>8.35</v>
      </c>
    </row>
    <row r="6014" spans="1:6" x14ac:dyDescent="0.3">
      <c r="A6014" t="s">
        <v>10138</v>
      </c>
      <c r="B6014" t="s">
        <v>9565</v>
      </c>
      <c r="C6014" t="s">
        <v>10139</v>
      </c>
      <c r="D6014">
        <v>84330502</v>
      </c>
      <c r="E6014">
        <v>7</v>
      </c>
      <c r="F6014">
        <v>8.5</v>
      </c>
    </row>
    <row r="6015" spans="1:6" x14ac:dyDescent="0.3">
      <c r="A6015" t="s">
        <v>6830</v>
      </c>
      <c r="B6015" t="s">
        <v>7083</v>
      </c>
      <c r="C6015" t="s">
        <v>8632</v>
      </c>
      <c r="D6015">
        <v>84331609</v>
      </c>
      <c r="E6015">
        <v>3.89</v>
      </c>
      <c r="F6015">
        <v>6.82</v>
      </c>
    </row>
    <row r="6016" spans="1:6" x14ac:dyDescent="0.3">
      <c r="A6016" t="s">
        <v>10140</v>
      </c>
      <c r="B6016" t="s">
        <v>8340</v>
      </c>
      <c r="C6016" t="s">
        <v>10141</v>
      </c>
      <c r="D6016">
        <v>84354027</v>
      </c>
      <c r="E6016">
        <v>20.73</v>
      </c>
      <c r="F6016">
        <v>8.18</v>
      </c>
    </row>
    <row r="6017" spans="1:6" x14ac:dyDescent="0.3">
      <c r="A6017" t="s">
        <v>10142</v>
      </c>
      <c r="B6017" t="s">
        <v>6463</v>
      </c>
      <c r="C6017" t="s">
        <v>10143</v>
      </c>
      <c r="D6017">
        <v>84360525</v>
      </c>
      <c r="E6017">
        <v>4.42</v>
      </c>
      <c r="F6017">
        <v>6.73</v>
      </c>
    </row>
    <row r="6018" spans="1:6" x14ac:dyDescent="0.3">
      <c r="A6018" t="s">
        <v>10144</v>
      </c>
      <c r="B6018" t="s">
        <v>10145</v>
      </c>
      <c r="C6018" t="s">
        <v>6440</v>
      </c>
      <c r="D6018">
        <v>84373979</v>
      </c>
      <c r="E6018">
        <v>9.24</v>
      </c>
      <c r="F6018">
        <v>7.92</v>
      </c>
    </row>
    <row r="6019" spans="1:6" x14ac:dyDescent="0.3">
      <c r="A6019" t="s">
        <v>10146</v>
      </c>
      <c r="B6019" t="s">
        <v>3746</v>
      </c>
      <c r="C6019" t="s">
        <v>10147</v>
      </c>
      <c r="D6019">
        <v>84384739</v>
      </c>
      <c r="E6019">
        <v>3.19</v>
      </c>
      <c r="F6019">
        <v>6.71</v>
      </c>
    </row>
    <row r="6020" spans="1:6" x14ac:dyDescent="0.3">
      <c r="A6020" t="s">
        <v>10148</v>
      </c>
      <c r="B6020" t="s">
        <v>7280</v>
      </c>
      <c r="C6020" t="s">
        <v>5025</v>
      </c>
      <c r="D6020">
        <v>84386388</v>
      </c>
      <c r="E6020">
        <v>7.13</v>
      </c>
      <c r="F6020">
        <v>7.74</v>
      </c>
    </row>
    <row r="6021" spans="1:6" x14ac:dyDescent="0.3">
      <c r="A6021" t="s">
        <v>10149</v>
      </c>
      <c r="B6021" t="s">
        <v>10150</v>
      </c>
      <c r="C6021" t="s">
        <v>2726</v>
      </c>
      <c r="D6021">
        <v>84388590</v>
      </c>
      <c r="E6021">
        <v>9</v>
      </c>
      <c r="F6021">
        <v>4.2</v>
      </c>
    </row>
    <row r="6022" spans="1:6" x14ac:dyDescent="0.3">
      <c r="A6022" t="s">
        <v>10151</v>
      </c>
      <c r="B6022" t="s">
        <v>1794</v>
      </c>
      <c r="C6022" t="s">
        <v>9004</v>
      </c>
      <c r="D6022">
        <v>84399065</v>
      </c>
      <c r="E6022">
        <v>4.8</v>
      </c>
      <c r="F6022">
        <v>6.37</v>
      </c>
    </row>
    <row r="6023" spans="1:6" x14ac:dyDescent="0.3">
      <c r="A6023" t="s">
        <v>10152</v>
      </c>
      <c r="B6023" t="s">
        <v>5328</v>
      </c>
      <c r="C6023" t="s">
        <v>6372</v>
      </c>
      <c r="D6023">
        <v>84413124</v>
      </c>
      <c r="E6023">
        <v>14.08</v>
      </c>
      <c r="F6023">
        <v>7.56</v>
      </c>
    </row>
    <row r="6024" spans="1:6" x14ac:dyDescent="0.3">
      <c r="A6024" t="s">
        <v>10153</v>
      </c>
      <c r="B6024" t="s">
        <v>8153</v>
      </c>
      <c r="C6024" t="s">
        <v>10154</v>
      </c>
      <c r="D6024">
        <v>84413686</v>
      </c>
      <c r="E6024">
        <v>7.08</v>
      </c>
      <c r="F6024">
        <v>7.13</v>
      </c>
    </row>
    <row r="6025" spans="1:6" x14ac:dyDescent="0.3">
      <c r="A6025" t="s">
        <v>10155</v>
      </c>
      <c r="B6025" t="s">
        <v>4019</v>
      </c>
      <c r="C6025" t="s">
        <v>10156</v>
      </c>
      <c r="D6025">
        <v>84420929</v>
      </c>
      <c r="E6025">
        <v>18</v>
      </c>
      <c r="F6025">
        <v>7.13</v>
      </c>
    </row>
    <row r="6026" spans="1:6" x14ac:dyDescent="0.3">
      <c r="A6026" t="s">
        <v>10157</v>
      </c>
      <c r="B6026" t="s">
        <v>7044</v>
      </c>
      <c r="C6026" t="s">
        <v>4942</v>
      </c>
      <c r="D6026">
        <v>84435319</v>
      </c>
      <c r="E6026">
        <v>16.510000000000002</v>
      </c>
      <c r="F6026">
        <v>6.67</v>
      </c>
    </row>
    <row r="6027" spans="1:6" x14ac:dyDescent="0.3">
      <c r="A6027" t="s">
        <v>10158</v>
      </c>
      <c r="B6027" t="s">
        <v>7917</v>
      </c>
      <c r="C6027" t="s">
        <v>8934</v>
      </c>
      <c r="D6027">
        <v>84441400</v>
      </c>
      <c r="E6027">
        <v>8</v>
      </c>
      <c r="F6027">
        <v>6.34</v>
      </c>
    </row>
    <row r="6028" spans="1:6" x14ac:dyDescent="0.3">
      <c r="A6028" t="s">
        <v>10159</v>
      </c>
      <c r="B6028" t="s">
        <v>10160</v>
      </c>
      <c r="C6028" t="s">
        <v>8550</v>
      </c>
      <c r="D6028">
        <v>84460591</v>
      </c>
      <c r="E6028">
        <v>19</v>
      </c>
      <c r="F6028">
        <v>8.25</v>
      </c>
    </row>
    <row r="6029" spans="1:6" x14ac:dyDescent="0.3">
      <c r="A6029" t="s">
        <v>10161</v>
      </c>
      <c r="B6029" t="s">
        <v>8955</v>
      </c>
      <c r="C6029" t="s">
        <v>10162</v>
      </c>
      <c r="D6029">
        <v>84462720</v>
      </c>
      <c r="E6029">
        <v>5.92</v>
      </c>
      <c r="F6029">
        <v>7.65</v>
      </c>
    </row>
    <row r="6030" spans="1:6" x14ac:dyDescent="0.3">
      <c r="A6030" t="s">
        <v>10163</v>
      </c>
      <c r="B6030" t="s">
        <v>8808</v>
      </c>
      <c r="C6030" t="s">
        <v>39</v>
      </c>
      <c r="D6030">
        <v>84483351</v>
      </c>
      <c r="E6030">
        <v>7.28</v>
      </c>
      <c r="F6030">
        <v>6.4</v>
      </c>
    </row>
    <row r="6031" spans="1:6" x14ac:dyDescent="0.3">
      <c r="A6031" t="s">
        <v>10164</v>
      </c>
      <c r="B6031" t="s">
        <v>517</v>
      </c>
      <c r="C6031" t="s">
        <v>10165</v>
      </c>
      <c r="D6031">
        <v>84489308</v>
      </c>
      <c r="E6031">
        <v>5.78</v>
      </c>
      <c r="F6031">
        <v>7.52</v>
      </c>
    </row>
    <row r="6032" spans="1:6" x14ac:dyDescent="0.3">
      <c r="A6032" t="s">
        <v>10166</v>
      </c>
      <c r="B6032" t="s">
        <v>10167</v>
      </c>
      <c r="C6032" t="s">
        <v>4473</v>
      </c>
      <c r="D6032">
        <v>84500556</v>
      </c>
      <c r="E6032">
        <v>6.27</v>
      </c>
      <c r="F6032">
        <v>7.56</v>
      </c>
    </row>
    <row r="6033" spans="1:6" x14ac:dyDescent="0.3">
      <c r="A6033" t="s">
        <v>10168</v>
      </c>
      <c r="B6033" t="s">
        <v>8988</v>
      </c>
      <c r="C6033" t="s">
        <v>4644</v>
      </c>
      <c r="D6033">
        <v>84503538</v>
      </c>
      <c r="E6033">
        <v>3.21</v>
      </c>
      <c r="F6033">
        <v>5.78</v>
      </c>
    </row>
    <row r="6034" spans="1:6" x14ac:dyDescent="0.3">
      <c r="A6034" t="s">
        <v>10169</v>
      </c>
      <c r="B6034" t="s">
        <v>10170</v>
      </c>
      <c r="C6034" t="s">
        <v>10171</v>
      </c>
      <c r="D6034">
        <v>84507862</v>
      </c>
      <c r="E6034">
        <v>32.33</v>
      </c>
      <c r="F6034">
        <v>6</v>
      </c>
    </row>
    <row r="6035" spans="1:6" x14ac:dyDescent="0.3">
      <c r="A6035" t="s">
        <v>10172</v>
      </c>
      <c r="B6035" t="s">
        <v>10173</v>
      </c>
      <c r="C6035" t="s">
        <v>1483</v>
      </c>
      <c r="D6035">
        <v>84509830</v>
      </c>
      <c r="E6035">
        <v>3.33</v>
      </c>
      <c r="F6035">
        <v>7.75</v>
      </c>
    </row>
    <row r="6036" spans="1:6" x14ac:dyDescent="0.3">
      <c r="A6036" t="s">
        <v>10174</v>
      </c>
      <c r="B6036" t="s">
        <v>9048</v>
      </c>
      <c r="C6036" t="s">
        <v>5221</v>
      </c>
      <c r="D6036">
        <v>84579346</v>
      </c>
      <c r="E6036">
        <v>20.25</v>
      </c>
      <c r="F6036">
        <v>6.67</v>
      </c>
    </row>
    <row r="6037" spans="1:6" x14ac:dyDescent="0.3">
      <c r="A6037" t="s">
        <v>10175</v>
      </c>
      <c r="B6037" t="s">
        <v>10176</v>
      </c>
      <c r="C6037" t="s">
        <v>1165</v>
      </c>
      <c r="D6037">
        <v>84580325</v>
      </c>
      <c r="E6037">
        <v>18</v>
      </c>
      <c r="F6037">
        <v>7.5</v>
      </c>
    </row>
    <row r="6038" spans="1:6" x14ac:dyDescent="0.3">
      <c r="A6038" t="s">
        <v>10177</v>
      </c>
      <c r="B6038" t="s">
        <v>10178</v>
      </c>
      <c r="C6038" t="s">
        <v>10179</v>
      </c>
      <c r="D6038">
        <v>84597069</v>
      </c>
      <c r="E6038">
        <v>14.15</v>
      </c>
      <c r="F6038">
        <v>6.15</v>
      </c>
    </row>
    <row r="6039" spans="1:6" x14ac:dyDescent="0.3">
      <c r="A6039" t="s">
        <v>10180</v>
      </c>
      <c r="B6039" t="s">
        <v>10181</v>
      </c>
      <c r="C6039" t="s">
        <v>10182</v>
      </c>
      <c r="D6039">
        <v>84600737</v>
      </c>
      <c r="E6039">
        <v>1.84</v>
      </c>
      <c r="F6039">
        <v>7.13</v>
      </c>
    </row>
    <row r="6040" spans="1:6" x14ac:dyDescent="0.3">
      <c r="A6040" t="s">
        <v>10183</v>
      </c>
      <c r="B6040" t="s">
        <v>9331</v>
      </c>
      <c r="C6040" t="s">
        <v>8699</v>
      </c>
      <c r="D6040">
        <v>84605480</v>
      </c>
      <c r="E6040">
        <v>9.16</v>
      </c>
      <c r="F6040">
        <v>3.67</v>
      </c>
    </row>
    <row r="6041" spans="1:6" x14ac:dyDescent="0.3">
      <c r="A6041" t="s">
        <v>10184</v>
      </c>
      <c r="B6041" t="s">
        <v>9671</v>
      </c>
      <c r="C6041" t="s">
        <v>4665</v>
      </c>
      <c r="D6041">
        <v>84644959</v>
      </c>
      <c r="E6041">
        <v>9.1999999999999993</v>
      </c>
      <c r="F6041">
        <v>7.6</v>
      </c>
    </row>
    <row r="6042" spans="1:6" x14ac:dyDescent="0.3">
      <c r="A6042" t="s">
        <v>10185</v>
      </c>
      <c r="B6042" t="s">
        <v>10186</v>
      </c>
      <c r="C6042" t="s">
        <v>10187</v>
      </c>
      <c r="D6042">
        <v>84658896</v>
      </c>
      <c r="E6042">
        <v>12.33</v>
      </c>
      <c r="F6042">
        <v>6</v>
      </c>
    </row>
    <row r="6043" spans="1:6" x14ac:dyDescent="0.3">
      <c r="A6043" t="s">
        <v>10188</v>
      </c>
      <c r="B6043" t="s">
        <v>10189</v>
      </c>
      <c r="C6043" t="s">
        <v>10190</v>
      </c>
      <c r="D6043">
        <v>84666355</v>
      </c>
      <c r="E6043">
        <v>1.27</v>
      </c>
      <c r="F6043">
        <v>6.41</v>
      </c>
    </row>
    <row r="6044" spans="1:6" x14ac:dyDescent="0.3">
      <c r="A6044" t="s">
        <v>10191</v>
      </c>
      <c r="B6044" t="s">
        <v>2070</v>
      </c>
      <c r="C6044" t="s">
        <v>10192</v>
      </c>
      <c r="D6044">
        <v>84693848</v>
      </c>
      <c r="E6044">
        <v>2.93</v>
      </c>
      <c r="F6044">
        <v>5.42</v>
      </c>
    </row>
    <row r="6045" spans="1:6" x14ac:dyDescent="0.3">
      <c r="A6045" t="s">
        <v>10193</v>
      </c>
      <c r="B6045" t="s">
        <v>9993</v>
      </c>
      <c r="C6045" t="s">
        <v>10194</v>
      </c>
      <c r="D6045">
        <v>84711301</v>
      </c>
      <c r="E6045">
        <v>6</v>
      </c>
      <c r="F6045">
        <v>7.5</v>
      </c>
    </row>
    <row r="6046" spans="1:6" x14ac:dyDescent="0.3">
      <c r="A6046" t="s">
        <v>10195</v>
      </c>
      <c r="B6046" t="s">
        <v>4690</v>
      </c>
      <c r="C6046" t="s">
        <v>10196</v>
      </c>
      <c r="D6046">
        <v>84712200</v>
      </c>
      <c r="E6046">
        <v>17</v>
      </c>
      <c r="F6046">
        <v>8</v>
      </c>
    </row>
    <row r="6047" spans="1:6" x14ac:dyDescent="0.3">
      <c r="A6047" t="s">
        <v>2682</v>
      </c>
      <c r="B6047" t="s">
        <v>10197</v>
      </c>
      <c r="C6047" t="s">
        <v>2682</v>
      </c>
      <c r="D6047">
        <v>84722820</v>
      </c>
      <c r="E6047">
        <v>11.88</v>
      </c>
      <c r="F6047">
        <v>7.3</v>
      </c>
    </row>
    <row r="6048" spans="1:6" x14ac:dyDescent="0.3">
      <c r="A6048" t="s">
        <v>10198</v>
      </c>
      <c r="B6048" t="s">
        <v>3746</v>
      </c>
      <c r="C6048" t="s">
        <v>2142</v>
      </c>
      <c r="D6048">
        <v>84765340</v>
      </c>
      <c r="E6048">
        <v>22</v>
      </c>
      <c r="F6048">
        <v>6</v>
      </c>
    </row>
    <row r="6049" spans="1:6" x14ac:dyDescent="0.3">
      <c r="A6049" t="s">
        <v>10199</v>
      </c>
      <c r="B6049" t="s">
        <v>2716</v>
      </c>
      <c r="C6049" t="s">
        <v>7593</v>
      </c>
      <c r="D6049">
        <v>84766628</v>
      </c>
      <c r="E6049">
        <v>22.86</v>
      </c>
      <c r="F6049">
        <v>5.67</v>
      </c>
    </row>
    <row r="6050" spans="1:6" x14ac:dyDescent="0.3">
      <c r="A6050" t="s">
        <v>10200</v>
      </c>
      <c r="B6050" t="s">
        <v>10201</v>
      </c>
      <c r="C6050" t="s">
        <v>10202</v>
      </c>
      <c r="D6050">
        <v>84774613</v>
      </c>
      <c r="E6050">
        <v>18.5</v>
      </c>
      <c r="F6050">
        <v>3.75</v>
      </c>
    </row>
    <row r="6051" spans="1:6" x14ac:dyDescent="0.3">
      <c r="A6051" t="s">
        <v>10203</v>
      </c>
      <c r="B6051" t="s">
        <v>4690</v>
      </c>
      <c r="C6051" t="s">
        <v>10204</v>
      </c>
      <c r="D6051">
        <v>84791108</v>
      </c>
      <c r="E6051">
        <v>29</v>
      </c>
      <c r="F6051">
        <v>5</v>
      </c>
    </row>
    <row r="6052" spans="1:6" x14ac:dyDescent="0.3">
      <c r="A6052" t="s">
        <v>10205</v>
      </c>
      <c r="B6052" t="s">
        <v>8070</v>
      </c>
      <c r="C6052" t="s">
        <v>10206</v>
      </c>
      <c r="D6052">
        <v>84800021</v>
      </c>
      <c r="E6052">
        <v>2.79</v>
      </c>
      <c r="F6052">
        <v>7.32</v>
      </c>
    </row>
    <row r="6053" spans="1:6" x14ac:dyDescent="0.3">
      <c r="A6053" t="s">
        <v>10207</v>
      </c>
      <c r="B6053" t="s">
        <v>9249</v>
      </c>
      <c r="C6053" t="s">
        <v>10208</v>
      </c>
      <c r="D6053">
        <v>84813026</v>
      </c>
      <c r="E6053">
        <v>23.08</v>
      </c>
      <c r="F6053">
        <v>7.67</v>
      </c>
    </row>
    <row r="6054" spans="1:6" x14ac:dyDescent="0.3">
      <c r="A6054" t="s">
        <v>10209</v>
      </c>
      <c r="B6054" t="s">
        <v>10210</v>
      </c>
      <c r="C6054" t="s">
        <v>10211</v>
      </c>
      <c r="D6054">
        <v>84815242</v>
      </c>
      <c r="E6054">
        <v>12.24</v>
      </c>
      <c r="F6054">
        <v>8.52</v>
      </c>
    </row>
    <row r="6055" spans="1:6" x14ac:dyDescent="0.3">
      <c r="A6055" t="s">
        <v>10212</v>
      </c>
      <c r="B6055" t="s">
        <v>10213</v>
      </c>
      <c r="C6055" t="s">
        <v>2679</v>
      </c>
      <c r="D6055">
        <v>84819334</v>
      </c>
      <c r="E6055">
        <v>19.25</v>
      </c>
      <c r="F6055">
        <v>5</v>
      </c>
    </row>
    <row r="6056" spans="1:6" x14ac:dyDescent="0.3">
      <c r="A6056" t="s">
        <v>10214</v>
      </c>
      <c r="B6056" t="s">
        <v>10215</v>
      </c>
      <c r="C6056" t="s">
        <v>8276</v>
      </c>
      <c r="D6056">
        <v>84821411</v>
      </c>
      <c r="E6056">
        <v>2.59</v>
      </c>
      <c r="F6056">
        <v>7.36</v>
      </c>
    </row>
    <row r="6057" spans="1:6" x14ac:dyDescent="0.3">
      <c r="A6057" t="s">
        <v>10216</v>
      </c>
      <c r="B6057" t="s">
        <v>5031</v>
      </c>
      <c r="C6057" t="s">
        <v>173</v>
      </c>
      <c r="D6057">
        <v>84829178</v>
      </c>
      <c r="E6057">
        <v>22.73</v>
      </c>
      <c r="F6057">
        <v>7.86</v>
      </c>
    </row>
    <row r="6058" spans="1:6" x14ac:dyDescent="0.3">
      <c r="A6058" t="s">
        <v>10217</v>
      </c>
      <c r="B6058" t="s">
        <v>7820</v>
      </c>
      <c r="C6058" t="s">
        <v>3852</v>
      </c>
      <c r="D6058">
        <v>84839901</v>
      </c>
      <c r="E6058">
        <v>6</v>
      </c>
      <c r="F6058">
        <v>7</v>
      </c>
    </row>
    <row r="6059" spans="1:6" x14ac:dyDescent="0.3">
      <c r="A6059" t="s">
        <v>10218</v>
      </c>
      <c r="B6059" t="s">
        <v>10219</v>
      </c>
      <c r="C6059" t="s">
        <v>10220</v>
      </c>
      <c r="D6059">
        <v>84847786</v>
      </c>
      <c r="E6059">
        <v>1.04</v>
      </c>
      <c r="F6059">
        <v>7.04</v>
      </c>
    </row>
    <row r="6060" spans="1:6" x14ac:dyDescent="0.3">
      <c r="A6060" t="s">
        <v>9191</v>
      </c>
      <c r="B6060" t="s">
        <v>5486</v>
      </c>
      <c r="C6060" t="s">
        <v>1341</v>
      </c>
      <c r="D6060">
        <v>84849805</v>
      </c>
      <c r="E6060">
        <v>21</v>
      </c>
      <c r="F6060">
        <v>7</v>
      </c>
    </row>
    <row r="6061" spans="1:6" x14ac:dyDescent="0.3">
      <c r="A6061" t="s">
        <v>10221</v>
      </c>
      <c r="B6061" t="s">
        <v>10222</v>
      </c>
      <c r="C6061" t="s">
        <v>8490</v>
      </c>
      <c r="D6061">
        <v>84862047</v>
      </c>
      <c r="E6061">
        <v>4.18</v>
      </c>
      <c r="F6061">
        <v>7.22</v>
      </c>
    </row>
    <row r="6062" spans="1:6" x14ac:dyDescent="0.3">
      <c r="A6062" t="s">
        <v>10223</v>
      </c>
      <c r="B6062" t="s">
        <v>10224</v>
      </c>
      <c r="C6062" t="s">
        <v>1213</v>
      </c>
      <c r="D6062">
        <v>84865177</v>
      </c>
      <c r="E6062">
        <v>19.2</v>
      </c>
      <c r="F6062">
        <v>7.8</v>
      </c>
    </row>
    <row r="6063" spans="1:6" x14ac:dyDescent="0.3">
      <c r="A6063" t="s">
        <v>10225</v>
      </c>
      <c r="B6063" t="s">
        <v>10226</v>
      </c>
      <c r="C6063" t="s">
        <v>2590</v>
      </c>
      <c r="D6063">
        <v>84920672</v>
      </c>
      <c r="E6063">
        <v>15.5</v>
      </c>
      <c r="F6063">
        <v>9.17</v>
      </c>
    </row>
    <row r="6064" spans="1:6" x14ac:dyDescent="0.3">
      <c r="A6064" t="s">
        <v>10227</v>
      </c>
      <c r="B6064" t="s">
        <v>10228</v>
      </c>
      <c r="C6064" t="s">
        <v>10229</v>
      </c>
      <c r="D6064">
        <v>84937326</v>
      </c>
      <c r="E6064">
        <v>23</v>
      </c>
      <c r="F6064">
        <v>5</v>
      </c>
    </row>
    <row r="6065" spans="1:6" x14ac:dyDescent="0.3">
      <c r="A6065" t="s">
        <v>10230</v>
      </c>
      <c r="B6065" t="s">
        <v>9455</v>
      </c>
      <c r="C6065" t="s">
        <v>3742</v>
      </c>
      <c r="D6065">
        <v>84941130</v>
      </c>
      <c r="E6065">
        <v>2.92</v>
      </c>
      <c r="F6065">
        <v>7.18</v>
      </c>
    </row>
    <row r="6066" spans="1:6" x14ac:dyDescent="0.3">
      <c r="A6066" t="s">
        <v>10231</v>
      </c>
      <c r="B6066" t="s">
        <v>10232</v>
      </c>
      <c r="C6066" t="s">
        <v>10233</v>
      </c>
      <c r="D6066">
        <v>84943678</v>
      </c>
      <c r="E6066">
        <v>1.93</v>
      </c>
      <c r="F6066">
        <v>6.85</v>
      </c>
    </row>
    <row r="6067" spans="1:6" x14ac:dyDescent="0.3">
      <c r="A6067" t="s">
        <v>10234</v>
      </c>
      <c r="B6067" t="s">
        <v>5090</v>
      </c>
      <c r="C6067" t="s">
        <v>7751</v>
      </c>
      <c r="D6067">
        <v>84943942</v>
      </c>
      <c r="E6067">
        <v>4.26</v>
      </c>
      <c r="F6067">
        <v>6.12</v>
      </c>
    </row>
    <row r="6068" spans="1:6" x14ac:dyDescent="0.3">
      <c r="A6068" t="s">
        <v>10235</v>
      </c>
      <c r="B6068" t="s">
        <v>2203</v>
      </c>
      <c r="C6068" t="s">
        <v>2089</v>
      </c>
      <c r="D6068">
        <v>84948268</v>
      </c>
      <c r="E6068">
        <v>6</v>
      </c>
      <c r="F6068">
        <v>4.25</v>
      </c>
    </row>
    <row r="6069" spans="1:6" x14ac:dyDescent="0.3">
      <c r="A6069" t="s">
        <v>10236</v>
      </c>
      <c r="B6069" t="s">
        <v>9233</v>
      </c>
      <c r="C6069" t="s">
        <v>9060</v>
      </c>
      <c r="D6069">
        <v>84960998</v>
      </c>
      <c r="E6069">
        <v>28.6</v>
      </c>
      <c r="F6069">
        <v>8.8000000000000007</v>
      </c>
    </row>
    <row r="6070" spans="1:6" x14ac:dyDescent="0.3">
      <c r="A6070" t="s">
        <v>10237</v>
      </c>
      <c r="B6070" t="s">
        <v>7604</v>
      </c>
      <c r="C6070" t="s">
        <v>10238</v>
      </c>
      <c r="D6070">
        <v>84983693</v>
      </c>
      <c r="E6070">
        <v>23.6</v>
      </c>
      <c r="F6070">
        <v>5.8</v>
      </c>
    </row>
    <row r="6071" spans="1:6" x14ac:dyDescent="0.3">
      <c r="A6071" t="s">
        <v>10239</v>
      </c>
      <c r="B6071" t="s">
        <v>9122</v>
      </c>
      <c r="C6071" t="s">
        <v>3687</v>
      </c>
      <c r="D6071">
        <v>85041374</v>
      </c>
      <c r="E6071">
        <v>8.2799999999999994</v>
      </c>
      <c r="F6071">
        <v>8.0399999999999991</v>
      </c>
    </row>
    <row r="6072" spans="1:6" x14ac:dyDescent="0.3">
      <c r="A6072" t="s">
        <v>2698</v>
      </c>
      <c r="B6072" t="s">
        <v>10240</v>
      </c>
      <c r="C6072" t="s">
        <v>3460</v>
      </c>
      <c r="D6072">
        <v>85052828</v>
      </c>
      <c r="E6072">
        <v>29</v>
      </c>
      <c r="F6072">
        <v>6</v>
      </c>
    </row>
    <row r="6073" spans="1:6" x14ac:dyDescent="0.3">
      <c r="A6073" t="s">
        <v>10241</v>
      </c>
      <c r="B6073" t="s">
        <v>10242</v>
      </c>
      <c r="C6073" t="s">
        <v>10243</v>
      </c>
      <c r="D6073">
        <v>85059148</v>
      </c>
      <c r="E6073">
        <v>11.75</v>
      </c>
      <c r="F6073">
        <v>7</v>
      </c>
    </row>
    <row r="6074" spans="1:6" x14ac:dyDescent="0.3">
      <c r="A6074" t="s">
        <v>3391</v>
      </c>
      <c r="B6074" t="s">
        <v>10244</v>
      </c>
      <c r="C6074" t="s">
        <v>1752</v>
      </c>
      <c r="D6074">
        <v>85076376</v>
      </c>
      <c r="E6074">
        <v>15.36</v>
      </c>
      <c r="F6074">
        <v>6.36</v>
      </c>
    </row>
    <row r="6075" spans="1:6" x14ac:dyDescent="0.3">
      <c r="A6075" t="s">
        <v>3354</v>
      </c>
      <c r="B6075" t="s">
        <v>10245</v>
      </c>
      <c r="C6075" t="s">
        <v>2590</v>
      </c>
      <c r="D6075">
        <v>85085685</v>
      </c>
      <c r="E6075">
        <v>23</v>
      </c>
      <c r="F6075">
        <v>7</v>
      </c>
    </row>
    <row r="6076" spans="1:6" x14ac:dyDescent="0.3">
      <c r="A6076" t="s">
        <v>10246</v>
      </c>
      <c r="B6076" t="s">
        <v>10247</v>
      </c>
      <c r="C6076" t="s">
        <v>10248</v>
      </c>
      <c r="D6076">
        <v>85133223</v>
      </c>
      <c r="E6076" t="s">
        <v>3814</v>
      </c>
      <c r="F6076" t="s">
        <v>3814</v>
      </c>
    </row>
    <row r="6077" spans="1:6" x14ac:dyDescent="0.3">
      <c r="A6077" t="s">
        <v>10249</v>
      </c>
      <c r="B6077" t="s">
        <v>7436</v>
      </c>
      <c r="C6077" t="s">
        <v>10250</v>
      </c>
      <c r="D6077">
        <v>85143676</v>
      </c>
      <c r="E6077">
        <v>9.7100000000000009</v>
      </c>
      <c r="F6077">
        <v>7.8</v>
      </c>
    </row>
    <row r="6078" spans="1:6" x14ac:dyDescent="0.3">
      <c r="A6078" t="s">
        <v>8639</v>
      </c>
      <c r="B6078" t="s">
        <v>4686</v>
      </c>
      <c r="C6078" t="s">
        <v>10251</v>
      </c>
      <c r="D6078">
        <v>85146968</v>
      </c>
      <c r="E6078">
        <v>3.15</v>
      </c>
      <c r="F6078">
        <v>6.27</v>
      </c>
    </row>
    <row r="6079" spans="1:6" x14ac:dyDescent="0.3">
      <c r="A6079" t="s">
        <v>10252</v>
      </c>
      <c r="B6079" t="s">
        <v>9367</v>
      </c>
      <c r="C6079" t="s">
        <v>6322</v>
      </c>
      <c r="D6079">
        <v>85147447</v>
      </c>
      <c r="E6079">
        <v>4.79</v>
      </c>
      <c r="F6079">
        <v>6</v>
      </c>
    </row>
    <row r="6080" spans="1:6" x14ac:dyDescent="0.3">
      <c r="A6080" t="s">
        <v>10253</v>
      </c>
      <c r="B6080" t="s">
        <v>6903</v>
      </c>
      <c r="C6080" t="s">
        <v>977</v>
      </c>
      <c r="D6080">
        <v>85148065</v>
      </c>
      <c r="E6080">
        <v>15.75</v>
      </c>
      <c r="F6080">
        <v>5.57</v>
      </c>
    </row>
    <row r="6081" spans="1:6" x14ac:dyDescent="0.3">
      <c r="A6081" t="s">
        <v>10254</v>
      </c>
      <c r="B6081" t="s">
        <v>8457</v>
      </c>
      <c r="C6081" t="s">
        <v>10255</v>
      </c>
      <c r="D6081">
        <v>85153230</v>
      </c>
      <c r="E6081">
        <v>30</v>
      </c>
      <c r="F6081">
        <v>6</v>
      </c>
    </row>
    <row r="6082" spans="1:6" x14ac:dyDescent="0.3">
      <c r="A6082" t="s">
        <v>10256</v>
      </c>
      <c r="B6082" t="s">
        <v>10257</v>
      </c>
      <c r="C6082" t="s">
        <v>10258</v>
      </c>
      <c r="D6082">
        <v>85176458</v>
      </c>
      <c r="E6082">
        <v>14.78</v>
      </c>
      <c r="F6082">
        <v>4.8899999999999997</v>
      </c>
    </row>
    <row r="6083" spans="1:6" x14ac:dyDescent="0.3">
      <c r="A6083" t="s">
        <v>10259</v>
      </c>
      <c r="B6083" t="s">
        <v>10260</v>
      </c>
      <c r="C6083" t="s">
        <v>10261</v>
      </c>
      <c r="D6083">
        <v>85179204</v>
      </c>
      <c r="E6083">
        <v>16.57</v>
      </c>
      <c r="F6083">
        <v>5.86</v>
      </c>
    </row>
    <row r="6084" spans="1:6" x14ac:dyDescent="0.3">
      <c r="A6084" t="s">
        <v>10262</v>
      </c>
      <c r="B6084" t="s">
        <v>3739</v>
      </c>
      <c r="C6084" t="s">
        <v>2352</v>
      </c>
      <c r="D6084">
        <v>85182933</v>
      </c>
      <c r="E6084">
        <v>5.0999999999999996</v>
      </c>
      <c r="F6084">
        <v>7.37</v>
      </c>
    </row>
    <row r="6085" spans="1:6" x14ac:dyDescent="0.3">
      <c r="A6085" t="s">
        <v>10263</v>
      </c>
      <c r="B6085" t="s">
        <v>7907</v>
      </c>
      <c r="C6085" t="s">
        <v>10264</v>
      </c>
      <c r="D6085">
        <v>85219126</v>
      </c>
      <c r="E6085">
        <v>27</v>
      </c>
      <c r="F6085">
        <v>4</v>
      </c>
    </row>
    <row r="6086" spans="1:6" x14ac:dyDescent="0.3">
      <c r="A6086" t="s">
        <v>2782</v>
      </c>
      <c r="B6086" t="s">
        <v>10265</v>
      </c>
      <c r="C6086" t="s">
        <v>5489</v>
      </c>
      <c r="D6086">
        <v>85225698</v>
      </c>
      <c r="E6086">
        <v>14.9</v>
      </c>
      <c r="F6086">
        <v>6.17</v>
      </c>
    </row>
    <row r="6087" spans="1:6" x14ac:dyDescent="0.3">
      <c r="A6087" t="s">
        <v>10266</v>
      </c>
      <c r="B6087" t="s">
        <v>6119</v>
      </c>
      <c r="C6087" t="s">
        <v>10267</v>
      </c>
      <c r="D6087">
        <v>85231431</v>
      </c>
      <c r="E6087" t="s">
        <v>3814</v>
      </c>
      <c r="F6087" t="s">
        <v>3814</v>
      </c>
    </row>
    <row r="6088" spans="1:6" x14ac:dyDescent="0.3">
      <c r="A6088" t="s">
        <v>10268</v>
      </c>
      <c r="B6088" t="s">
        <v>10269</v>
      </c>
      <c r="C6088" t="s">
        <v>10187</v>
      </c>
      <c r="D6088">
        <v>85234817</v>
      </c>
      <c r="E6088">
        <v>3.83</v>
      </c>
      <c r="F6088">
        <v>6.97</v>
      </c>
    </row>
    <row r="6089" spans="1:6" x14ac:dyDescent="0.3">
      <c r="A6089" t="s">
        <v>10270</v>
      </c>
      <c r="B6089" t="s">
        <v>10271</v>
      </c>
      <c r="C6089" t="s">
        <v>505</v>
      </c>
      <c r="D6089">
        <v>85237145</v>
      </c>
      <c r="E6089">
        <v>5.71</v>
      </c>
      <c r="F6089">
        <v>7.29</v>
      </c>
    </row>
    <row r="6090" spans="1:6" x14ac:dyDescent="0.3">
      <c r="A6090" t="s">
        <v>10272</v>
      </c>
      <c r="B6090" t="s">
        <v>10273</v>
      </c>
      <c r="C6090" t="s">
        <v>10274</v>
      </c>
      <c r="D6090">
        <v>85242343</v>
      </c>
      <c r="E6090">
        <v>20.34</v>
      </c>
      <c r="F6090">
        <v>5.83</v>
      </c>
    </row>
    <row r="6091" spans="1:6" x14ac:dyDescent="0.3">
      <c r="A6091" t="s">
        <v>10275</v>
      </c>
      <c r="B6091" t="s">
        <v>8516</v>
      </c>
      <c r="C6091" t="s">
        <v>2705</v>
      </c>
      <c r="D6091">
        <v>85246582</v>
      </c>
      <c r="E6091">
        <v>8.14</v>
      </c>
      <c r="F6091">
        <v>7.85</v>
      </c>
    </row>
    <row r="6092" spans="1:6" x14ac:dyDescent="0.3">
      <c r="A6092" t="s">
        <v>10276</v>
      </c>
      <c r="B6092" t="s">
        <v>7356</v>
      </c>
      <c r="C6092" t="s">
        <v>10277</v>
      </c>
      <c r="D6092">
        <v>85252871</v>
      </c>
      <c r="E6092">
        <v>18.53</v>
      </c>
      <c r="F6092">
        <v>7.07</v>
      </c>
    </row>
    <row r="6093" spans="1:6" x14ac:dyDescent="0.3">
      <c r="A6093" t="s">
        <v>10278</v>
      </c>
      <c r="B6093" t="s">
        <v>9611</v>
      </c>
      <c r="C6093" t="s">
        <v>6920</v>
      </c>
      <c r="D6093">
        <v>85266830</v>
      </c>
      <c r="E6093">
        <v>13.18</v>
      </c>
      <c r="F6093">
        <v>6.75</v>
      </c>
    </row>
    <row r="6094" spans="1:6" x14ac:dyDescent="0.3">
      <c r="A6094" t="s">
        <v>10279</v>
      </c>
      <c r="B6094" t="s">
        <v>10280</v>
      </c>
      <c r="C6094" t="s">
        <v>8910</v>
      </c>
      <c r="D6094">
        <v>85290227</v>
      </c>
      <c r="E6094">
        <v>9.4</v>
      </c>
      <c r="F6094">
        <v>5.67</v>
      </c>
    </row>
    <row r="6095" spans="1:6" x14ac:dyDescent="0.3">
      <c r="A6095" t="s">
        <v>10281</v>
      </c>
      <c r="B6095" t="s">
        <v>10282</v>
      </c>
      <c r="C6095" t="s">
        <v>10283</v>
      </c>
      <c r="D6095">
        <v>85292370</v>
      </c>
      <c r="E6095">
        <v>23.67</v>
      </c>
      <c r="F6095">
        <v>4</v>
      </c>
    </row>
    <row r="6096" spans="1:6" x14ac:dyDescent="0.3">
      <c r="A6096" t="s">
        <v>10284</v>
      </c>
      <c r="B6096" t="s">
        <v>10285</v>
      </c>
      <c r="C6096" t="s">
        <v>10286</v>
      </c>
      <c r="D6096">
        <v>85296320</v>
      </c>
      <c r="E6096">
        <v>8.48</v>
      </c>
      <c r="F6096">
        <v>6.81</v>
      </c>
    </row>
    <row r="6097" spans="1:6" x14ac:dyDescent="0.3">
      <c r="A6097" t="s">
        <v>10287</v>
      </c>
      <c r="B6097" t="s">
        <v>4580</v>
      </c>
      <c r="C6097" t="s">
        <v>9042</v>
      </c>
      <c r="D6097">
        <v>85317764</v>
      </c>
      <c r="E6097">
        <v>26.54</v>
      </c>
      <c r="F6097">
        <v>8.5</v>
      </c>
    </row>
    <row r="6098" spans="1:6" x14ac:dyDescent="0.3">
      <c r="A6098" t="s">
        <v>10288</v>
      </c>
      <c r="B6098" t="s">
        <v>10289</v>
      </c>
      <c r="C6098" t="s">
        <v>10128</v>
      </c>
      <c r="D6098">
        <v>85319867</v>
      </c>
      <c r="E6098">
        <v>9.6</v>
      </c>
      <c r="F6098">
        <v>6.33</v>
      </c>
    </row>
    <row r="6099" spans="1:6" x14ac:dyDescent="0.3">
      <c r="A6099" t="s">
        <v>10290</v>
      </c>
      <c r="B6099" t="s">
        <v>7130</v>
      </c>
      <c r="C6099" t="s">
        <v>10291</v>
      </c>
      <c r="D6099">
        <v>85351023</v>
      </c>
      <c r="E6099">
        <v>2.57</v>
      </c>
      <c r="F6099">
        <v>7.04</v>
      </c>
    </row>
    <row r="6100" spans="1:6" x14ac:dyDescent="0.3">
      <c r="A6100" t="s">
        <v>10292</v>
      </c>
      <c r="B6100" t="s">
        <v>9550</v>
      </c>
      <c r="C6100" t="s">
        <v>10293</v>
      </c>
      <c r="D6100">
        <v>85380480</v>
      </c>
      <c r="E6100">
        <v>4.1900000000000004</v>
      </c>
      <c r="F6100">
        <v>7.08</v>
      </c>
    </row>
    <row r="6101" spans="1:6" x14ac:dyDescent="0.3">
      <c r="A6101" t="s">
        <v>10294</v>
      </c>
      <c r="B6101" t="s">
        <v>10295</v>
      </c>
      <c r="C6101" t="s">
        <v>39</v>
      </c>
      <c r="D6101">
        <v>85383554</v>
      </c>
      <c r="E6101">
        <v>27.5</v>
      </c>
      <c r="F6101">
        <v>5</v>
      </c>
    </row>
    <row r="6102" spans="1:6" x14ac:dyDescent="0.3">
      <c r="A6102" t="s">
        <v>10296</v>
      </c>
      <c r="B6102" t="s">
        <v>8883</v>
      </c>
      <c r="C6102" t="s">
        <v>10297</v>
      </c>
      <c r="D6102">
        <v>85383696</v>
      </c>
      <c r="E6102">
        <v>3</v>
      </c>
      <c r="F6102">
        <v>6.76</v>
      </c>
    </row>
    <row r="6103" spans="1:6" x14ac:dyDescent="0.3">
      <c r="A6103" t="s">
        <v>10298</v>
      </c>
      <c r="B6103" t="s">
        <v>10299</v>
      </c>
      <c r="C6103" t="s">
        <v>7099</v>
      </c>
      <c r="D6103">
        <v>85392414</v>
      </c>
      <c r="E6103">
        <v>4.68</v>
      </c>
      <c r="F6103">
        <v>6.59</v>
      </c>
    </row>
    <row r="6104" spans="1:6" x14ac:dyDescent="0.3">
      <c r="A6104" t="s">
        <v>10300</v>
      </c>
      <c r="B6104" t="s">
        <v>8831</v>
      </c>
      <c r="C6104" t="s">
        <v>6551</v>
      </c>
      <c r="D6104">
        <v>85393418</v>
      </c>
      <c r="E6104">
        <v>27.94</v>
      </c>
      <c r="F6104">
        <v>7</v>
      </c>
    </row>
    <row r="6105" spans="1:6" x14ac:dyDescent="0.3">
      <c r="A6105">
        <v>850</v>
      </c>
      <c r="B6105" t="s">
        <v>10301</v>
      </c>
      <c r="C6105" t="s">
        <v>6422</v>
      </c>
      <c r="D6105">
        <v>85399121</v>
      </c>
      <c r="E6105">
        <v>1.2</v>
      </c>
      <c r="F6105">
        <v>6.89</v>
      </c>
    </row>
    <row r="6106" spans="1:6" x14ac:dyDescent="0.3">
      <c r="A6106" t="s">
        <v>10302</v>
      </c>
      <c r="B6106" t="s">
        <v>10303</v>
      </c>
      <c r="C6106" t="s">
        <v>10304</v>
      </c>
      <c r="D6106">
        <v>85416665</v>
      </c>
      <c r="E6106">
        <v>19.75</v>
      </c>
      <c r="F6106">
        <v>8.25</v>
      </c>
    </row>
    <row r="6107" spans="1:6" x14ac:dyDescent="0.3">
      <c r="A6107" t="s">
        <v>10305</v>
      </c>
      <c r="B6107" t="s">
        <v>6795</v>
      </c>
      <c r="C6107" t="s">
        <v>6739</v>
      </c>
      <c r="D6107">
        <v>85426437</v>
      </c>
      <c r="E6107" t="s">
        <v>3814</v>
      </c>
      <c r="F6107" t="s">
        <v>3814</v>
      </c>
    </row>
    <row r="6108" spans="1:6" x14ac:dyDescent="0.3">
      <c r="A6108" t="s">
        <v>10306</v>
      </c>
      <c r="B6108" t="s">
        <v>3550</v>
      </c>
      <c r="C6108" t="s">
        <v>10307</v>
      </c>
      <c r="D6108">
        <v>85457952</v>
      </c>
      <c r="E6108">
        <v>6.03</v>
      </c>
      <c r="F6108">
        <v>8.11</v>
      </c>
    </row>
    <row r="6109" spans="1:6" x14ac:dyDescent="0.3">
      <c r="A6109" t="s">
        <v>10308</v>
      </c>
      <c r="B6109" t="s">
        <v>10309</v>
      </c>
      <c r="C6109" t="s">
        <v>8779</v>
      </c>
      <c r="D6109">
        <v>85466058</v>
      </c>
      <c r="E6109">
        <v>1.73</v>
      </c>
      <c r="F6109">
        <v>7.03</v>
      </c>
    </row>
    <row r="6110" spans="1:6" x14ac:dyDescent="0.3">
      <c r="A6110" t="s">
        <v>10310</v>
      </c>
      <c r="B6110" t="s">
        <v>10311</v>
      </c>
      <c r="C6110" t="s">
        <v>10312</v>
      </c>
      <c r="D6110">
        <v>85469944</v>
      </c>
      <c r="E6110">
        <v>2.09</v>
      </c>
      <c r="F6110">
        <v>6</v>
      </c>
    </row>
    <row r="6111" spans="1:6" x14ac:dyDescent="0.3">
      <c r="A6111" t="s">
        <v>10313</v>
      </c>
      <c r="B6111" t="s">
        <v>10314</v>
      </c>
      <c r="C6111" t="s">
        <v>10315</v>
      </c>
      <c r="D6111">
        <v>85484725</v>
      </c>
      <c r="E6111">
        <v>16</v>
      </c>
      <c r="F6111">
        <v>6</v>
      </c>
    </row>
    <row r="6112" spans="1:6" x14ac:dyDescent="0.3">
      <c r="A6112" t="s">
        <v>10316</v>
      </c>
      <c r="B6112" t="s">
        <v>8944</v>
      </c>
      <c r="C6112" t="s">
        <v>10317</v>
      </c>
      <c r="D6112">
        <v>85492715</v>
      </c>
      <c r="E6112">
        <v>21.77</v>
      </c>
      <c r="F6112">
        <v>7.54</v>
      </c>
    </row>
    <row r="6113" spans="1:6" x14ac:dyDescent="0.3">
      <c r="A6113" t="s">
        <v>10318</v>
      </c>
      <c r="B6113" t="s">
        <v>8234</v>
      </c>
      <c r="C6113" t="s">
        <v>6551</v>
      </c>
      <c r="D6113">
        <v>85612571</v>
      </c>
      <c r="E6113">
        <v>32</v>
      </c>
      <c r="F6113">
        <v>10</v>
      </c>
    </row>
    <row r="6114" spans="1:6" x14ac:dyDescent="0.3">
      <c r="A6114" t="s">
        <v>10319</v>
      </c>
      <c r="B6114" t="s">
        <v>7917</v>
      </c>
      <c r="C6114" t="s">
        <v>4241</v>
      </c>
      <c r="D6114">
        <v>85617039</v>
      </c>
      <c r="E6114">
        <v>7.06</v>
      </c>
      <c r="F6114">
        <v>7.95</v>
      </c>
    </row>
    <row r="6115" spans="1:6" x14ac:dyDescent="0.3">
      <c r="A6115" t="s">
        <v>10320</v>
      </c>
      <c r="B6115" t="s">
        <v>7885</v>
      </c>
      <c r="C6115" t="s">
        <v>4879</v>
      </c>
      <c r="D6115">
        <v>85623804</v>
      </c>
      <c r="E6115">
        <v>11.25</v>
      </c>
      <c r="F6115">
        <v>7</v>
      </c>
    </row>
    <row r="6116" spans="1:6" x14ac:dyDescent="0.3">
      <c r="A6116" t="s">
        <v>10321</v>
      </c>
      <c r="B6116" t="s">
        <v>6220</v>
      </c>
      <c r="C6116" t="s">
        <v>175</v>
      </c>
      <c r="D6116">
        <v>85624519</v>
      </c>
      <c r="E6116">
        <v>4.12</v>
      </c>
      <c r="F6116">
        <v>6.93</v>
      </c>
    </row>
    <row r="6117" spans="1:6" x14ac:dyDescent="0.3">
      <c r="A6117" t="s">
        <v>10322</v>
      </c>
      <c r="B6117" t="s">
        <v>10323</v>
      </c>
      <c r="C6117" t="s">
        <v>4691</v>
      </c>
      <c r="D6117">
        <v>85630782</v>
      </c>
      <c r="E6117">
        <v>16.8</v>
      </c>
      <c r="F6117">
        <v>7.09</v>
      </c>
    </row>
    <row r="6118" spans="1:6" x14ac:dyDescent="0.3">
      <c r="A6118" t="s">
        <v>10324</v>
      </c>
      <c r="B6118" t="s">
        <v>10325</v>
      </c>
      <c r="C6118" t="s">
        <v>4411</v>
      </c>
      <c r="D6118">
        <v>85632533</v>
      </c>
      <c r="E6118">
        <v>7.44</v>
      </c>
      <c r="F6118">
        <v>7.83</v>
      </c>
    </row>
    <row r="6119" spans="1:6" x14ac:dyDescent="0.3">
      <c r="A6119" t="s">
        <v>10326</v>
      </c>
      <c r="B6119" t="s">
        <v>10327</v>
      </c>
      <c r="C6119" t="s">
        <v>10251</v>
      </c>
      <c r="D6119">
        <v>85634553</v>
      </c>
      <c r="E6119">
        <v>3.35</v>
      </c>
      <c r="F6119">
        <v>7.35</v>
      </c>
    </row>
    <row r="6120" spans="1:6" x14ac:dyDescent="0.3">
      <c r="A6120" t="s">
        <v>10328</v>
      </c>
      <c r="B6120" t="s">
        <v>5538</v>
      </c>
      <c r="C6120" t="s">
        <v>17</v>
      </c>
      <c r="D6120">
        <v>85665630</v>
      </c>
      <c r="E6120">
        <v>7.28</v>
      </c>
      <c r="F6120">
        <v>7.25</v>
      </c>
    </row>
    <row r="6121" spans="1:6" x14ac:dyDescent="0.3">
      <c r="A6121" t="s">
        <v>10329</v>
      </c>
      <c r="B6121" t="s">
        <v>10330</v>
      </c>
      <c r="C6121" t="s">
        <v>10331</v>
      </c>
      <c r="D6121">
        <v>85670310</v>
      </c>
      <c r="E6121">
        <v>32</v>
      </c>
      <c r="F6121">
        <v>5</v>
      </c>
    </row>
    <row r="6122" spans="1:6" x14ac:dyDescent="0.3">
      <c r="A6122" t="s">
        <v>10332</v>
      </c>
      <c r="B6122" t="s">
        <v>10333</v>
      </c>
      <c r="C6122" t="s">
        <v>5987</v>
      </c>
      <c r="D6122">
        <v>85689139</v>
      </c>
      <c r="E6122">
        <v>8.1300000000000008</v>
      </c>
      <c r="F6122">
        <v>8</v>
      </c>
    </row>
    <row r="6123" spans="1:6" x14ac:dyDescent="0.3">
      <c r="A6123" t="s">
        <v>10334</v>
      </c>
      <c r="B6123" t="s">
        <v>8838</v>
      </c>
      <c r="C6123" t="s">
        <v>5467</v>
      </c>
      <c r="D6123">
        <v>85689619</v>
      </c>
      <c r="E6123">
        <v>2.69</v>
      </c>
      <c r="F6123">
        <v>6.84</v>
      </c>
    </row>
    <row r="6124" spans="1:6" x14ac:dyDescent="0.3">
      <c r="A6124" t="s">
        <v>10335</v>
      </c>
      <c r="B6124" t="s">
        <v>10336</v>
      </c>
      <c r="C6124" t="s">
        <v>1240</v>
      </c>
      <c r="D6124">
        <v>85690453</v>
      </c>
      <c r="E6124">
        <v>9.5</v>
      </c>
      <c r="F6124">
        <v>5.5</v>
      </c>
    </row>
    <row r="6125" spans="1:6" x14ac:dyDescent="0.3">
      <c r="A6125" t="s">
        <v>10337</v>
      </c>
      <c r="B6125" t="s">
        <v>10338</v>
      </c>
      <c r="C6125" t="s">
        <v>5596</v>
      </c>
      <c r="D6125">
        <v>85695827</v>
      </c>
      <c r="E6125">
        <v>4.74</v>
      </c>
      <c r="F6125">
        <v>7.08</v>
      </c>
    </row>
    <row r="6126" spans="1:6" x14ac:dyDescent="0.3">
      <c r="A6126" t="s">
        <v>10339</v>
      </c>
      <c r="B6126" t="s">
        <v>9446</v>
      </c>
      <c r="C6126" t="s">
        <v>10339</v>
      </c>
      <c r="D6126">
        <v>85698971</v>
      </c>
      <c r="E6126">
        <v>23.17</v>
      </c>
      <c r="F6126">
        <v>7</v>
      </c>
    </row>
    <row r="6127" spans="1:6" x14ac:dyDescent="0.3">
      <c r="A6127" t="s">
        <v>10340</v>
      </c>
      <c r="B6127" t="s">
        <v>10341</v>
      </c>
      <c r="C6127" t="s">
        <v>7550</v>
      </c>
      <c r="D6127">
        <v>85699075</v>
      </c>
      <c r="E6127">
        <v>20.059999999999999</v>
      </c>
      <c r="F6127">
        <v>6.1</v>
      </c>
    </row>
    <row r="6128" spans="1:6" x14ac:dyDescent="0.3">
      <c r="A6128" t="s">
        <v>10342</v>
      </c>
      <c r="B6128" t="s">
        <v>10343</v>
      </c>
      <c r="C6128" t="s">
        <v>10344</v>
      </c>
      <c r="D6128">
        <v>85719364</v>
      </c>
      <c r="E6128">
        <v>18</v>
      </c>
      <c r="F6128">
        <v>7.33</v>
      </c>
    </row>
    <row r="6129" spans="1:6" x14ac:dyDescent="0.3">
      <c r="A6129" t="s">
        <v>10345</v>
      </c>
      <c r="B6129" t="s">
        <v>10346</v>
      </c>
      <c r="C6129" t="s">
        <v>7714</v>
      </c>
      <c r="D6129">
        <v>85732550</v>
      </c>
      <c r="E6129">
        <v>9.08</v>
      </c>
      <c r="F6129">
        <v>7.8</v>
      </c>
    </row>
    <row r="6130" spans="1:6" x14ac:dyDescent="0.3">
      <c r="A6130" t="s">
        <v>10347</v>
      </c>
      <c r="B6130" t="s">
        <v>6126</v>
      </c>
      <c r="C6130" t="s">
        <v>10348</v>
      </c>
      <c r="D6130">
        <v>85755914</v>
      </c>
      <c r="E6130">
        <v>3.51</v>
      </c>
      <c r="F6130">
        <v>5.56</v>
      </c>
    </row>
    <row r="6131" spans="1:6" x14ac:dyDescent="0.3">
      <c r="A6131" t="s">
        <v>10349</v>
      </c>
      <c r="B6131" t="s">
        <v>4561</v>
      </c>
      <c r="C6131" t="s">
        <v>2849</v>
      </c>
      <c r="D6131">
        <v>85818846</v>
      </c>
      <c r="E6131">
        <v>2.0299999999999998</v>
      </c>
      <c r="F6131">
        <v>6.24</v>
      </c>
    </row>
    <row r="6132" spans="1:6" x14ac:dyDescent="0.3">
      <c r="A6132" t="s">
        <v>10350</v>
      </c>
      <c r="B6132" t="s">
        <v>10351</v>
      </c>
      <c r="C6132" t="s">
        <v>8324</v>
      </c>
      <c r="D6132">
        <v>85857410</v>
      </c>
      <c r="E6132">
        <v>7.8</v>
      </c>
      <c r="F6132">
        <v>4.75</v>
      </c>
    </row>
    <row r="6133" spans="1:6" x14ac:dyDescent="0.3">
      <c r="A6133" t="s">
        <v>10352</v>
      </c>
      <c r="B6133" t="s">
        <v>5963</v>
      </c>
      <c r="C6133" t="s">
        <v>10353</v>
      </c>
      <c r="D6133">
        <v>85910990</v>
      </c>
      <c r="E6133">
        <v>15.73</v>
      </c>
      <c r="F6133">
        <v>7.82</v>
      </c>
    </row>
    <row r="6134" spans="1:6" x14ac:dyDescent="0.3">
      <c r="A6134" t="s">
        <v>10354</v>
      </c>
      <c r="B6134" t="s">
        <v>6398</v>
      </c>
      <c r="C6134" t="s">
        <v>10355</v>
      </c>
      <c r="D6134">
        <v>85912665</v>
      </c>
      <c r="E6134">
        <v>6.05</v>
      </c>
      <c r="F6134">
        <v>7.84</v>
      </c>
    </row>
    <row r="6135" spans="1:6" x14ac:dyDescent="0.3">
      <c r="A6135" t="s">
        <v>10356</v>
      </c>
      <c r="B6135" t="s">
        <v>10357</v>
      </c>
      <c r="C6135" t="s">
        <v>6914</v>
      </c>
      <c r="D6135">
        <v>85914870</v>
      </c>
      <c r="E6135">
        <v>19.22</v>
      </c>
      <c r="F6135">
        <v>5.56</v>
      </c>
    </row>
    <row r="6136" spans="1:6" x14ac:dyDescent="0.3">
      <c r="A6136" t="s">
        <v>10358</v>
      </c>
      <c r="B6136" t="s">
        <v>7419</v>
      </c>
      <c r="C6136" t="s">
        <v>10359</v>
      </c>
      <c r="D6136">
        <v>85924408</v>
      </c>
      <c r="E6136">
        <v>17.600000000000001</v>
      </c>
      <c r="F6136">
        <v>7</v>
      </c>
    </row>
    <row r="6137" spans="1:6" x14ac:dyDescent="0.3">
      <c r="A6137" t="s">
        <v>10360</v>
      </c>
      <c r="B6137" t="s">
        <v>2462</v>
      </c>
      <c r="C6137" t="s">
        <v>2383</v>
      </c>
      <c r="D6137">
        <v>85928041</v>
      </c>
      <c r="E6137">
        <v>3.01</v>
      </c>
      <c r="F6137">
        <v>7.39</v>
      </c>
    </row>
    <row r="6138" spans="1:6" x14ac:dyDescent="0.3">
      <c r="A6138" t="s">
        <v>10361</v>
      </c>
      <c r="B6138" t="s">
        <v>7177</v>
      </c>
      <c r="C6138" t="s">
        <v>10362</v>
      </c>
      <c r="D6138">
        <v>85928957</v>
      </c>
      <c r="E6138">
        <v>4.26</v>
      </c>
      <c r="F6138">
        <v>8.4499999999999993</v>
      </c>
    </row>
    <row r="6139" spans="1:6" x14ac:dyDescent="0.3">
      <c r="A6139" t="s">
        <v>10363</v>
      </c>
      <c r="B6139" t="s">
        <v>8743</v>
      </c>
      <c r="C6139" t="s">
        <v>10364</v>
      </c>
      <c r="D6139">
        <v>85933508</v>
      </c>
      <c r="E6139">
        <v>20.8</v>
      </c>
      <c r="F6139">
        <v>8.58</v>
      </c>
    </row>
    <row r="6140" spans="1:6" x14ac:dyDescent="0.3">
      <c r="A6140" t="s">
        <v>10365</v>
      </c>
      <c r="B6140" t="s">
        <v>5142</v>
      </c>
      <c r="C6140" t="s">
        <v>1116</v>
      </c>
      <c r="D6140">
        <v>85937779</v>
      </c>
      <c r="E6140">
        <v>21.27</v>
      </c>
      <c r="F6140">
        <v>6.31</v>
      </c>
    </row>
    <row r="6141" spans="1:6" x14ac:dyDescent="0.3">
      <c r="A6141" t="s">
        <v>10366</v>
      </c>
      <c r="B6141" t="s">
        <v>4718</v>
      </c>
      <c r="C6141" t="s">
        <v>10367</v>
      </c>
      <c r="D6141">
        <v>85972099</v>
      </c>
      <c r="E6141">
        <v>21.73</v>
      </c>
      <c r="F6141">
        <v>7.47</v>
      </c>
    </row>
    <row r="6142" spans="1:6" x14ac:dyDescent="0.3">
      <c r="A6142" t="s">
        <v>10368</v>
      </c>
      <c r="B6142" t="s">
        <v>5093</v>
      </c>
      <c r="C6142" t="s">
        <v>6739</v>
      </c>
      <c r="D6142">
        <v>85997081</v>
      </c>
      <c r="E6142">
        <v>14.65</v>
      </c>
      <c r="F6142">
        <v>8.3800000000000008</v>
      </c>
    </row>
    <row r="6143" spans="1:6" x14ac:dyDescent="0.3">
      <c r="A6143" t="s">
        <v>10369</v>
      </c>
      <c r="B6143" t="s">
        <v>4936</v>
      </c>
      <c r="C6143" t="s">
        <v>10370</v>
      </c>
      <c r="D6143">
        <v>86005813</v>
      </c>
      <c r="E6143">
        <v>9.5</v>
      </c>
      <c r="F6143">
        <v>8.1300000000000008</v>
      </c>
    </row>
    <row r="6144" spans="1:6" x14ac:dyDescent="0.3">
      <c r="A6144" t="s">
        <v>10371</v>
      </c>
      <c r="B6144" t="s">
        <v>9659</v>
      </c>
      <c r="C6144" t="s">
        <v>3264</v>
      </c>
      <c r="D6144">
        <v>86007574</v>
      </c>
      <c r="E6144">
        <v>2.9</v>
      </c>
      <c r="F6144">
        <v>6.44</v>
      </c>
    </row>
    <row r="6145" spans="1:6" x14ac:dyDescent="0.3">
      <c r="A6145" t="s">
        <v>10372</v>
      </c>
      <c r="B6145" t="s">
        <v>10373</v>
      </c>
      <c r="C6145" t="s">
        <v>10374</v>
      </c>
      <c r="D6145">
        <v>86012077</v>
      </c>
      <c r="E6145">
        <v>13.73</v>
      </c>
      <c r="F6145">
        <v>7.63</v>
      </c>
    </row>
    <row r="6146" spans="1:6" x14ac:dyDescent="0.3">
      <c r="A6146" t="s">
        <v>10375</v>
      </c>
      <c r="B6146" t="s">
        <v>10376</v>
      </c>
      <c r="C6146" t="s">
        <v>7491</v>
      </c>
      <c r="D6146">
        <v>86012792</v>
      </c>
      <c r="E6146">
        <v>3.01</v>
      </c>
      <c r="F6146">
        <v>6.67</v>
      </c>
    </row>
    <row r="6147" spans="1:6" x14ac:dyDescent="0.3">
      <c r="A6147" t="s">
        <v>10377</v>
      </c>
      <c r="B6147" t="s">
        <v>6074</v>
      </c>
      <c r="C6147" t="s">
        <v>5780</v>
      </c>
      <c r="D6147">
        <v>86018142</v>
      </c>
      <c r="E6147">
        <v>35</v>
      </c>
      <c r="F6147">
        <v>10</v>
      </c>
    </row>
    <row r="6148" spans="1:6" x14ac:dyDescent="0.3">
      <c r="A6148" t="s">
        <v>10378</v>
      </c>
      <c r="B6148" t="s">
        <v>8020</v>
      </c>
      <c r="C6148" t="s">
        <v>5221</v>
      </c>
      <c r="D6148">
        <v>86032977</v>
      </c>
      <c r="E6148">
        <v>14.59</v>
      </c>
      <c r="F6148">
        <v>8.06</v>
      </c>
    </row>
    <row r="6149" spans="1:6" x14ac:dyDescent="0.3">
      <c r="A6149" t="s">
        <v>10379</v>
      </c>
      <c r="B6149" t="s">
        <v>10380</v>
      </c>
      <c r="C6149" t="s">
        <v>5596</v>
      </c>
      <c r="D6149">
        <v>86034910</v>
      </c>
      <c r="E6149">
        <v>5.98</v>
      </c>
      <c r="F6149">
        <v>8</v>
      </c>
    </row>
    <row r="6150" spans="1:6" x14ac:dyDescent="0.3">
      <c r="A6150" t="s">
        <v>10381</v>
      </c>
      <c r="B6150" t="s">
        <v>6470</v>
      </c>
      <c r="C6150" t="s">
        <v>10382</v>
      </c>
      <c r="D6150">
        <v>86050887</v>
      </c>
      <c r="E6150">
        <v>28</v>
      </c>
      <c r="F6150">
        <v>7.5</v>
      </c>
    </row>
    <row r="6151" spans="1:6" x14ac:dyDescent="0.3">
      <c r="A6151" t="s">
        <v>10383</v>
      </c>
      <c r="B6151" t="s">
        <v>8808</v>
      </c>
      <c r="C6151" t="s">
        <v>8469</v>
      </c>
      <c r="D6151">
        <v>86052392</v>
      </c>
      <c r="E6151">
        <v>7.12</v>
      </c>
      <c r="F6151">
        <v>8.5</v>
      </c>
    </row>
    <row r="6152" spans="1:6" x14ac:dyDescent="0.3">
      <c r="A6152" t="s">
        <v>10384</v>
      </c>
      <c r="B6152" t="s">
        <v>10073</v>
      </c>
      <c r="C6152" t="s">
        <v>5112</v>
      </c>
      <c r="D6152">
        <v>86069819</v>
      </c>
      <c r="E6152">
        <v>24</v>
      </c>
      <c r="F6152">
        <v>9</v>
      </c>
    </row>
    <row r="6153" spans="1:6" x14ac:dyDescent="0.3">
      <c r="A6153" t="s">
        <v>10385</v>
      </c>
      <c r="B6153" t="s">
        <v>3681</v>
      </c>
      <c r="C6153" t="s">
        <v>9433</v>
      </c>
      <c r="D6153">
        <v>86084399</v>
      </c>
      <c r="E6153">
        <v>35</v>
      </c>
      <c r="F6153">
        <v>8.6</v>
      </c>
    </row>
    <row r="6154" spans="1:6" x14ac:dyDescent="0.3">
      <c r="A6154" t="s">
        <v>10386</v>
      </c>
      <c r="B6154" t="s">
        <v>3120</v>
      </c>
      <c r="C6154" t="s">
        <v>1935</v>
      </c>
      <c r="D6154">
        <v>86089487</v>
      </c>
      <c r="E6154">
        <v>17.55</v>
      </c>
      <c r="F6154">
        <v>6.25</v>
      </c>
    </row>
    <row r="6155" spans="1:6" x14ac:dyDescent="0.3">
      <c r="A6155" t="s">
        <v>10387</v>
      </c>
      <c r="B6155" t="s">
        <v>7189</v>
      </c>
      <c r="C6155" t="s">
        <v>10388</v>
      </c>
      <c r="D6155">
        <v>86107536</v>
      </c>
      <c r="E6155">
        <v>2.8</v>
      </c>
      <c r="F6155">
        <v>4.8899999999999997</v>
      </c>
    </row>
    <row r="6156" spans="1:6" x14ac:dyDescent="0.3">
      <c r="A6156" t="s">
        <v>10389</v>
      </c>
      <c r="B6156" t="s">
        <v>10390</v>
      </c>
      <c r="C6156" t="s">
        <v>10277</v>
      </c>
      <c r="D6156">
        <v>86114805</v>
      </c>
      <c r="E6156">
        <v>8.8800000000000008</v>
      </c>
      <c r="F6156">
        <v>7.06</v>
      </c>
    </row>
    <row r="6157" spans="1:6" x14ac:dyDescent="0.3">
      <c r="A6157" t="s">
        <v>10391</v>
      </c>
      <c r="B6157" t="s">
        <v>9483</v>
      </c>
      <c r="C6157" t="s">
        <v>10392</v>
      </c>
      <c r="D6157">
        <v>86132822</v>
      </c>
      <c r="E6157">
        <v>1.19</v>
      </c>
      <c r="F6157">
        <v>5.39</v>
      </c>
    </row>
    <row r="6158" spans="1:6" x14ac:dyDescent="0.3">
      <c r="A6158" t="s">
        <v>10393</v>
      </c>
      <c r="B6158" t="s">
        <v>9178</v>
      </c>
      <c r="C6158" t="s">
        <v>2948</v>
      </c>
      <c r="D6158">
        <v>86155700</v>
      </c>
      <c r="E6158">
        <v>6.88</v>
      </c>
      <c r="F6158">
        <v>7.25</v>
      </c>
    </row>
    <row r="6159" spans="1:6" x14ac:dyDescent="0.3">
      <c r="A6159" t="s">
        <v>10394</v>
      </c>
      <c r="B6159" t="s">
        <v>10395</v>
      </c>
      <c r="C6159" t="s">
        <v>10396</v>
      </c>
      <c r="D6159">
        <v>86183466</v>
      </c>
      <c r="E6159">
        <v>3.15</v>
      </c>
      <c r="F6159">
        <v>5.65</v>
      </c>
    </row>
    <row r="6160" spans="1:6" x14ac:dyDescent="0.3">
      <c r="A6160" t="s">
        <v>10397</v>
      </c>
      <c r="B6160" t="s">
        <v>10398</v>
      </c>
      <c r="C6160" t="s">
        <v>10399</v>
      </c>
      <c r="D6160">
        <v>86196054</v>
      </c>
      <c r="E6160">
        <v>30</v>
      </c>
      <c r="F6160">
        <v>10</v>
      </c>
    </row>
    <row r="6161" spans="1:6" x14ac:dyDescent="0.3">
      <c r="A6161" t="s">
        <v>10400</v>
      </c>
      <c r="B6161" t="s">
        <v>6980</v>
      </c>
      <c r="C6161" t="s">
        <v>9380</v>
      </c>
      <c r="D6161">
        <v>86230468</v>
      </c>
      <c r="E6161">
        <v>23</v>
      </c>
      <c r="F6161">
        <v>10</v>
      </c>
    </row>
    <row r="6162" spans="1:6" x14ac:dyDescent="0.3">
      <c r="A6162" t="s">
        <v>10401</v>
      </c>
      <c r="B6162" t="s">
        <v>7280</v>
      </c>
      <c r="C6162" t="s">
        <v>10402</v>
      </c>
      <c r="D6162">
        <v>86231070</v>
      </c>
      <c r="E6162">
        <v>6.78</v>
      </c>
      <c r="F6162">
        <v>7.33</v>
      </c>
    </row>
    <row r="6163" spans="1:6" x14ac:dyDescent="0.3">
      <c r="A6163" t="s">
        <v>10403</v>
      </c>
      <c r="B6163" t="s">
        <v>4196</v>
      </c>
      <c r="C6163" t="s">
        <v>7538</v>
      </c>
      <c r="D6163">
        <v>86233175</v>
      </c>
      <c r="E6163">
        <v>26.54</v>
      </c>
      <c r="F6163">
        <v>7.36</v>
      </c>
    </row>
    <row r="6164" spans="1:6" x14ac:dyDescent="0.3">
      <c r="A6164" t="s">
        <v>10404</v>
      </c>
      <c r="B6164" t="s">
        <v>8585</v>
      </c>
      <c r="C6164" t="s">
        <v>942</v>
      </c>
      <c r="D6164">
        <v>86233756</v>
      </c>
      <c r="E6164">
        <v>14</v>
      </c>
      <c r="F6164">
        <v>5.6</v>
      </c>
    </row>
    <row r="6165" spans="1:6" x14ac:dyDescent="0.3">
      <c r="A6165" t="s">
        <v>10405</v>
      </c>
      <c r="B6165" t="s">
        <v>6113</v>
      </c>
      <c r="C6165" t="s">
        <v>2394</v>
      </c>
      <c r="D6165">
        <v>86237239</v>
      </c>
      <c r="E6165">
        <v>2.86</v>
      </c>
      <c r="F6165">
        <v>6.87</v>
      </c>
    </row>
    <row r="6166" spans="1:6" x14ac:dyDescent="0.3">
      <c r="A6166" t="s">
        <v>10406</v>
      </c>
      <c r="B6166" t="s">
        <v>1385</v>
      </c>
      <c r="C6166" t="s">
        <v>10406</v>
      </c>
      <c r="D6166">
        <v>86261012</v>
      </c>
      <c r="E6166">
        <v>2.87</v>
      </c>
      <c r="F6166">
        <v>7.06</v>
      </c>
    </row>
    <row r="6167" spans="1:6" x14ac:dyDescent="0.3">
      <c r="A6167" t="s">
        <v>10407</v>
      </c>
      <c r="B6167" t="s">
        <v>9071</v>
      </c>
      <c r="C6167" t="s">
        <v>10408</v>
      </c>
      <c r="D6167">
        <v>86263198</v>
      </c>
      <c r="E6167">
        <v>23.72</v>
      </c>
      <c r="F6167">
        <v>7.56</v>
      </c>
    </row>
    <row r="6168" spans="1:6" x14ac:dyDescent="0.3">
      <c r="A6168" t="s">
        <v>10409</v>
      </c>
      <c r="B6168" t="s">
        <v>10167</v>
      </c>
      <c r="C6168" t="s">
        <v>2938</v>
      </c>
      <c r="D6168">
        <v>86282138</v>
      </c>
      <c r="E6168">
        <v>20.71</v>
      </c>
      <c r="F6168">
        <v>6.86</v>
      </c>
    </row>
    <row r="6169" spans="1:6" x14ac:dyDescent="0.3">
      <c r="A6169" t="s">
        <v>10410</v>
      </c>
      <c r="B6169" t="s">
        <v>9013</v>
      </c>
      <c r="C6169" t="s">
        <v>4794</v>
      </c>
      <c r="D6169">
        <v>86283504</v>
      </c>
      <c r="E6169">
        <v>17</v>
      </c>
      <c r="F6169">
        <v>5.25</v>
      </c>
    </row>
    <row r="6170" spans="1:6" x14ac:dyDescent="0.3">
      <c r="A6170" t="s">
        <v>10411</v>
      </c>
      <c r="B6170" t="s">
        <v>3255</v>
      </c>
      <c r="C6170" t="s">
        <v>2907</v>
      </c>
      <c r="D6170">
        <v>86284711</v>
      </c>
      <c r="E6170">
        <v>20</v>
      </c>
      <c r="F6170">
        <v>8</v>
      </c>
    </row>
    <row r="6171" spans="1:6" x14ac:dyDescent="0.3">
      <c r="A6171" t="s">
        <v>10412</v>
      </c>
      <c r="B6171" t="s">
        <v>8787</v>
      </c>
      <c r="C6171" t="s">
        <v>415</v>
      </c>
      <c r="D6171">
        <v>86291702</v>
      </c>
      <c r="E6171">
        <v>28.67</v>
      </c>
      <c r="F6171">
        <v>9</v>
      </c>
    </row>
    <row r="6172" spans="1:6" x14ac:dyDescent="0.3">
      <c r="A6172" t="s">
        <v>10413</v>
      </c>
      <c r="B6172" t="s">
        <v>10414</v>
      </c>
      <c r="C6172" t="s">
        <v>7296</v>
      </c>
      <c r="D6172">
        <v>86293338</v>
      </c>
      <c r="E6172">
        <v>7.19</v>
      </c>
      <c r="F6172">
        <v>8.43</v>
      </c>
    </row>
    <row r="6173" spans="1:6" x14ac:dyDescent="0.3">
      <c r="A6173" t="s">
        <v>10415</v>
      </c>
      <c r="B6173" t="s">
        <v>5415</v>
      </c>
      <c r="C6173" t="s">
        <v>6173</v>
      </c>
      <c r="D6173">
        <v>86312182</v>
      </c>
      <c r="E6173">
        <v>1.76</v>
      </c>
      <c r="F6173">
        <v>6.45</v>
      </c>
    </row>
    <row r="6174" spans="1:6" x14ac:dyDescent="0.3">
      <c r="A6174" t="s">
        <v>10416</v>
      </c>
      <c r="B6174" t="s">
        <v>6226</v>
      </c>
      <c r="C6174" t="s">
        <v>10417</v>
      </c>
      <c r="D6174">
        <v>86315312</v>
      </c>
      <c r="E6174">
        <v>2.85</v>
      </c>
      <c r="F6174">
        <v>7.21</v>
      </c>
    </row>
    <row r="6175" spans="1:6" x14ac:dyDescent="0.3">
      <c r="A6175" t="s">
        <v>10418</v>
      </c>
      <c r="B6175" t="s">
        <v>6724</v>
      </c>
      <c r="C6175" t="s">
        <v>6739</v>
      </c>
      <c r="D6175">
        <v>86326257</v>
      </c>
      <c r="E6175">
        <v>15.71</v>
      </c>
      <c r="F6175">
        <v>8.86</v>
      </c>
    </row>
    <row r="6176" spans="1:6" x14ac:dyDescent="0.3">
      <c r="A6176" t="s">
        <v>10419</v>
      </c>
      <c r="B6176" t="s">
        <v>9752</v>
      </c>
      <c r="C6176" t="s">
        <v>10420</v>
      </c>
      <c r="D6176">
        <v>86326804</v>
      </c>
      <c r="E6176">
        <v>12.25</v>
      </c>
      <c r="F6176">
        <v>8.27</v>
      </c>
    </row>
    <row r="6177" spans="1:6" x14ac:dyDescent="0.3">
      <c r="A6177" t="s">
        <v>10421</v>
      </c>
      <c r="B6177" t="s">
        <v>7311</v>
      </c>
      <c r="C6177" t="s">
        <v>10422</v>
      </c>
      <c r="D6177">
        <v>86356350</v>
      </c>
      <c r="E6177">
        <v>9.6999999999999993</v>
      </c>
      <c r="F6177">
        <v>6</v>
      </c>
    </row>
    <row r="6178" spans="1:6" x14ac:dyDescent="0.3">
      <c r="A6178" t="s">
        <v>10423</v>
      </c>
      <c r="B6178" t="s">
        <v>10424</v>
      </c>
      <c r="C6178" t="s">
        <v>10425</v>
      </c>
      <c r="D6178">
        <v>86372586</v>
      </c>
      <c r="E6178">
        <v>4.76</v>
      </c>
      <c r="F6178">
        <v>5.93</v>
      </c>
    </row>
    <row r="6179" spans="1:6" x14ac:dyDescent="0.3">
      <c r="A6179" t="s">
        <v>10426</v>
      </c>
      <c r="B6179" t="s">
        <v>6226</v>
      </c>
      <c r="C6179" t="s">
        <v>10427</v>
      </c>
      <c r="D6179">
        <v>86380329</v>
      </c>
      <c r="E6179">
        <v>6.61</v>
      </c>
      <c r="F6179">
        <v>6.59</v>
      </c>
    </row>
    <row r="6180" spans="1:6" x14ac:dyDescent="0.3">
      <c r="A6180" t="s">
        <v>10428</v>
      </c>
      <c r="B6180" t="s">
        <v>10429</v>
      </c>
      <c r="C6180" t="s">
        <v>10430</v>
      </c>
      <c r="D6180">
        <v>86407629</v>
      </c>
      <c r="E6180" t="s">
        <v>3814</v>
      </c>
      <c r="F6180" t="s">
        <v>3814</v>
      </c>
    </row>
    <row r="6181" spans="1:6" x14ac:dyDescent="0.3">
      <c r="A6181" t="s">
        <v>10431</v>
      </c>
      <c r="B6181" t="s">
        <v>9907</v>
      </c>
      <c r="C6181" t="s">
        <v>7491</v>
      </c>
      <c r="D6181">
        <v>86409349</v>
      </c>
      <c r="E6181">
        <v>3.05</v>
      </c>
      <c r="F6181">
        <v>7.15</v>
      </c>
    </row>
    <row r="6182" spans="1:6" x14ac:dyDescent="0.3">
      <c r="A6182" t="s">
        <v>10432</v>
      </c>
      <c r="B6182" t="s">
        <v>10433</v>
      </c>
      <c r="C6182" t="s">
        <v>593</v>
      </c>
      <c r="D6182">
        <v>86412942</v>
      </c>
      <c r="E6182">
        <v>32</v>
      </c>
      <c r="F6182">
        <v>8.31</v>
      </c>
    </row>
    <row r="6183" spans="1:6" x14ac:dyDescent="0.3">
      <c r="A6183" t="s">
        <v>10434</v>
      </c>
      <c r="B6183" t="s">
        <v>10215</v>
      </c>
      <c r="C6183" t="s">
        <v>4164</v>
      </c>
      <c r="D6183">
        <v>86432213</v>
      </c>
      <c r="E6183">
        <v>2.04</v>
      </c>
      <c r="F6183">
        <v>5.57</v>
      </c>
    </row>
    <row r="6184" spans="1:6" x14ac:dyDescent="0.3">
      <c r="A6184" t="s">
        <v>10435</v>
      </c>
      <c r="B6184" t="s">
        <v>2843</v>
      </c>
      <c r="C6184" t="s">
        <v>10436</v>
      </c>
      <c r="D6184">
        <v>86475989</v>
      </c>
      <c r="E6184">
        <v>6.25</v>
      </c>
      <c r="F6184">
        <v>6.93</v>
      </c>
    </row>
    <row r="6185" spans="1:6" x14ac:dyDescent="0.3">
      <c r="A6185" t="s">
        <v>10437</v>
      </c>
      <c r="B6185" t="s">
        <v>9565</v>
      </c>
      <c r="C6185" t="s">
        <v>10438</v>
      </c>
      <c r="D6185">
        <v>86483214</v>
      </c>
      <c r="E6185">
        <v>1.28</v>
      </c>
      <c r="F6185">
        <v>6.37</v>
      </c>
    </row>
    <row r="6186" spans="1:6" x14ac:dyDescent="0.3">
      <c r="A6186" t="s">
        <v>10439</v>
      </c>
      <c r="B6186" t="s">
        <v>9455</v>
      </c>
      <c r="C6186" t="s">
        <v>3092</v>
      </c>
      <c r="D6186">
        <v>86488638</v>
      </c>
      <c r="E6186">
        <v>17.5</v>
      </c>
      <c r="F6186">
        <v>7</v>
      </c>
    </row>
    <row r="6187" spans="1:6" x14ac:dyDescent="0.3">
      <c r="A6187" t="s">
        <v>10440</v>
      </c>
      <c r="B6187" t="s">
        <v>10441</v>
      </c>
      <c r="C6187" t="s">
        <v>10442</v>
      </c>
      <c r="D6187">
        <v>86506640</v>
      </c>
      <c r="E6187">
        <v>1.4</v>
      </c>
      <c r="F6187">
        <v>7.01</v>
      </c>
    </row>
    <row r="6188" spans="1:6" x14ac:dyDescent="0.3">
      <c r="A6188" t="s">
        <v>10443</v>
      </c>
      <c r="B6188" t="s">
        <v>9520</v>
      </c>
      <c r="C6188" t="s">
        <v>2796</v>
      </c>
      <c r="D6188">
        <v>86511925</v>
      </c>
      <c r="E6188">
        <v>15.93</v>
      </c>
      <c r="F6188">
        <v>5</v>
      </c>
    </row>
    <row r="6189" spans="1:6" x14ac:dyDescent="0.3">
      <c r="A6189" t="s">
        <v>10444</v>
      </c>
      <c r="B6189" t="s">
        <v>8045</v>
      </c>
      <c r="C6189" t="s">
        <v>5841</v>
      </c>
      <c r="D6189">
        <v>86512847</v>
      </c>
      <c r="E6189">
        <v>28</v>
      </c>
      <c r="F6189">
        <v>8</v>
      </c>
    </row>
    <row r="6190" spans="1:6" x14ac:dyDescent="0.3">
      <c r="A6190" t="s">
        <v>10445</v>
      </c>
      <c r="B6190" t="s">
        <v>6615</v>
      </c>
      <c r="C6190" t="s">
        <v>10446</v>
      </c>
      <c r="D6190">
        <v>86513236</v>
      </c>
      <c r="E6190">
        <v>22.8</v>
      </c>
      <c r="F6190">
        <v>5.79</v>
      </c>
    </row>
    <row r="6191" spans="1:6" x14ac:dyDescent="0.3">
      <c r="A6191" t="s">
        <v>10447</v>
      </c>
      <c r="B6191" t="s">
        <v>8950</v>
      </c>
      <c r="C6191" t="s">
        <v>7741</v>
      </c>
      <c r="D6191">
        <v>86522027</v>
      </c>
      <c r="E6191">
        <v>1.68</v>
      </c>
      <c r="F6191">
        <v>7.87</v>
      </c>
    </row>
    <row r="6192" spans="1:6" x14ac:dyDescent="0.3">
      <c r="A6192" t="s">
        <v>10448</v>
      </c>
      <c r="B6192" t="s">
        <v>10449</v>
      </c>
      <c r="C6192" t="s">
        <v>2383</v>
      </c>
      <c r="D6192">
        <v>86537641</v>
      </c>
      <c r="E6192">
        <v>2.3199999999999998</v>
      </c>
      <c r="F6192">
        <v>6.67</v>
      </c>
    </row>
    <row r="6193" spans="1:6" x14ac:dyDescent="0.3">
      <c r="A6193" t="s">
        <v>10450</v>
      </c>
      <c r="B6193" t="s">
        <v>10451</v>
      </c>
      <c r="C6193" t="s">
        <v>1165</v>
      </c>
      <c r="D6193">
        <v>86565813</v>
      </c>
      <c r="E6193">
        <v>16</v>
      </c>
      <c r="F6193">
        <v>7.04</v>
      </c>
    </row>
    <row r="6194" spans="1:6" x14ac:dyDescent="0.3">
      <c r="A6194" t="s">
        <v>10452</v>
      </c>
      <c r="B6194" t="s">
        <v>10351</v>
      </c>
      <c r="C6194" t="s">
        <v>10453</v>
      </c>
      <c r="D6194">
        <v>86588361</v>
      </c>
      <c r="E6194">
        <v>9.99</v>
      </c>
      <c r="F6194">
        <v>7.09</v>
      </c>
    </row>
    <row r="6195" spans="1:6" x14ac:dyDescent="0.3">
      <c r="A6195" t="s">
        <v>10454</v>
      </c>
      <c r="B6195" t="s">
        <v>4930</v>
      </c>
      <c r="C6195" t="s">
        <v>10455</v>
      </c>
      <c r="D6195">
        <v>86589947</v>
      </c>
      <c r="E6195">
        <v>15.39</v>
      </c>
      <c r="F6195">
        <v>6.38</v>
      </c>
    </row>
    <row r="6196" spans="1:6" x14ac:dyDescent="0.3">
      <c r="A6196" t="s">
        <v>10456</v>
      </c>
      <c r="B6196" t="s">
        <v>6626</v>
      </c>
      <c r="C6196" t="s">
        <v>10457</v>
      </c>
      <c r="D6196">
        <v>86595871</v>
      </c>
      <c r="E6196">
        <v>26.2</v>
      </c>
      <c r="F6196">
        <v>6.4</v>
      </c>
    </row>
    <row r="6197" spans="1:6" x14ac:dyDescent="0.3">
      <c r="A6197" t="s">
        <v>10458</v>
      </c>
      <c r="B6197" t="s">
        <v>10459</v>
      </c>
      <c r="C6197" t="s">
        <v>7132</v>
      </c>
      <c r="D6197">
        <v>86596100</v>
      </c>
      <c r="E6197">
        <v>3.09</v>
      </c>
      <c r="F6197">
        <v>7.11</v>
      </c>
    </row>
    <row r="6198" spans="1:6" x14ac:dyDescent="0.3">
      <c r="A6198" t="s">
        <v>10460</v>
      </c>
      <c r="B6198" t="s">
        <v>2791</v>
      </c>
      <c r="C6198" t="s">
        <v>10461</v>
      </c>
      <c r="D6198">
        <v>86605922</v>
      </c>
      <c r="E6198">
        <v>15.22</v>
      </c>
      <c r="F6198">
        <v>7.7</v>
      </c>
    </row>
    <row r="6199" spans="1:6" x14ac:dyDescent="0.3">
      <c r="A6199" t="s">
        <v>10462</v>
      </c>
      <c r="B6199" t="s">
        <v>9820</v>
      </c>
      <c r="C6199" t="s">
        <v>1214</v>
      </c>
      <c r="D6199">
        <v>86619575</v>
      </c>
      <c r="E6199">
        <v>15.11</v>
      </c>
      <c r="F6199">
        <v>7</v>
      </c>
    </row>
    <row r="6200" spans="1:6" x14ac:dyDescent="0.3">
      <c r="A6200" t="s">
        <v>10463</v>
      </c>
      <c r="B6200" t="s">
        <v>4100</v>
      </c>
      <c r="C6200" t="s">
        <v>10081</v>
      </c>
      <c r="D6200">
        <v>86634582</v>
      </c>
      <c r="E6200">
        <v>3.22</v>
      </c>
      <c r="F6200">
        <v>6.85</v>
      </c>
    </row>
    <row r="6201" spans="1:6" x14ac:dyDescent="0.3">
      <c r="A6201" t="s">
        <v>10464</v>
      </c>
      <c r="B6201" t="s">
        <v>10465</v>
      </c>
      <c r="C6201" t="s">
        <v>6742</v>
      </c>
      <c r="D6201">
        <v>86642299</v>
      </c>
      <c r="E6201">
        <v>18.670000000000002</v>
      </c>
      <c r="F6201">
        <v>6</v>
      </c>
    </row>
    <row r="6202" spans="1:6" x14ac:dyDescent="0.3">
      <c r="A6202" t="s">
        <v>10466</v>
      </c>
      <c r="B6202" t="s">
        <v>9404</v>
      </c>
      <c r="C6202" t="s">
        <v>9433</v>
      </c>
      <c r="D6202">
        <v>86650731</v>
      </c>
      <c r="E6202">
        <v>2.29</v>
      </c>
      <c r="F6202">
        <v>7</v>
      </c>
    </row>
    <row r="6203" spans="1:6" x14ac:dyDescent="0.3">
      <c r="A6203" t="s">
        <v>10467</v>
      </c>
      <c r="B6203" t="s">
        <v>10468</v>
      </c>
      <c r="C6203" t="s">
        <v>4808</v>
      </c>
      <c r="D6203">
        <v>86659697</v>
      </c>
      <c r="E6203">
        <v>2.12</v>
      </c>
      <c r="F6203">
        <v>5.94</v>
      </c>
    </row>
    <row r="6204" spans="1:6" x14ac:dyDescent="0.3">
      <c r="A6204" t="s">
        <v>10469</v>
      </c>
      <c r="B6204" t="s">
        <v>10470</v>
      </c>
      <c r="C6204" t="s">
        <v>707</v>
      </c>
      <c r="D6204">
        <v>86665617</v>
      </c>
      <c r="E6204">
        <v>6.44</v>
      </c>
      <c r="F6204">
        <v>8.6</v>
      </c>
    </row>
    <row r="6205" spans="1:6" x14ac:dyDescent="0.3">
      <c r="A6205" t="s">
        <v>10471</v>
      </c>
      <c r="B6205" t="s">
        <v>5900</v>
      </c>
      <c r="C6205" t="s">
        <v>3344</v>
      </c>
      <c r="D6205">
        <v>86669300</v>
      </c>
      <c r="E6205">
        <v>11.31</v>
      </c>
      <c r="F6205">
        <v>7.31</v>
      </c>
    </row>
    <row r="6206" spans="1:6" x14ac:dyDescent="0.3">
      <c r="A6206" t="s">
        <v>10472</v>
      </c>
      <c r="B6206" t="s">
        <v>9494</v>
      </c>
      <c r="C6206" t="s">
        <v>10473</v>
      </c>
      <c r="D6206">
        <v>86687604</v>
      </c>
      <c r="E6206">
        <v>22</v>
      </c>
      <c r="F6206">
        <v>10</v>
      </c>
    </row>
    <row r="6207" spans="1:6" x14ac:dyDescent="0.3">
      <c r="A6207" t="s">
        <v>10474</v>
      </c>
      <c r="B6207" t="s">
        <v>8229</v>
      </c>
      <c r="C6207" t="s">
        <v>4131</v>
      </c>
      <c r="D6207">
        <v>86692874</v>
      </c>
      <c r="E6207">
        <v>8.25</v>
      </c>
      <c r="F6207">
        <v>3.22</v>
      </c>
    </row>
    <row r="6208" spans="1:6" x14ac:dyDescent="0.3">
      <c r="A6208" t="s">
        <v>10475</v>
      </c>
      <c r="B6208" t="s">
        <v>2101</v>
      </c>
      <c r="C6208" t="s">
        <v>10476</v>
      </c>
      <c r="D6208">
        <v>86752868</v>
      </c>
      <c r="E6208" t="s">
        <v>3814</v>
      </c>
      <c r="F6208" t="s">
        <v>3814</v>
      </c>
    </row>
    <row r="6209" spans="1:6" x14ac:dyDescent="0.3">
      <c r="A6209" t="s">
        <v>10477</v>
      </c>
      <c r="B6209" t="s">
        <v>4171</v>
      </c>
      <c r="C6209" t="s">
        <v>7736</v>
      </c>
      <c r="D6209">
        <v>86754759</v>
      </c>
      <c r="E6209">
        <v>23</v>
      </c>
      <c r="F6209">
        <v>8</v>
      </c>
    </row>
    <row r="6210" spans="1:6" x14ac:dyDescent="0.3">
      <c r="A6210" t="s">
        <v>10478</v>
      </c>
      <c r="B6210" t="s">
        <v>10479</v>
      </c>
      <c r="C6210" t="s">
        <v>6534</v>
      </c>
      <c r="D6210">
        <v>86764947</v>
      </c>
      <c r="E6210">
        <v>8.83</v>
      </c>
      <c r="F6210">
        <v>6.67</v>
      </c>
    </row>
    <row r="6211" spans="1:6" x14ac:dyDescent="0.3">
      <c r="A6211" t="s">
        <v>10480</v>
      </c>
      <c r="B6211" t="s">
        <v>7368</v>
      </c>
      <c r="C6211" t="s">
        <v>10481</v>
      </c>
      <c r="D6211">
        <v>86787878</v>
      </c>
      <c r="E6211">
        <v>32</v>
      </c>
      <c r="F6211">
        <v>7.33</v>
      </c>
    </row>
    <row r="6212" spans="1:6" x14ac:dyDescent="0.3">
      <c r="A6212" t="s">
        <v>10482</v>
      </c>
      <c r="B6212" t="s">
        <v>2843</v>
      </c>
      <c r="C6212" t="s">
        <v>10483</v>
      </c>
      <c r="D6212">
        <v>86795510</v>
      </c>
      <c r="E6212">
        <v>30.5</v>
      </c>
      <c r="F6212">
        <v>8</v>
      </c>
    </row>
    <row r="6213" spans="1:6" x14ac:dyDescent="0.3">
      <c r="A6213" t="s">
        <v>10484</v>
      </c>
      <c r="B6213" t="s">
        <v>9858</v>
      </c>
      <c r="C6213" t="s">
        <v>10485</v>
      </c>
      <c r="D6213">
        <v>86822446</v>
      </c>
      <c r="E6213">
        <v>18.5</v>
      </c>
      <c r="F6213">
        <v>5.5</v>
      </c>
    </row>
    <row r="6214" spans="1:6" x14ac:dyDescent="0.3">
      <c r="A6214" t="s">
        <v>10486</v>
      </c>
      <c r="B6214" t="s">
        <v>10487</v>
      </c>
      <c r="C6214" t="s">
        <v>9918</v>
      </c>
      <c r="D6214">
        <v>86827154</v>
      </c>
      <c r="E6214">
        <v>3.78</v>
      </c>
      <c r="F6214">
        <v>5.82</v>
      </c>
    </row>
    <row r="6215" spans="1:6" x14ac:dyDescent="0.3">
      <c r="A6215" t="s">
        <v>10488</v>
      </c>
      <c r="B6215" t="s">
        <v>9071</v>
      </c>
      <c r="C6215" t="s">
        <v>2304</v>
      </c>
      <c r="D6215">
        <v>86830933</v>
      </c>
      <c r="E6215">
        <v>21.29</v>
      </c>
      <c r="F6215">
        <v>7.29</v>
      </c>
    </row>
    <row r="6216" spans="1:6" x14ac:dyDescent="0.3">
      <c r="A6216" t="s">
        <v>9090</v>
      </c>
      <c r="B6216" t="s">
        <v>10489</v>
      </c>
      <c r="C6216" t="s">
        <v>10490</v>
      </c>
      <c r="D6216">
        <v>86871783</v>
      </c>
      <c r="E6216">
        <v>1.08</v>
      </c>
      <c r="F6216">
        <v>7.2</v>
      </c>
    </row>
    <row r="6217" spans="1:6" x14ac:dyDescent="0.3">
      <c r="A6217" t="s">
        <v>10491</v>
      </c>
      <c r="B6217" t="s">
        <v>10492</v>
      </c>
      <c r="C6217" t="s">
        <v>2948</v>
      </c>
      <c r="D6217">
        <v>86875329</v>
      </c>
      <c r="E6217">
        <v>8.1999999999999993</v>
      </c>
      <c r="F6217">
        <v>6.68</v>
      </c>
    </row>
    <row r="6218" spans="1:6" x14ac:dyDescent="0.3">
      <c r="A6218" t="s">
        <v>10493</v>
      </c>
      <c r="B6218" t="s">
        <v>10494</v>
      </c>
      <c r="C6218" t="s">
        <v>10495</v>
      </c>
      <c r="D6218">
        <v>86880648</v>
      </c>
      <c r="E6218">
        <v>1.91</v>
      </c>
      <c r="F6218">
        <v>7.17</v>
      </c>
    </row>
    <row r="6219" spans="1:6" x14ac:dyDescent="0.3">
      <c r="A6219" t="s">
        <v>10496</v>
      </c>
      <c r="B6219" t="s">
        <v>8029</v>
      </c>
      <c r="C6219" t="s">
        <v>349</v>
      </c>
      <c r="D6219">
        <v>86893952</v>
      </c>
      <c r="E6219">
        <v>16.87</v>
      </c>
      <c r="F6219">
        <v>7</v>
      </c>
    </row>
    <row r="6220" spans="1:6" x14ac:dyDescent="0.3">
      <c r="A6220" t="s">
        <v>10497</v>
      </c>
      <c r="B6220" t="s">
        <v>8065</v>
      </c>
      <c r="C6220" t="s">
        <v>10498</v>
      </c>
      <c r="D6220">
        <v>86896616</v>
      </c>
      <c r="E6220">
        <v>3.53</v>
      </c>
      <c r="F6220">
        <v>7.02</v>
      </c>
    </row>
    <row r="6221" spans="1:6" x14ac:dyDescent="0.3">
      <c r="A6221" t="s">
        <v>10499</v>
      </c>
      <c r="B6221" t="s">
        <v>9483</v>
      </c>
      <c r="C6221" t="s">
        <v>8708</v>
      </c>
      <c r="D6221">
        <v>86899078</v>
      </c>
      <c r="E6221">
        <v>6.69</v>
      </c>
      <c r="F6221">
        <v>6.89</v>
      </c>
    </row>
    <row r="6222" spans="1:6" x14ac:dyDescent="0.3">
      <c r="A6222" t="s">
        <v>10500</v>
      </c>
      <c r="B6222" t="s">
        <v>10501</v>
      </c>
      <c r="C6222" t="s">
        <v>7099</v>
      </c>
      <c r="D6222">
        <v>86915976</v>
      </c>
      <c r="E6222">
        <v>2.88</v>
      </c>
      <c r="F6222">
        <v>7.31</v>
      </c>
    </row>
    <row r="6223" spans="1:6" x14ac:dyDescent="0.3">
      <c r="A6223" t="s">
        <v>10502</v>
      </c>
      <c r="B6223" t="s">
        <v>2018</v>
      </c>
      <c r="C6223" t="s">
        <v>782</v>
      </c>
      <c r="D6223">
        <v>86917672</v>
      </c>
      <c r="E6223">
        <v>20.25</v>
      </c>
      <c r="F6223">
        <v>3.3</v>
      </c>
    </row>
    <row r="6224" spans="1:6" x14ac:dyDescent="0.3">
      <c r="A6224" t="s">
        <v>10503</v>
      </c>
      <c r="B6224" t="s">
        <v>7025</v>
      </c>
      <c r="C6224" t="s">
        <v>10504</v>
      </c>
      <c r="D6224">
        <v>86921539</v>
      </c>
      <c r="E6224">
        <v>5.4</v>
      </c>
      <c r="F6224">
        <v>5.68</v>
      </c>
    </row>
    <row r="6225" spans="1:6" x14ac:dyDescent="0.3">
      <c r="A6225" t="s">
        <v>10505</v>
      </c>
      <c r="B6225" t="s">
        <v>10506</v>
      </c>
      <c r="C6225" t="s">
        <v>25</v>
      </c>
      <c r="D6225">
        <v>86925233</v>
      </c>
      <c r="E6225">
        <v>16.3</v>
      </c>
      <c r="F6225">
        <v>5.83</v>
      </c>
    </row>
    <row r="6226" spans="1:6" x14ac:dyDescent="0.3">
      <c r="A6226" t="s">
        <v>10507</v>
      </c>
      <c r="B6226" t="s">
        <v>7261</v>
      </c>
      <c r="C6226" t="s">
        <v>5772</v>
      </c>
      <c r="D6226">
        <v>86935458</v>
      </c>
      <c r="E6226">
        <v>4.6100000000000003</v>
      </c>
      <c r="F6226">
        <v>7.64</v>
      </c>
    </row>
    <row r="6227" spans="1:6" x14ac:dyDescent="0.3">
      <c r="A6227" t="s">
        <v>10508</v>
      </c>
      <c r="B6227" t="s">
        <v>10509</v>
      </c>
      <c r="C6227" t="s">
        <v>9179</v>
      </c>
      <c r="D6227">
        <v>86938743</v>
      </c>
      <c r="E6227">
        <v>13.31</v>
      </c>
      <c r="F6227">
        <v>7.83</v>
      </c>
    </row>
    <row r="6228" spans="1:6" x14ac:dyDescent="0.3">
      <c r="A6228" t="s">
        <v>10510</v>
      </c>
      <c r="B6228" t="s">
        <v>10511</v>
      </c>
      <c r="C6228" t="s">
        <v>10512</v>
      </c>
      <c r="D6228">
        <v>86940174</v>
      </c>
      <c r="E6228">
        <v>17.079999999999998</v>
      </c>
      <c r="F6228">
        <v>8.92</v>
      </c>
    </row>
    <row r="6229" spans="1:6" x14ac:dyDescent="0.3">
      <c r="A6229" t="s">
        <v>10513</v>
      </c>
      <c r="B6229" t="s">
        <v>10514</v>
      </c>
      <c r="C6229" t="s">
        <v>8167</v>
      </c>
      <c r="D6229">
        <v>86940256</v>
      </c>
      <c r="E6229">
        <v>4.09</v>
      </c>
      <c r="F6229">
        <v>7.39</v>
      </c>
    </row>
    <row r="6230" spans="1:6" x14ac:dyDescent="0.3">
      <c r="A6230" t="s">
        <v>10515</v>
      </c>
      <c r="B6230" t="s">
        <v>3746</v>
      </c>
      <c r="C6230" t="s">
        <v>10516</v>
      </c>
      <c r="D6230">
        <v>86945432</v>
      </c>
      <c r="E6230">
        <v>2.79</v>
      </c>
      <c r="F6230">
        <v>6.65</v>
      </c>
    </row>
    <row r="6231" spans="1:6" x14ac:dyDescent="0.3">
      <c r="A6231" t="s">
        <v>10517</v>
      </c>
      <c r="B6231" t="s">
        <v>10351</v>
      </c>
      <c r="C6231" t="s">
        <v>2481</v>
      </c>
      <c r="D6231">
        <v>86957337</v>
      </c>
      <c r="E6231">
        <v>18.670000000000002</v>
      </c>
      <c r="F6231">
        <v>4</v>
      </c>
    </row>
    <row r="6232" spans="1:6" x14ac:dyDescent="0.3">
      <c r="A6232" t="s">
        <v>10518</v>
      </c>
      <c r="B6232" t="s">
        <v>10519</v>
      </c>
      <c r="C6232" t="s">
        <v>5725</v>
      </c>
      <c r="D6232">
        <v>86962653</v>
      </c>
      <c r="E6232">
        <v>1.21</v>
      </c>
      <c r="F6232">
        <v>7.8</v>
      </c>
    </row>
    <row r="6233" spans="1:6" x14ac:dyDescent="0.3">
      <c r="A6233" t="s">
        <v>10520</v>
      </c>
      <c r="B6233" t="s">
        <v>9367</v>
      </c>
      <c r="C6233" t="s">
        <v>2049</v>
      </c>
      <c r="D6233">
        <v>86965847</v>
      </c>
      <c r="E6233">
        <v>2.88</v>
      </c>
      <c r="F6233">
        <v>6.63</v>
      </c>
    </row>
    <row r="6234" spans="1:6" x14ac:dyDescent="0.3">
      <c r="A6234" t="s">
        <v>10521</v>
      </c>
      <c r="B6234" t="s">
        <v>10522</v>
      </c>
      <c r="C6234" t="s">
        <v>10523</v>
      </c>
      <c r="D6234">
        <v>86972962</v>
      </c>
      <c r="E6234">
        <v>16.64</v>
      </c>
      <c r="F6234">
        <v>6.73</v>
      </c>
    </row>
    <row r="6235" spans="1:6" x14ac:dyDescent="0.3">
      <c r="A6235" t="s">
        <v>10524</v>
      </c>
      <c r="B6235" t="s">
        <v>8070</v>
      </c>
      <c r="C6235" t="s">
        <v>4356</v>
      </c>
      <c r="D6235">
        <v>86990515</v>
      </c>
      <c r="E6235">
        <v>11.74</v>
      </c>
      <c r="F6235">
        <v>7.57</v>
      </c>
    </row>
    <row r="6236" spans="1:6" x14ac:dyDescent="0.3">
      <c r="A6236" t="s">
        <v>10525</v>
      </c>
      <c r="B6236" t="s">
        <v>10526</v>
      </c>
      <c r="C6236" t="s">
        <v>885</v>
      </c>
      <c r="D6236">
        <v>86993331</v>
      </c>
      <c r="E6236">
        <v>3.96</v>
      </c>
      <c r="F6236">
        <v>6.59</v>
      </c>
    </row>
    <row r="6237" spans="1:6" x14ac:dyDescent="0.3">
      <c r="A6237" t="s">
        <v>10527</v>
      </c>
      <c r="B6237" t="s">
        <v>7604</v>
      </c>
      <c r="C6237" t="s">
        <v>10528</v>
      </c>
      <c r="D6237">
        <v>86996130</v>
      </c>
      <c r="E6237">
        <v>23.79</v>
      </c>
      <c r="F6237">
        <v>7.57</v>
      </c>
    </row>
    <row r="6238" spans="1:6" x14ac:dyDescent="0.3">
      <c r="A6238" t="s">
        <v>10529</v>
      </c>
      <c r="B6238" t="s">
        <v>5614</v>
      </c>
      <c r="C6238" t="s">
        <v>10530</v>
      </c>
      <c r="D6238">
        <v>87023923</v>
      </c>
      <c r="E6238">
        <v>5.85</v>
      </c>
      <c r="F6238">
        <v>5.3</v>
      </c>
    </row>
    <row r="6239" spans="1:6" x14ac:dyDescent="0.3">
      <c r="A6239" t="s">
        <v>10531</v>
      </c>
      <c r="B6239" t="s">
        <v>10532</v>
      </c>
      <c r="C6239" t="s">
        <v>10533</v>
      </c>
      <c r="D6239">
        <v>87033090</v>
      </c>
      <c r="E6239">
        <v>20.87</v>
      </c>
      <c r="F6239">
        <v>7.44</v>
      </c>
    </row>
    <row r="6240" spans="1:6" x14ac:dyDescent="0.3">
      <c r="A6240" t="s">
        <v>10534</v>
      </c>
      <c r="B6240" t="s">
        <v>10535</v>
      </c>
      <c r="C6240" t="s">
        <v>10536</v>
      </c>
      <c r="D6240">
        <v>87036803</v>
      </c>
      <c r="E6240">
        <v>19.399999999999999</v>
      </c>
      <c r="F6240">
        <v>5.25</v>
      </c>
    </row>
    <row r="6241" spans="1:6" x14ac:dyDescent="0.3">
      <c r="A6241" t="s">
        <v>10537</v>
      </c>
      <c r="B6241" t="s">
        <v>10105</v>
      </c>
      <c r="C6241" t="s">
        <v>36</v>
      </c>
      <c r="D6241">
        <v>87045044</v>
      </c>
      <c r="E6241">
        <v>13.19</v>
      </c>
      <c r="F6241">
        <v>6.67</v>
      </c>
    </row>
    <row r="6242" spans="1:6" x14ac:dyDescent="0.3">
      <c r="A6242" t="s">
        <v>10538</v>
      </c>
      <c r="B6242" t="s">
        <v>9233</v>
      </c>
      <c r="C6242" t="s">
        <v>1087</v>
      </c>
      <c r="D6242">
        <v>87049704</v>
      </c>
      <c r="E6242">
        <v>12.88</v>
      </c>
      <c r="F6242">
        <v>8.33</v>
      </c>
    </row>
    <row r="6243" spans="1:6" x14ac:dyDescent="0.3">
      <c r="A6243" t="s">
        <v>10539</v>
      </c>
      <c r="B6243" t="s">
        <v>9048</v>
      </c>
      <c r="C6243" t="s">
        <v>845</v>
      </c>
      <c r="D6243">
        <v>87071894</v>
      </c>
      <c r="E6243" t="s">
        <v>3814</v>
      </c>
      <c r="F6243" t="s">
        <v>3814</v>
      </c>
    </row>
    <row r="6244" spans="1:6" x14ac:dyDescent="0.3">
      <c r="A6244" t="s">
        <v>10540</v>
      </c>
      <c r="B6244" t="s">
        <v>10295</v>
      </c>
      <c r="C6244" t="s">
        <v>8490</v>
      </c>
      <c r="D6244">
        <v>87072454</v>
      </c>
      <c r="E6244">
        <v>21.93</v>
      </c>
      <c r="F6244">
        <v>6.69</v>
      </c>
    </row>
    <row r="6245" spans="1:6" x14ac:dyDescent="0.3">
      <c r="A6245" t="s">
        <v>10541</v>
      </c>
      <c r="B6245" t="s">
        <v>10542</v>
      </c>
      <c r="C6245" t="s">
        <v>9322</v>
      </c>
      <c r="D6245">
        <v>87073548</v>
      </c>
      <c r="E6245">
        <v>3.38</v>
      </c>
      <c r="F6245">
        <v>7.7</v>
      </c>
    </row>
    <row r="6246" spans="1:6" x14ac:dyDescent="0.3">
      <c r="A6246" t="s">
        <v>10543</v>
      </c>
      <c r="B6246" t="s">
        <v>3832</v>
      </c>
      <c r="C6246" t="s">
        <v>10544</v>
      </c>
      <c r="D6246">
        <v>87078347</v>
      </c>
      <c r="E6246">
        <v>3.99</v>
      </c>
      <c r="F6246">
        <v>7.14</v>
      </c>
    </row>
    <row r="6247" spans="1:6" x14ac:dyDescent="0.3">
      <c r="A6247" t="s">
        <v>10545</v>
      </c>
      <c r="B6247" t="s">
        <v>5790</v>
      </c>
      <c r="C6247" t="s">
        <v>10546</v>
      </c>
      <c r="D6247">
        <v>87088913</v>
      </c>
      <c r="E6247">
        <v>6</v>
      </c>
      <c r="F6247">
        <v>6</v>
      </c>
    </row>
    <row r="6248" spans="1:6" x14ac:dyDescent="0.3">
      <c r="A6248" t="s">
        <v>10547</v>
      </c>
      <c r="B6248" t="s">
        <v>10222</v>
      </c>
      <c r="C6248" t="s">
        <v>950</v>
      </c>
      <c r="D6248">
        <v>87095463</v>
      </c>
      <c r="E6248">
        <v>15.8</v>
      </c>
      <c r="F6248">
        <v>6.82</v>
      </c>
    </row>
    <row r="6249" spans="1:6" x14ac:dyDescent="0.3">
      <c r="A6249" t="s">
        <v>10548</v>
      </c>
      <c r="B6249" t="s">
        <v>7629</v>
      </c>
      <c r="C6249" t="s">
        <v>6342</v>
      </c>
      <c r="D6249">
        <v>87103604</v>
      </c>
      <c r="E6249">
        <v>2.5499999999999998</v>
      </c>
      <c r="F6249">
        <v>7.19</v>
      </c>
    </row>
    <row r="6250" spans="1:6" x14ac:dyDescent="0.3">
      <c r="A6250" t="s">
        <v>10549</v>
      </c>
      <c r="B6250" t="s">
        <v>4154</v>
      </c>
      <c r="C6250" t="s">
        <v>10550</v>
      </c>
      <c r="D6250">
        <v>87108496</v>
      </c>
      <c r="E6250">
        <v>5.19</v>
      </c>
      <c r="F6250">
        <v>6.88</v>
      </c>
    </row>
    <row r="6251" spans="1:6" x14ac:dyDescent="0.3">
      <c r="A6251" t="s">
        <v>10551</v>
      </c>
      <c r="B6251" t="s">
        <v>10552</v>
      </c>
      <c r="C6251" t="s">
        <v>10553</v>
      </c>
      <c r="D6251">
        <v>87109416</v>
      </c>
      <c r="E6251">
        <v>4.76</v>
      </c>
      <c r="F6251">
        <v>7.85</v>
      </c>
    </row>
    <row r="6252" spans="1:6" x14ac:dyDescent="0.3">
      <c r="A6252" t="s">
        <v>10554</v>
      </c>
      <c r="B6252" t="s">
        <v>2325</v>
      </c>
      <c r="C6252" t="s">
        <v>10555</v>
      </c>
      <c r="D6252">
        <v>87110463</v>
      </c>
      <c r="E6252">
        <v>8.8800000000000008</v>
      </c>
      <c r="F6252">
        <v>7.5</v>
      </c>
    </row>
    <row r="6253" spans="1:6" x14ac:dyDescent="0.3">
      <c r="A6253" t="s">
        <v>10556</v>
      </c>
      <c r="B6253" t="s">
        <v>8825</v>
      </c>
      <c r="C6253" t="s">
        <v>10557</v>
      </c>
      <c r="D6253">
        <v>87153593</v>
      </c>
      <c r="E6253">
        <v>21</v>
      </c>
      <c r="F6253">
        <v>7.71</v>
      </c>
    </row>
    <row r="6254" spans="1:6" x14ac:dyDescent="0.3">
      <c r="A6254" t="s">
        <v>10558</v>
      </c>
      <c r="B6254" t="s">
        <v>4184</v>
      </c>
      <c r="C6254" t="s">
        <v>313</v>
      </c>
      <c r="D6254">
        <v>87165708</v>
      </c>
      <c r="E6254">
        <v>4</v>
      </c>
      <c r="F6254">
        <v>6.75</v>
      </c>
    </row>
    <row r="6255" spans="1:6" x14ac:dyDescent="0.3">
      <c r="A6255" t="s">
        <v>10559</v>
      </c>
      <c r="B6255" t="s">
        <v>9423</v>
      </c>
      <c r="C6255" t="s">
        <v>10560</v>
      </c>
      <c r="D6255">
        <v>87166249</v>
      </c>
      <c r="E6255">
        <v>3.7</v>
      </c>
      <c r="F6255">
        <v>7</v>
      </c>
    </row>
    <row r="6256" spans="1:6" x14ac:dyDescent="0.3">
      <c r="A6256" t="s">
        <v>10561</v>
      </c>
      <c r="B6256" t="s">
        <v>10562</v>
      </c>
      <c r="C6256" t="s">
        <v>8789</v>
      </c>
      <c r="D6256">
        <v>87174085</v>
      </c>
      <c r="E6256">
        <v>13.37</v>
      </c>
      <c r="F6256">
        <v>7.17</v>
      </c>
    </row>
    <row r="6257" spans="1:6" x14ac:dyDescent="0.3">
      <c r="A6257" t="s">
        <v>10563</v>
      </c>
      <c r="B6257" t="s">
        <v>10564</v>
      </c>
      <c r="C6257" t="s">
        <v>28</v>
      </c>
      <c r="D6257">
        <v>87179674</v>
      </c>
      <c r="E6257">
        <v>9.36</v>
      </c>
      <c r="F6257">
        <v>6.71</v>
      </c>
    </row>
    <row r="6258" spans="1:6" x14ac:dyDescent="0.3">
      <c r="A6258" t="s">
        <v>567</v>
      </c>
      <c r="B6258" t="s">
        <v>8663</v>
      </c>
      <c r="C6258" t="s">
        <v>4212</v>
      </c>
      <c r="D6258">
        <v>87190800</v>
      </c>
      <c r="E6258">
        <v>1.75</v>
      </c>
      <c r="F6258">
        <v>6.69</v>
      </c>
    </row>
    <row r="6259" spans="1:6" x14ac:dyDescent="0.3">
      <c r="A6259" t="s">
        <v>10565</v>
      </c>
      <c r="B6259" t="s">
        <v>10566</v>
      </c>
      <c r="C6259" t="s">
        <v>10565</v>
      </c>
      <c r="D6259">
        <v>87192338</v>
      </c>
      <c r="E6259">
        <v>1.17</v>
      </c>
      <c r="F6259">
        <v>7.02</v>
      </c>
    </row>
    <row r="6260" spans="1:6" x14ac:dyDescent="0.3">
      <c r="A6260" t="s">
        <v>10567</v>
      </c>
      <c r="B6260" t="s">
        <v>10568</v>
      </c>
      <c r="C6260" t="s">
        <v>1545</v>
      </c>
      <c r="D6260">
        <v>87194709</v>
      </c>
      <c r="E6260">
        <v>2.42</v>
      </c>
      <c r="F6260">
        <v>8.5399999999999991</v>
      </c>
    </row>
    <row r="6261" spans="1:6" x14ac:dyDescent="0.3">
      <c r="A6261" t="s">
        <v>10569</v>
      </c>
      <c r="B6261" t="s">
        <v>10570</v>
      </c>
      <c r="C6261" t="s">
        <v>10370</v>
      </c>
      <c r="D6261">
        <v>87216779</v>
      </c>
      <c r="E6261">
        <v>13</v>
      </c>
      <c r="F6261">
        <v>5.5</v>
      </c>
    </row>
    <row r="6262" spans="1:6" x14ac:dyDescent="0.3">
      <c r="A6262" t="s">
        <v>10571</v>
      </c>
      <c r="B6262" t="s">
        <v>2161</v>
      </c>
      <c r="C6262" t="s">
        <v>1737</v>
      </c>
      <c r="D6262">
        <v>87232185</v>
      </c>
      <c r="E6262">
        <v>11.85</v>
      </c>
      <c r="F6262">
        <v>8</v>
      </c>
    </row>
    <row r="6263" spans="1:6" x14ac:dyDescent="0.3">
      <c r="A6263" t="s">
        <v>10572</v>
      </c>
      <c r="B6263" t="s">
        <v>7626</v>
      </c>
      <c r="C6263" t="s">
        <v>2692</v>
      </c>
      <c r="D6263">
        <v>87240147</v>
      </c>
      <c r="E6263">
        <v>12.72</v>
      </c>
      <c r="F6263">
        <v>7.5</v>
      </c>
    </row>
    <row r="6264" spans="1:6" x14ac:dyDescent="0.3">
      <c r="A6264" t="s">
        <v>10573</v>
      </c>
      <c r="B6264" t="s">
        <v>7285</v>
      </c>
      <c r="C6264" t="s">
        <v>10574</v>
      </c>
      <c r="D6264">
        <v>87243839</v>
      </c>
      <c r="E6264">
        <v>15.47</v>
      </c>
      <c r="F6264">
        <v>7.62</v>
      </c>
    </row>
    <row r="6265" spans="1:6" x14ac:dyDescent="0.3">
      <c r="A6265" t="s">
        <v>10575</v>
      </c>
      <c r="B6265" t="s">
        <v>10576</v>
      </c>
      <c r="C6265" t="s">
        <v>3852</v>
      </c>
      <c r="D6265">
        <v>87243843</v>
      </c>
      <c r="E6265">
        <v>1.71</v>
      </c>
      <c r="F6265">
        <v>6.79</v>
      </c>
    </row>
    <row r="6266" spans="1:6" x14ac:dyDescent="0.3">
      <c r="A6266" t="s">
        <v>10577</v>
      </c>
      <c r="B6266" t="s">
        <v>10578</v>
      </c>
      <c r="C6266" t="s">
        <v>9087</v>
      </c>
      <c r="D6266">
        <v>87246194</v>
      </c>
      <c r="E6266">
        <v>1.1399999999999999</v>
      </c>
      <c r="F6266">
        <v>7.27</v>
      </c>
    </row>
    <row r="6267" spans="1:6" x14ac:dyDescent="0.3">
      <c r="A6267" t="s">
        <v>10579</v>
      </c>
      <c r="B6267" t="s">
        <v>5075</v>
      </c>
      <c r="C6267" t="s">
        <v>6332</v>
      </c>
      <c r="D6267">
        <v>87257787</v>
      </c>
      <c r="E6267">
        <v>1.07</v>
      </c>
      <c r="F6267">
        <v>7.63</v>
      </c>
    </row>
    <row r="6268" spans="1:6" x14ac:dyDescent="0.3">
      <c r="A6268" t="s">
        <v>10580</v>
      </c>
      <c r="B6268" t="s">
        <v>6026</v>
      </c>
      <c r="C6268" t="s">
        <v>1240</v>
      </c>
      <c r="D6268">
        <v>87291627</v>
      </c>
      <c r="E6268">
        <v>3.28</v>
      </c>
      <c r="F6268">
        <v>5.45</v>
      </c>
    </row>
    <row r="6269" spans="1:6" x14ac:dyDescent="0.3">
      <c r="A6269" t="s">
        <v>10581</v>
      </c>
      <c r="B6269" t="s">
        <v>10582</v>
      </c>
      <c r="C6269" t="s">
        <v>9020</v>
      </c>
      <c r="D6269">
        <v>87296107</v>
      </c>
      <c r="E6269">
        <v>17</v>
      </c>
      <c r="F6269">
        <v>5.14</v>
      </c>
    </row>
    <row r="6270" spans="1:6" x14ac:dyDescent="0.3">
      <c r="A6270" t="s">
        <v>10583</v>
      </c>
      <c r="B6270" t="s">
        <v>8988</v>
      </c>
      <c r="C6270" t="s">
        <v>10584</v>
      </c>
      <c r="D6270">
        <v>87305505</v>
      </c>
      <c r="E6270">
        <v>19.95</v>
      </c>
      <c r="F6270">
        <v>6.75</v>
      </c>
    </row>
    <row r="6271" spans="1:6" x14ac:dyDescent="0.3">
      <c r="A6271" t="s">
        <v>10585</v>
      </c>
      <c r="B6271" t="s">
        <v>10586</v>
      </c>
      <c r="C6271" t="s">
        <v>10587</v>
      </c>
      <c r="D6271">
        <v>87307503</v>
      </c>
      <c r="E6271">
        <v>15.17</v>
      </c>
      <c r="F6271">
        <v>8.67</v>
      </c>
    </row>
    <row r="6272" spans="1:6" x14ac:dyDescent="0.3">
      <c r="A6272" t="s">
        <v>10588</v>
      </c>
      <c r="B6272" t="s">
        <v>7933</v>
      </c>
      <c r="C6272" t="s">
        <v>9278</v>
      </c>
      <c r="D6272">
        <v>87316498</v>
      </c>
      <c r="E6272">
        <v>5.76</v>
      </c>
      <c r="F6272">
        <v>7.34</v>
      </c>
    </row>
    <row r="6273" spans="1:6" x14ac:dyDescent="0.3">
      <c r="A6273" t="s">
        <v>10589</v>
      </c>
      <c r="B6273" t="s">
        <v>5163</v>
      </c>
      <c r="C6273" t="s">
        <v>10590</v>
      </c>
      <c r="D6273">
        <v>87317936</v>
      </c>
      <c r="E6273">
        <v>3.03</v>
      </c>
      <c r="F6273">
        <v>6.31</v>
      </c>
    </row>
    <row r="6274" spans="1:6" x14ac:dyDescent="0.3">
      <c r="A6274" t="s">
        <v>10591</v>
      </c>
      <c r="B6274" t="s">
        <v>10592</v>
      </c>
      <c r="C6274" t="s">
        <v>3100</v>
      </c>
      <c r="D6274">
        <v>87326104</v>
      </c>
      <c r="E6274">
        <v>14.4</v>
      </c>
      <c r="F6274">
        <v>7.4</v>
      </c>
    </row>
    <row r="6275" spans="1:6" x14ac:dyDescent="0.3">
      <c r="A6275" t="s">
        <v>10593</v>
      </c>
      <c r="B6275" t="s">
        <v>10594</v>
      </c>
      <c r="C6275" t="s">
        <v>6098</v>
      </c>
      <c r="D6275">
        <v>87326428</v>
      </c>
      <c r="E6275">
        <v>2.92</v>
      </c>
      <c r="F6275">
        <v>7.8</v>
      </c>
    </row>
    <row r="6276" spans="1:6" x14ac:dyDescent="0.3">
      <c r="A6276" t="s">
        <v>10595</v>
      </c>
      <c r="B6276" t="s">
        <v>10596</v>
      </c>
      <c r="C6276" t="s">
        <v>4827</v>
      </c>
      <c r="D6276">
        <v>87326922</v>
      </c>
      <c r="E6276">
        <v>21.55</v>
      </c>
      <c r="F6276">
        <v>7.6</v>
      </c>
    </row>
    <row r="6277" spans="1:6" x14ac:dyDescent="0.3">
      <c r="A6277" t="s">
        <v>10597</v>
      </c>
      <c r="B6277" t="s">
        <v>5031</v>
      </c>
      <c r="C6277" t="s">
        <v>1719</v>
      </c>
      <c r="D6277">
        <v>87330493</v>
      </c>
      <c r="E6277">
        <v>19.079999999999998</v>
      </c>
      <c r="F6277">
        <v>8.75</v>
      </c>
    </row>
    <row r="6278" spans="1:6" x14ac:dyDescent="0.3">
      <c r="A6278" t="s">
        <v>10598</v>
      </c>
      <c r="B6278" t="s">
        <v>9884</v>
      </c>
      <c r="C6278" t="s">
        <v>10599</v>
      </c>
      <c r="D6278">
        <v>87330600</v>
      </c>
      <c r="E6278">
        <v>16.71</v>
      </c>
      <c r="F6278">
        <v>3.67</v>
      </c>
    </row>
    <row r="6279" spans="1:6" x14ac:dyDescent="0.3">
      <c r="A6279" t="s">
        <v>10600</v>
      </c>
      <c r="B6279" t="s">
        <v>4350</v>
      </c>
      <c r="C6279" t="s">
        <v>10601</v>
      </c>
      <c r="D6279">
        <v>87333912</v>
      </c>
      <c r="E6279">
        <v>22.74</v>
      </c>
      <c r="F6279">
        <v>7.77</v>
      </c>
    </row>
    <row r="6280" spans="1:6" x14ac:dyDescent="0.3">
      <c r="A6280" t="s">
        <v>10602</v>
      </c>
      <c r="B6280" t="s">
        <v>10603</v>
      </c>
      <c r="C6280" t="s">
        <v>10604</v>
      </c>
      <c r="D6280">
        <v>87335575</v>
      </c>
      <c r="E6280">
        <v>26</v>
      </c>
      <c r="F6280">
        <v>4.5</v>
      </c>
    </row>
    <row r="6281" spans="1:6" x14ac:dyDescent="0.3">
      <c r="A6281" t="s">
        <v>10605</v>
      </c>
      <c r="B6281" t="s">
        <v>8838</v>
      </c>
      <c r="C6281" t="s">
        <v>6961</v>
      </c>
      <c r="D6281">
        <v>87343522</v>
      </c>
      <c r="E6281">
        <v>18</v>
      </c>
      <c r="F6281">
        <v>4.1399999999999997</v>
      </c>
    </row>
    <row r="6282" spans="1:6" x14ac:dyDescent="0.3">
      <c r="A6282" t="s">
        <v>10606</v>
      </c>
      <c r="B6282" t="s">
        <v>10607</v>
      </c>
      <c r="C6282" t="s">
        <v>10608</v>
      </c>
      <c r="D6282">
        <v>87345424</v>
      </c>
      <c r="E6282">
        <v>12.02</v>
      </c>
      <c r="F6282">
        <v>5.71</v>
      </c>
    </row>
    <row r="6283" spans="1:6" x14ac:dyDescent="0.3">
      <c r="A6283" t="s">
        <v>10609</v>
      </c>
      <c r="B6283" t="s">
        <v>5006</v>
      </c>
      <c r="C6283" t="s">
        <v>3958</v>
      </c>
      <c r="D6283">
        <v>87348301</v>
      </c>
      <c r="E6283">
        <v>12.16</v>
      </c>
      <c r="F6283">
        <v>6</v>
      </c>
    </row>
    <row r="6284" spans="1:6" x14ac:dyDescent="0.3">
      <c r="A6284" t="s">
        <v>10610</v>
      </c>
      <c r="B6284" t="s">
        <v>10451</v>
      </c>
      <c r="C6284" t="s">
        <v>1251</v>
      </c>
      <c r="D6284">
        <v>87353798</v>
      </c>
      <c r="E6284">
        <v>16.23</v>
      </c>
      <c r="F6284">
        <v>6.89</v>
      </c>
    </row>
    <row r="6285" spans="1:6" x14ac:dyDescent="0.3">
      <c r="A6285" t="s">
        <v>10611</v>
      </c>
      <c r="B6285" t="s">
        <v>7083</v>
      </c>
      <c r="C6285" t="s">
        <v>9424</v>
      </c>
      <c r="D6285">
        <v>87357555</v>
      </c>
      <c r="E6285">
        <v>2.2400000000000002</v>
      </c>
      <c r="F6285">
        <v>6.89</v>
      </c>
    </row>
    <row r="6286" spans="1:6" x14ac:dyDescent="0.3">
      <c r="A6286" t="s">
        <v>10612</v>
      </c>
      <c r="B6286" t="s">
        <v>2999</v>
      </c>
      <c r="C6286" t="s">
        <v>10613</v>
      </c>
      <c r="D6286">
        <v>87358725</v>
      </c>
      <c r="E6286">
        <v>17.5</v>
      </c>
      <c r="F6286">
        <v>4.67</v>
      </c>
    </row>
    <row r="6287" spans="1:6" x14ac:dyDescent="0.3">
      <c r="A6287" t="s">
        <v>10614</v>
      </c>
      <c r="B6287" t="s">
        <v>10615</v>
      </c>
      <c r="C6287" t="s">
        <v>10616</v>
      </c>
      <c r="D6287">
        <v>87366435</v>
      </c>
      <c r="E6287">
        <v>5.25</v>
      </c>
      <c r="F6287">
        <v>7.15</v>
      </c>
    </row>
    <row r="6288" spans="1:6" x14ac:dyDescent="0.3">
      <c r="A6288" t="s">
        <v>10617</v>
      </c>
      <c r="B6288" t="s">
        <v>6609</v>
      </c>
      <c r="C6288" t="s">
        <v>10618</v>
      </c>
      <c r="D6288">
        <v>87381537</v>
      </c>
      <c r="E6288">
        <v>16.920000000000002</v>
      </c>
      <c r="F6288">
        <v>8.9700000000000006</v>
      </c>
    </row>
    <row r="6289" spans="1:6" x14ac:dyDescent="0.3">
      <c r="A6289" t="s">
        <v>8861</v>
      </c>
      <c r="B6289" t="s">
        <v>49</v>
      </c>
      <c r="C6289" t="s">
        <v>10283</v>
      </c>
      <c r="D6289">
        <v>87390464</v>
      </c>
      <c r="E6289">
        <v>22.5</v>
      </c>
      <c r="F6289">
        <v>8</v>
      </c>
    </row>
    <row r="6290" spans="1:6" x14ac:dyDescent="0.3">
      <c r="A6290" t="s">
        <v>10619</v>
      </c>
      <c r="B6290" t="s">
        <v>9692</v>
      </c>
      <c r="C6290" t="s">
        <v>10620</v>
      </c>
      <c r="D6290">
        <v>87397490</v>
      </c>
      <c r="E6290">
        <v>17.36</v>
      </c>
      <c r="F6290">
        <v>7</v>
      </c>
    </row>
    <row r="6291" spans="1:6" x14ac:dyDescent="0.3">
      <c r="A6291" t="s">
        <v>10621</v>
      </c>
      <c r="B6291" t="s">
        <v>7792</v>
      </c>
      <c r="C6291" t="s">
        <v>10622</v>
      </c>
      <c r="D6291">
        <v>87425029</v>
      </c>
      <c r="E6291">
        <v>20.85</v>
      </c>
      <c r="F6291">
        <v>7.68</v>
      </c>
    </row>
    <row r="6292" spans="1:6" x14ac:dyDescent="0.3">
      <c r="A6292" t="s">
        <v>10623</v>
      </c>
      <c r="B6292" t="s">
        <v>9788</v>
      </c>
      <c r="C6292" t="s">
        <v>8415</v>
      </c>
      <c r="D6292">
        <v>87451648</v>
      </c>
      <c r="E6292">
        <v>6.33</v>
      </c>
      <c r="F6292">
        <v>7.18</v>
      </c>
    </row>
    <row r="6293" spans="1:6" x14ac:dyDescent="0.3">
      <c r="A6293" t="s">
        <v>10624</v>
      </c>
      <c r="B6293" t="s">
        <v>10625</v>
      </c>
      <c r="C6293" t="s">
        <v>5772</v>
      </c>
      <c r="D6293">
        <v>87458589</v>
      </c>
      <c r="E6293">
        <v>7.02</v>
      </c>
      <c r="F6293">
        <v>5.13</v>
      </c>
    </row>
    <row r="6294" spans="1:6" x14ac:dyDescent="0.3">
      <c r="A6294" t="s">
        <v>10626</v>
      </c>
      <c r="B6294" t="s">
        <v>3125</v>
      </c>
      <c r="C6294" t="s">
        <v>9729</v>
      </c>
      <c r="D6294">
        <v>87462575</v>
      </c>
      <c r="E6294">
        <v>18.78</v>
      </c>
      <c r="F6294">
        <v>8.59</v>
      </c>
    </row>
    <row r="6295" spans="1:6" x14ac:dyDescent="0.3">
      <c r="A6295" t="s">
        <v>10627</v>
      </c>
      <c r="B6295" t="s">
        <v>8040</v>
      </c>
      <c r="C6295" t="s">
        <v>8218</v>
      </c>
      <c r="D6295">
        <v>87473163</v>
      </c>
      <c r="E6295">
        <v>8</v>
      </c>
      <c r="F6295">
        <v>3.25</v>
      </c>
    </row>
    <row r="6296" spans="1:6" x14ac:dyDescent="0.3">
      <c r="A6296" t="s">
        <v>10628</v>
      </c>
      <c r="B6296" t="s">
        <v>9971</v>
      </c>
      <c r="C6296" t="s">
        <v>10629</v>
      </c>
      <c r="D6296">
        <v>87481937</v>
      </c>
      <c r="E6296">
        <v>21.12</v>
      </c>
      <c r="F6296">
        <v>6.52</v>
      </c>
    </row>
    <row r="6297" spans="1:6" x14ac:dyDescent="0.3">
      <c r="A6297" t="s">
        <v>10630</v>
      </c>
      <c r="B6297" t="s">
        <v>10631</v>
      </c>
      <c r="C6297" t="s">
        <v>10632</v>
      </c>
      <c r="D6297">
        <v>87489628</v>
      </c>
      <c r="E6297">
        <v>24.71</v>
      </c>
      <c r="F6297">
        <v>8.14</v>
      </c>
    </row>
    <row r="6298" spans="1:6" x14ac:dyDescent="0.3">
      <c r="A6298" t="s">
        <v>10633</v>
      </c>
      <c r="B6298" t="s">
        <v>3427</v>
      </c>
      <c r="C6298" t="s">
        <v>10634</v>
      </c>
      <c r="D6298">
        <v>87490309</v>
      </c>
      <c r="E6298">
        <v>5.18</v>
      </c>
      <c r="F6298">
        <v>8.5</v>
      </c>
    </row>
    <row r="6299" spans="1:6" x14ac:dyDescent="0.3">
      <c r="A6299" t="s">
        <v>10635</v>
      </c>
      <c r="B6299" t="s">
        <v>7154</v>
      </c>
      <c r="C6299" t="s">
        <v>5257</v>
      </c>
      <c r="D6299">
        <v>87498876</v>
      </c>
      <c r="E6299">
        <v>21.5</v>
      </c>
      <c r="F6299">
        <v>8.25</v>
      </c>
    </row>
    <row r="6300" spans="1:6" x14ac:dyDescent="0.3">
      <c r="A6300" t="s">
        <v>10636</v>
      </c>
      <c r="B6300" t="s">
        <v>10637</v>
      </c>
      <c r="C6300" t="s">
        <v>2089</v>
      </c>
      <c r="D6300">
        <v>87565954</v>
      </c>
      <c r="E6300">
        <v>29</v>
      </c>
      <c r="F6300">
        <v>5</v>
      </c>
    </row>
    <row r="6301" spans="1:6" x14ac:dyDescent="0.3">
      <c r="A6301" t="s">
        <v>10638</v>
      </c>
      <c r="B6301" t="s">
        <v>3227</v>
      </c>
      <c r="C6301" t="s">
        <v>9701</v>
      </c>
      <c r="D6301">
        <v>87576659</v>
      </c>
      <c r="E6301">
        <v>20</v>
      </c>
      <c r="F6301">
        <v>7.67</v>
      </c>
    </row>
    <row r="6302" spans="1:6" x14ac:dyDescent="0.3">
      <c r="A6302" t="s">
        <v>10639</v>
      </c>
      <c r="B6302" t="s">
        <v>4686</v>
      </c>
      <c r="C6302" t="s">
        <v>10640</v>
      </c>
      <c r="D6302">
        <v>87582121</v>
      </c>
      <c r="E6302">
        <v>4.13</v>
      </c>
      <c r="F6302">
        <v>6.17</v>
      </c>
    </row>
    <row r="6303" spans="1:6" x14ac:dyDescent="0.3">
      <c r="A6303" t="s">
        <v>6982</v>
      </c>
      <c r="B6303" t="s">
        <v>10641</v>
      </c>
      <c r="C6303" t="s">
        <v>6982</v>
      </c>
      <c r="D6303">
        <v>87655831</v>
      </c>
      <c r="E6303">
        <v>2.94</v>
      </c>
      <c r="F6303">
        <v>6.46</v>
      </c>
    </row>
    <row r="6304" spans="1:6" x14ac:dyDescent="0.3">
      <c r="A6304" t="s">
        <v>10642</v>
      </c>
      <c r="B6304" t="s">
        <v>4686</v>
      </c>
      <c r="C6304" t="s">
        <v>10643</v>
      </c>
      <c r="D6304">
        <v>87665224</v>
      </c>
      <c r="E6304" t="s">
        <v>3814</v>
      </c>
      <c r="F6304" t="s">
        <v>3814</v>
      </c>
    </row>
    <row r="6305" spans="1:6" x14ac:dyDescent="0.3">
      <c r="A6305" t="s">
        <v>10644</v>
      </c>
      <c r="B6305" t="s">
        <v>7356</v>
      </c>
      <c r="C6305" t="s">
        <v>349</v>
      </c>
      <c r="D6305">
        <v>87666648</v>
      </c>
      <c r="E6305" t="s">
        <v>3814</v>
      </c>
      <c r="F6305" t="s">
        <v>3814</v>
      </c>
    </row>
    <row r="6306" spans="1:6" x14ac:dyDescent="0.3">
      <c r="A6306" t="s">
        <v>10645</v>
      </c>
      <c r="B6306" t="s">
        <v>7530</v>
      </c>
      <c r="C6306" t="s">
        <v>1240</v>
      </c>
      <c r="D6306">
        <v>87668112</v>
      </c>
      <c r="E6306">
        <v>21.25</v>
      </c>
      <c r="F6306">
        <v>5.33</v>
      </c>
    </row>
    <row r="6307" spans="1:6" x14ac:dyDescent="0.3">
      <c r="A6307" t="s">
        <v>8801</v>
      </c>
      <c r="B6307" t="s">
        <v>10646</v>
      </c>
      <c r="C6307" t="s">
        <v>10647</v>
      </c>
      <c r="D6307">
        <v>87675892</v>
      </c>
      <c r="E6307">
        <v>2.95</v>
      </c>
      <c r="F6307">
        <v>6.05</v>
      </c>
    </row>
    <row r="6308" spans="1:6" x14ac:dyDescent="0.3">
      <c r="A6308" t="s">
        <v>10648</v>
      </c>
      <c r="B6308" t="s">
        <v>10649</v>
      </c>
      <c r="C6308" t="s">
        <v>1030</v>
      </c>
      <c r="D6308">
        <v>87678539</v>
      </c>
      <c r="E6308">
        <v>3.12</v>
      </c>
      <c r="F6308">
        <v>6.54</v>
      </c>
    </row>
    <row r="6309" spans="1:6" x14ac:dyDescent="0.3">
      <c r="A6309" t="s">
        <v>10650</v>
      </c>
      <c r="B6309" t="s">
        <v>10651</v>
      </c>
      <c r="C6309" t="s">
        <v>6017</v>
      </c>
      <c r="D6309">
        <v>87700592</v>
      </c>
      <c r="E6309">
        <v>3.02</v>
      </c>
      <c r="F6309">
        <v>7.08</v>
      </c>
    </row>
    <row r="6310" spans="1:6" x14ac:dyDescent="0.3">
      <c r="A6310" t="s">
        <v>10652</v>
      </c>
      <c r="B6310" t="s">
        <v>10653</v>
      </c>
      <c r="C6310" t="s">
        <v>1101</v>
      </c>
      <c r="D6310">
        <v>87713265</v>
      </c>
      <c r="E6310">
        <v>3.28</v>
      </c>
      <c r="F6310">
        <v>5.87</v>
      </c>
    </row>
    <row r="6311" spans="1:6" x14ac:dyDescent="0.3">
      <c r="A6311" t="s">
        <v>10654</v>
      </c>
      <c r="B6311" t="s">
        <v>8201</v>
      </c>
      <c r="C6311" t="s">
        <v>2697</v>
      </c>
      <c r="D6311">
        <v>87714154</v>
      </c>
      <c r="E6311">
        <v>14.75</v>
      </c>
      <c r="F6311">
        <v>7.78</v>
      </c>
    </row>
    <row r="6312" spans="1:6" x14ac:dyDescent="0.3">
      <c r="A6312" t="s">
        <v>3354</v>
      </c>
      <c r="B6312" t="s">
        <v>9611</v>
      </c>
      <c r="C6312" t="s">
        <v>4712</v>
      </c>
      <c r="D6312">
        <v>87732000</v>
      </c>
      <c r="E6312">
        <v>9.8000000000000007</v>
      </c>
      <c r="F6312">
        <v>8</v>
      </c>
    </row>
    <row r="6313" spans="1:6" x14ac:dyDescent="0.3">
      <c r="A6313" t="s">
        <v>10655</v>
      </c>
      <c r="B6313" t="s">
        <v>10656</v>
      </c>
      <c r="C6313" t="s">
        <v>10657</v>
      </c>
      <c r="D6313">
        <v>87768310</v>
      </c>
      <c r="E6313">
        <v>26</v>
      </c>
      <c r="F6313">
        <v>9</v>
      </c>
    </row>
    <row r="6314" spans="1:6" x14ac:dyDescent="0.3">
      <c r="A6314" t="s">
        <v>10658</v>
      </c>
      <c r="B6314" t="s">
        <v>10659</v>
      </c>
      <c r="C6314" t="s">
        <v>7277</v>
      </c>
      <c r="D6314">
        <v>87771184</v>
      </c>
      <c r="E6314">
        <v>2.36</v>
      </c>
      <c r="F6314">
        <v>6.53</v>
      </c>
    </row>
    <row r="6315" spans="1:6" x14ac:dyDescent="0.3">
      <c r="A6315" t="s">
        <v>10660</v>
      </c>
      <c r="B6315" t="s">
        <v>10661</v>
      </c>
      <c r="C6315" t="s">
        <v>1087</v>
      </c>
      <c r="D6315">
        <v>87816034</v>
      </c>
      <c r="E6315">
        <v>25</v>
      </c>
      <c r="F6315">
        <v>9.5</v>
      </c>
    </row>
    <row r="6316" spans="1:6" x14ac:dyDescent="0.3">
      <c r="A6316" t="s">
        <v>10662</v>
      </c>
      <c r="B6316" t="s">
        <v>8947</v>
      </c>
      <c r="C6316" t="s">
        <v>10663</v>
      </c>
      <c r="D6316">
        <v>87821696</v>
      </c>
      <c r="E6316">
        <v>3.66</v>
      </c>
      <c r="F6316">
        <v>5.22</v>
      </c>
    </row>
    <row r="6317" spans="1:6" x14ac:dyDescent="0.3">
      <c r="A6317" t="s">
        <v>10664</v>
      </c>
      <c r="B6317" t="s">
        <v>7494</v>
      </c>
      <c r="C6317" t="s">
        <v>10665</v>
      </c>
      <c r="D6317">
        <v>87823137</v>
      </c>
      <c r="E6317">
        <v>13.56</v>
      </c>
      <c r="F6317">
        <v>7.33</v>
      </c>
    </row>
    <row r="6318" spans="1:6" x14ac:dyDescent="0.3">
      <c r="A6318" t="s">
        <v>10666</v>
      </c>
      <c r="B6318" t="s">
        <v>7858</v>
      </c>
      <c r="C6318" t="s">
        <v>2665</v>
      </c>
      <c r="D6318">
        <v>87850129</v>
      </c>
      <c r="E6318">
        <v>19.14</v>
      </c>
      <c r="F6318">
        <v>5.64</v>
      </c>
    </row>
    <row r="6319" spans="1:6" x14ac:dyDescent="0.3">
      <c r="A6319" t="s">
        <v>10667</v>
      </c>
      <c r="B6319" t="s">
        <v>6906</v>
      </c>
      <c r="C6319" t="s">
        <v>3658</v>
      </c>
      <c r="D6319">
        <v>87852918</v>
      </c>
      <c r="E6319">
        <v>8.41</v>
      </c>
      <c r="F6319">
        <v>7.23</v>
      </c>
    </row>
    <row r="6320" spans="1:6" x14ac:dyDescent="0.3">
      <c r="A6320" t="s">
        <v>10668</v>
      </c>
      <c r="B6320" t="s">
        <v>6079</v>
      </c>
      <c r="C6320" t="s">
        <v>7677</v>
      </c>
      <c r="D6320">
        <v>87871245</v>
      </c>
      <c r="E6320">
        <v>22.67</v>
      </c>
      <c r="F6320">
        <v>6</v>
      </c>
    </row>
    <row r="6321" spans="1:6" x14ac:dyDescent="0.3">
      <c r="A6321" t="s">
        <v>10669</v>
      </c>
      <c r="B6321" t="s">
        <v>10116</v>
      </c>
      <c r="C6321" t="s">
        <v>6564</v>
      </c>
      <c r="D6321">
        <v>87877705</v>
      </c>
      <c r="E6321">
        <v>2.33</v>
      </c>
      <c r="F6321">
        <v>7.57</v>
      </c>
    </row>
    <row r="6322" spans="1:6" x14ac:dyDescent="0.3">
      <c r="A6322" t="s">
        <v>10670</v>
      </c>
      <c r="B6322" t="s">
        <v>10671</v>
      </c>
      <c r="C6322" t="s">
        <v>992</v>
      </c>
      <c r="D6322">
        <v>87900117</v>
      </c>
      <c r="E6322">
        <v>12.88</v>
      </c>
      <c r="F6322">
        <v>5</v>
      </c>
    </row>
    <row r="6323" spans="1:6" x14ac:dyDescent="0.3">
      <c r="A6323" t="s">
        <v>10672</v>
      </c>
      <c r="B6323" t="s">
        <v>10041</v>
      </c>
      <c r="C6323" t="s">
        <v>820</v>
      </c>
      <c r="D6323">
        <v>87928154</v>
      </c>
      <c r="E6323">
        <v>3.32</v>
      </c>
      <c r="F6323">
        <v>6.53</v>
      </c>
    </row>
    <row r="6324" spans="1:6" x14ac:dyDescent="0.3">
      <c r="A6324" t="s">
        <v>10673</v>
      </c>
      <c r="B6324" t="s">
        <v>9105</v>
      </c>
      <c r="C6324" t="s">
        <v>2434</v>
      </c>
      <c r="D6324">
        <v>87930093</v>
      </c>
      <c r="E6324">
        <v>20.5</v>
      </c>
      <c r="F6324">
        <v>6.86</v>
      </c>
    </row>
    <row r="6325" spans="1:6" x14ac:dyDescent="0.3">
      <c r="A6325" t="s">
        <v>10674</v>
      </c>
      <c r="B6325" t="s">
        <v>8962</v>
      </c>
      <c r="C6325" t="s">
        <v>8519</v>
      </c>
      <c r="D6325">
        <v>87932531</v>
      </c>
      <c r="E6325">
        <v>16.100000000000001</v>
      </c>
      <c r="F6325">
        <v>9.2200000000000006</v>
      </c>
    </row>
    <row r="6326" spans="1:6" x14ac:dyDescent="0.3">
      <c r="A6326" t="s">
        <v>10675</v>
      </c>
      <c r="B6326" t="s">
        <v>8950</v>
      </c>
      <c r="C6326" t="s">
        <v>5600</v>
      </c>
      <c r="D6326">
        <v>87950379</v>
      </c>
      <c r="E6326">
        <v>2.64</v>
      </c>
      <c r="F6326">
        <v>6.05</v>
      </c>
    </row>
    <row r="6327" spans="1:6" x14ac:dyDescent="0.3">
      <c r="A6327" t="s">
        <v>10676</v>
      </c>
      <c r="B6327" t="s">
        <v>5075</v>
      </c>
      <c r="C6327" t="s">
        <v>9226</v>
      </c>
      <c r="D6327">
        <v>87953075</v>
      </c>
      <c r="E6327">
        <v>8.8000000000000007</v>
      </c>
      <c r="F6327">
        <v>7.5</v>
      </c>
    </row>
    <row r="6328" spans="1:6" x14ac:dyDescent="0.3">
      <c r="A6328" t="s">
        <v>10677</v>
      </c>
      <c r="B6328" t="s">
        <v>8256</v>
      </c>
      <c r="C6328" t="s">
        <v>10678</v>
      </c>
      <c r="D6328">
        <v>87968179</v>
      </c>
      <c r="E6328">
        <v>16.96</v>
      </c>
      <c r="F6328">
        <v>7.96</v>
      </c>
    </row>
    <row r="6329" spans="1:6" x14ac:dyDescent="0.3">
      <c r="A6329" t="s">
        <v>10679</v>
      </c>
      <c r="B6329" t="s">
        <v>8251</v>
      </c>
      <c r="C6329" t="s">
        <v>10680</v>
      </c>
      <c r="D6329">
        <v>87979483</v>
      </c>
      <c r="E6329">
        <v>10.17</v>
      </c>
      <c r="F6329">
        <v>6.73</v>
      </c>
    </row>
    <row r="6330" spans="1:6" x14ac:dyDescent="0.3">
      <c r="A6330" t="s">
        <v>10681</v>
      </c>
      <c r="B6330" t="s">
        <v>9580</v>
      </c>
      <c r="C6330" t="s">
        <v>10682</v>
      </c>
      <c r="D6330">
        <v>87981410</v>
      </c>
      <c r="E6330">
        <v>8.51</v>
      </c>
      <c r="F6330">
        <v>5.32</v>
      </c>
    </row>
    <row r="6331" spans="1:6" x14ac:dyDescent="0.3">
      <c r="A6331" t="s">
        <v>10683</v>
      </c>
      <c r="B6331" t="s">
        <v>8328</v>
      </c>
      <c r="C6331" t="s">
        <v>10684</v>
      </c>
      <c r="D6331">
        <v>87988791</v>
      </c>
      <c r="E6331">
        <v>3.59</v>
      </c>
      <c r="F6331">
        <v>7.23</v>
      </c>
    </row>
    <row r="6332" spans="1:6" x14ac:dyDescent="0.3">
      <c r="A6332" t="s">
        <v>10685</v>
      </c>
      <c r="B6332" t="s">
        <v>8876</v>
      </c>
      <c r="C6332" t="s">
        <v>10686</v>
      </c>
      <c r="D6332">
        <v>88012964</v>
      </c>
      <c r="E6332">
        <v>6.95</v>
      </c>
      <c r="F6332">
        <v>7.43</v>
      </c>
    </row>
    <row r="6333" spans="1:6" x14ac:dyDescent="0.3">
      <c r="A6333" t="s">
        <v>10687</v>
      </c>
      <c r="B6333" t="s">
        <v>10688</v>
      </c>
      <c r="C6333" t="s">
        <v>10689</v>
      </c>
      <c r="D6333">
        <v>88017017</v>
      </c>
      <c r="E6333">
        <v>21.14</v>
      </c>
      <c r="F6333">
        <v>5.57</v>
      </c>
    </row>
    <row r="6334" spans="1:6" x14ac:dyDescent="0.3">
      <c r="A6334" t="s">
        <v>10690</v>
      </c>
      <c r="B6334" t="s">
        <v>10691</v>
      </c>
      <c r="C6334" t="s">
        <v>9679</v>
      </c>
      <c r="D6334">
        <v>88023111</v>
      </c>
      <c r="E6334">
        <v>2.7</v>
      </c>
      <c r="F6334">
        <v>6.65</v>
      </c>
    </row>
    <row r="6335" spans="1:6" x14ac:dyDescent="0.3">
      <c r="A6335" t="s">
        <v>10692</v>
      </c>
      <c r="B6335" t="s">
        <v>10693</v>
      </c>
      <c r="C6335" t="s">
        <v>4986</v>
      </c>
      <c r="D6335">
        <v>88038917</v>
      </c>
      <c r="E6335">
        <v>6.14</v>
      </c>
      <c r="F6335">
        <v>6.5</v>
      </c>
    </row>
    <row r="6336" spans="1:6" x14ac:dyDescent="0.3">
      <c r="A6336" t="s">
        <v>10694</v>
      </c>
      <c r="B6336" t="s">
        <v>6903</v>
      </c>
      <c r="C6336" t="s">
        <v>747</v>
      </c>
      <c r="D6336">
        <v>88075573</v>
      </c>
      <c r="E6336">
        <v>3.19</v>
      </c>
      <c r="F6336">
        <v>6.04</v>
      </c>
    </row>
    <row r="6337" spans="1:6" x14ac:dyDescent="0.3">
      <c r="A6337" t="s">
        <v>10695</v>
      </c>
      <c r="B6337" t="s">
        <v>6002</v>
      </c>
      <c r="C6337" t="s">
        <v>6920</v>
      </c>
      <c r="D6337">
        <v>88090137</v>
      </c>
      <c r="E6337">
        <v>3.17</v>
      </c>
      <c r="F6337">
        <v>6.05</v>
      </c>
    </row>
    <row r="6338" spans="1:6" x14ac:dyDescent="0.3">
      <c r="A6338" t="s">
        <v>10696</v>
      </c>
      <c r="B6338" t="s">
        <v>9032</v>
      </c>
      <c r="C6338" t="s">
        <v>10697</v>
      </c>
      <c r="D6338">
        <v>88094350</v>
      </c>
      <c r="E6338">
        <v>10</v>
      </c>
      <c r="F6338">
        <v>8.43</v>
      </c>
    </row>
    <row r="6339" spans="1:6" x14ac:dyDescent="0.3">
      <c r="A6339" t="s">
        <v>10698</v>
      </c>
      <c r="B6339" t="s">
        <v>984</v>
      </c>
      <c r="C6339" t="s">
        <v>2079</v>
      </c>
      <c r="D6339">
        <v>88098403</v>
      </c>
      <c r="E6339">
        <v>11.53</v>
      </c>
      <c r="F6339">
        <v>6.9</v>
      </c>
    </row>
    <row r="6340" spans="1:6" x14ac:dyDescent="0.3">
      <c r="A6340" t="s">
        <v>10699</v>
      </c>
      <c r="B6340" t="s">
        <v>6611</v>
      </c>
      <c r="C6340" t="s">
        <v>10700</v>
      </c>
      <c r="D6340">
        <v>88108583</v>
      </c>
      <c r="E6340">
        <v>24</v>
      </c>
      <c r="F6340">
        <v>9</v>
      </c>
    </row>
    <row r="6341" spans="1:6" x14ac:dyDescent="0.3">
      <c r="A6341" t="s">
        <v>10701</v>
      </c>
      <c r="B6341" t="s">
        <v>9565</v>
      </c>
      <c r="C6341" t="s">
        <v>10702</v>
      </c>
      <c r="D6341">
        <v>88110980</v>
      </c>
      <c r="E6341">
        <v>3.07</v>
      </c>
      <c r="F6341">
        <v>5.0599999999999996</v>
      </c>
    </row>
    <row r="6342" spans="1:6" x14ac:dyDescent="0.3">
      <c r="A6342" t="s">
        <v>10703</v>
      </c>
      <c r="B6342" t="s">
        <v>10704</v>
      </c>
      <c r="C6342" t="s">
        <v>3415</v>
      </c>
      <c r="D6342">
        <v>88114078</v>
      </c>
      <c r="E6342">
        <v>17.14</v>
      </c>
      <c r="F6342">
        <v>7.57</v>
      </c>
    </row>
    <row r="6343" spans="1:6" x14ac:dyDescent="0.3">
      <c r="A6343" t="s">
        <v>10705</v>
      </c>
      <c r="B6343" t="s">
        <v>9668</v>
      </c>
      <c r="C6343" t="s">
        <v>10706</v>
      </c>
      <c r="D6343">
        <v>88123146</v>
      </c>
      <c r="E6343">
        <v>1.31</v>
      </c>
      <c r="F6343">
        <v>4.79</v>
      </c>
    </row>
    <row r="6344" spans="1:6" x14ac:dyDescent="0.3">
      <c r="A6344" t="s">
        <v>5120</v>
      </c>
      <c r="B6344" t="s">
        <v>4479</v>
      </c>
      <c r="C6344" t="s">
        <v>10707</v>
      </c>
      <c r="D6344">
        <v>88123454</v>
      </c>
      <c r="E6344">
        <v>19.75</v>
      </c>
      <c r="F6344">
        <v>7.5</v>
      </c>
    </row>
    <row r="6345" spans="1:6" x14ac:dyDescent="0.3">
      <c r="A6345" t="s">
        <v>10708</v>
      </c>
      <c r="B6345" t="s">
        <v>10709</v>
      </c>
      <c r="C6345" t="s">
        <v>8699</v>
      </c>
      <c r="D6345">
        <v>88127208</v>
      </c>
      <c r="E6345">
        <v>15.23</v>
      </c>
      <c r="F6345">
        <v>7.25</v>
      </c>
    </row>
    <row r="6346" spans="1:6" x14ac:dyDescent="0.3">
      <c r="A6346" t="s">
        <v>10710</v>
      </c>
      <c r="B6346" t="s">
        <v>5890</v>
      </c>
      <c r="C6346" t="s">
        <v>10711</v>
      </c>
      <c r="D6346">
        <v>88136251</v>
      </c>
      <c r="E6346">
        <v>18.2</v>
      </c>
      <c r="F6346">
        <v>7.18</v>
      </c>
    </row>
    <row r="6347" spans="1:6" x14ac:dyDescent="0.3">
      <c r="A6347" t="s">
        <v>10712</v>
      </c>
      <c r="B6347" t="s">
        <v>10713</v>
      </c>
      <c r="C6347" t="s">
        <v>1537</v>
      </c>
      <c r="D6347">
        <v>88136707</v>
      </c>
      <c r="E6347">
        <v>32.67</v>
      </c>
      <c r="F6347">
        <v>9</v>
      </c>
    </row>
    <row r="6348" spans="1:6" x14ac:dyDescent="0.3">
      <c r="A6348" t="s">
        <v>10714</v>
      </c>
      <c r="B6348" t="s">
        <v>10715</v>
      </c>
      <c r="C6348" t="s">
        <v>4871</v>
      </c>
      <c r="D6348">
        <v>88154989</v>
      </c>
      <c r="E6348">
        <v>3.11</v>
      </c>
      <c r="F6348">
        <v>7.11</v>
      </c>
    </row>
    <row r="6349" spans="1:6" x14ac:dyDescent="0.3">
      <c r="A6349" t="s">
        <v>10716</v>
      </c>
      <c r="B6349" t="s">
        <v>8808</v>
      </c>
      <c r="C6349" t="s">
        <v>2878</v>
      </c>
      <c r="D6349">
        <v>88168614</v>
      </c>
      <c r="E6349">
        <v>3</v>
      </c>
      <c r="F6349">
        <v>7</v>
      </c>
    </row>
    <row r="6350" spans="1:6" x14ac:dyDescent="0.3">
      <c r="A6350" t="s">
        <v>10717</v>
      </c>
      <c r="B6350" t="s">
        <v>10718</v>
      </c>
      <c r="C6350" t="s">
        <v>10719</v>
      </c>
      <c r="D6350">
        <v>88172786</v>
      </c>
      <c r="E6350">
        <v>21.39</v>
      </c>
      <c r="F6350">
        <v>6.49</v>
      </c>
    </row>
    <row r="6351" spans="1:6" x14ac:dyDescent="0.3">
      <c r="A6351" t="s">
        <v>10720</v>
      </c>
      <c r="B6351" t="s">
        <v>7306</v>
      </c>
      <c r="C6351" t="s">
        <v>7538</v>
      </c>
      <c r="D6351">
        <v>88181080</v>
      </c>
      <c r="E6351">
        <v>17.5</v>
      </c>
      <c r="F6351">
        <v>7</v>
      </c>
    </row>
    <row r="6352" spans="1:6" x14ac:dyDescent="0.3">
      <c r="A6352" t="s">
        <v>10721</v>
      </c>
      <c r="B6352" t="s">
        <v>9982</v>
      </c>
      <c r="C6352" t="s">
        <v>6534</v>
      </c>
      <c r="D6352">
        <v>88183852</v>
      </c>
      <c r="E6352">
        <v>4.8099999999999996</v>
      </c>
      <c r="F6352">
        <v>7.41</v>
      </c>
    </row>
    <row r="6353" spans="1:6" x14ac:dyDescent="0.3">
      <c r="A6353" t="s">
        <v>10722</v>
      </c>
      <c r="B6353" t="s">
        <v>9763</v>
      </c>
      <c r="C6353" t="s">
        <v>10723</v>
      </c>
      <c r="D6353">
        <v>88203501</v>
      </c>
      <c r="E6353">
        <v>34</v>
      </c>
      <c r="F6353">
        <v>6.67</v>
      </c>
    </row>
    <row r="6354" spans="1:6" x14ac:dyDescent="0.3">
      <c r="A6354" t="s">
        <v>10724</v>
      </c>
      <c r="B6354" t="s">
        <v>10725</v>
      </c>
      <c r="C6354" t="s">
        <v>1719</v>
      </c>
      <c r="D6354">
        <v>88224089</v>
      </c>
      <c r="E6354">
        <v>19.13</v>
      </c>
      <c r="F6354">
        <v>8</v>
      </c>
    </row>
    <row r="6355" spans="1:6" x14ac:dyDescent="0.3">
      <c r="A6355" t="s">
        <v>10726</v>
      </c>
      <c r="B6355" t="s">
        <v>4656</v>
      </c>
      <c r="C6355" t="s">
        <v>7384</v>
      </c>
      <c r="D6355">
        <v>88224583</v>
      </c>
      <c r="E6355">
        <v>2.23</v>
      </c>
      <c r="F6355">
        <v>6.73</v>
      </c>
    </row>
    <row r="6356" spans="1:6" x14ac:dyDescent="0.3">
      <c r="A6356" t="s">
        <v>10727</v>
      </c>
      <c r="B6356" t="s">
        <v>10728</v>
      </c>
      <c r="C6356" t="s">
        <v>5694</v>
      </c>
      <c r="D6356">
        <v>88226064</v>
      </c>
      <c r="E6356">
        <v>32</v>
      </c>
      <c r="F6356">
        <v>6</v>
      </c>
    </row>
    <row r="6357" spans="1:6" x14ac:dyDescent="0.3">
      <c r="A6357" t="s">
        <v>10729</v>
      </c>
      <c r="B6357" t="s">
        <v>8906</v>
      </c>
      <c r="C6357" t="s">
        <v>10730</v>
      </c>
      <c r="D6357">
        <v>88233955</v>
      </c>
      <c r="E6357">
        <v>32</v>
      </c>
      <c r="F6357">
        <v>10</v>
      </c>
    </row>
    <row r="6358" spans="1:6" x14ac:dyDescent="0.3">
      <c r="A6358" t="s">
        <v>10731</v>
      </c>
      <c r="B6358" t="s">
        <v>6615</v>
      </c>
      <c r="C6358" t="s">
        <v>1004</v>
      </c>
      <c r="D6358">
        <v>88235578</v>
      </c>
      <c r="E6358">
        <v>14.25</v>
      </c>
      <c r="F6358">
        <v>7.64</v>
      </c>
    </row>
    <row r="6359" spans="1:6" x14ac:dyDescent="0.3">
      <c r="A6359" t="s">
        <v>10732</v>
      </c>
      <c r="B6359" t="s">
        <v>5412</v>
      </c>
      <c r="C6359" t="s">
        <v>10733</v>
      </c>
      <c r="D6359">
        <v>88244926</v>
      </c>
      <c r="E6359">
        <v>27.09</v>
      </c>
      <c r="F6359">
        <v>6.96</v>
      </c>
    </row>
    <row r="6360" spans="1:6" x14ac:dyDescent="0.3">
      <c r="A6360" t="s">
        <v>10734</v>
      </c>
      <c r="B6360" t="s">
        <v>9367</v>
      </c>
      <c r="C6360" t="s">
        <v>7090</v>
      </c>
      <c r="D6360">
        <v>88246699</v>
      </c>
      <c r="E6360">
        <v>1.37</v>
      </c>
      <c r="F6360">
        <v>6.61</v>
      </c>
    </row>
    <row r="6361" spans="1:6" x14ac:dyDescent="0.3">
      <c r="A6361" t="s">
        <v>10735</v>
      </c>
      <c r="B6361" t="s">
        <v>9663</v>
      </c>
      <c r="C6361" t="s">
        <v>8991</v>
      </c>
      <c r="D6361">
        <v>88256989</v>
      </c>
      <c r="E6361">
        <v>20</v>
      </c>
      <c r="F6361">
        <v>7.81</v>
      </c>
    </row>
    <row r="6362" spans="1:6" x14ac:dyDescent="0.3">
      <c r="A6362" t="s">
        <v>10736</v>
      </c>
      <c r="B6362" t="s">
        <v>6780</v>
      </c>
      <c r="C6362" t="s">
        <v>10737</v>
      </c>
      <c r="D6362">
        <v>88261400</v>
      </c>
      <c r="E6362">
        <v>9.32</v>
      </c>
      <c r="F6362">
        <v>8.48</v>
      </c>
    </row>
    <row r="6363" spans="1:6" x14ac:dyDescent="0.3">
      <c r="A6363" t="s">
        <v>10738</v>
      </c>
      <c r="B6363" t="s">
        <v>10739</v>
      </c>
      <c r="C6363" t="s">
        <v>5555</v>
      </c>
      <c r="D6363">
        <v>88265557</v>
      </c>
      <c r="E6363">
        <v>8.52</v>
      </c>
      <c r="F6363">
        <v>3.83</v>
      </c>
    </row>
    <row r="6364" spans="1:6" x14ac:dyDescent="0.3">
      <c r="A6364" t="s">
        <v>10740</v>
      </c>
      <c r="B6364" t="s">
        <v>10741</v>
      </c>
      <c r="C6364" t="s">
        <v>9251</v>
      </c>
      <c r="D6364">
        <v>88272393</v>
      </c>
      <c r="E6364">
        <v>5.27</v>
      </c>
      <c r="F6364">
        <v>5.67</v>
      </c>
    </row>
    <row r="6365" spans="1:6" x14ac:dyDescent="0.3">
      <c r="A6365" t="s">
        <v>10742</v>
      </c>
      <c r="B6365" t="s">
        <v>9849</v>
      </c>
      <c r="C6365" t="s">
        <v>10743</v>
      </c>
      <c r="D6365">
        <v>88274444</v>
      </c>
      <c r="E6365">
        <v>7.49</v>
      </c>
      <c r="F6365">
        <v>7.31</v>
      </c>
    </row>
    <row r="6366" spans="1:6" x14ac:dyDescent="0.3">
      <c r="A6366" t="s">
        <v>10744</v>
      </c>
      <c r="B6366" t="s">
        <v>10745</v>
      </c>
      <c r="C6366" t="s">
        <v>10746</v>
      </c>
      <c r="D6366">
        <v>88290385</v>
      </c>
      <c r="E6366">
        <v>6.36</v>
      </c>
      <c r="F6366">
        <v>8.0500000000000007</v>
      </c>
    </row>
    <row r="6367" spans="1:6" x14ac:dyDescent="0.3">
      <c r="A6367" t="s">
        <v>10747</v>
      </c>
      <c r="B6367" t="s">
        <v>8671</v>
      </c>
      <c r="C6367" t="s">
        <v>8048</v>
      </c>
      <c r="D6367">
        <v>88292178</v>
      </c>
      <c r="E6367">
        <v>25.5</v>
      </c>
      <c r="F6367">
        <v>8</v>
      </c>
    </row>
    <row r="6368" spans="1:6" x14ac:dyDescent="0.3">
      <c r="A6368" t="s">
        <v>10748</v>
      </c>
      <c r="B6368" t="s">
        <v>10749</v>
      </c>
      <c r="C6368" t="s">
        <v>820</v>
      </c>
      <c r="D6368">
        <v>88292864</v>
      </c>
      <c r="E6368">
        <v>24</v>
      </c>
      <c r="F6368">
        <v>5</v>
      </c>
    </row>
    <row r="6369" spans="1:6" x14ac:dyDescent="0.3">
      <c r="A6369" t="s">
        <v>10750</v>
      </c>
      <c r="B6369" t="s">
        <v>10751</v>
      </c>
      <c r="C6369" t="s">
        <v>10752</v>
      </c>
      <c r="D6369">
        <v>88303189</v>
      </c>
      <c r="E6369">
        <v>23.5</v>
      </c>
      <c r="F6369">
        <v>5.5</v>
      </c>
    </row>
    <row r="6370" spans="1:6" x14ac:dyDescent="0.3">
      <c r="A6370" t="s">
        <v>10753</v>
      </c>
      <c r="B6370" t="s">
        <v>10754</v>
      </c>
      <c r="C6370" t="s">
        <v>10755</v>
      </c>
      <c r="D6370">
        <v>88331828</v>
      </c>
      <c r="E6370">
        <v>7.2</v>
      </c>
      <c r="F6370">
        <v>8.8000000000000007</v>
      </c>
    </row>
    <row r="6371" spans="1:6" x14ac:dyDescent="0.3">
      <c r="A6371" t="s">
        <v>10756</v>
      </c>
      <c r="B6371" t="s">
        <v>10757</v>
      </c>
      <c r="C6371" t="s">
        <v>10758</v>
      </c>
      <c r="D6371">
        <v>88350599</v>
      </c>
      <c r="E6371">
        <v>4.5199999999999996</v>
      </c>
      <c r="F6371">
        <v>6.09</v>
      </c>
    </row>
    <row r="6372" spans="1:6" x14ac:dyDescent="0.3">
      <c r="A6372" t="s">
        <v>10759</v>
      </c>
      <c r="B6372" t="s">
        <v>10760</v>
      </c>
      <c r="C6372" t="s">
        <v>1129</v>
      </c>
      <c r="D6372">
        <v>88351555</v>
      </c>
      <c r="E6372" t="s">
        <v>3814</v>
      </c>
      <c r="F6372" t="s">
        <v>3814</v>
      </c>
    </row>
    <row r="6373" spans="1:6" x14ac:dyDescent="0.3">
      <c r="A6373" t="s">
        <v>10761</v>
      </c>
      <c r="B6373" t="s">
        <v>8984</v>
      </c>
      <c r="C6373" t="s">
        <v>6909</v>
      </c>
      <c r="D6373">
        <v>88354641</v>
      </c>
      <c r="E6373">
        <v>16.2</v>
      </c>
      <c r="F6373">
        <v>7.33</v>
      </c>
    </row>
    <row r="6374" spans="1:6" x14ac:dyDescent="0.3">
      <c r="A6374" t="s">
        <v>10762</v>
      </c>
      <c r="B6374" t="s">
        <v>9752</v>
      </c>
      <c r="C6374" t="s">
        <v>10528</v>
      </c>
      <c r="D6374">
        <v>88364226</v>
      </c>
      <c r="E6374">
        <v>19</v>
      </c>
      <c r="F6374">
        <v>6</v>
      </c>
    </row>
    <row r="6375" spans="1:6" x14ac:dyDescent="0.3">
      <c r="A6375" t="s">
        <v>10763</v>
      </c>
      <c r="B6375" t="s">
        <v>10764</v>
      </c>
      <c r="C6375" t="s">
        <v>10187</v>
      </c>
      <c r="D6375">
        <v>88379537</v>
      </c>
      <c r="E6375">
        <v>3.63</v>
      </c>
      <c r="F6375">
        <v>6.89</v>
      </c>
    </row>
    <row r="6376" spans="1:6" x14ac:dyDescent="0.3">
      <c r="A6376" t="s">
        <v>10765</v>
      </c>
      <c r="B6376" t="s">
        <v>10766</v>
      </c>
      <c r="C6376" t="s">
        <v>6281</v>
      </c>
      <c r="D6376">
        <v>88380439</v>
      </c>
      <c r="E6376">
        <v>2.81</v>
      </c>
      <c r="F6376">
        <v>6.17</v>
      </c>
    </row>
    <row r="6377" spans="1:6" x14ac:dyDescent="0.3">
      <c r="A6377" t="s">
        <v>10767</v>
      </c>
      <c r="B6377" t="s">
        <v>3895</v>
      </c>
      <c r="C6377" t="s">
        <v>767</v>
      </c>
      <c r="D6377">
        <v>88388457</v>
      </c>
      <c r="E6377">
        <v>18</v>
      </c>
      <c r="F6377">
        <v>4.75</v>
      </c>
    </row>
    <row r="6378" spans="1:6" x14ac:dyDescent="0.3">
      <c r="A6378" t="s">
        <v>10768</v>
      </c>
      <c r="B6378" t="s">
        <v>6295</v>
      </c>
      <c r="C6378" t="s">
        <v>1183</v>
      </c>
      <c r="D6378">
        <v>88398388</v>
      </c>
      <c r="E6378">
        <v>6.11</v>
      </c>
      <c r="F6378">
        <v>6.21</v>
      </c>
    </row>
    <row r="6379" spans="1:6" x14ac:dyDescent="0.3">
      <c r="A6379" t="s">
        <v>10769</v>
      </c>
      <c r="B6379" t="s">
        <v>10301</v>
      </c>
      <c r="C6379" t="s">
        <v>2948</v>
      </c>
      <c r="D6379">
        <v>88411760</v>
      </c>
      <c r="E6379">
        <v>13.75</v>
      </c>
      <c r="F6379">
        <v>7.33</v>
      </c>
    </row>
    <row r="6380" spans="1:6" x14ac:dyDescent="0.3">
      <c r="A6380" t="s">
        <v>10770</v>
      </c>
      <c r="B6380" t="s">
        <v>7339</v>
      </c>
      <c r="C6380" t="s">
        <v>1174</v>
      </c>
      <c r="D6380">
        <v>88413447</v>
      </c>
      <c r="E6380">
        <v>3.87</v>
      </c>
      <c r="F6380">
        <v>7.15</v>
      </c>
    </row>
    <row r="6381" spans="1:6" x14ac:dyDescent="0.3">
      <c r="A6381" t="s">
        <v>10771</v>
      </c>
      <c r="B6381" t="s">
        <v>10289</v>
      </c>
      <c r="C6381" t="s">
        <v>10772</v>
      </c>
      <c r="D6381">
        <v>88420369</v>
      </c>
      <c r="E6381">
        <v>18.5</v>
      </c>
      <c r="F6381">
        <v>5</v>
      </c>
    </row>
    <row r="6382" spans="1:6" x14ac:dyDescent="0.3">
      <c r="A6382" t="s">
        <v>10773</v>
      </c>
      <c r="B6382" t="s">
        <v>5228</v>
      </c>
      <c r="C6382" t="s">
        <v>7707</v>
      </c>
      <c r="D6382">
        <v>88421468</v>
      </c>
      <c r="E6382">
        <v>31.56</v>
      </c>
      <c r="F6382">
        <v>7.53</v>
      </c>
    </row>
    <row r="6383" spans="1:6" x14ac:dyDescent="0.3">
      <c r="A6383" t="s">
        <v>10774</v>
      </c>
      <c r="B6383" t="s">
        <v>9111</v>
      </c>
      <c r="C6383" t="s">
        <v>7467</v>
      </c>
      <c r="D6383">
        <v>88438101</v>
      </c>
      <c r="E6383">
        <v>3.06</v>
      </c>
      <c r="F6383">
        <v>7.1</v>
      </c>
    </row>
    <row r="6384" spans="1:6" x14ac:dyDescent="0.3">
      <c r="A6384" t="s">
        <v>10775</v>
      </c>
      <c r="B6384" t="s">
        <v>10776</v>
      </c>
      <c r="C6384" t="s">
        <v>10777</v>
      </c>
      <c r="D6384">
        <v>88438593</v>
      </c>
      <c r="E6384">
        <v>2.27</v>
      </c>
      <c r="F6384">
        <v>6.04</v>
      </c>
    </row>
    <row r="6385" spans="1:6" x14ac:dyDescent="0.3">
      <c r="A6385" t="s">
        <v>10778</v>
      </c>
      <c r="B6385" t="s">
        <v>10116</v>
      </c>
      <c r="C6385" t="s">
        <v>5749</v>
      </c>
      <c r="D6385">
        <v>88442157</v>
      </c>
      <c r="E6385">
        <v>33.5</v>
      </c>
      <c r="F6385">
        <v>4.5</v>
      </c>
    </row>
    <row r="6386" spans="1:6" x14ac:dyDescent="0.3">
      <c r="A6386" t="s">
        <v>10779</v>
      </c>
      <c r="B6386" t="s">
        <v>10780</v>
      </c>
      <c r="C6386" t="s">
        <v>1555</v>
      </c>
      <c r="D6386">
        <v>88442691</v>
      </c>
      <c r="E6386">
        <v>9.2100000000000009</v>
      </c>
      <c r="F6386">
        <v>8.3800000000000008</v>
      </c>
    </row>
    <row r="6387" spans="1:6" x14ac:dyDescent="0.3">
      <c r="A6387" t="s">
        <v>10781</v>
      </c>
      <c r="B6387" t="s">
        <v>6667</v>
      </c>
      <c r="C6387" t="s">
        <v>820</v>
      </c>
      <c r="D6387">
        <v>88503578</v>
      </c>
      <c r="E6387">
        <v>15.67</v>
      </c>
      <c r="F6387">
        <v>8.2799999999999994</v>
      </c>
    </row>
    <row r="6388" spans="1:6" x14ac:dyDescent="0.3">
      <c r="A6388" t="s">
        <v>10782</v>
      </c>
      <c r="B6388" t="s">
        <v>10783</v>
      </c>
      <c r="C6388" t="s">
        <v>9609</v>
      </c>
      <c r="D6388">
        <v>88506157</v>
      </c>
      <c r="E6388">
        <v>22</v>
      </c>
      <c r="F6388">
        <v>5.2</v>
      </c>
    </row>
    <row r="6389" spans="1:6" x14ac:dyDescent="0.3">
      <c r="A6389" t="s">
        <v>10784</v>
      </c>
      <c r="B6389" t="s">
        <v>10785</v>
      </c>
      <c r="C6389" t="s">
        <v>10784</v>
      </c>
      <c r="D6389">
        <v>88514931</v>
      </c>
      <c r="E6389">
        <v>16</v>
      </c>
      <c r="F6389">
        <v>7</v>
      </c>
    </row>
    <row r="6390" spans="1:6" x14ac:dyDescent="0.3">
      <c r="A6390" t="s">
        <v>10786</v>
      </c>
      <c r="B6390" t="s">
        <v>9094</v>
      </c>
      <c r="C6390" t="s">
        <v>1573</v>
      </c>
      <c r="D6390">
        <v>88519988</v>
      </c>
      <c r="E6390">
        <v>4.96</v>
      </c>
      <c r="F6390">
        <v>8</v>
      </c>
    </row>
    <row r="6391" spans="1:6" x14ac:dyDescent="0.3">
      <c r="A6391" t="s">
        <v>10787</v>
      </c>
      <c r="B6391" t="s">
        <v>7356</v>
      </c>
      <c r="C6391" t="s">
        <v>7987</v>
      </c>
      <c r="D6391">
        <v>88529266</v>
      </c>
      <c r="E6391">
        <v>6.95</v>
      </c>
      <c r="F6391">
        <v>8.07</v>
      </c>
    </row>
    <row r="6392" spans="1:6" x14ac:dyDescent="0.3">
      <c r="A6392" t="s">
        <v>10788</v>
      </c>
      <c r="B6392" t="s">
        <v>8615</v>
      </c>
      <c r="C6392" t="s">
        <v>10789</v>
      </c>
      <c r="D6392">
        <v>88530297</v>
      </c>
      <c r="E6392">
        <v>6.09</v>
      </c>
      <c r="F6392">
        <v>6.6</v>
      </c>
    </row>
    <row r="6393" spans="1:6" x14ac:dyDescent="0.3">
      <c r="A6393" t="s">
        <v>10790</v>
      </c>
      <c r="B6393" t="s">
        <v>3098</v>
      </c>
      <c r="C6393" t="s">
        <v>10791</v>
      </c>
      <c r="D6393">
        <v>88535656</v>
      </c>
      <c r="E6393">
        <v>13.56</v>
      </c>
      <c r="F6393">
        <v>7.36</v>
      </c>
    </row>
    <row r="6394" spans="1:6" x14ac:dyDescent="0.3">
      <c r="A6394" t="s">
        <v>10792</v>
      </c>
      <c r="B6394" t="s">
        <v>5031</v>
      </c>
      <c r="C6394" t="s">
        <v>12</v>
      </c>
      <c r="D6394">
        <v>88543746</v>
      </c>
      <c r="E6394">
        <v>15.75</v>
      </c>
      <c r="F6394">
        <v>7.08</v>
      </c>
    </row>
    <row r="6395" spans="1:6" x14ac:dyDescent="0.3">
      <c r="A6395" t="s">
        <v>10793</v>
      </c>
      <c r="B6395" t="s">
        <v>10794</v>
      </c>
      <c r="C6395" t="s">
        <v>10795</v>
      </c>
      <c r="D6395">
        <v>88556820</v>
      </c>
      <c r="E6395">
        <v>11.78</v>
      </c>
      <c r="F6395">
        <v>7.71</v>
      </c>
    </row>
    <row r="6396" spans="1:6" x14ac:dyDescent="0.3">
      <c r="A6396" t="s">
        <v>10796</v>
      </c>
      <c r="B6396" t="s">
        <v>3238</v>
      </c>
      <c r="C6396" t="s">
        <v>8179</v>
      </c>
      <c r="D6396">
        <v>88575621</v>
      </c>
      <c r="E6396">
        <v>2.0699999999999998</v>
      </c>
      <c r="F6396">
        <v>7.52</v>
      </c>
    </row>
    <row r="6397" spans="1:6" x14ac:dyDescent="0.3">
      <c r="A6397" t="s">
        <v>10797</v>
      </c>
      <c r="B6397" t="s">
        <v>8787</v>
      </c>
      <c r="C6397" t="s">
        <v>7738</v>
      </c>
      <c r="D6397">
        <v>88577065</v>
      </c>
      <c r="E6397">
        <v>21</v>
      </c>
      <c r="F6397">
        <v>6.91</v>
      </c>
    </row>
    <row r="6398" spans="1:6" x14ac:dyDescent="0.3">
      <c r="A6398" t="s">
        <v>10798</v>
      </c>
      <c r="B6398" t="s">
        <v>10799</v>
      </c>
      <c r="C6398" t="s">
        <v>10800</v>
      </c>
      <c r="D6398">
        <v>88589889</v>
      </c>
      <c r="E6398">
        <v>17.5</v>
      </c>
      <c r="F6398">
        <v>5.5</v>
      </c>
    </row>
    <row r="6399" spans="1:6" x14ac:dyDescent="0.3">
      <c r="A6399" t="s">
        <v>10801</v>
      </c>
      <c r="B6399" t="s">
        <v>10802</v>
      </c>
      <c r="C6399" t="s">
        <v>10417</v>
      </c>
      <c r="D6399">
        <v>88590448</v>
      </c>
      <c r="E6399">
        <v>3.53</v>
      </c>
      <c r="F6399">
        <v>8.0500000000000007</v>
      </c>
    </row>
    <row r="6400" spans="1:6" x14ac:dyDescent="0.3">
      <c r="A6400" t="s">
        <v>10803</v>
      </c>
      <c r="B6400" t="s">
        <v>10804</v>
      </c>
      <c r="C6400" t="s">
        <v>10805</v>
      </c>
      <c r="D6400">
        <v>88608681</v>
      </c>
      <c r="E6400">
        <v>2.95</v>
      </c>
      <c r="F6400">
        <v>7.46</v>
      </c>
    </row>
    <row r="6401" spans="1:6" x14ac:dyDescent="0.3">
      <c r="A6401" t="s">
        <v>10806</v>
      </c>
      <c r="B6401" t="s">
        <v>7134</v>
      </c>
      <c r="C6401" t="s">
        <v>10807</v>
      </c>
      <c r="D6401">
        <v>88608972</v>
      </c>
      <c r="E6401">
        <v>8.93</v>
      </c>
      <c r="F6401">
        <v>5.12</v>
      </c>
    </row>
    <row r="6402" spans="1:6" x14ac:dyDescent="0.3">
      <c r="A6402" t="s">
        <v>10808</v>
      </c>
      <c r="B6402" t="s">
        <v>1584</v>
      </c>
      <c r="C6402" t="s">
        <v>10809</v>
      </c>
      <c r="D6402">
        <v>88611404</v>
      </c>
      <c r="E6402">
        <v>33.33</v>
      </c>
      <c r="F6402">
        <v>7</v>
      </c>
    </row>
    <row r="6403" spans="1:6" x14ac:dyDescent="0.3">
      <c r="A6403" t="s">
        <v>10810</v>
      </c>
      <c r="B6403" t="s">
        <v>10189</v>
      </c>
      <c r="C6403" t="s">
        <v>10811</v>
      </c>
      <c r="D6403">
        <v>88612103</v>
      </c>
      <c r="E6403">
        <v>4.3899999999999997</v>
      </c>
      <c r="F6403">
        <v>7.76</v>
      </c>
    </row>
    <row r="6404" spans="1:6" x14ac:dyDescent="0.3">
      <c r="A6404" t="s">
        <v>10812</v>
      </c>
      <c r="B6404" t="s">
        <v>10813</v>
      </c>
      <c r="C6404" t="s">
        <v>1030</v>
      </c>
      <c r="D6404">
        <v>88620181</v>
      </c>
      <c r="E6404">
        <v>18</v>
      </c>
      <c r="F6404">
        <v>7</v>
      </c>
    </row>
    <row r="6405" spans="1:6" x14ac:dyDescent="0.3">
      <c r="A6405" t="s">
        <v>10814</v>
      </c>
      <c r="B6405" t="s">
        <v>3739</v>
      </c>
      <c r="C6405" t="s">
        <v>5866</v>
      </c>
      <c r="D6405">
        <v>88660668</v>
      </c>
      <c r="E6405">
        <v>20.5</v>
      </c>
      <c r="F6405">
        <v>8.33</v>
      </c>
    </row>
    <row r="6406" spans="1:6" x14ac:dyDescent="0.3">
      <c r="A6406" t="s">
        <v>10815</v>
      </c>
      <c r="B6406" t="s">
        <v>9780</v>
      </c>
      <c r="C6406" t="s">
        <v>2681</v>
      </c>
      <c r="D6406">
        <v>88670751</v>
      </c>
      <c r="E6406">
        <v>2.94</v>
      </c>
      <c r="F6406">
        <v>6.36</v>
      </c>
    </row>
    <row r="6407" spans="1:6" x14ac:dyDescent="0.3">
      <c r="A6407" t="s">
        <v>10816</v>
      </c>
      <c r="B6407" t="s">
        <v>7025</v>
      </c>
      <c r="C6407" t="s">
        <v>10817</v>
      </c>
      <c r="D6407">
        <v>88709068</v>
      </c>
      <c r="E6407">
        <v>17.29</v>
      </c>
      <c r="F6407">
        <v>7.14</v>
      </c>
    </row>
    <row r="6408" spans="1:6" x14ac:dyDescent="0.3">
      <c r="A6408" t="s">
        <v>10818</v>
      </c>
      <c r="B6408" t="s">
        <v>9991</v>
      </c>
      <c r="C6408" t="s">
        <v>6909</v>
      </c>
      <c r="D6408">
        <v>88718188</v>
      </c>
      <c r="E6408">
        <v>2.23</v>
      </c>
      <c r="F6408">
        <v>7.39</v>
      </c>
    </row>
    <row r="6409" spans="1:6" x14ac:dyDescent="0.3">
      <c r="A6409" t="s">
        <v>10819</v>
      </c>
      <c r="B6409" t="s">
        <v>10820</v>
      </c>
      <c r="C6409" t="s">
        <v>7076</v>
      </c>
      <c r="D6409">
        <v>88719355</v>
      </c>
      <c r="E6409">
        <v>21</v>
      </c>
      <c r="F6409">
        <v>4.5</v>
      </c>
    </row>
    <row r="6410" spans="1:6" x14ac:dyDescent="0.3">
      <c r="A6410" t="s">
        <v>10821</v>
      </c>
      <c r="B6410" t="s">
        <v>9602</v>
      </c>
      <c r="C6410" t="s">
        <v>8541</v>
      </c>
      <c r="D6410">
        <v>88726421</v>
      </c>
      <c r="E6410">
        <v>12</v>
      </c>
      <c r="F6410">
        <v>8.26</v>
      </c>
    </row>
    <row r="6411" spans="1:6" x14ac:dyDescent="0.3">
      <c r="A6411" t="s">
        <v>10822</v>
      </c>
      <c r="B6411" t="s">
        <v>10823</v>
      </c>
      <c r="C6411" t="s">
        <v>8632</v>
      </c>
      <c r="D6411">
        <v>88734716</v>
      </c>
      <c r="E6411">
        <v>1.6</v>
      </c>
      <c r="F6411">
        <v>7.28</v>
      </c>
    </row>
    <row r="6412" spans="1:6" x14ac:dyDescent="0.3">
      <c r="A6412" t="s">
        <v>10824</v>
      </c>
      <c r="B6412" t="s">
        <v>3800</v>
      </c>
      <c r="C6412" t="s">
        <v>1240</v>
      </c>
      <c r="D6412">
        <v>88746841</v>
      </c>
      <c r="E6412">
        <v>20</v>
      </c>
      <c r="F6412">
        <v>6.8</v>
      </c>
    </row>
    <row r="6413" spans="1:6" x14ac:dyDescent="0.3">
      <c r="A6413" t="s">
        <v>4170</v>
      </c>
      <c r="B6413" t="s">
        <v>10825</v>
      </c>
      <c r="C6413" t="s">
        <v>991</v>
      </c>
      <c r="D6413">
        <v>88761395</v>
      </c>
      <c r="E6413">
        <v>27.33</v>
      </c>
      <c r="F6413">
        <v>5</v>
      </c>
    </row>
    <row r="6414" spans="1:6" x14ac:dyDescent="0.3">
      <c r="A6414" t="s">
        <v>10826</v>
      </c>
      <c r="B6414" t="s">
        <v>6903</v>
      </c>
      <c r="C6414" t="s">
        <v>1803</v>
      </c>
      <c r="D6414">
        <v>88785961</v>
      </c>
      <c r="E6414">
        <v>8.83</v>
      </c>
      <c r="F6414">
        <v>6.27</v>
      </c>
    </row>
    <row r="6415" spans="1:6" x14ac:dyDescent="0.3">
      <c r="A6415" t="s">
        <v>10827</v>
      </c>
      <c r="B6415" t="s">
        <v>10828</v>
      </c>
      <c r="C6415" t="s">
        <v>10829</v>
      </c>
      <c r="D6415">
        <v>88794725</v>
      </c>
      <c r="E6415">
        <v>12.75</v>
      </c>
      <c r="F6415">
        <v>8.25</v>
      </c>
    </row>
    <row r="6416" spans="1:6" x14ac:dyDescent="0.3">
      <c r="A6416" t="s">
        <v>10830</v>
      </c>
      <c r="B6416" t="s">
        <v>4184</v>
      </c>
      <c r="C6416" t="s">
        <v>8632</v>
      </c>
      <c r="D6416">
        <v>88802388</v>
      </c>
      <c r="E6416">
        <v>5.56</v>
      </c>
      <c r="F6416">
        <v>5.36</v>
      </c>
    </row>
    <row r="6417" spans="1:6" x14ac:dyDescent="0.3">
      <c r="A6417" t="s">
        <v>10831</v>
      </c>
      <c r="B6417" t="s">
        <v>9611</v>
      </c>
      <c r="C6417" t="s">
        <v>10832</v>
      </c>
      <c r="D6417">
        <v>88812503</v>
      </c>
      <c r="E6417">
        <v>19</v>
      </c>
      <c r="F6417">
        <v>3.5</v>
      </c>
    </row>
    <row r="6418" spans="1:6" x14ac:dyDescent="0.3">
      <c r="A6418" t="s">
        <v>10833</v>
      </c>
      <c r="B6418" t="s">
        <v>10834</v>
      </c>
      <c r="C6418" t="s">
        <v>10835</v>
      </c>
      <c r="D6418">
        <v>88813627</v>
      </c>
      <c r="E6418">
        <v>12.1</v>
      </c>
      <c r="F6418">
        <v>6.91</v>
      </c>
    </row>
    <row r="6419" spans="1:6" x14ac:dyDescent="0.3">
      <c r="A6419" t="s">
        <v>10836</v>
      </c>
      <c r="B6419" t="s">
        <v>10837</v>
      </c>
      <c r="C6419" t="s">
        <v>2388</v>
      </c>
      <c r="D6419">
        <v>88822041</v>
      </c>
      <c r="E6419" t="s">
        <v>3814</v>
      </c>
      <c r="F6419" t="s">
        <v>3814</v>
      </c>
    </row>
    <row r="6420" spans="1:6" x14ac:dyDescent="0.3">
      <c r="A6420" t="s">
        <v>10838</v>
      </c>
      <c r="B6420" t="s">
        <v>10839</v>
      </c>
      <c r="C6420" t="s">
        <v>9084</v>
      </c>
      <c r="D6420">
        <v>88836701</v>
      </c>
      <c r="E6420">
        <v>1.78</v>
      </c>
      <c r="F6420">
        <v>7.4</v>
      </c>
    </row>
    <row r="6421" spans="1:6" x14ac:dyDescent="0.3">
      <c r="A6421" t="s">
        <v>10840</v>
      </c>
      <c r="B6421" t="s">
        <v>10126</v>
      </c>
      <c r="C6421" t="s">
        <v>10647</v>
      </c>
      <c r="D6421">
        <v>88836796</v>
      </c>
      <c r="E6421">
        <v>9.3800000000000008</v>
      </c>
      <c r="F6421">
        <v>4.5</v>
      </c>
    </row>
    <row r="6422" spans="1:6" x14ac:dyDescent="0.3">
      <c r="A6422" t="s">
        <v>5678</v>
      </c>
      <c r="B6422" t="s">
        <v>10841</v>
      </c>
      <c r="C6422" t="s">
        <v>10842</v>
      </c>
      <c r="D6422">
        <v>88844545</v>
      </c>
      <c r="E6422">
        <v>16.670000000000002</v>
      </c>
      <c r="F6422">
        <v>6.2</v>
      </c>
    </row>
    <row r="6423" spans="1:6" x14ac:dyDescent="0.3">
      <c r="A6423" t="s">
        <v>10843</v>
      </c>
      <c r="B6423" t="s">
        <v>8479</v>
      </c>
      <c r="C6423" t="s">
        <v>1034</v>
      </c>
      <c r="D6423">
        <v>88853479</v>
      </c>
      <c r="E6423">
        <v>22.05</v>
      </c>
      <c r="F6423">
        <v>6.96</v>
      </c>
    </row>
    <row r="6424" spans="1:6" x14ac:dyDescent="0.3">
      <c r="A6424" t="s">
        <v>10844</v>
      </c>
      <c r="B6424" t="s">
        <v>6468</v>
      </c>
      <c r="C6424" t="s">
        <v>10844</v>
      </c>
      <c r="D6424">
        <v>88854750</v>
      </c>
      <c r="E6424">
        <v>18.89</v>
      </c>
      <c r="F6424">
        <v>6.78</v>
      </c>
    </row>
    <row r="6425" spans="1:6" x14ac:dyDescent="0.3">
      <c r="A6425" t="s">
        <v>10845</v>
      </c>
      <c r="B6425" t="s">
        <v>10651</v>
      </c>
      <c r="C6425" t="s">
        <v>6254</v>
      </c>
      <c r="D6425">
        <v>88855888</v>
      </c>
      <c r="E6425">
        <v>4.8099999999999996</v>
      </c>
      <c r="F6425">
        <v>7.21</v>
      </c>
    </row>
    <row r="6426" spans="1:6" x14ac:dyDescent="0.3">
      <c r="A6426" t="s">
        <v>10846</v>
      </c>
      <c r="B6426" t="s">
        <v>3255</v>
      </c>
      <c r="C6426" t="s">
        <v>3658</v>
      </c>
      <c r="D6426">
        <v>88868682</v>
      </c>
      <c r="E6426">
        <v>32.5</v>
      </c>
      <c r="F6426">
        <v>4</v>
      </c>
    </row>
    <row r="6427" spans="1:6" x14ac:dyDescent="0.3">
      <c r="A6427" t="s">
        <v>10847</v>
      </c>
      <c r="B6427" t="s">
        <v>6709</v>
      </c>
      <c r="C6427" t="s">
        <v>10848</v>
      </c>
      <c r="D6427">
        <v>88873060</v>
      </c>
      <c r="E6427">
        <v>7.91</v>
      </c>
      <c r="F6427">
        <v>6.19</v>
      </c>
    </row>
    <row r="6428" spans="1:6" x14ac:dyDescent="0.3">
      <c r="A6428" t="s">
        <v>10849</v>
      </c>
      <c r="B6428" t="s">
        <v>10850</v>
      </c>
      <c r="C6428" t="s">
        <v>10851</v>
      </c>
      <c r="D6428">
        <v>88873265</v>
      </c>
      <c r="E6428">
        <v>2.19</v>
      </c>
      <c r="F6428">
        <v>7.75</v>
      </c>
    </row>
    <row r="6429" spans="1:6" x14ac:dyDescent="0.3">
      <c r="A6429" t="s">
        <v>10852</v>
      </c>
      <c r="B6429" t="s">
        <v>4770</v>
      </c>
      <c r="C6429" t="s">
        <v>10853</v>
      </c>
      <c r="D6429">
        <v>88911626</v>
      </c>
      <c r="E6429">
        <v>8.3800000000000008</v>
      </c>
      <c r="F6429">
        <v>7.95</v>
      </c>
    </row>
    <row r="6430" spans="1:6" x14ac:dyDescent="0.3">
      <c r="A6430" t="s">
        <v>10854</v>
      </c>
      <c r="B6430" t="s">
        <v>10855</v>
      </c>
      <c r="C6430" t="s">
        <v>10856</v>
      </c>
      <c r="D6430">
        <v>88912081</v>
      </c>
      <c r="E6430">
        <v>20.73</v>
      </c>
      <c r="F6430">
        <v>8.4499999999999993</v>
      </c>
    </row>
    <row r="6431" spans="1:6" x14ac:dyDescent="0.3">
      <c r="A6431" t="s">
        <v>10857</v>
      </c>
      <c r="B6431" t="s">
        <v>10858</v>
      </c>
      <c r="C6431" t="s">
        <v>10859</v>
      </c>
      <c r="D6431">
        <v>88913586</v>
      </c>
      <c r="E6431">
        <v>27.67</v>
      </c>
      <c r="F6431">
        <v>8.33</v>
      </c>
    </row>
    <row r="6432" spans="1:6" x14ac:dyDescent="0.3">
      <c r="A6432" t="s">
        <v>10860</v>
      </c>
      <c r="B6432" t="s">
        <v>10861</v>
      </c>
      <c r="C6432" t="s">
        <v>7381</v>
      </c>
      <c r="D6432">
        <v>88924259</v>
      </c>
      <c r="E6432">
        <v>6.64</v>
      </c>
      <c r="F6432">
        <v>6.82</v>
      </c>
    </row>
    <row r="6433" spans="1:6" x14ac:dyDescent="0.3">
      <c r="A6433" t="s">
        <v>4155</v>
      </c>
      <c r="B6433" t="s">
        <v>10862</v>
      </c>
      <c r="C6433" t="s">
        <v>4155</v>
      </c>
      <c r="D6433">
        <v>88938066</v>
      </c>
      <c r="E6433">
        <v>2.14</v>
      </c>
      <c r="F6433">
        <v>6.95</v>
      </c>
    </row>
    <row r="6434" spans="1:6" x14ac:dyDescent="0.3">
      <c r="A6434" t="s">
        <v>10863</v>
      </c>
      <c r="B6434" t="s">
        <v>9105</v>
      </c>
      <c r="C6434" t="s">
        <v>17</v>
      </c>
      <c r="D6434">
        <v>88940074</v>
      </c>
      <c r="E6434">
        <v>22.09</v>
      </c>
      <c r="F6434">
        <v>7.52</v>
      </c>
    </row>
    <row r="6435" spans="1:6" x14ac:dyDescent="0.3">
      <c r="A6435" t="s">
        <v>10864</v>
      </c>
      <c r="B6435" t="s">
        <v>2199</v>
      </c>
      <c r="C6435" t="s">
        <v>3264</v>
      </c>
      <c r="D6435">
        <v>88940164</v>
      </c>
      <c r="E6435">
        <v>15.58</v>
      </c>
      <c r="F6435">
        <v>8.64</v>
      </c>
    </row>
    <row r="6436" spans="1:6" x14ac:dyDescent="0.3">
      <c r="A6436" t="s">
        <v>10865</v>
      </c>
      <c r="B6436" t="s">
        <v>10866</v>
      </c>
      <c r="C6436" t="s">
        <v>2287</v>
      </c>
      <c r="D6436">
        <v>88943354</v>
      </c>
      <c r="E6436">
        <v>20.56</v>
      </c>
      <c r="F6436">
        <v>5.63</v>
      </c>
    </row>
    <row r="6437" spans="1:6" x14ac:dyDescent="0.3">
      <c r="A6437" t="s">
        <v>10867</v>
      </c>
      <c r="B6437" t="s">
        <v>8906</v>
      </c>
      <c r="C6437" t="s">
        <v>7546</v>
      </c>
      <c r="D6437">
        <v>88943442</v>
      </c>
      <c r="E6437">
        <v>20.5</v>
      </c>
      <c r="F6437">
        <v>5</v>
      </c>
    </row>
    <row r="6438" spans="1:6" x14ac:dyDescent="0.3">
      <c r="A6438" t="s">
        <v>10868</v>
      </c>
      <c r="B6438" t="s">
        <v>10869</v>
      </c>
      <c r="C6438" t="s">
        <v>4909</v>
      </c>
      <c r="D6438">
        <v>88943774</v>
      </c>
      <c r="E6438">
        <v>1.9</v>
      </c>
      <c r="F6438">
        <v>6.87</v>
      </c>
    </row>
    <row r="6439" spans="1:6" x14ac:dyDescent="0.3">
      <c r="A6439" t="s">
        <v>10870</v>
      </c>
      <c r="B6439" t="s">
        <v>10871</v>
      </c>
      <c r="C6439" t="s">
        <v>4570</v>
      </c>
      <c r="D6439">
        <v>88946497</v>
      </c>
      <c r="E6439">
        <v>25</v>
      </c>
      <c r="F6439">
        <v>9</v>
      </c>
    </row>
    <row r="6440" spans="1:6" x14ac:dyDescent="0.3">
      <c r="A6440" t="s">
        <v>4890</v>
      </c>
      <c r="B6440" t="s">
        <v>5879</v>
      </c>
      <c r="C6440" t="s">
        <v>2038</v>
      </c>
      <c r="D6440">
        <v>88989167</v>
      </c>
      <c r="E6440">
        <v>17</v>
      </c>
      <c r="F6440">
        <v>5.33</v>
      </c>
    </row>
    <row r="6441" spans="1:6" x14ac:dyDescent="0.3">
      <c r="A6441" t="s">
        <v>10872</v>
      </c>
      <c r="B6441" t="s">
        <v>10873</v>
      </c>
      <c r="C6441" t="s">
        <v>10874</v>
      </c>
      <c r="D6441">
        <v>88990358</v>
      </c>
      <c r="E6441">
        <v>10.18</v>
      </c>
      <c r="F6441">
        <v>8.4</v>
      </c>
    </row>
    <row r="6442" spans="1:6" x14ac:dyDescent="0.3">
      <c r="A6442" t="s">
        <v>10875</v>
      </c>
      <c r="B6442" t="s">
        <v>10594</v>
      </c>
      <c r="C6442" t="s">
        <v>10876</v>
      </c>
      <c r="D6442">
        <v>88999828</v>
      </c>
      <c r="E6442">
        <v>1.93</v>
      </c>
      <c r="F6442">
        <v>6.32</v>
      </c>
    </row>
    <row r="6443" spans="1:6" x14ac:dyDescent="0.3">
      <c r="A6443" t="s">
        <v>5881</v>
      </c>
      <c r="B6443" t="s">
        <v>10877</v>
      </c>
      <c r="C6443" t="s">
        <v>3594</v>
      </c>
      <c r="D6443">
        <v>89034818</v>
      </c>
      <c r="E6443">
        <v>7</v>
      </c>
      <c r="F6443">
        <v>8.18</v>
      </c>
    </row>
    <row r="6444" spans="1:6" x14ac:dyDescent="0.3">
      <c r="A6444" t="s">
        <v>10878</v>
      </c>
      <c r="B6444" t="s">
        <v>9917</v>
      </c>
      <c r="C6444" t="s">
        <v>4998</v>
      </c>
      <c r="D6444">
        <v>89039492</v>
      </c>
      <c r="E6444">
        <v>19.600000000000001</v>
      </c>
      <c r="F6444">
        <v>6.6</v>
      </c>
    </row>
    <row r="6445" spans="1:6" x14ac:dyDescent="0.3">
      <c r="A6445" t="s">
        <v>10879</v>
      </c>
      <c r="B6445" t="s">
        <v>7422</v>
      </c>
      <c r="C6445" t="s">
        <v>9492</v>
      </c>
      <c r="D6445">
        <v>89046615</v>
      </c>
      <c r="E6445">
        <v>6</v>
      </c>
      <c r="F6445">
        <v>6.62</v>
      </c>
    </row>
    <row r="6446" spans="1:6" x14ac:dyDescent="0.3">
      <c r="A6446" t="s">
        <v>10880</v>
      </c>
      <c r="B6446" t="s">
        <v>8404</v>
      </c>
      <c r="C6446" t="s">
        <v>10881</v>
      </c>
      <c r="D6446">
        <v>89054769</v>
      </c>
      <c r="E6446">
        <v>1.6</v>
      </c>
      <c r="F6446">
        <v>7.89</v>
      </c>
    </row>
    <row r="6447" spans="1:6" x14ac:dyDescent="0.3">
      <c r="A6447" t="s">
        <v>10882</v>
      </c>
      <c r="B6447" t="s">
        <v>10745</v>
      </c>
      <c r="C6447" t="s">
        <v>10883</v>
      </c>
      <c r="D6447">
        <v>89081606</v>
      </c>
      <c r="E6447">
        <v>9.15</v>
      </c>
      <c r="F6447">
        <v>6.93</v>
      </c>
    </row>
    <row r="6448" spans="1:6" x14ac:dyDescent="0.3">
      <c r="A6448" t="s">
        <v>10884</v>
      </c>
      <c r="B6448" t="s">
        <v>10885</v>
      </c>
      <c r="C6448" t="s">
        <v>10886</v>
      </c>
      <c r="D6448">
        <v>89102590</v>
      </c>
      <c r="E6448">
        <v>2.76</v>
      </c>
      <c r="F6448">
        <v>5.86</v>
      </c>
    </row>
    <row r="6449" spans="1:6" x14ac:dyDescent="0.3">
      <c r="A6449" t="s">
        <v>10887</v>
      </c>
      <c r="B6449" t="s">
        <v>10888</v>
      </c>
      <c r="C6449" t="s">
        <v>741</v>
      </c>
      <c r="D6449">
        <v>89125937</v>
      </c>
      <c r="E6449">
        <v>3.75</v>
      </c>
      <c r="F6449">
        <v>6.9</v>
      </c>
    </row>
    <row r="6450" spans="1:6" x14ac:dyDescent="0.3">
      <c r="A6450" t="s">
        <v>10889</v>
      </c>
      <c r="B6450" t="s">
        <v>10890</v>
      </c>
      <c r="C6450" t="s">
        <v>6072</v>
      </c>
      <c r="D6450">
        <v>89131259</v>
      </c>
      <c r="E6450">
        <v>2.11</v>
      </c>
      <c r="F6450">
        <v>6.46</v>
      </c>
    </row>
    <row r="6451" spans="1:6" x14ac:dyDescent="0.3">
      <c r="A6451" t="s">
        <v>10891</v>
      </c>
      <c r="B6451" t="s">
        <v>5262</v>
      </c>
      <c r="C6451" t="s">
        <v>7589</v>
      </c>
      <c r="D6451">
        <v>89136909</v>
      </c>
      <c r="E6451">
        <v>4.5599999999999996</v>
      </c>
      <c r="F6451">
        <v>7.17</v>
      </c>
    </row>
    <row r="6452" spans="1:6" x14ac:dyDescent="0.3">
      <c r="A6452" t="s">
        <v>10892</v>
      </c>
      <c r="B6452" t="s">
        <v>10893</v>
      </c>
      <c r="C6452" t="s">
        <v>10894</v>
      </c>
      <c r="D6452">
        <v>89145099</v>
      </c>
      <c r="E6452">
        <v>21.5</v>
      </c>
      <c r="F6452">
        <v>10</v>
      </c>
    </row>
    <row r="6453" spans="1:6" x14ac:dyDescent="0.3">
      <c r="A6453" t="s">
        <v>10895</v>
      </c>
      <c r="B6453" t="s">
        <v>6226</v>
      </c>
      <c r="C6453" t="s">
        <v>10896</v>
      </c>
      <c r="D6453">
        <v>89148483</v>
      </c>
      <c r="E6453">
        <v>2.91</v>
      </c>
      <c r="F6453">
        <v>6.38</v>
      </c>
    </row>
    <row r="6454" spans="1:6" x14ac:dyDescent="0.3">
      <c r="A6454" t="s">
        <v>10897</v>
      </c>
      <c r="B6454" t="s">
        <v>9200</v>
      </c>
      <c r="C6454" t="s">
        <v>4042</v>
      </c>
      <c r="D6454">
        <v>89152238</v>
      </c>
      <c r="E6454">
        <v>4.8600000000000003</v>
      </c>
      <c r="F6454">
        <v>8.23</v>
      </c>
    </row>
    <row r="6455" spans="1:6" x14ac:dyDescent="0.3">
      <c r="A6455" t="s">
        <v>10898</v>
      </c>
      <c r="B6455" t="s">
        <v>10899</v>
      </c>
      <c r="C6455" t="s">
        <v>9436</v>
      </c>
      <c r="D6455">
        <v>89156629</v>
      </c>
      <c r="E6455">
        <v>21.82</v>
      </c>
      <c r="F6455">
        <v>7.57</v>
      </c>
    </row>
    <row r="6456" spans="1:6" x14ac:dyDescent="0.3">
      <c r="A6456" t="s">
        <v>10900</v>
      </c>
      <c r="B6456" t="s">
        <v>9841</v>
      </c>
      <c r="C6456" t="s">
        <v>10901</v>
      </c>
      <c r="D6456">
        <v>89160000</v>
      </c>
      <c r="E6456">
        <v>9.14</v>
      </c>
      <c r="F6456">
        <v>5.86</v>
      </c>
    </row>
    <row r="6457" spans="1:6" x14ac:dyDescent="0.3">
      <c r="A6457" t="s">
        <v>10902</v>
      </c>
      <c r="B6457" t="s">
        <v>8838</v>
      </c>
      <c r="C6457" t="s">
        <v>7840</v>
      </c>
      <c r="D6457">
        <v>89164098</v>
      </c>
      <c r="E6457">
        <v>10.43</v>
      </c>
      <c r="F6457">
        <v>7.83</v>
      </c>
    </row>
    <row r="6458" spans="1:6" x14ac:dyDescent="0.3">
      <c r="A6458" t="s">
        <v>10903</v>
      </c>
      <c r="B6458" t="s">
        <v>10904</v>
      </c>
      <c r="C6458" t="s">
        <v>5267</v>
      </c>
      <c r="D6458">
        <v>89171791</v>
      </c>
      <c r="E6458">
        <v>2.5299999999999998</v>
      </c>
      <c r="F6458">
        <v>5.79</v>
      </c>
    </row>
    <row r="6459" spans="1:6" x14ac:dyDescent="0.3">
      <c r="A6459" t="s">
        <v>10905</v>
      </c>
      <c r="B6459" t="s">
        <v>10906</v>
      </c>
      <c r="C6459" t="s">
        <v>5291</v>
      </c>
      <c r="D6459">
        <v>89176762</v>
      </c>
      <c r="E6459">
        <v>2.91</v>
      </c>
      <c r="F6459">
        <v>7.31</v>
      </c>
    </row>
    <row r="6460" spans="1:6" x14ac:dyDescent="0.3">
      <c r="A6460" t="s">
        <v>10907</v>
      </c>
      <c r="B6460" t="s">
        <v>10908</v>
      </c>
      <c r="C6460" t="s">
        <v>10909</v>
      </c>
      <c r="D6460">
        <v>89181367</v>
      </c>
      <c r="E6460">
        <v>6.89</v>
      </c>
      <c r="F6460">
        <v>7.56</v>
      </c>
    </row>
    <row r="6461" spans="1:6" x14ac:dyDescent="0.3">
      <c r="A6461" t="s">
        <v>10910</v>
      </c>
      <c r="B6461" t="s">
        <v>10911</v>
      </c>
      <c r="C6461" t="s">
        <v>2530</v>
      </c>
      <c r="D6461">
        <v>89187968</v>
      </c>
      <c r="E6461">
        <v>34</v>
      </c>
      <c r="F6461">
        <v>10</v>
      </c>
    </row>
    <row r="6462" spans="1:6" x14ac:dyDescent="0.3">
      <c r="A6462" t="s">
        <v>10912</v>
      </c>
      <c r="B6462" t="s">
        <v>10913</v>
      </c>
      <c r="C6462" t="s">
        <v>10914</v>
      </c>
      <c r="D6462">
        <v>89190831</v>
      </c>
      <c r="E6462">
        <v>21.61</v>
      </c>
      <c r="F6462">
        <v>6.1</v>
      </c>
    </row>
    <row r="6463" spans="1:6" x14ac:dyDescent="0.3">
      <c r="A6463" t="s">
        <v>10915</v>
      </c>
      <c r="B6463" t="s">
        <v>10916</v>
      </c>
      <c r="C6463" t="s">
        <v>1521</v>
      </c>
      <c r="D6463">
        <v>89192645</v>
      </c>
      <c r="E6463">
        <v>21.04</v>
      </c>
      <c r="F6463">
        <v>7.5</v>
      </c>
    </row>
    <row r="6464" spans="1:6" x14ac:dyDescent="0.3">
      <c r="A6464" t="s">
        <v>10917</v>
      </c>
      <c r="B6464" t="s">
        <v>10918</v>
      </c>
      <c r="C6464" t="s">
        <v>3696</v>
      </c>
      <c r="D6464">
        <v>89201076</v>
      </c>
      <c r="E6464">
        <v>21.04</v>
      </c>
      <c r="F6464">
        <v>7.5</v>
      </c>
    </row>
    <row r="6465" spans="1:6" x14ac:dyDescent="0.3">
      <c r="A6465" t="s">
        <v>10919</v>
      </c>
      <c r="B6465" t="s">
        <v>7604</v>
      </c>
      <c r="C6465" t="s">
        <v>2494</v>
      </c>
      <c r="D6465">
        <v>89208230</v>
      </c>
      <c r="E6465">
        <v>11.11</v>
      </c>
      <c r="F6465">
        <v>8.32</v>
      </c>
    </row>
    <row r="6466" spans="1:6" x14ac:dyDescent="0.3">
      <c r="A6466" t="s">
        <v>10920</v>
      </c>
      <c r="B6466" t="s">
        <v>10921</v>
      </c>
      <c r="C6466" t="s">
        <v>10922</v>
      </c>
      <c r="D6466">
        <v>89210972</v>
      </c>
      <c r="E6466">
        <v>2.0699999999999998</v>
      </c>
      <c r="F6466">
        <v>6.63</v>
      </c>
    </row>
    <row r="6467" spans="1:6" x14ac:dyDescent="0.3">
      <c r="A6467" t="s">
        <v>10923</v>
      </c>
      <c r="B6467" t="s">
        <v>10641</v>
      </c>
      <c r="C6467" t="s">
        <v>1103</v>
      </c>
      <c r="D6467">
        <v>89224784</v>
      </c>
      <c r="E6467">
        <v>21.12</v>
      </c>
      <c r="F6467">
        <v>6.11</v>
      </c>
    </row>
    <row r="6468" spans="1:6" x14ac:dyDescent="0.3">
      <c r="A6468" t="s">
        <v>10924</v>
      </c>
      <c r="B6468" t="s">
        <v>1127</v>
      </c>
      <c r="C6468" t="s">
        <v>10925</v>
      </c>
      <c r="D6468">
        <v>89243963</v>
      </c>
      <c r="E6468">
        <v>32</v>
      </c>
      <c r="F6468">
        <v>5</v>
      </c>
    </row>
    <row r="6469" spans="1:6" x14ac:dyDescent="0.3">
      <c r="A6469" t="s">
        <v>10926</v>
      </c>
      <c r="B6469" t="s">
        <v>10927</v>
      </c>
      <c r="C6469" t="s">
        <v>10928</v>
      </c>
      <c r="D6469">
        <v>89245091</v>
      </c>
      <c r="E6469">
        <v>15.99</v>
      </c>
      <c r="F6469">
        <v>5.6</v>
      </c>
    </row>
    <row r="6470" spans="1:6" x14ac:dyDescent="0.3">
      <c r="A6470" t="s">
        <v>10929</v>
      </c>
      <c r="B6470" t="s">
        <v>9766</v>
      </c>
      <c r="C6470" t="s">
        <v>10930</v>
      </c>
      <c r="D6470">
        <v>89249012</v>
      </c>
      <c r="E6470">
        <v>3.27</v>
      </c>
      <c r="F6470">
        <v>5.67</v>
      </c>
    </row>
    <row r="6471" spans="1:6" x14ac:dyDescent="0.3">
      <c r="A6471" t="s">
        <v>10931</v>
      </c>
      <c r="B6471" t="s">
        <v>10181</v>
      </c>
      <c r="C6471" t="s">
        <v>5112</v>
      </c>
      <c r="D6471">
        <v>89253706</v>
      </c>
      <c r="E6471">
        <v>5.08</v>
      </c>
      <c r="F6471">
        <v>7.84</v>
      </c>
    </row>
    <row r="6472" spans="1:6" x14ac:dyDescent="0.3">
      <c r="A6472" t="s">
        <v>10932</v>
      </c>
      <c r="B6472" t="s">
        <v>3377</v>
      </c>
      <c r="C6472" t="s">
        <v>10933</v>
      </c>
      <c r="D6472">
        <v>89269769</v>
      </c>
      <c r="E6472">
        <v>1.57</v>
      </c>
      <c r="F6472">
        <v>6.78</v>
      </c>
    </row>
    <row r="6473" spans="1:6" x14ac:dyDescent="0.3">
      <c r="A6473" t="s">
        <v>10934</v>
      </c>
      <c r="B6473" t="s">
        <v>7629</v>
      </c>
      <c r="C6473" t="s">
        <v>4981</v>
      </c>
      <c r="D6473">
        <v>89277375</v>
      </c>
      <c r="E6473">
        <v>3.76</v>
      </c>
      <c r="F6473">
        <v>6.55</v>
      </c>
    </row>
    <row r="6474" spans="1:6" x14ac:dyDescent="0.3">
      <c r="A6474" t="s">
        <v>10935</v>
      </c>
      <c r="B6474" t="s">
        <v>8686</v>
      </c>
      <c r="C6474" t="s">
        <v>10936</v>
      </c>
      <c r="D6474">
        <v>89277532</v>
      </c>
      <c r="E6474">
        <v>21.58</v>
      </c>
      <c r="F6474">
        <v>7.58</v>
      </c>
    </row>
    <row r="6475" spans="1:6" x14ac:dyDescent="0.3">
      <c r="A6475" t="s">
        <v>10937</v>
      </c>
      <c r="B6475" t="s">
        <v>6600</v>
      </c>
      <c r="C6475" t="s">
        <v>845</v>
      </c>
      <c r="D6475">
        <v>89278986</v>
      </c>
      <c r="E6475">
        <v>4.5999999999999996</v>
      </c>
      <c r="F6475">
        <v>8.08</v>
      </c>
    </row>
    <row r="6476" spans="1:6" x14ac:dyDescent="0.3">
      <c r="A6476" t="s">
        <v>10938</v>
      </c>
      <c r="B6476" t="s">
        <v>10939</v>
      </c>
      <c r="C6476" t="s">
        <v>8562</v>
      </c>
      <c r="D6476">
        <v>89292039</v>
      </c>
      <c r="E6476">
        <v>2.8</v>
      </c>
      <c r="F6476">
        <v>7.34</v>
      </c>
    </row>
    <row r="6477" spans="1:6" x14ac:dyDescent="0.3">
      <c r="A6477" t="s">
        <v>10940</v>
      </c>
      <c r="B6477" t="s">
        <v>10941</v>
      </c>
      <c r="C6477" t="s">
        <v>6</v>
      </c>
      <c r="D6477">
        <v>89295726</v>
      </c>
      <c r="E6477">
        <v>14.25</v>
      </c>
      <c r="F6477">
        <v>5.3</v>
      </c>
    </row>
    <row r="6478" spans="1:6" x14ac:dyDescent="0.3">
      <c r="A6478" t="s">
        <v>10942</v>
      </c>
      <c r="B6478" t="s">
        <v>10943</v>
      </c>
      <c r="C6478" t="s">
        <v>5596</v>
      </c>
      <c r="D6478">
        <v>89314976</v>
      </c>
      <c r="E6478">
        <v>16.2</v>
      </c>
      <c r="F6478">
        <v>7</v>
      </c>
    </row>
    <row r="6479" spans="1:6" x14ac:dyDescent="0.3">
      <c r="A6479" t="s">
        <v>12</v>
      </c>
      <c r="B6479" t="s">
        <v>7604</v>
      </c>
      <c r="C6479" t="s">
        <v>12</v>
      </c>
      <c r="D6479">
        <v>89316218</v>
      </c>
      <c r="E6479">
        <v>15.49</v>
      </c>
      <c r="F6479">
        <v>8.83</v>
      </c>
    </row>
    <row r="6480" spans="1:6" x14ac:dyDescent="0.3">
      <c r="A6480" t="s">
        <v>10944</v>
      </c>
      <c r="B6480" t="s">
        <v>8544</v>
      </c>
      <c r="C6480" t="s">
        <v>10945</v>
      </c>
      <c r="D6480">
        <v>89317950</v>
      </c>
      <c r="E6480">
        <v>3.94</v>
      </c>
      <c r="F6480">
        <v>7.56</v>
      </c>
    </row>
    <row r="6481" spans="1:6" x14ac:dyDescent="0.3">
      <c r="A6481" t="s">
        <v>10946</v>
      </c>
      <c r="B6481" t="s">
        <v>9259</v>
      </c>
      <c r="C6481" t="s">
        <v>10457</v>
      </c>
      <c r="D6481">
        <v>89326320</v>
      </c>
      <c r="E6481">
        <v>12.8</v>
      </c>
      <c r="F6481">
        <v>8.14</v>
      </c>
    </row>
    <row r="6482" spans="1:6" x14ac:dyDescent="0.3">
      <c r="A6482" t="s">
        <v>10947</v>
      </c>
      <c r="B6482" t="s">
        <v>10948</v>
      </c>
      <c r="C6482" t="s">
        <v>10949</v>
      </c>
      <c r="D6482">
        <v>89337788</v>
      </c>
      <c r="E6482">
        <v>10.5</v>
      </c>
      <c r="F6482">
        <v>5.25</v>
      </c>
    </row>
    <row r="6483" spans="1:6" x14ac:dyDescent="0.3">
      <c r="A6483" t="s">
        <v>10950</v>
      </c>
      <c r="B6483" t="s">
        <v>10951</v>
      </c>
      <c r="C6483" t="s">
        <v>10952</v>
      </c>
      <c r="D6483">
        <v>89343934</v>
      </c>
      <c r="E6483">
        <v>6.27</v>
      </c>
      <c r="F6483">
        <v>6.45</v>
      </c>
    </row>
    <row r="6484" spans="1:6" x14ac:dyDescent="0.3">
      <c r="A6484" t="s">
        <v>10953</v>
      </c>
      <c r="B6484" t="s">
        <v>10954</v>
      </c>
      <c r="C6484" t="s">
        <v>8155</v>
      </c>
      <c r="D6484">
        <v>89344337</v>
      </c>
      <c r="E6484">
        <v>3.63</v>
      </c>
      <c r="F6484">
        <v>7.62</v>
      </c>
    </row>
    <row r="6485" spans="1:6" x14ac:dyDescent="0.3">
      <c r="A6485" t="s">
        <v>10955</v>
      </c>
      <c r="B6485" t="s">
        <v>10038</v>
      </c>
      <c r="C6485" t="s">
        <v>10956</v>
      </c>
      <c r="D6485">
        <v>89352218</v>
      </c>
      <c r="E6485">
        <v>6.63</v>
      </c>
      <c r="F6485">
        <v>5.83</v>
      </c>
    </row>
    <row r="6486" spans="1:6" x14ac:dyDescent="0.3">
      <c r="A6486" t="s">
        <v>10957</v>
      </c>
      <c r="B6486" t="s">
        <v>10958</v>
      </c>
      <c r="C6486" t="s">
        <v>10959</v>
      </c>
      <c r="D6486">
        <v>89361712</v>
      </c>
      <c r="E6486">
        <v>16.829999999999998</v>
      </c>
      <c r="F6486">
        <v>8.5</v>
      </c>
    </row>
    <row r="6487" spans="1:6" x14ac:dyDescent="0.3">
      <c r="A6487" t="s">
        <v>10960</v>
      </c>
      <c r="B6487" t="s">
        <v>10961</v>
      </c>
      <c r="C6487" t="s">
        <v>10962</v>
      </c>
      <c r="D6487">
        <v>89377086</v>
      </c>
      <c r="E6487">
        <v>13.4</v>
      </c>
      <c r="F6487">
        <v>6.2</v>
      </c>
    </row>
    <row r="6488" spans="1:6" x14ac:dyDescent="0.3">
      <c r="A6488" t="s">
        <v>10963</v>
      </c>
      <c r="B6488" t="s">
        <v>9367</v>
      </c>
      <c r="C6488" t="s">
        <v>7714</v>
      </c>
      <c r="D6488">
        <v>89379796</v>
      </c>
      <c r="E6488">
        <v>1.87</v>
      </c>
      <c r="F6488">
        <v>7.56</v>
      </c>
    </row>
    <row r="6489" spans="1:6" x14ac:dyDescent="0.3">
      <c r="A6489" t="s">
        <v>10964</v>
      </c>
      <c r="B6489" t="s">
        <v>10965</v>
      </c>
      <c r="C6489" t="s">
        <v>10966</v>
      </c>
      <c r="D6489">
        <v>89398691</v>
      </c>
      <c r="E6489">
        <v>4.78</v>
      </c>
      <c r="F6489">
        <v>5.5</v>
      </c>
    </row>
    <row r="6490" spans="1:6" x14ac:dyDescent="0.3">
      <c r="A6490" t="s">
        <v>10967</v>
      </c>
      <c r="B6490" t="s">
        <v>8029</v>
      </c>
      <c r="C6490" t="s">
        <v>7987</v>
      </c>
      <c r="D6490">
        <v>89406811</v>
      </c>
      <c r="E6490">
        <v>1.76</v>
      </c>
      <c r="F6490">
        <v>7.12</v>
      </c>
    </row>
    <row r="6491" spans="1:6" x14ac:dyDescent="0.3">
      <c r="A6491" t="s">
        <v>10968</v>
      </c>
      <c r="B6491" t="s">
        <v>4044</v>
      </c>
      <c r="C6491" t="s">
        <v>4591</v>
      </c>
      <c r="D6491">
        <v>89413367</v>
      </c>
      <c r="E6491">
        <v>6.17</v>
      </c>
      <c r="F6491">
        <v>6</v>
      </c>
    </row>
    <row r="6492" spans="1:6" x14ac:dyDescent="0.3">
      <c r="A6492" t="s">
        <v>10969</v>
      </c>
      <c r="B6492" t="s">
        <v>10911</v>
      </c>
      <c r="C6492" t="s">
        <v>20</v>
      </c>
      <c r="D6492">
        <v>89414220</v>
      </c>
      <c r="E6492" t="s">
        <v>3814</v>
      </c>
      <c r="F6492" t="s">
        <v>3814</v>
      </c>
    </row>
    <row r="6493" spans="1:6" x14ac:dyDescent="0.3">
      <c r="A6493" t="s">
        <v>10970</v>
      </c>
      <c r="B6493" t="s">
        <v>6688</v>
      </c>
      <c r="C6493" t="s">
        <v>10971</v>
      </c>
      <c r="D6493">
        <v>89423740</v>
      </c>
      <c r="E6493">
        <v>16.579999999999998</v>
      </c>
      <c r="F6493">
        <v>7.32</v>
      </c>
    </row>
    <row r="6494" spans="1:6" x14ac:dyDescent="0.3">
      <c r="A6494" t="s">
        <v>10972</v>
      </c>
      <c r="B6494" t="s">
        <v>9423</v>
      </c>
      <c r="C6494" t="s">
        <v>10973</v>
      </c>
      <c r="D6494">
        <v>89425733</v>
      </c>
      <c r="E6494">
        <v>3.05</v>
      </c>
      <c r="F6494">
        <v>6.3</v>
      </c>
    </row>
    <row r="6495" spans="1:6" x14ac:dyDescent="0.3">
      <c r="A6495" t="s">
        <v>10974</v>
      </c>
      <c r="B6495" t="s">
        <v>10975</v>
      </c>
      <c r="C6495" t="s">
        <v>10976</v>
      </c>
      <c r="D6495">
        <v>89437280</v>
      </c>
      <c r="E6495">
        <v>22.25</v>
      </c>
      <c r="F6495">
        <v>5.67</v>
      </c>
    </row>
    <row r="6496" spans="1:6" x14ac:dyDescent="0.3">
      <c r="A6496" t="s">
        <v>10977</v>
      </c>
      <c r="B6496" t="s">
        <v>4783</v>
      </c>
      <c r="C6496" t="s">
        <v>7111</v>
      </c>
      <c r="D6496">
        <v>89441368</v>
      </c>
      <c r="E6496">
        <v>23</v>
      </c>
      <c r="F6496">
        <v>4</v>
      </c>
    </row>
    <row r="6497" spans="1:6" x14ac:dyDescent="0.3">
      <c r="A6497" t="s">
        <v>10978</v>
      </c>
      <c r="B6497" t="s">
        <v>4215</v>
      </c>
      <c r="C6497" t="s">
        <v>10979</v>
      </c>
      <c r="D6497">
        <v>89451413</v>
      </c>
      <c r="E6497">
        <v>10.42</v>
      </c>
      <c r="F6497">
        <v>8</v>
      </c>
    </row>
    <row r="6498" spans="1:6" x14ac:dyDescent="0.3">
      <c r="A6498" t="s">
        <v>10980</v>
      </c>
      <c r="B6498" t="s">
        <v>5915</v>
      </c>
      <c r="C6498" t="s">
        <v>2195</v>
      </c>
      <c r="D6498">
        <v>89471892</v>
      </c>
      <c r="E6498">
        <v>22</v>
      </c>
      <c r="F6498">
        <v>5</v>
      </c>
    </row>
    <row r="6499" spans="1:6" x14ac:dyDescent="0.3">
      <c r="A6499" t="s">
        <v>10981</v>
      </c>
      <c r="B6499" t="s">
        <v>9742</v>
      </c>
      <c r="C6499" t="s">
        <v>885</v>
      </c>
      <c r="D6499">
        <v>89472209</v>
      </c>
      <c r="E6499">
        <v>16.739999999999998</v>
      </c>
      <c r="F6499">
        <v>6.93</v>
      </c>
    </row>
    <row r="6500" spans="1:6" x14ac:dyDescent="0.3">
      <c r="A6500" t="s">
        <v>10982</v>
      </c>
      <c r="B6500" t="s">
        <v>9565</v>
      </c>
      <c r="C6500" t="s">
        <v>10983</v>
      </c>
      <c r="D6500">
        <v>89478909</v>
      </c>
      <c r="E6500">
        <v>8.4700000000000006</v>
      </c>
      <c r="F6500">
        <v>7.63</v>
      </c>
    </row>
    <row r="6501" spans="1:6" x14ac:dyDescent="0.3">
      <c r="A6501" t="s">
        <v>10984</v>
      </c>
      <c r="B6501" t="s">
        <v>10985</v>
      </c>
      <c r="C6501" t="s">
        <v>10986</v>
      </c>
      <c r="D6501">
        <v>89487717</v>
      </c>
      <c r="E6501">
        <v>26</v>
      </c>
      <c r="F6501">
        <v>8</v>
      </c>
    </row>
    <row r="6502" spans="1:6" x14ac:dyDescent="0.3">
      <c r="A6502" t="s">
        <v>10987</v>
      </c>
      <c r="B6502" t="s">
        <v>10988</v>
      </c>
      <c r="C6502" t="s">
        <v>10989</v>
      </c>
      <c r="D6502">
        <v>89488413</v>
      </c>
      <c r="E6502">
        <v>30.36</v>
      </c>
      <c r="F6502">
        <v>7</v>
      </c>
    </row>
    <row r="6503" spans="1:6" x14ac:dyDescent="0.3">
      <c r="A6503" t="s">
        <v>10990</v>
      </c>
      <c r="B6503" t="s">
        <v>7745</v>
      </c>
      <c r="C6503" t="s">
        <v>832</v>
      </c>
      <c r="D6503">
        <v>89490128</v>
      </c>
      <c r="E6503">
        <v>32</v>
      </c>
      <c r="F6503">
        <v>1</v>
      </c>
    </row>
    <row r="6504" spans="1:6" x14ac:dyDescent="0.3">
      <c r="A6504" t="s">
        <v>10991</v>
      </c>
      <c r="B6504" t="s">
        <v>10992</v>
      </c>
      <c r="C6504" t="s">
        <v>1465</v>
      </c>
      <c r="D6504">
        <v>89496627</v>
      </c>
      <c r="E6504" t="s">
        <v>3814</v>
      </c>
      <c r="F6504" t="s">
        <v>3814</v>
      </c>
    </row>
    <row r="6505" spans="1:6" x14ac:dyDescent="0.3">
      <c r="A6505" t="s">
        <v>10993</v>
      </c>
      <c r="B6505" t="s">
        <v>10994</v>
      </c>
      <c r="C6505" t="s">
        <v>4437</v>
      </c>
      <c r="D6505">
        <v>89499538</v>
      </c>
      <c r="E6505">
        <v>7.14</v>
      </c>
      <c r="F6505">
        <v>6.71</v>
      </c>
    </row>
    <row r="6506" spans="1:6" x14ac:dyDescent="0.3">
      <c r="A6506" t="s">
        <v>10995</v>
      </c>
      <c r="B6506" t="s">
        <v>5784</v>
      </c>
      <c r="C6506" t="s">
        <v>10996</v>
      </c>
      <c r="D6506">
        <v>89513590</v>
      </c>
      <c r="E6506">
        <v>31.75</v>
      </c>
      <c r="F6506">
        <v>8</v>
      </c>
    </row>
    <row r="6507" spans="1:6" x14ac:dyDescent="0.3">
      <c r="A6507" t="s">
        <v>10997</v>
      </c>
      <c r="B6507" t="s">
        <v>7017</v>
      </c>
      <c r="C6507" t="s">
        <v>10998</v>
      </c>
      <c r="D6507">
        <v>89552370</v>
      </c>
      <c r="E6507">
        <v>2.2799999999999998</v>
      </c>
      <c r="F6507">
        <v>7.54</v>
      </c>
    </row>
    <row r="6508" spans="1:6" x14ac:dyDescent="0.3">
      <c r="A6508" t="s">
        <v>10999</v>
      </c>
      <c r="B6508" t="s">
        <v>11000</v>
      </c>
      <c r="C6508" t="s">
        <v>11001</v>
      </c>
      <c r="D6508">
        <v>89577199</v>
      </c>
      <c r="E6508">
        <v>18.75</v>
      </c>
      <c r="F6508">
        <v>8</v>
      </c>
    </row>
    <row r="6509" spans="1:6" x14ac:dyDescent="0.3">
      <c r="A6509" t="s">
        <v>11002</v>
      </c>
      <c r="B6509" t="s">
        <v>8671</v>
      </c>
      <c r="C6509" t="s">
        <v>11003</v>
      </c>
      <c r="D6509">
        <v>89588848</v>
      </c>
      <c r="E6509">
        <v>5.65</v>
      </c>
      <c r="F6509">
        <v>7.79</v>
      </c>
    </row>
    <row r="6510" spans="1:6" x14ac:dyDescent="0.3">
      <c r="A6510" t="s">
        <v>11004</v>
      </c>
      <c r="B6510" t="s">
        <v>10906</v>
      </c>
      <c r="C6510" t="s">
        <v>11005</v>
      </c>
      <c r="D6510">
        <v>89595237</v>
      </c>
      <c r="E6510">
        <v>2.2400000000000002</v>
      </c>
      <c r="F6510">
        <v>6.19</v>
      </c>
    </row>
    <row r="6511" spans="1:6" x14ac:dyDescent="0.3">
      <c r="A6511" t="s">
        <v>11006</v>
      </c>
      <c r="B6511" t="s">
        <v>11007</v>
      </c>
      <c r="C6511" t="s">
        <v>7236</v>
      </c>
      <c r="D6511">
        <v>89606625</v>
      </c>
      <c r="E6511">
        <v>10.49</v>
      </c>
      <c r="F6511">
        <v>8.33</v>
      </c>
    </row>
    <row r="6512" spans="1:6" x14ac:dyDescent="0.3">
      <c r="A6512" t="s">
        <v>11008</v>
      </c>
      <c r="B6512" t="s">
        <v>9449</v>
      </c>
      <c r="C6512" t="s">
        <v>11009</v>
      </c>
      <c r="D6512">
        <v>89630362</v>
      </c>
      <c r="E6512">
        <v>17.8</v>
      </c>
      <c r="F6512">
        <v>4.0999999999999996</v>
      </c>
    </row>
    <row r="6513" spans="1:6" x14ac:dyDescent="0.3">
      <c r="A6513" t="s">
        <v>11010</v>
      </c>
      <c r="B6513" t="s">
        <v>11011</v>
      </c>
      <c r="C6513" t="s">
        <v>11012</v>
      </c>
      <c r="D6513">
        <v>89647571</v>
      </c>
      <c r="E6513">
        <v>1.95</v>
      </c>
      <c r="F6513">
        <v>6.93</v>
      </c>
    </row>
    <row r="6514" spans="1:6" x14ac:dyDescent="0.3">
      <c r="A6514" t="s">
        <v>11013</v>
      </c>
      <c r="B6514" t="s">
        <v>9178</v>
      </c>
      <c r="C6514" t="s">
        <v>11014</v>
      </c>
      <c r="D6514">
        <v>89652282</v>
      </c>
      <c r="E6514">
        <v>2.72</v>
      </c>
      <c r="F6514">
        <v>8.42</v>
      </c>
    </row>
    <row r="6515" spans="1:6" x14ac:dyDescent="0.3">
      <c r="A6515" t="s">
        <v>11015</v>
      </c>
      <c r="B6515" t="s">
        <v>9887</v>
      </c>
      <c r="C6515" t="s">
        <v>11016</v>
      </c>
      <c r="D6515">
        <v>89666170</v>
      </c>
      <c r="E6515">
        <v>4.18</v>
      </c>
      <c r="F6515">
        <v>7.45</v>
      </c>
    </row>
    <row r="6516" spans="1:6" x14ac:dyDescent="0.3">
      <c r="A6516" t="s">
        <v>11017</v>
      </c>
      <c r="B6516" t="s">
        <v>10656</v>
      </c>
      <c r="C6516" t="s">
        <v>2137</v>
      </c>
      <c r="D6516">
        <v>89678885</v>
      </c>
      <c r="E6516">
        <v>25</v>
      </c>
      <c r="F6516">
        <v>8</v>
      </c>
    </row>
    <row r="6517" spans="1:6" x14ac:dyDescent="0.3">
      <c r="A6517" t="s">
        <v>11018</v>
      </c>
      <c r="B6517" t="s">
        <v>2843</v>
      </c>
      <c r="C6517" t="s">
        <v>8331</v>
      </c>
      <c r="D6517">
        <v>89686859</v>
      </c>
      <c r="E6517">
        <v>24.25</v>
      </c>
      <c r="F6517">
        <v>9.25</v>
      </c>
    </row>
    <row r="6518" spans="1:6" x14ac:dyDescent="0.3">
      <c r="A6518" t="s">
        <v>11019</v>
      </c>
      <c r="B6518" t="s">
        <v>9404</v>
      </c>
      <c r="C6518" t="s">
        <v>11020</v>
      </c>
      <c r="D6518">
        <v>89706736</v>
      </c>
      <c r="E6518">
        <v>3.53</v>
      </c>
      <c r="F6518">
        <v>7.14</v>
      </c>
    </row>
    <row r="6519" spans="1:6" x14ac:dyDescent="0.3">
      <c r="A6519" t="s">
        <v>11021</v>
      </c>
      <c r="B6519" t="s">
        <v>9663</v>
      </c>
      <c r="C6519" t="s">
        <v>11022</v>
      </c>
      <c r="D6519">
        <v>89713477</v>
      </c>
      <c r="E6519">
        <v>10.1</v>
      </c>
      <c r="F6519">
        <v>8.7100000000000009</v>
      </c>
    </row>
    <row r="6520" spans="1:6" x14ac:dyDescent="0.3">
      <c r="A6520" t="s">
        <v>11023</v>
      </c>
      <c r="B6520" t="s">
        <v>11024</v>
      </c>
      <c r="C6520" t="s">
        <v>3464</v>
      </c>
      <c r="D6520">
        <v>89733919</v>
      </c>
      <c r="E6520">
        <v>16.45</v>
      </c>
      <c r="F6520">
        <v>6.89</v>
      </c>
    </row>
    <row r="6521" spans="1:6" x14ac:dyDescent="0.3">
      <c r="A6521" t="s">
        <v>11025</v>
      </c>
      <c r="B6521" t="s">
        <v>8838</v>
      </c>
      <c r="C6521" t="s">
        <v>6089</v>
      </c>
      <c r="D6521">
        <v>89735907</v>
      </c>
      <c r="E6521">
        <v>5.58</v>
      </c>
      <c r="F6521">
        <v>7.5</v>
      </c>
    </row>
    <row r="6522" spans="1:6" x14ac:dyDescent="0.3">
      <c r="A6522" t="s">
        <v>11026</v>
      </c>
      <c r="B6522" t="s">
        <v>8340</v>
      </c>
      <c r="C6522" t="s">
        <v>11027</v>
      </c>
      <c r="D6522">
        <v>89743050</v>
      </c>
      <c r="E6522">
        <v>15.71</v>
      </c>
      <c r="F6522">
        <v>5.66</v>
      </c>
    </row>
    <row r="6523" spans="1:6" x14ac:dyDescent="0.3">
      <c r="A6523" t="s">
        <v>11028</v>
      </c>
      <c r="B6523" t="s">
        <v>8479</v>
      </c>
      <c r="C6523" t="s">
        <v>39</v>
      </c>
      <c r="D6523">
        <v>89748074</v>
      </c>
      <c r="E6523" t="s">
        <v>3814</v>
      </c>
      <c r="F6523" t="s">
        <v>3814</v>
      </c>
    </row>
    <row r="6524" spans="1:6" x14ac:dyDescent="0.3">
      <c r="A6524" t="s">
        <v>11029</v>
      </c>
      <c r="B6524" t="s">
        <v>11030</v>
      </c>
      <c r="C6524" t="s">
        <v>11031</v>
      </c>
      <c r="D6524">
        <v>89749830</v>
      </c>
      <c r="E6524">
        <v>15.2</v>
      </c>
      <c r="F6524">
        <v>7.48</v>
      </c>
    </row>
    <row r="6525" spans="1:6" x14ac:dyDescent="0.3">
      <c r="A6525" t="s">
        <v>11032</v>
      </c>
      <c r="B6525" t="s">
        <v>9207</v>
      </c>
      <c r="C6525" t="s">
        <v>3441</v>
      </c>
      <c r="D6525">
        <v>89751830</v>
      </c>
      <c r="E6525">
        <v>16.86</v>
      </c>
      <c r="F6525">
        <v>7.98</v>
      </c>
    </row>
    <row r="6526" spans="1:6" x14ac:dyDescent="0.3">
      <c r="A6526" t="s">
        <v>11033</v>
      </c>
      <c r="B6526" t="s">
        <v>9071</v>
      </c>
      <c r="C6526" t="s">
        <v>1293</v>
      </c>
      <c r="D6526">
        <v>89752951</v>
      </c>
      <c r="E6526">
        <v>4.95</v>
      </c>
      <c r="F6526">
        <v>7.01</v>
      </c>
    </row>
    <row r="6527" spans="1:6" x14ac:dyDescent="0.3">
      <c r="A6527" t="s">
        <v>11034</v>
      </c>
      <c r="B6527" t="s">
        <v>7044</v>
      </c>
      <c r="C6527" t="s">
        <v>505</v>
      </c>
      <c r="D6527">
        <v>89777251</v>
      </c>
      <c r="E6527">
        <v>14.94</v>
      </c>
      <c r="F6527">
        <v>7</v>
      </c>
    </row>
    <row r="6528" spans="1:6" x14ac:dyDescent="0.3">
      <c r="A6528" t="s">
        <v>11035</v>
      </c>
      <c r="B6528" t="s">
        <v>7052</v>
      </c>
      <c r="C6528" t="s">
        <v>11020</v>
      </c>
      <c r="D6528">
        <v>89777624</v>
      </c>
      <c r="E6528">
        <v>1.87</v>
      </c>
      <c r="F6528">
        <v>7.07</v>
      </c>
    </row>
    <row r="6529" spans="1:6" x14ac:dyDescent="0.3">
      <c r="A6529" t="s">
        <v>11036</v>
      </c>
      <c r="B6529" t="s">
        <v>10222</v>
      </c>
      <c r="C6529" t="s">
        <v>736</v>
      </c>
      <c r="D6529">
        <v>89778215</v>
      </c>
      <c r="E6529">
        <v>1.87</v>
      </c>
      <c r="F6529">
        <v>6.52</v>
      </c>
    </row>
    <row r="6530" spans="1:6" x14ac:dyDescent="0.3">
      <c r="A6530" t="s">
        <v>11037</v>
      </c>
      <c r="B6530" t="s">
        <v>11038</v>
      </c>
      <c r="C6530" t="s">
        <v>11039</v>
      </c>
      <c r="D6530">
        <v>89794133</v>
      </c>
      <c r="E6530">
        <v>22.8</v>
      </c>
      <c r="F6530">
        <v>5.75</v>
      </c>
    </row>
    <row r="6531" spans="1:6" x14ac:dyDescent="0.3">
      <c r="A6531" t="s">
        <v>11040</v>
      </c>
      <c r="B6531" t="s">
        <v>11000</v>
      </c>
      <c r="C6531" t="s">
        <v>11041</v>
      </c>
      <c r="D6531">
        <v>89807521</v>
      </c>
      <c r="E6531">
        <v>21.12</v>
      </c>
      <c r="F6531">
        <v>6.97</v>
      </c>
    </row>
    <row r="6532" spans="1:6" x14ac:dyDescent="0.3">
      <c r="A6532" t="s">
        <v>11042</v>
      </c>
      <c r="B6532" t="s">
        <v>11043</v>
      </c>
      <c r="C6532" t="s">
        <v>9585</v>
      </c>
      <c r="D6532">
        <v>89818605</v>
      </c>
      <c r="E6532">
        <v>7.71</v>
      </c>
      <c r="F6532">
        <v>7.79</v>
      </c>
    </row>
    <row r="6533" spans="1:6" x14ac:dyDescent="0.3">
      <c r="A6533" t="s">
        <v>11044</v>
      </c>
      <c r="B6533" t="s">
        <v>3692</v>
      </c>
      <c r="C6533" t="s">
        <v>11045</v>
      </c>
      <c r="D6533">
        <v>89832707</v>
      </c>
      <c r="E6533">
        <v>11.75</v>
      </c>
      <c r="F6533">
        <v>4.25</v>
      </c>
    </row>
    <row r="6534" spans="1:6" x14ac:dyDescent="0.3">
      <c r="A6534" t="s">
        <v>11046</v>
      </c>
      <c r="B6534" t="s">
        <v>11047</v>
      </c>
      <c r="C6534" t="s">
        <v>11048</v>
      </c>
      <c r="D6534">
        <v>89835860</v>
      </c>
      <c r="E6534">
        <v>5.67</v>
      </c>
      <c r="F6534">
        <v>5.83</v>
      </c>
    </row>
    <row r="6535" spans="1:6" x14ac:dyDescent="0.3">
      <c r="A6535" t="s">
        <v>11049</v>
      </c>
      <c r="B6535" t="s">
        <v>4019</v>
      </c>
      <c r="C6535" t="s">
        <v>9020</v>
      </c>
      <c r="D6535">
        <v>89865688</v>
      </c>
      <c r="E6535">
        <v>19.510000000000002</v>
      </c>
      <c r="F6535">
        <v>8.5</v>
      </c>
    </row>
    <row r="6536" spans="1:6" x14ac:dyDescent="0.3">
      <c r="A6536" t="s">
        <v>11050</v>
      </c>
      <c r="B6536" t="s">
        <v>11051</v>
      </c>
      <c r="C6536" t="s">
        <v>3696</v>
      </c>
      <c r="D6536">
        <v>89868943</v>
      </c>
      <c r="E6536">
        <v>16</v>
      </c>
      <c r="F6536">
        <v>7.8</v>
      </c>
    </row>
    <row r="6537" spans="1:6" x14ac:dyDescent="0.3">
      <c r="A6537" t="s">
        <v>11052</v>
      </c>
      <c r="B6537" t="s">
        <v>3120</v>
      </c>
      <c r="C6537" t="s">
        <v>8204</v>
      </c>
      <c r="D6537">
        <v>89876243</v>
      </c>
      <c r="E6537">
        <v>28.38</v>
      </c>
      <c r="F6537">
        <v>4.75</v>
      </c>
    </row>
    <row r="6538" spans="1:6" x14ac:dyDescent="0.3">
      <c r="A6538" t="s">
        <v>11053</v>
      </c>
      <c r="B6538" t="s">
        <v>6848</v>
      </c>
      <c r="C6538" t="s">
        <v>11054</v>
      </c>
      <c r="D6538">
        <v>89886591</v>
      </c>
      <c r="E6538">
        <v>1.77</v>
      </c>
      <c r="F6538">
        <v>7.83</v>
      </c>
    </row>
    <row r="6539" spans="1:6" x14ac:dyDescent="0.3">
      <c r="A6539" t="s">
        <v>11055</v>
      </c>
      <c r="B6539" t="s">
        <v>5890</v>
      </c>
      <c r="C6539" t="s">
        <v>10647</v>
      </c>
      <c r="D6539">
        <v>89899000</v>
      </c>
      <c r="E6539">
        <v>6.91</v>
      </c>
      <c r="F6539">
        <v>6.9</v>
      </c>
    </row>
    <row r="6540" spans="1:6" x14ac:dyDescent="0.3">
      <c r="A6540" t="s">
        <v>11056</v>
      </c>
      <c r="B6540" t="s">
        <v>10084</v>
      </c>
      <c r="C6540" t="s">
        <v>9770</v>
      </c>
      <c r="D6540">
        <v>89901532</v>
      </c>
      <c r="E6540">
        <v>20</v>
      </c>
      <c r="F6540">
        <v>8</v>
      </c>
    </row>
    <row r="6541" spans="1:6" x14ac:dyDescent="0.3">
      <c r="A6541" t="s">
        <v>11057</v>
      </c>
      <c r="B6541" t="s">
        <v>10061</v>
      </c>
      <c r="C6541" t="s">
        <v>9004</v>
      </c>
      <c r="D6541">
        <v>89917721</v>
      </c>
      <c r="E6541">
        <v>17.649999999999999</v>
      </c>
      <c r="F6541">
        <v>3.57</v>
      </c>
    </row>
    <row r="6542" spans="1:6" x14ac:dyDescent="0.3">
      <c r="A6542" t="s">
        <v>11058</v>
      </c>
      <c r="B6542" t="s">
        <v>6871</v>
      </c>
      <c r="C6542" t="s">
        <v>8589</v>
      </c>
      <c r="D6542">
        <v>89942658</v>
      </c>
      <c r="E6542">
        <v>18.13</v>
      </c>
      <c r="F6542">
        <v>7.25</v>
      </c>
    </row>
    <row r="6543" spans="1:6" x14ac:dyDescent="0.3">
      <c r="A6543" t="s">
        <v>11059</v>
      </c>
      <c r="B6543" t="s">
        <v>7527</v>
      </c>
      <c r="C6543" t="s">
        <v>6799</v>
      </c>
      <c r="D6543">
        <v>89953553</v>
      </c>
      <c r="E6543">
        <v>2.2999999999999998</v>
      </c>
      <c r="F6543">
        <v>6.45</v>
      </c>
    </row>
    <row r="6544" spans="1:6" x14ac:dyDescent="0.3">
      <c r="A6544" t="s">
        <v>11060</v>
      </c>
      <c r="B6544" t="s">
        <v>1853</v>
      </c>
      <c r="C6544" t="s">
        <v>11061</v>
      </c>
      <c r="D6544">
        <v>89956836</v>
      </c>
      <c r="E6544">
        <v>13.96</v>
      </c>
      <c r="F6544">
        <v>7.85</v>
      </c>
    </row>
    <row r="6545" spans="1:6" x14ac:dyDescent="0.3">
      <c r="A6545" t="s">
        <v>11062</v>
      </c>
      <c r="B6545" t="s">
        <v>10487</v>
      </c>
      <c r="C6545" t="s">
        <v>5219</v>
      </c>
      <c r="D6545">
        <v>89956944</v>
      </c>
      <c r="E6545">
        <v>3.67</v>
      </c>
      <c r="F6545">
        <v>5.94</v>
      </c>
    </row>
    <row r="6546" spans="1:6" x14ac:dyDescent="0.3">
      <c r="A6546" t="s">
        <v>11063</v>
      </c>
      <c r="B6546" t="s">
        <v>9509</v>
      </c>
      <c r="C6546" t="s">
        <v>9322</v>
      </c>
      <c r="D6546">
        <v>89957200</v>
      </c>
      <c r="E6546">
        <v>5.15</v>
      </c>
      <c r="F6546">
        <v>7.38</v>
      </c>
    </row>
    <row r="6547" spans="1:6" x14ac:dyDescent="0.3">
      <c r="A6547" t="s">
        <v>11064</v>
      </c>
      <c r="B6547" t="s">
        <v>11065</v>
      </c>
      <c r="C6547" t="s">
        <v>10359</v>
      </c>
      <c r="D6547">
        <v>89969325</v>
      </c>
      <c r="E6547">
        <v>7.25</v>
      </c>
      <c r="F6547">
        <v>5.75</v>
      </c>
    </row>
    <row r="6548" spans="1:6" x14ac:dyDescent="0.3">
      <c r="A6548" t="s">
        <v>11066</v>
      </c>
      <c r="B6548" t="s">
        <v>11067</v>
      </c>
      <c r="C6548" t="s">
        <v>4381</v>
      </c>
      <c r="D6548">
        <v>89975191</v>
      </c>
      <c r="E6548">
        <v>3.64</v>
      </c>
      <c r="F6548">
        <v>7.09</v>
      </c>
    </row>
    <row r="6549" spans="1:6" x14ac:dyDescent="0.3">
      <c r="A6549" t="s">
        <v>11068</v>
      </c>
      <c r="B6549" t="s">
        <v>11069</v>
      </c>
      <c r="C6549" t="s">
        <v>1935</v>
      </c>
      <c r="D6549">
        <v>89976481</v>
      </c>
      <c r="E6549">
        <v>23</v>
      </c>
      <c r="F6549">
        <v>5</v>
      </c>
    </row>
    <row r="6550" spans="1:6" x14ac:dyDescent="0.3">
      <c r="A6550" t="s">
        <v>11070</v>
      </c>
      <c r="B6550" t="s">
        <v>11071</v>
      </c>
      <c r="C6550" t="s">
        <v>11072</v>
      </c>
      <c r="D6550">
        <v>89992239</v>
      </c>
      <c r="E6550">
        <v>1.04</v>
      </c>
      <c r="F6550">
        <v>7.07</v>
      </c>
    </row>
    <row r="6551" spans="1:6" x14ac:dyDescent="0.3">
      <c r="A6551" t="s">
        <v>11073</v>
      </c>
      <c r="B6551" t="s">
        <v>10189</v>
      </c>
      <c r="C6551" t="s">
        <v>11074</v>
      </c>
      <c r="D6551">
        <v>90000008</v>
      </c>
      <c r="E6551">
        <v>1.89</v>
      </c>
      <c r="F6551">
        <v>7.7</v>
      </c>
    </row>
    <row r="6552" spans="1:6" x14ac:dyDescent="0.3">
      <c r="A6552" t="s">
        <v>11075</v>
      </c>
      <c r="B6552" t="s">
        <v>7523</v>
      </c>
      <c r="C6552" t="s">
        <v>3448</v>
      </c>
      <c r="D6552">
        <v>90005191</v>
      </c>
      <c r="E6552">
        <v>8</v>
      </c>
      <c r="F6552">
        <v>8.09</v>
      </c>
    </row>
    <row r="6553" spans="1:6" x14ac:dyDescent="0.3">
      <c r="A6553" t="s">
        <v>11076</v>
      </c>
      <c r="B6553" t="s">
        <v>9027</v>
      </c>
      <c r="C6553" t="s">
        <v>11077</v>
      </c>
      <c r="D6553">
        <v>90008077</v>
      </c>
      <c r="E6553" t="s">
        <v>3814</v>
      </c>
      <c r="F6553" t="s">
        <v>3814</v>
      </c>
    </row>
    <row r="6554" spans="1:6" x14ac:dyDescent="0.3">
      <c r="A6554" t="s">
        <v>11078</v>
      </c>
      <c r="B6554" t="s">
        <v>5449</v>
      </c>
      <c r="C6554" t="s">
        <v>11079</v>
      </c>
      <c r="D6554">
        <v>90017562</v>
      </c>
      <c r="E6554">
        <v>18.170000000000002</v>
      </c>
      <c r="F6554">
        <v>5</v>
      </c>
    </row>
    <row r="6555" spans="1:6" x14ac:dyDescent="0.3">
      <c r="A6555" t="s">
        <v>11080</v>
      </c>
      <c r="B6555" t="s">
        <v>11081</v>
      </c>
      <c r="C6555" t="s">
        <v>6868</v>
      </c>
      <c r="D6555">
        <v>90024795</v>
      </c>
      <c r="E6555">
        <v>23.29</v>
      </c>
      <c r="F6555">
        <v>7.86</v>
      </c>
    </row>
    <row r="6556" spans="1:6" x14ac:dyDescent="0.3">
      <c r="A6556" t="s">
        <v>11082</v>
      </c>
      <c r="B6556" t="s">
        <v>4100</v>
      </c>
      <c r="C6556" t="s">
        <v>11083</v>
      </c>
      <c r="D6556">
        <v>90028817</v>
      </c>
      <c r="E6556">
        <v>6.33</v>
      </c>
      <c r="F6556">
        <v>5.69</v>
      </c>
    </row>
    <row r="6557" spans="1:6" x14ac:dyDescent="0.3">
      <c r="A6557" t="s">
        <v>11084</v>
      </c>
      <c r="B6557" t="s">
        <v>4936</v>
      </c>
      <c r="C6557" t="s">
        <v>9502</v>
      </c>
      <c r="D6557">
        <v>90049478</v>
      </c>
      <c r="E6557">
        <v>12.24</v>
      </c>
      <c r="F6557">
        <v>8.39</v>
      </c>
    </row>
    <row r="6558" spans="1:6" x14ac:dyDescent="0.3">
      <c r="A6558" t="s">
        <v>11085</v>
      </c>
      <c r="B6558" t="s">
        <v>3280</v>
      </c>
      <c r="C6558" t="s">
        <v>11086</v>
      </c>
      <c r="D6558">
        <v>90057148</v>
      </c>
      <c r="E6558" t="s">
        <v>3814</v>
      </c>
      <c r="F6558" t="s">
        <v>3814</v>
      </c>
    </row>
    <row r="6559" spans="1:6" x14ac:dyDescent="0.3">
      <c r="A6559" t="s">
        <v>11087</v>
      </c>
      <c r="B6559" t="s">
        <v>6244</v>
      </c>
      <c r="C6559" t="s">
        <v>2142</v>
      </c>
      <c r="D6559">
        <v>90063341</v>
      </c>
      <c r="E6559">
        <v>18.14</v>
      </c>
      <c r="F6559">
        <v>6.33</v>
      </c>
    </row>
    <row r="6560" spans="1:6" x14ac:dyDescent="0.3">
      <c r="A6560" t="s">
        <v>11088</v>
      </c>
      <c r="B6560" t="s">
        <v>7356</v>
      </c>
      <c r="C6560" t="s">
        <v>4597</v>
      </c>
      <c r="D6560">
        <v>90064781</v>
      </c>
      <c r="E6560">
        <v>21.63</v>
      </c>
      <c r="F6560">
        <v>6</v>
      </c>
    </row>
    <row r="6561" spans="1:6" x14ac:dyDescent="0.3">
      <c r="A6561" t="s">
        <v>11089</v>
      </c>
      <c r="B6561" t="s">
        <v>1799</v>
      </c>
      <c r="C6561" t="s">
        <v>3877</v>
      </c>
      <c r="D6561">
        <v>90090090</v>
      </c>
      <c r="E6561">
        <v>15.31</v>
      </c>
      <c r="F6561">
        <v>8.36</v>
      </c>
    </row>
    <row r="6562" spans="1:6" x14ac:dyDescent="0.3">
      <c r="A6562" t="s">
        <v>11090</v>
      </c>
      <c r="B6562" t="s">
        <v>4540</v>
      </c>
      <c r="C6562" t="s">
        <v>2112</v>
      </c>
      <c r="D6562">
        <v>90104288</v>
      </c>
      <c r="E6562">
        <v>33</v>
      </c>
      <c r="F6562">
        <v>1</v>
      </c>
    </row>
    <row r="6563" spans="1:6" x14ac:dyDescent="0.3">
      <c r="A6563" t="s">
        <v>11091</v>
      </c>
      <c r="B6563" t="s">
        <v>11092</v>
      </c>
      <c r="C6563" t="s">
        <v>6</v>
      </c>
      <c r="D6563">
        <v>90129239</v>
      </c>
      <c r="E6563">
        <v>31</v>
      </c>
      <c r="F6563">
        <v>2</v>
      </c>
    </row>
    <row r="6564" spans="1:6" x14ac:dyDescent="0.3">
      <c r="A6564" t="s">
        <v>11093</v>
      </c>
      <c r="B6564" t="s">
        <v>10210</v>
      </c>
      <c r="C6564" t="s">
        <v>11094</v>
      </c>
      <c r="D6564">
        <v>90155764</v>
      </c>
      <c r="E6564">
        <v>18.45</v>
      </c>
      <c r="F6564">
        <v>7.65</v>
      </c>
    </row>
    <row r="6565" spans="1:6" x14ac:dyDescent="0.3">
      <c r="A6565" t="s">
        <v>11095</v>
      </c>
      <c r="B6565" t="s">
        <v>7044</v>
      </c>
      <c r="C6565" t="s">
        <v>1560</v>
      </c>
      <c r="D6565">
        <v>90157488</v>
      </c>
      <c r="E6565">
        <v>3.78</v>
      </c>
      <c r="F6565">
        <v>7</v>
      </c>
    </row>
    <row r="6566" spans="1:6" x14ac:dyDescent="0.3">
      <c r="A6566" t="s">
        <v>11096</v>
      </c>
      <c r="B6566" t="s">
        <v>1899</v>
      </c>
      <c r="C6566" t="s">
        <v>2851</v>
      </c>
      <c r="D6566">
        <v>90164854</v>
      </c>
      <c r="E6566">
        <v>7.5</v>
      </c>
      <c r="F6566">
        <v>5.5</v>
      </c>
    </row>
    <row r="6567" spans="1:6" x14ac:dyDescent="0.3">
      <c r="A6567" t="s">
        <v>11097</v>
      </c>
      <c r="B6567" t="s">
        <v>10065</v>
      </c>
      <c r="C6567" t="s">
        <v>2627</v>
      </c>
      <c r="D6567">
        <v>90172239</v>
      </c>
      <c r="E6567">
        <v>24.67</v>
      </c>
      <c r="F6567">
        <v>9.67</v>
      </c>
    </row>
    <row r="6568" spans="1:6" x14ac:dyDescent="0.3">
      <c r="A6568" t="s">
        <v>11098</v>
      </c>
      <c r="B6568" t="s">
        <v>11099</v>
      </c>
      <c r="C6568" t="s">
        <v>9701</v>
      </c>
      <c r="D6568">
        <v>90182469</v>
      </c>
      <c r="E6568">
        <v>3.04</v>
      </c>
      <c r="F6568">
        <v>5.9</v>
      </c>
    </row>
    <row r="6569" spans="1:6" x14ac:dyDescent="0.3">
      <c r="A6569" t="s">
        <v>11100</v>
      </c>
      <c r="B6569" t="s">
        <v>10509</v>
      </c>
      <c r="C6569" t="s">
        <v>8114</v>
      </c>
      <c r="D6569">
        <v>90185533</v>
      </c>
      <c r="E6569">
        <v>5.36</v>
      </c>
      <c r="F6569">
        <v>8.39</v>
      </c>
    </row>
    <row r="6570" spans="1:6" x14ac:dyDescent="0.3">
      <c r="A6570" t="s">
        <v>11063</v>
      </c>
      <c r="B6570" t="s">
        <v>5698</v>
      </c>
      <c r="C6570" t="s">
        <v>11101</v>
      </c>
      <c r="D6570">
        <v>90193093</v>
      </c>
      <c r="E6570">
        <v>32</v>
      </c>
      <c r="F6570">
        <v>0</v>
      </c>
    </row>
    <row r="6571" spans="1:6" x14ac:dyDescent="0.3">
      <c r="A6571" t="s">
        <v>11102</v>
      </c>
      <c r="B6571" t="s">
        <v>11103</v>
      </c>
      <c r="C6571" t="s">
        <v>8464</v>
      </c>
      <c r="D6571">
        <v>90197147</v>
      </c>
      <c r="E6571">
        <v>20.55</v>
      </c>
      <c r="F6571">
        <v>6.4</v>
      </c>
    </row>
    <row r="6572" spans="1:6" x14ac:dyDescent="0.3">
      <c r="A6572" t="s">
        <v>11104</v>
      </c>
      <c r="B6572" t="s">
        <v>11105</v>
      </c>
      <c r="C6572" t="s">
        <v>11106</v>
      </c>
      <c r="D6572">
        <v>90197787</v>
      </c>
      <c r="E6572">
        <v>10.199999999999999</v>
      </c>
      <c r="F6572">
        <v>6.25</v>
      </c>
    </row>
    <row r="6573" spans="1:6" x14ac:dyDescent="0.3">
      <c r="A6573" t="s">
        <v>11107</v>
      </c>
      <c r="B6573" t="s">
        <v>5696</v>
      </c>
      <c r="C6573" t="s">
        <v>4688</v>
      </c>
      <c r="D6573">
        <v>90222644</v>
      </c>
      <c r="E6573">
        <v>18.05</v>
      </c>
      <c r="F6573">
        <v>6.31</v>
      </c>
    </row>
    <row r="6574" spans="1:6" x14ac:dyDescent="0.3">
      <c r="A6574" t="s">
        <v>11108</v>
      </c>
      <c r="B6574" t="s">
        <v>9098</v>
      </c>
      <c r="C6574" t="s">
        <v>11109</v>
      </c>
      <c r="D6574">
        <v>90235618</v>
      </c>
      <c r="E6574">
        <v>16.88</v>
      </c>
      <c r="F6574">
        <v>9.8800000000000008</v>
      </c>
    </row>
    <row r="6575" spans="1:6" x14ac:dyDescent="0.3">
      <c r="A6575" t="s">
        <v>11110</v>
      </c>
      <c r="B6575" t="s">
        <v>11111</v>
      </c>
      <c r="C6575" t="s">
        <v>11112</v>
      </c>
      <c r="D6575">
        <v>90237306</v>
      </c>
      <c r="E6575">
        <v>4.2</v>
      </c>
      <c r="F6575">
        <v>5.84</v>
      </c>
    </row>
    <row r="6576" spans="1:6" x14ac:dyDescent="0.3">
      <c r="A6576" t="s">
        <v>11113</v>
      </c>
      <c r="B6576" t="s">
        <v>7025</v>
      </c>
      <c r="C6576" t="s">
        <v>11114</v>
      </c>
      <c r="D6576">
        <v>90239924</v>
      </c>
      <c r="E6576">
        <v>4.0199999999999996</v>
      </c>
      <c r="F6576">
        <v>7.33</v>
      </c>
    </row>
    <row r="6577" spans="1:6" x14ac:dyDescent="0.3">
      <c r="A6577" t="s">
        <v>11115</v>
      </c>
      <c r="B6577" t="s">
        <v>7604</v>
      </c>
      <c r="C6577" t="s">
        <v>11116</v>
      </c>
      <c r="D6577">
        <v>90241484</v>
      </c>
      <c r="E6577">
        <v>5.74</v>
      </c>
      <c r="F6577">
        <v>8.16</v>
      </c>
    </row>
    <row r="6578" spans="1:6" x14ac:dyDescent="0.3">
      <c r="A6578" t="s">
        <v>11117</v>
      </c>
      <c r="B6578" t="s">
        <v>11118</v>
      </c>
      <c r="C6578" t="s">
        <v>7357</v>
      </c>
      <c r="D6578">
        <v>90247832</v>
      </c>
      <c r="E6578">
        <v>4.62</v>
      </c>
      <c r="F6578">
        <v>6.91</v>
      </c>
    </row>
    <row r="6579" spans="1:6" x14ac:dyDescent="0.3">
      <c r="A6579" t="s">
        <v>11119</v>
      </c>
      <c r="B6579" t="s">
        <v>11120</v>
      </c>
      <c r="C6579" t="s">
        <v>11121</v>
      </c>
      <c r="D6579">
        <v>90248804</v>
      </c>
      <c r="E6579">
        <v>10.67</v>
      </c>
      <c r="F6579">
        <v>8.56</v>
      </c>
    </row>
    <row r="6580" spans="1:6" x14ac:dyDescent="0.3">
      <c r="A6580" t="s">
        <v>11122</v>
      </c>
      <c r="B6580" t="s">
        <v>3238</v>
      </c>
      <c r="C6580" t="s">
        <v>7863</v>
      </c>
      <c r="D6580">
        <v>90251922</v>
      </c>
      <c r="E6580">
        <v>2.2599999999999998</v>
      </c>
      <c r="F6580">
        <v>6.98</v>
      </c>
    </row>
    <row r="6581" spans="1:6" x14ac:dyDescent="0.3">
      <c r="A6581" t="s">
        <v>11123</v>
      </c>
      <c r="B6581" t="s">
        <v>8029</v>
      </c>
      <c r="C6581" t="s">
        <v>11124</v>
      </c>
      <c r="D6581">
        <v>90267991</v>
      </c>
      <c r="E6581">
        <v>13.96</v>
      </c>
      <c r="F6581">
        <v>7.12</v>
      </c>
    </row>
    <row r="6582" spans="1:6" x14ac:dyDescent="0.3">
      <c r="A6582" t="s">
        <v>11125</v>
      </c>
      <c r="B6582" t="s">
        <v>11126</v>
      </c>
      <c r="C6582" t="s">
        <v>6342</v>
      </c>
      <c r="D6582">
        <v>90276921</v>
      </c>
      <c r="E6582">
        <v>16.43</v>
      </c>
      <c r="F6582">
        <v>4.8600000000000003</v>
      </c>
    </row>
    <row r="6583" spans="1:6" x14ac:dyDescent="0.3">
      <c r="A6583" t="s">
        <v>11127</v>
      </c>
      <c r="B6583" t="s">
        <v>11128</v>
      </c>
      <c r="C6583" t="s">
        <v>8112</v>
      </c>
      <c r="D6583">
        <v>90277849</v>
      </c>
      <c r="E6583">
        <v>1.31</v>
      </c>
      <c r="F6583">
        <v>7.24</v>
      </c>
    </row>
    <row r="6584" spans="1:6" x14ac:dyDescent="0.3">
      <c r="A6584" t="s">
        <v>11129</v>
      </c>
      <c r="B6584" t="s">
        <v>7480</v>
      </c>
      <c r="C6584" t="s">
        <v>5891</v>
      </c>
      <c r="D6584">
        <v>90280796</v>
      </c>
      <c r="E6584">
        <v>3.5</v>
      </c>
      <c r="F6584">
        <v>7</v>
      </c>
    </row>
    <row r="6585" spans="1:6" x14ac:dyDescent="0.3">
      <c r="A6585" t="s">
        <v>11130</v>
      </c>
      <c r="B6585" t="s">
        <v>11131</v>
      </c>
      <c r="C6585" t="s">
        <v>11005</v>
      </c>
      <c r="D6585">
        <v>90293345</v>
      </c>
      <c r="E6585">
        <v>2.14</v>
      </c>
      <c r="F6585">
        <v>7.39</v>
      </c>
    </row>
    <row r="6586" spans="1:6" x14ac:dyDescent="0.3">
      <c r="A6586" t="s">
        <v>11132</v>
      </c>
      <c r="B6586" t="s">
        <v>11133</v>
      </c>
      <c r="C6586" t="s">
        <v>9815</v>
      </c>
      <c r="D6586">
        <v>90294438</v>
      </c>
      <c r="E6586">
        <v>1.28</v>
      </c>
      <c r="F6586">
        <v>7.63</v>
      </c>
    </row>
    <row r="6587" spans="1:6" x14ac:dyDescent="0.3">
      <c r="A6587" t="s">
        <v>11134</v>
      </c>
      <c r="B6587" t="s">
        <v>11135</v>
      </c>
      <c r="C6587" t="s">
        <v>4665</v>
      </c>
      <c r="D6587">
        <v>90305467</v>
      </c>
      <c r="E6587">
        <v>4.25</v>
      </c>
      <c r="F6587">
        <v>5.87</v>
      </c>
    </row>
    <row r="6588" spans="1:6" x14ac:dyDescent="0.3">
      <c r="A6588" t="s">
        <v>11136</v>
      </c>
      <c r="B6588" t="s">
        <v>10289</v>
      </c>
      <c r="C6588" t="s">
        <v>11137</v>
      </c>
      <c r="D6588">
        <v>90317455</v>
      </c>
      <c r="E6588">
        <v>15.52</v>
      </c>
      <c r="F6588">
        <v>7.19</v>
      </c>
    </row>
    <row r="6589" spans="1:6" x14ac:dyDescent="0.3">
      <c r="A6589" t="s">
        <v>11138</v>
      </c>
      <c r="B6589" t="s">
        <v>9509</v>
      </c>
      <c r="C6589" t="s">
        <v>11139</v>
      </c>
      <c r="D6589">
        <v>90334047</v>
      </c>
      <c r="E6589">
        <v>1.03</v>
      </c>
      <c r="F6589">
        <v>7.45</v>
      </c>
    </row>
    <row r="6590" spans="1:6" x14ac:dyDescent="0.3">
      <c r="A6590" t="s">
        <v>11140</v>
      </c>
      <c r="B6590" t="s">
        <v>11141</v>
      </c>
      <c r="C6590" t="s">
        <v>4665</v>
      </c>
      <c r="D6590">
        <v>90338016</v>
      </c>
      <c r="E6590" t="s">
        <v>3814</v>
      </c>
      <c r="F6590" t="s">
        <v>3814</v>
      </c>
    </row>
    <row r="6591" spans="1:6" x14ac:dyDescent="0.3">
      <c r="A6591" t="s">
        <v>11142</v>
      </c>
      <c r="B6591" t="s">
        <v>10242</v>
      </c>
      <c r="C6591" t="s">
        <v>11143</v>
      </c>
      <c r="D6591">
        <v>90347857</v>
      </c>
      <c r="E6591">
        <v>9.8800000000000008</v>
      </c>
      <c r="F6591">
        <v>8.25</v>
      </c>
    </row>
    <row r="6592" spans="1:6" x14ac:dyDescent="0.3">
      <c r="A6592" t="s">
        <v>11144</v>
      </c>
      <c r="B6592" t="s">
        <v>4686</v>
      </c>
      <c r="C6592" t="s">
        <v>11145</v>
      </c>
      <c r="D6592">
        <v>90348209</v>
      </c>
      <c r="E6592">
        <v>9</v>
      </c>
      <c r="F6592">
        <v>5.3</v>
      </c>
    </row>
    <row r="6593" spans="1:6" x14ac:dyDescent="0.3">
      <c r="A6593" t="s">
        <v>11146</v>
      </c>
      <c r="B6593" t="s">
        <v>5975</v>
      </c>
      <c r="C6593" t="s">
        <v>2551</v>
      </c>
      <c r="D6593">
        <v>90369172</v>
      </c>
      <c r="E6593">
        <v>1.05</v>
      </c>
      <c r="F6593">
        <v>7.82</v>
      </c>
    </row>
    <row r="6594" spans="1:6" x14ac:dyDescent="0.3">
      <c r="A6594" t="s">
        <v>11147</v>
      </c>
      <c r="B6594" t="s">
        <v>11148</v>
      </c>
      <c r="C6594" t="s">
        <v>11149</v>
      </c>
      <c r="D6594">
        <v>90386831</v>
      </c>
      <c r="E6594">
        <v>4.55</v>
      </c>
      <c r="F6594">
        <v>6.06</v>
      </c>
    </row>
    <row r="6595" spans="1:6" x14ac:dyDescent="0.3">
      <c r="A6595" t="s">
        <v>11150</v>
      </c>
      <c r="B6595" t="s">
        <v>11151</v>
      </c>
      <c r="C6595" t="s">
        <v>1411</v>
      </c>
      <c r="D6595">
        <v>90390075</v>
      </c>
      <c r="E6595">
        <v>34.5</v>
      </c>
      <c r="F6595">
        <v>10</v>
      </c>
    </row>
    <row r="6596" spans="1:6" x14ac:dyDescent="0.3">
      <c r="A6596" t="s">
        <v>11152</v>
      </c>
      <c r="B6596" t="s">
        <v>9520</v>
      </c>
      <c r="C6596" t="s">
        <v>11020</v>
      </c>
      <c r="D6596">
        <v>90400834</v>
      </c>
      <c r="E6596">
        <v>31.5</v>
      </c>
      <c r="F6596">
        <v>8.5</v>
      </c>
    </row>
    <row r="6597" spans="1:6" x14ac:dyDescent="0.3">
      <c r="A6597" t="s">
        <v>11153</v>
      </c>
      <c r="B6597" t="s">
        <v>11154</v>
      </c>
      <c r="C6597" t="s">
        <v>1411</v>
      </c>
      <c r="D6597">
        <v>90408422</v>
      </c>
      <c r="E6597">
        <v>12.08</v>
      </c>
      <c r="F6597">
        <v>7.62</v>
      </c>
    </row>
    <row r="6598" spans="1:6" x14ac:dyDescent="0.3">
      <c r="A6598" t="s">
        <v>11155</v>
      </c>
      <c r="B6598" t="s">
        <v>8313</v>
      </c>
      <c r="C6598" t="s">
        <v>2066</v>
      </c>
      <c r="D6598">
        <v>90412347</v>
      </c>
      <c r="E6598">
        <v>5.67</v>
      </c>
      <c r="F6598">
        <v>6</v>
      </c>
    </row>
    <row r="6599" spans="1:6" x14ac:dyDescent="0.3">
      <c r="A6599" t="s">
        <v>11156</v>
      </c>
      <c r="B6599" t="s">
        <v>4690</v>
      </c>
      <c r="C6599" t="s">
        <v>11157</v>
      </c>
      <c r="D6599">
        <v>90420966</v>
      </c>
      <c r="E6599">
        <v>32.33</v>
      </c>
      <c r="F6599">
        <v>9.33</v>
      </c>
    </row>
    <row r="6600" spans="1:6" x14ac:dyDescent="0.3">
      <c r="A6600" t="s">
        <v>11158</v>
      </c>
      <c r="B6600" t="s">
        <v>11159</v>
      </c>
      <c r="C6600" t="s">
        <v>11160</v>
      </c>
      <c r="D6600">
        <v>90422817</v>
      </c>
      <c r="E6600">
        <v>3.73</v>
      </c>
      <c r="F6600">
        <v>6.74</v>
      </c>
    </row>
    <row r="6601" spans="1:6" x14ac:dyDescent="0.3">
      <c r="A6601" t="s">
        <v>11161</v>
      </c>
      <c r="B6601" t="s">
        <v>7494</v>
      </c>
      <c r="C6601" t="s">
        <v>8147</v>
      </c>
      <c r="D6601">
        <v>90427673</v>
      </c>
      <c r="E6601">
        <v>2.7</v>
      </c>
      <c r="F6601">
        <v>6.64</v>
      </c>
    </row>
    <row r="6602" spans="1:6" x14ac:dyDescent="0.3">
      <c r="A6602" t="s">
        <v>11162</v>
      </c>
      <c r="B6602" t="s">
        <v>9663</v>
      </c>
      <c r="C6602" t="s">
        <v>7132</v>
      </c>
      <c r="D6602">
        <v>90430947</v>
      </c>
      <c r="E6602">
        <v>6.98</v>
      </c>
      <c r="F6602">
        <v>8.32</v>
      </c>
    </row>
    <row r="6603" spans="1:6" x14ac:dyDescent="0.3">
      <c r="A6603" t="s">
        <v>11163</v>
      </c>
      <c r="B6603" t="s">
        <v>11164</v>
      </c>
      <c r="C6603" t="s">
        <v>6877</v>
      </c>
      <c r="D6603">
        <v>90435079</v>
      </c>
      <c r="E6603">
        <v>16.05</v>
      </c>
      <c r="F6603">
        <v>8.2200000000000006</v>
      </c>
    </row>
    <row r="6604" spans="1:6" x14ac:dyDescent="0.3">
      <c r="A6604" t="s">
        <v>11165</v>
      </c>
      <c r="B6604" t="s">
        <v>11166</v>
      </c>
      <c r="C6604" t="s">
        <v>10081</v>
      </c>
      <c r="D6604">
        <v>90436640</v>
      </c>
      <c r="E6604">
        <v>5.75</v>
      </c>
      <c r="F6604">
        <v>7.33</v>
      </c>
    </row>
    <row r="6605" spans="1:6" x14ac:dyDescent="0.3">
      <c r="A6605" t="s">
        <v>11167</v>
      </c>
      <c r="B6605" t="s">
        <v>10325</v>
      </c>
      <c r="C6605" t="s">
        <v>11168</v>
      </c>
      <c r="D6605">
        <v>90437094</v>
      </c>
      <c r="E6605">
        <v>1.19</v>
      </c>
      <c r="F6605">
        <v>7.14</v>
      </c>
    </row>
    <row r="6606" spans="1:6" x14ac:dyDescent="0.3">
      <c r="A6606" t="s">
        <v>11169</v>
      </c>
      <c r="B6606" t="s">
        <v>9884</v>
      </c>
      <c r="C6606" t="s">
        <v>9632</v>
      </c>
      <c r="D6606">
        <v>90439043</v>
      </c>
      <c r="E6606">
        <v>18.63</v>
      </c>
      <c r="F6606">
        <v>7.63</v>
      </c>
    </row>
    <row r="6607" spans="1:6" x14ac:dyDescent="0.3">
      <c r="A6607" t="s">
        <v>11170</v>
      </c>
      <c r="B6607" t="s">
        <v>8864</v>
      </c>
      <c r="C6607" t="s">
        <v>7236</v>
      </c>
      <c r="D6607">
        <v>90451473</v>
      </c>
      <c r="E6607">
        <v>19.25</v>
      </c>
      <c r="F6607">
        <v>7.25</v>
      </c>
    </row>
    <row r="6608" spans="1:6" x14ac:dyDescent="0.3">
      <c r="A6608" t="s">
        <v>11171</v>
      </c>
      <c r="B6608" t="s">
        <v>11172</v>
      </c>
      <c r="C6608" t="s">
        <v>1012</v>
      </c>
      <c r="D6608">
        <v>90460355</v>
      </c>
      <c r="E6608">
        <v>16.5</v>
      </c>
      <c r="F6608">
        <v>6</v>
      </c>
    </row>
    <row r="6609" spans="1:6" x14ac:dyDescent="0.3">
      <c r="A6609" t="s">
        <v>11173</v>
      </c>
      <c r="B6609" t="s">
        <v>6688</v>
      </c>
      <c r="C6609" t="s">
        <v>3728</v>
      </c>
      <c r="D6609">
        <v>90461987</v>
      </c>
      <c r="E6609">
        <v>2.25</v>
      </c>
      <c r="F6609">
        <v>6.94</v>
      </c>
    </row>
    <row r="6610" spans="1:6" x14ac:dyDescent="0.3">
      <c r="A6610" t="s">
        <v>11174</v>
      </c>
      <c r="B6610" t="s">
        <v>11175</v>
      </c>
      <c r="C6610" t="s">
        <v>7354</v>
      </c>
      <c r="D6610">
        <v>90461993</v>
      </c>
      <c r="E6610">
        <v>4.3600000000000003</v>
      </c>
      <c r="F6610">
        <v>6.31</v>
      </c>
    </row>
    <row r="6611" spans="1:6" x14ac:dyDescent="0.3">
      <c r="A6611" t="s">
        <v>11176</v>
      </c>
      <c r="B6611" t="s">
        <v>11177</v>
      </c>
      <c r="C6611" t="s">
        <v>1651</v>
      </c>
      <c r="D6611">
        <v>90463207</v>
      </c>
      <c r="E6611" t="s">
        <v>3814</v>
      </c>
      <c r="F6611" t="s">
        <v>3814</v>
      </c>
    </row>
    <row r="6612" spans="1:6" x14ac:dyDescent="0.3">
      <c r="A6612" t="s">
        <v>11178</v>
      </c>
      <c r="B6612" t="s">
        <v>8984</v>
      </c>
      <c r="C6612" t="s">
        <v>10002</v>
      </c>
      <c r="D6612">
        <v>90474997</v>
      </c>
      <c r="E6612">
        <v>5.99</v>
      </c>
      <c r="F6612">
        <v>7.94</v>
      </c>
    </row>
    <row r="6613" spans="1:6" x14ac:dyDescent="0.3">
      <c r="A6613" t="s">
        <v>471</v>
      </c>
      <c r="B6613" t="s">
        <v>11179</v>
      </c>
      <c r="C6613" t="s">
        <v>5659</v>
      </c>
      <c r="D6613">
        <v>90475375</v>
      </c>
      <c r="E6613">
        <v>9.14</v>
      </c>
      <c r="F6613">
        <v>6.29</v>
      </c>
    </row>
    <row r="6614" spans="1:6" x14ac:dyDescent="0.3">
      <c r="A6614" t="s">
        <v>11180</v>
      </c>
      <c r="B6614" t="s">
        <v>7052</v>
      </c>
      <c r="C6614" t="s">
        <v>11181</v>
      </c>
      <c r="D6614">
        <v>90475473</v>
      </c>
      <c r="E6614">
        <v>2.95</v>
      </c>
      <c r="F6614">
        <v>9.01</v>
      </c>
    </row>
    <row r="6615" spans="1:6" x14ac:dyDescent="0.3">
      <c r="A6615" t="s">
        <v>11182</v>
      </c>
      <c r="B6615" t="s">
        <v>7356</v>
      </c>
      <c r="C6615" t="s">
        <v>1764</v>
      </c>
      <c r="D6615">
        <v>90477539</v>
      </c>
      <c r="E6615">
        <v>35</v>
      </c>
      <c r="F6615">
        <v>7</v>
      </c>
    </row>
    <row r="6616" spans="1:6" x14ac:dyDescent="0.3">
      <c r="A6616" t="s">
        <v>3086</v>
      </c>
      <c r="B6616" t="s">
        <v>7880</v>
      </c>
      <c r="C6616" t="s">
        <v>2285</v>
      </c>
      <c r="D6616">
        <v>90480457</v>
      </c>
      <c r="E6616">
        <v>18.399999999999999</v>
      </c>
      <c r="F6616">
        <v>7.2</v>
      </c>
    </row>
    <row r="6617" spans="1:6" x14ac:dyDescent="0.3">
      <c r="A6617" t="s">
        <v>11183</v>
      </c>
      <c r="B6617" t="s">
        <v>10289</v>
      </c>
      <c r="C6617" t="s">
        <v>11184</v>
      </c>
      <c r="D6617">
        <v>90495517</v>
      </c>
      <c r="E6617">
        <v>7.78</v>
      </c>
      <c r="F6617">
        <v>7.67</v>
      </c>
    </row>
    <row r="6618" spans="1:6" x14ac:dyDescent="0.3">
      <c r="A6618" t="s">
        <v>11185</v>
      </c>
      <c r="B6618" t="s">
        <v>7917</v>
      </c>
      <c r="C6618" t="s">
        <v>9983</v>
      </c>
      <c r="D6618">
        <v>90510056</v>
      </c>
      <c r="E6618">
        <v>3.62</v>
      </c>
      <c r="F6618">
        <v>7.15</v>
      </c>
    </row>
    <row r="6619" spans="1:6" x14ac:dyDescent="0.3">
      <c r="A6619" t="s">
        <v>11186</v>
      </c>
      <c r="B6619" t="s">
        <v>11187</v>
      </c>
      <c r="C6619" t="s">
        <v>11188</v>
      </c>
      <c r="D6619">
        <v>90526820</v>
      </c>
      <c r="E6619">
        <v>12.01</v>
      </c>
      <c r="F6619">
        <v>6.9</v>
      </c>
    </row>
    <row r="6620" spans="1:6" x14ac:dyDescent="0.3">
      <c r="A6620" t="s">
        <v>11189</v>
      </c>
      <c r="B6620" t="s">
        <v>10215</v>
      </c>
      <c r="C6620" t="s">
        <v>7111</v>
      </c>
      <c r="D6620">
        <v>90534279</v>
      </c>
      <c r="E6620">
        <v>3.67</v>
      </c>
      <c r="F6620">
        <v>5.4</v>
      </c>
    </row>
    <row r="6621" spans="1:6" x14ac:dyDescent="0.3">
      <c r="A6621" t="s">
        <v>11190</v>
      </c>
      <c r="B6621" t="s">
        <v>49</v>
      </c>
      <c r="C6621" t="s">
        <v>2787</v>
      </c>
      <c r="D6621">
        <v>90539291</v>
      </c>
      <c r="E6621">
        <v>31</v>
      </c>
      <c r="F6621">
        <v>6</v>
      </c>
    </row>
    <row r="6622" spans="1:6" x14ac:dyDescent="0.3">
      <c r="A6622" t="s">
        <v>11191</v>
      </c>
      <c r="B6622" t="s">
        <v>11192</v>
      </c>
      <c r="C6622" t="s">
        <v>11193</v>
      </c>
      <c r="D6622">
        <v>90579684</v>
      </c>
      <c r="E6622">
        <v>2.25</v>
      </c>
      <c r="F6622">
        <v>6.28</v>
      </c>
    </row>
    <row r="6623" spans="1:6" x14ac:dyDescent="0.3">
      <c r="A6623" t="s">
        <v>11194</v>
      </c>
      <c r="B6623" t="s">
        <v>11195</v>
      </c>
      <c r="C6623" t="s">
        <v>11196</v>
      </c>
      <c r="D6623">
        <v>90590701</v>
      </c>
      <c r="E6623">
        <v>3.57</v>
      </c>
      <c r="F6623">
        <v>7.8</v>
      </c>
    </row>
    <row r="6624" spans="1:6" x14ac:dyDescent="0.3">
      <c r="A6624" t="s">
        <v>11197</v>
      </c>
      <c r="B6624" t="s">
        <v>11198</v>
      </c>
      <c r="C6624" t="s">
        <v>11199</v>
      </c>
      <c r="D6624">
        <v>90595656</v>
      </c>
      <c r="E6624">
        <v>3.83</v>
      </c>
      <c r="F6624">
        <v>6.37</v>
      </c>
    </row>
    <row r="6625" spans="1:6" x14ac:dyDescent="0.3">
      <c r="A6625" t="s">
        <v>9036</v>
      </c>
      <c r="B6625" t="s">
        <v>11200</v>
      </c>
      <c r="C6625" t="s">
        <v>845</v>
      </c>
      <c r="D6625">
        <v>90596539</v>
      </c>
      <c r="E6625">
        <v>18.260000000000002</v>
      </c>
      <c r="F6625">
        <v>7.3</v>
      </c>
    </row>
    <row r="6626" spans="1:6" x14ac:dyDescent="0.3">
      <c r="A6626" t="s">
        <v>11201</v>
      </c>
      <c r="B6626" t="s">
        <v>5322</v>
      </c>
      <c r="C6626" t="s">
        <v>5405</v>
      </c>
      <c r="D6626">
        <v>90597202</v>
      </c>
      <c r="E6626">
        <v>33</v>
      </c>
      <c r="F6626">
        <v>8</v>
      </c>
    </row>
    <row r="6627" spans="1:6" x14ac:dyDescent="0.3">
      <c r="A6627" t="s">
        <v>11202</v>
      </c>
      <c r="B6627" t="s">
        <v>4019</v>
      </c>
      <c r="C6627" t="s">
        <v>1925</v>
      </c>
      <c r="D6627">
        <v>90597607</v>
      </c>
      <c r="E6627">
        <v>26</v>
      </c>
      <c r="F6627">
        <v>6</v>
      </c>
    </row>
    <row r="6628" spans="1:6" x14ac:dyDescent="0.3">
      <c r="A6628" t="s">
        <v>11203</v>
      </c>
      <c r="B6628" t="s">
        <v>8950</v>
      </c>
      <c r="C6628" t="s">
        <v>5507</v>
      </c>
      <c r="D6628">
        <v>90627698</v>
      </c>
      <c r="E6628">
        <v>1.22</v>
      </c>
      <c r="F6628">
        <v>5.99</v>
      </c>
    </row>
    <row r="6629" spans="1:6" x14ac:dyDescent="0.3">
      <c r="A6629" t="s">
        <v>11204</v>
      </c>
      <c r="B6629" t="s">
        <v>11205</v>
      </c>
      <c r="C6629" t="s">
        <v>3535</v>
      </c>
      <c r="D6629">
        <v>90628157</v>
      </c>
      <c r="E6629">
        <v>26.5</v>
      </c>
      <c r="F6629">
        <v>5.5</v>
      </c>
    </row>
    <row r="6630" spans="1:6" x14ac:dyDescent="0.3">
      <c r="A6630" t="s">
        <v>11206</v>
      </c>
      <c r="B6630" t="s">
        <v>9178</v>
      </c>
      <c r="C6630" t="s">
        <v>11207</v>
      </c>
      <c r="D6630">
        <v>90629600</v>
      </c>
      <c r="E6630">
        <v>1.87</v>
      </c>
      <c r="F6630">
        <v>8.5</v>
      </c>
    </row>
    <row r="6631" spans="1:6" x14ac:dyDescent="0.3">
      <c r="A6631" t="s">
        <v>11208</v>
      </c>
      <c r="B6631" t="s">
        <v>9668</v>
      </c>
      <c r="C6631" t="s">
        <v>878</v>
      </c>
      <c r="D6631">
        <v>90646526</v>
      </c>
      <c r="E6631">
        <v>14.32</v>
      </c>
      <c r="F6631">
        <v>8.2799999999999994</v>
      </c>
    </row>
    <row r="6632" spans="1:6" x14ac:dyDescent="0.3">
      <c r="A6632" t="s">
        <v>11209</v>
      </c>
      <c r="B6632" t="s">
        <v>6226</v>
      </c>
      <c r="C6632" t="s">
        <v>9226</v>
      </c>
      <c r="D6632">
        <v>90651294</v>
      </c>
      <c r="E6632">
        <v>5.93</v>
      </c>
      <c r="F6632">
        <v>5.38</v>
      </c>
    </row>
    <row r="6633" spans="1:6" x14ac:dyDescent="0.3">
      <c r="A6633" t="s">
        <v>11210</v>
      </c>
      <c r="B6633" t="s">
        <v>10323</v>
      </c>
      <c r="C6633" t="s">
        <v>2551</v>
      </c>
      <c r="D6633">
        <v>90661998</v>
      </c>
      <c r="E6633">
        <v>20.100000000000001</v>
      </c>
      <c r="F6633">
        <v>7.35</v>
      </c>
    </row>
    <row r="6634" spans="1:6" x14ac:dyDescent="0.3">
      <c r="A6634" t="s">
        <v>11211</v>
      </c>
      <c r="B6634" t="s">
        <v>11212</v>
      </c>
      <c r="C6634" t="s">
        <v>11213</v>
      </c>
      <c r="D6634">
        <v>90662616</v>
      </c>
      <c r="E6634">
        <v>9.25</v>
      </c>
      <c r="F6634">
        <v>5.33</v>
      </c>
    </row>
    <row r="6635" spans="1:6" x14ac:dyDescent="0.3">
      <c r="A6635" t="s">
        <v>11214</v>
      </c>
      <c r="B6635" t="s">
        <v>5529</v>
      </c>
      <c r="C6635" t="s">
        <v>10495</v>
      </c>
      <c r="D6635">
        <v>90670001</v>
      </c>
      <c r="E6635">
        <v>7.24</v>
      </c>
      <c r="F6635">
        <v>8.61</v>
      </c>
    </row>
    <row r="6636" spans="1:6" x14ac:dyDescent="0.3">
      <c r="A6636" t="s">
        <v>11215</v>
      </c>
      <c r="B6636" t="s">
        <v>1110</v>
      </c>
      <c r="C6636" t="s">
        <v>11216</v>
      </c>
      <c r="D6636">
        <v>90677710</v>
      </c>
      <c r="E6636">
        <v>18.5</v>
      </c>
      <c r="F6636">
        <v>7.5</v>
      </c>
    </row>
    <row r="6637" spans="1:6" x14ac:dyDescent="0.3">
      <c r="A6637" t="s">
        <v>11217</v>
      </c>
      <c r="B6637" t="s">
        <v>4053</v>
      </c>
      <c r="C6637" t="s">
        <v>6432</v>
      </c>
      <c r="D6637">
        <v>90688671</v>
      </c>
      <c r="E6637">
        <v>1.94</v>
      </c>
      <c r="F6637">
        <v>7</v>
      </c>
    </row>
    <row r="6638" spans="1:6" x14ac:dyDescent="0.3">
      <c r="A6638" t="s">
        <v>11218</v>
      </c>
      <c r="B6638" t="s">
        <v>2203</v>
      </c>
      <c r="C6638" t="s">
        <v>505</v>
      </c>
      <c r="D6638">
        <v>90698772</v>
      </c>
      <c r="E6638">
        <v>17</v>
      </c>
      <c r="F6638">
        <v>5.5</v>
      </c>
    </row>
    <row r="6639" spans="1:6" x14ac:dyDescent="0.3">
      <c r="A6639" t="s">
        <v>11219</v>
      </c>
      <c r="B6639" t="s">
        <v>11220</v>
      </c>
      <c r="C6639" t="s">
        <v>2538</v>
      </c>
      <c r="D6639">
        <v>90701090</v>
      </c>
      <c r="E6639">
        <v>3.75</v>
      </c>
      <c r="F6639">
        <v>6.33</v>
      </c>
    </row>
    <row r="6640" spans="1:6" x14ac:dyDescent="0.3">
      <c r="A6640" t="s">
        <v>11221</v>
      </c>
      <c r="B6640" t="s">
        <v>4783</v>
      </c>
      <c r="C6640" t="s">
        <v>11222</v>
      </c>
      <c r="D6640">
        <v>90728742</v>
      </c>
      <c r="E6640">
        <v>9.17</v>
      </c>
      <c r="F6640">
        <v>8</v>
      </c>
    </row>
    <row r="6641" spans="1:6" x14ac:dyDescent="0.3">
      <c r="A6641" t="s">
        <v>11223</v>
      </c>
      <c r="B6641" t="s">
        <v>8029</v>
      </c>
      <c r="C6641" t="s">
        <v>9679</v>
      </c>
      <c r="D6641">
        <v>90742274</v>
      </c>
      <c r="E6641">
        <v>3.12</v>
      </c>
      <c r="F6641">
        <v>6.05</v>
      </c>
    </row>
    <row r="6642" spans="1:6" x14ac:dyDescent="0.3">
      <c r="A6642" t="s">
        <v>11224</v>
      </c>
      <c r="B6642" t="s">
        <v>3746</v>
      </c>
      <c r="C6642" t="s">
        <v>3551</v>
      </c>
      <c r="D6642">
        <v>90750865</v>
      </c>
      <c r="E6642">
        <v>3.23</v>
      </c>
      <c r="F6642">
        <v>7.19</v>
      </c>
    </row>
    <row r="6643" spans="1:6" x14ac:dyDescent="0.3">
      <c r="A6643" t="s">
        <v>11225</v>
      </c>
      <c r="B6643" t="s">
        <v>8047</v>
      </c>
      <c r="C6643" t="s">
        <v>3839</v>
      </c>
      <c r="D6643">
        <v>90755031</v>
      </c>
      <c r="E6643">
        <v>17.600000000000001</v>
      </c>
      <c r="F6643">
        <v>7.5</v>
      </c>
    </row>
    <row r="6644" spans="1:6" x14ac:dyDescent="0.3">
      <c r="A6644" t="s">
        <v>11226</v>
      </c>
      <c r="B6644" t="s">
        <v>8613</v>
      </c>
      <c r="C6644" t="s">
        <v>4288</v>
      </c>
      <c r="D6644">
        <v>90763727</v>
      </c>
      <c r="E6644">
        <v>17.649999999999999</v>
      </c>
      <c r="F6644">
        <v>8.3000000000000007</v>
      </c>
    </row>
    <row r="6645" spans="1:6" x14ac:dyDescent="0.3">
      <c r="A6645" t="s">
        <v>11227</v>
      </c>
      <c r="B6645" t="s">
        <v>10167</v>
      </c>
      <c r="C6645" t="s">
        <v>11228</v>
      </c>
      <c r="D6645">
        <v>90769144</v>
      </c>
      <c r="E6645">
        <v>4.2</v>
      </c>
      <c r="F6645">
        <v>7.26</v>
      </c>
    </row>
    <row r="6646" spans="1:6" x14ac:dyDescent="0.3">
      <c r="A6646" t="s">
        <v>11229</v>
      </c>
      <c r="B6646" t="s">
        <v>2596</v>
      </c>
      <c r="C6646" t="s">
        <v>11230</v>
      </c>
      <c r="D6646">
        <v>90771665</v>
      </c>
      <c r="E6646">
        <v>1.52</v>
      </c>
      <c r="F6646">
        <v>7.37</v>
      </c>
    </row>
    <row r="6647" spans="1:6" x14ac:dyDescent="0.3">
      <c r="A6647" t="s">
        <v>11231</v>
      </c>
      <c r="B6647" t="s">
        <v>11232</v>
      </c>
      <c r="C6647" t="s">
        <v>11233</v>
      </c>
      <c r="D6647">
        <v>90772080</v>
      </c>
      <c r="E6647">
        <v>19.36</v>
      </c>
      <c r="F6647">
        <v>8.27</v>
      </c>
    </row>
    <row r="6648" spans="1:6" x14ac:dyDescent="0.3">
      <c r="A6648" t="s">
        <v>11234</v>
      </c>
      <c r="B6648" t="s">
        <v>6115</v>
      </c>
      <c r="C6648" t="s">
        <v>9424</v>
      </c>
      <c r="D6648">
        <v>90782865</v>
      </c>
      <c r="E6648">
        <v>8.98</v>
      </c>
      <c r="F6648">
        <v>6.38</v>
      </c>
    </row>
    <row r="6649" spans="1:6" x14ac:dyDescent="0.3">
      <c r="A6649" t="s">
        <v>11235</v>
      </c>
      <c r="B6649" t="s">
        <v>10586</v>
      </c>
      <c r="C6649" t="s">
        <v>11236</v>
      </c>
      <c r="D6649">
        <v>90807452</v>
      </c>
      <c r="E6649">
        <v>5.97</v>
      </c>
      <c r="F6649">
        <v>9.1999999999999993</v>
      </c>
    </row>
    <row r="6650" spans="1:6" x14ac:dyDescent="0.3">
      <c r="A6650" t="s">
        <v>11237</v>
      </c>
      <c r="B6650" t="s">
        <v>4390</v>
      </c>
      <c r="C6650" t="s">
        <v>11238</v>
      </c>
      <c r="D6650">
        <v>90809996</v>
      </c>
      <c r="E6650">
        <v>5.03</v>
      </c>
      <c r="F6650">
        <v>6.66</v>
      </c>
    </row>
    <row r="6651" spans="1:6" x14ac:dyDescent="0.3">
      <c r="A6651" t="s">
        <v>11239</v>
      </c>
      <c r="B6651" t="s">
        <v>11240</v>
      </c>
      <c r="C6651" t="s">
        <v>1320</v>
      </c>
      <c r="D6651">
        <v>90818659</v>
      </c>
      <c r="E6651">
        <v>19.32</v>
      </c>
      <c r="F6651">
        <v>7.81</v>
      </c>
    </row>
    <row r="6652" spans="1:6" x14ac:dyDescent="0.3">
      <c r="A6652" t="s">
        <v>11241</v>
      </c>
      <c r="B6652" t="s">
        <v>9621</v>
      </c>
      <c r="C6652" t="s">
        <v>8991</v>
      </c>
      <c r="D6652">
        <v>90829818</v>
      </c>
      <c r="E6652">
        <v>15.73</v>
      </c>
      <c r="F6652">
        <v>7.64</v>
      </c>
    </row>
    <row r="6653" spans="1:6" x14ac:dyDescent="0.3">
      <c r="A6653" t="s">
        <v>11242</v>
      </c>
      <c r="B6653" t="s">
        <v>10116</v>
      </c>
      <c r="C6653" t="s">
        <v>11243</v>
      </c>
      <c r="D6653">
        <v>90835243</v>
      </c>
      <c r="E6653">
        <v>1.56</v>
      </c>
      <c r="F6653">
        <v>7.54</v>
      </c>
    </row>
    <row r="6654" spans="1:6" x14ac:dyDescent="0.3">
      <c r="A6654" t="s">
        <v>11244</v>
      </c>
      <c r="B6654" t="s">
        <v>10441</v>
      </c>
      <c r="C6654" t="s">
        <v>11245</v>
      </c>
      <c r="D6654">
        <v>90845382</v>
      </c>
      <c r="E6654">
        <v>1.73</v>
      </c>
      <c r="F6654">
        <v>7.88</v>
      </c>
    </row>
    <row r="6655" spans="1:6" x14ac:dyDescent="0.3">
      <c r="A6655" t="s">
        <v>11246</v>
      </c>
      <c r="B6655" t="s">
        <v>10514</v>
      </c>
      <c r="C6655" t="s">
        <v>4981</v>
      </c>
      <c r="D6655">
        <v>90849702</v>
      </c>
      <c r="E6655">
        <v>5.81</v>
      </c>
      <c r="F6655">
        <v>8.75</v>
      </c>
    </row>
    <row r="6656" spans="1:6" x14ac:dyDescent="0.3">
      <c r="A6656" t="s">
        <v>11247</v>
      </c>
      <c r="B6656" t="s">
        <v>9547</v>
      </c>
      <c r="C6656" t="s">
        <v>11248</v>
      </c>
      <c r="D6656">
        <v>90852190</v>
      </c>
      <c r="E6656">
        <v>17.63</v>
      </c>
      <c r="F6656">
        <v>9.32</v>
      </c>
    </row>
    <row r="6657" spans="1:6" x14ac:dyDescent="0.3">
      <c r="A6657" t="s">
        <v>11249</v>
      </c>
      <c r="B6657" t="s">
        <v>11250</v>
      </c>
      <c r="C6657" t="s">
        <v>11249</v>
      </c>
      <c r="D6657">
        <v>90853661</v>
      </c>
      <c r="E6657">
        <v>32</v>
      </c>
      <c r="F6657">
        <v>7</v>
      </c>
    </row>
    <row r="6658" spans="1:6" x14ac:dyDescent="0.3">
      <c r="A6658" t="s">
        <v>11251</v>
      </c>
      <c r="B6658" t="s">
        <v>3730</v>
      </c>
      <c r="C6658" t="s">
        <v>11252</v>
      </c>
      <c r="D6658">
        <v>90854946</v>
      </c>
      <c r="E6658">
        <v>16.63</v>
      </c>
      <c r="F6658">
        <v>8.1300000000000008</v>
      </c>
    </row>
    <row r="6659" spans="1:6" x14ac:dyDescent="0.3">
      <c r="A6659" t="s">
        <v>11253</v>
      </c>
      <c r="B6659" t="s">
        <v>5031</v>
      </c>
      <c r="C6659" t="s">
        <v>379</v>
      </c>
      <c r="D6659">
        <v>90857000</v>
      </c>
      <c r="E6659" t="s">
        <v>3814</v>
      </c>
      <c r="F6659" t="s">
        <v>3814</v>
      </c>
    </row>
    <row r="6660" spans="1:6" x14ac:dyDescent="0.3">
      <c r="A6660" t="s">
        <v>11254</v>
      </c>
      <c r="B6660" t="s">
        <v>2843</v>
      </c>
      <c r="C6660" t="s">
        <v>1473</v>
      </c>
      <c r="D6660">
        <v>90869074</v>
      </c>
      <c r="E6660">
        <v>23</v>
      </c>
      <c r="F6660">
        <v>7</v>
      </c>
    </row>
    <row r="6661" spans="1:6" x14ac:dyDescent="0.3">
      <c r="A6661" t="s">
        <v>11255</v>
      </c>
      <c r="B6661" t="s">
        <v>11256</v>
      </c>
      <c r="C6661" t="s">
        <v>4247</v>
      </c>
      <c r="D6661">
        <v>90879353</v>
      </c>
      <c r="E6661">
        <v>18.670000000000002</v>
      </c>
      <c r="F6661">
        <v>5.5</v>
      </c>
    </row>
    <row r="6662" spans="1:6" x14ac:dyDescent="0.3">
      <c r="A6662" t="s">
        <v>11257</v>
      </c>
      <c r="B6662" t="s">
        <v>11258</v>
      </c>
      <c r="C6662" t="s">
        <v>1481</v>
      </c>
      <c r="D6662">
        <v>90882513</v>
      </c>
      <c r="E6662">
        <v>11.64</v>
      </c>
      <c r="F6662">
        <v>8.7899999999999991</v>
      </c>
    </row>
    <row r="6663" spans="1:6" x14ac:dyDescent="0.3">
      <c r="A6663" t="s">
        <v>11259</v>
      </c>
      <c r="B6663" t="s">
        <v>9071</v>
      </c>
      <c r="C6663" t="s">
        <v>11260</v>
      </c>
      <c r="D6663">
        <v>90891227</v>
      </c>
      <c r="E6663">
        <v>32</v>
      </c>
      <c r="F6663">
        <v>9.5</v>
      </c>
    </row>
    <row r="6664" spans="1:6" x14ac:dyDescent="0.3">
      <c r="A6664" t="s">
        <v>11261</v>
      </c>
      <c r="B6664" t="s">
        <v>10240</v>
      </c>
      <c r="C6664" t="s">
        <v>9018</v>
      </c>
      <c r="D6664">
        <v>90902050</v>
      </c>
      <c r="E6664">
        <v>20</v>
      </c>
      <c r="F6664">
        <v>8</v>
      </c>
    </row>
    <row r="6665" spans="1:6" x14ac:dyDescent="0.3">
      <c r="A6665" t="s">
        <v>11262</v>
      </c>
      <c r="B6665" t="s">
        <v>11263</v>
      </c>
      <c r="C6665" t="s">
        <v>1350</v>
      </c>
      <c r="D6665">
        <v>90915378</v>
      </c>
      <c r="E6665">
        <v>3.64</v>
      </c>
      <c r="F6665">
        <v>7.19</v>
      </c>
    </row>
    <row r="6666" spans="1:6" x14ac:dyDescent="0.3">
      <c r="A6666" t="s">
        <v>11264</v>
      </c>
      <c r="B6666" t="s">
        <v>3692</v>
      </c>
      <c r="C6666" t="s">
        <v>11265</v>
      </c>
      <c r="D6666">
        <v>90917868</v>
      </c>
      <c r="E6666">
        <v>5.89</v>
      </c>
      <c r="F6666">
        <v>6.57</v>
      </c>
    </row>
    <row r="6667" spans="1:6" x14ac:dyDescent="0.3">
      <c r="A6667" t="s">
        <v>11266</v>
      </c>
      <c r="B6667" t="s">
        <v>3746</v>
      </c>
      <c r="C6667" t="s">
        <v>11267</v>
      </c>
      <c r="D6667">
        <v>90919305</v>
      </c>
      <c r="E6667">
        <v>2.4</v>
      </c>
      <c r="F6667">
        <v>5.21</v>
      </c>
    </row>
    <row r="6668" spans="1:6" x14ac:dyDescent="0.3">
      <c r="A6668" t="s">
        <v>11268</v>
      </c>
      <c r="B6668" t="s">
        <v>5031</v>
      </c>
      <c r="C6668" t="s">
        <v>20</v>
      </c>
      <c r="D6668">
        <v>90922017</v>
      </c>
      <c r="E6668">
        <v>22</v>
      </c>
      <c r="F6668">
        <v>8</v>
      </c>
    </row>
    <row r="6669" spans="1:6" x14ac:dyDescent="0.3">
      <c r="A6669" t="s">
        <v>11269</v>
      </c>
      <c r="B6669" t="s">
        <v>11270</v>
      </c>
      <c r="C6669" t="s">
        <v>11271</v>
      </c>
      <c r="D6669">
        <v>90930772</v>
      </c>
      <c r="E6669">
        <v>4.2</v>
      </c>
      <c r="F6669">
        <v>5.75</v>
      </c>
    </row>
    <row r="6670" spans="1:6" x14ac:dyDescent="0.3">
      <c r="A6670" t="s">
        <v>11272</v>
      </c>
      <c r="B6670" t="s">
        <v>8565</v>
      </c>
      <c r="C6670" t="s">
        <v>11273</v>
      </c>
      <c r="D6670">
        <v>90933469</v>
      </c>
      <c r="E6670">
        <v>4.33</v>
      </c>
      <c r="F6670">
        <v>6.79</v>
      </c>
    </row>
    <row r="6671" spans="1:6" x14ac:dyDescent="0.3">
      <c r="A6671" t="s">
        <v>11274</v>
      </c>
      <c r="B6671" t="s">
        <v>10941</v>
      </c>
      <c r="C6671" t="s">
        <v>3351</v>
      </c>
      <c r="D6671">
        <v>90942005</v>
      </c>
      <c r="E6671">
        <v>24.5</v>
      </c>
      <c r="F6671">
        <v>6.25</v>
      </c>
    </row>
    <row r="6672" spans="1:6" x14ac:dyDescent="0.3">
      <c r="A6672" t="s">
        <v>11275</v>
      </c>
      <c r="B6672" t="s">
        <v>7585</v>
      </c>
      <c r="C6672" t="s">
        <v>11276</v>
      </c>
      <c r="D6672">
        <v>90945279</v>
      </c>
      <c r="E6672">
        <v>17.71</v>
      </c>
      <c r="F6672">
        <v>6</v>
      </c>
    </row>
    <row r="6673" spans="1:6" x14ac:dyDescent="0.3">
      <c r="A6673" t="s">
        <v>11277</v>
      </c>
      <c r="B6673" t="s">
        <v>7397</v>
      </c>
      <c r="C6673" t="s">
        <v>2192</v>
      </c>
      <c r="D6673">
        <v>90953648</v>
      </c>
      <c r="E6673">
        <v>19.68</v>
      </c>
      <c r="F6673">
        <v>8.44</v>
      </c>
    </row>
    <row r="6674" spans="1:6" x14ac:dyDescent="0.3">
      <c r="A6674" t="s">
        <v>11278</v>
      </c>
      <c r="B6674" t="s">
        <v>11279</v>
      </c>
      <c r="C6674" t="s">
        <v>11280</v>
      </c>
      <c r="D6674">
        <v>90961431</v>
      </c>
      <c r="E6674">
        <v>18</v>
      </c>
      <c r="F6674">
        <v>6.8</v>
      </c>
    </row>
    <row r="6675" spans="1:6" x14ac:dyDescent="0.3">
      <c r="A6675" t="s">
        <v>11281</v>
      </c>
      <c r="B6675" t="s">
        <v>3715</v>
      </c>
      <c r="C6675" t="s">
        <v>8179</v>
      </c>
      <c r="D6675">
        <v>90976275</v>
      </c>
      <c r="E6675">
        <v>3.68</v>
      </c>
      <c r="F6675">
        <v>7.17</v>
      </c>
    </row>
    <row r="6676" spans="1:6" x14ac:dyDescent="0.3">
      <c r="A6676" t="s">
        <v>11282</v>
      </c>
      <c r="B6676" t="s">
        <v>11283</v>
      </c>
      <c r="C6676" t="s">
        <v>11284</v>
      </c>
      <c r="D6676">
        <v>90981909</v>
      </c>
      <c r="E6676">
        <v>14.34</v>
      </c>
      <c r="F6676">
        <v>7.08</v>
      </c>
    </row>
    <row r="6677" spans="1:6" x14ac:dyDescent="0.3">
      <c r="A6677" t="s">
        <v>11285</v>
      </c>
      <c r="B6677" t="s">
        <v>8417</v>
      </c>
      <c r="C6677" t="s">
        <v>10355</v>
      </c>
      <c r="D6677">
        <v>90993173</v>
      </c>
      <c r="E6677">
        <v>6.25</v>
      </c>
      <c r="F6677">
        <v>8.75</v>
      </c>
    </row>
    <row r="6678" spans="1:6" x14ac:dyDescent="0.3">
      <c r="A6678" t="s">
        <v>11286</v>
      </c>
      <c r="B6678" t="s">
        <v>9423</v>
      </c>
      <c r="C6678" t="s">
        <v>11287</v>
      </c>
      <c r="D6678">
        <v>91000246</v>
      </c>
      <c r="E6678">
        <v>22</v>
      </c>
      <c r="F6678">
        <v>6.33</v>
      </c>
    </row>
    <row r="6679" spans="1:6" x14ac:dyDescent="0.3">
      <c r="A6679" t="s">
        <v>4158</v>
      </c>
      <c r="B6679" t="s">
        <v>4196</v>
      </c>
      <c r="C6679" t="s">
        <v>5811</v>
      </c>
      <c r="D6679">
        <v>91004796</v>
      </c>
      <c r="E6679">
        <v>4.2300000000000004</v>
      </c>
      <c r="F6679">
        <v>6.25</v>
      </c>
    </row>
    <row r="6680" spans="1:6" x14ac:dyDescent="0.3">
      <c r="A6680" t="s">
        <v>11288</v>
      </c>
      <c r="B6680" t="s">
        <v>10532</v>
      </c>
      <c r="C6680" t="s">
        <v>11289</v>
      </c>
      <c r="D6680">
        <v>91019161</v>
      </c>
      <c r="E6680" t="s">
        <v>3814</v>
      </c>
      <c r="F6680" t="s">
        <v>3814</v>
      </c>
    </row>
    <row r="6681" spans="1:6" x14ac:dyDescent="0.3">
      <c r="A6681" t="s">
        <v>11290</v>
      </c>
      <c r="B6681" t="s">
        <v>7205</v>
      </c>
      <c r="C6681" t="s">
        <v>5455</v>
      </c>
      <c r="D6681">
        <v>91021939</v>
      </c>
      <c r="E6681">
        <v>1.17</v>
      </c>
      <c r="F6681">
        <v>7.13</v>
      </c>
    </row>
    <row r="6682" spans="1:6" x14ac:dyDescent="0.3">
      <c r="A6682" t="s">
        <v>11291</v>
      </c>
      <c r="B6682" t="s">
        <v>7578</v>
      </c>
      <c r="C6682" t="s">
        <v>9484</v>
      </c>
      <c r="D6682">
        <v>91032176</v>
      </c>
      <c r="E6682">
        <v>11.63</v>
      </c>
      <c r="F6682">
        <v>5.86</v>
      </c>
    </row>
    <row r="6683" spans="1:6" x14ac:dyDescent="0.3">
      <c r="A6683" t="s">
        <v>11292</v>
      </c>
      <c r="B6683" t="s">
        <v>8065</v>
      </c>
      <c r="C6683" t="s">
        <v>11293</v>
      </c>
      <c r="D6683">
        <v>91035507</v>
      </c>
      <c r="E6683" t="s">
        <v>3814</v>
      </c>
      <c r="F6683" t="s">
        <v>3814</v>
      </c>
    </row>
    <row r="6684" spans="1:6" x14ac:dyDescent="0.3">
      <c r="A6684" t="s">
        <v>11294</v>
      </c>
      <c r="B6684" t="s">
        <v>11295</v>
      </c>
      <c r="C6684" t="s">
        <v>11296</v>
      </c>
      <c r="D6684">
        <v>91039516</v>
      </c>
      <c r="E6684">
        <v>4.08</v>
      </c>
      <c r="F6684">
        <v>6.57</v>
      </c>
    </row>
    <row r="6685" spans="1:6" x14ac:dyDescent="0.3">
      <c r="A6685" t="s">
        <v>11297</v>
      </c>
      <c r="B6685" t="s">
        <v>9663</v>
      </c>
      <c r="C6685" t="s">
        <v>9770</v>
      </c>
      <c r="D6685">
        <v>91042484</v>
      </c>
      <c r="E6685">
        <v>32.67</v>
      </c>
      <c r="F6685">
        <v>10</v>
      </c>
    </row>
    <row r="6686" spans="1:6" x14ac:dyDescent="0.3">
      <c r="A6686" t="s">
        <v>11298</v>
      </c>
      <c r="B6686" t="s">
        <v>10850</v>
      </c>
      <c r="C6686" t="s">
        <v>5833</v>
      </c>
      <c r="D6686">
        <v>91054490</v>
      </c>
      <c r="E6686">
        <v>19.39</v>
      </c>
      <c r="F6686">
        <v>8.84</v>
      </c>
    </row>
    <row r="6687" spans="1:6" x14ac:dyDescent="0.3">
      <c r="A6687" t="s">
        <v>11299</v>
      </c>
      <c r="B6687" t="s">
        <v>8808</v>
      </c>
      <c r="C6687" t="s">
        <v>9436</v>
      </c>
      <c r="D6687">
        <v>91055359</v>
      </c>
      <c r="E6687">
        <v>3.04</v>
      </c>
      <c r="F6687">
        <v>8.17</v>
      </c>
    </row>
    <row r="6688" spans="1:6" x14ac:dyDescent="0.3">
      <c r="A6688" t="s">
        <v>11300</v>
      </c>
      <c r="B6688" t="s">
        <v>3830</v>
      </c>
      <c r="C6688" t="s">
        <v>11301</v>
      </c>
      <c r="D6688">
        <v>91056895</v>
      </c>
      <c r="E6688">
        <v>6.24</v>
      </c>
      <c r="F6688">
        <v>7.4</v>
      </c>
    </row>
    <row r="6689" spans="1:6" x14ac:dyDescent="0.3">
      <c r="A6689" t="s">
        <v>11302</v>
      </c>
      <c r="B6689" t="s">
        <v>11303</v>
      </c>
      <c r="C6689" t="s">
        <v>741</v>
      </c>
      <c r="D6689">
        <v>91076136</v>
      </c>
      <c r="E6689">
        <v>12.33</v>
      </c>
      <c r="F6689">
        <v>6.75</v>
      </c>
    </row>
    <row r="6690" spans="1:6" x14ac:dyDescent="0.3">
      <c r="A6690" t="s">
        <v>11304</v>
      </c>
      <c r="B6690" t="s">
        <v>3255</v>
      </c>
      <c r="C6690" t="s">
        <v>3867</v>
      </c>
      <c r="D6690">
        <v>91090124</v>
      </c>
      <c r="E6690">
        <v>18</v>
      </c>
      <c r="F6690">
        <v>3.5</v>
      </c>
    </row>
    <row r="6691" spans="1:6" x14ac:dyDescent="0.3">
      <c r="A6691" t="s">
        <v>11305</v>
      </c>
      <c r="B6691" t="s">
        <v>11306</v>
      </c>
      <c r="C6691" t="s">
        <v>2192</v>
      </c>
      <c r="D6691">
        <v>91096573</v>
      </c>
      <c r="E6691">
        <v>12.33</v>
      </c>
      <c r="F6691">
        <v>7.5</v>
      </c>
    </row>
    <row r="6692" spans="1:6" x14ac:dyDescent="0.3">
      <c r="A6692" t="s">
        <v>11307</v>
      </c>
      <c r="B6692" t="s">
        <v>8256</v>
      </c>
      <c r="C6692" t="s">
        <v>11308</v>
      </c>
      <c r="D6692">
        <v>91109267</v>
      </c>
      <c r="E6692">
        <v>17.399999999999999</v>
      </c>
      <c r="F6692">
        <v>9.4</v>
      </c>
    </row>
    <row r="6693" spans="1:6" x14ac:dyDescent="0.3">
      <c r="A6693" t="s">
        <v>11309</v>
      </c>
      <c r="B6693" t="s">
        <v>10219</v>
      </c>
      <c r="C6693" t="s">
        <v>11310</v>
      </c>
      <c r="D6693">
        <v>91110754</v>
      </c>
      <c r="E6693">
        <v>1.67</v>
      </c>
      <c r="F6693">
        <v>7.56</v>
      </c>
    </row>
    <row r="6694" spans="1:6" x14ac:dyDescent="0.3">
      <c r="A6694" t="s">
        <v>11311</v>
      </c>
      <c r="B6694" t="s">
        <v>2843</v>
      </c>
      <c r="C6694" t="s">
        <v>11312</v>
      </c>
      <c r="D6694">
        <v>91120733</v>
      </c>
      <c r="E6694">
        <v>6.75</v>
      </c>
      <c r="F6694">
        <v>6.4</v>
      </c>
    </row>
    <row r="6695" spans="1:6" x14ac:dyDescent="0.3">
      <c r="A6695" t="s">
        <v>11313</v>
      </c>
      <c r="B6695" t="s">
        <v>11314</v>
      </c>
      <c r="C6695" t="s">
        <v>11315</v>
      </c>
      <c r="D6695">
        <v>91132245</v>
      </c>
      <c r="E6695">
        <v>19.440000000000001</v>
      </c>
      <c r="F6695">
        <v>6.78</v>
      </c>
    </row>
    <row r="6696" spans="1:6" x14ac:dyDescent="0.3">
      <c r="A6696" t="s">
        <v>11316</v>
      </c>
      <c r="B6696" t="s">
        <v>11317</v>
      </c>
      <c r="C6696" t="s">
        <v>2056</v>
      </c>
      <c r="D6696">
        <v>91133124</v>
      </c>
      <c r="E6696">
        <v>5.92</v>
      </c>
      <c r="F6696">
        <v>7</v>
      </c>
    </row>
    <row r="6697" spans="1:6" x14ac:dyDescent="0.3">
      <c r="A6697" t="s">
        <v>11318</v>
      </c>
      <c r="B6697" t="s">
        <v>11319</v>
      </c>
      <c r="C6697" t="s">
        <v>9436</v>
      </c>
      <c r="D6697">
        <v>91146993</v>
      </c>
      <c r="E6697">
        <v>4.96</v>
      </c>
      <c r="F6697">
        <v>7.99</v>
      </c>
    </row>
    <row r="6698" spans="1:6" x14ac:dyDescent="0.3">
      <c r="A6698" t="s">
        <v>11320</v>
      </c>
      <c r="B6698" t="s">
        <v>11321</v>
      </c>
      <c r="C6698" t="s">
        <v>731</v>
      </c>
      <c r="D6698">
        <v>91174799</v>
      </c>
      <c r="E6698">
        <v>13.61</v>
      </c>
      <c r="F6698">
        <v>7.36</v>
      </c>
    </row>
    <row r="6699" spans="1:6" x14ac:dyDescent="0.3">
      <c r="A6699" t="s">
        <v>11322</v>
      </c>
      <c r="B6699" t="s">
        <v>11323</v>
      </c>
      <c r="C6699" t="s">
        <v>11324</v>
      </c>
      <c r="D6699">
        <v>91180803</v>
      </c>
      <c r="E6699">
        <v>16.09</v>
      </c>
      <c r="F6699">
        <v>6.86</v>
      </c>
    </row>
    <row r="6700" spans="1:6" x14ac:dyDescent="0.3">
      <c r="A6700" t="s">
        <v>11325</v>
      </c>
      <c r="B6700" t="s">
        <v>3274</v>
      </c>
      <c r="C6700" t="s">
        <v>1101</v>
      </c>
      <c r="D6700">
        <v>91180835</v>
      </c>
      <c r="E6700">
        <v>32</v>
      </c>
      <c r="F6700">
        <v>7</v>
      </c>
    </row>
    <row r="6701" spans="1:6" x14ac:dyDescent="0.3">
      <c r="A6701" t="s">
        <v>11326</v>
      </c>
      <c r="B6701" t="s">
        <v>9659</v>
      </c>
      <c r="C6701" t="s">
        <v>8632</v>
      </c>
      <c r="D6701">
        <v>91185941</v>
      </c>
      <c r="E6701">
        <v>2.79</v>
      </c>
      <c r="F6701">
        <v>7.39</v>
      </c>
    </row>
    <row r="6702" spans="1:6" x14ac:dyDescent="0.3">
      <c r="A6702" t="s">
        <v>11327</v>
      </c>
      <c r="B6702" t="s">
        <v>11328</v>
      </c>
      <c r="C6702" t="s">
        <v>11329</v>
      </c>
      <c r="D6702">
        <v>91201110</v>
      </c>
      <c r="E6702">
        <v>1.1399999999999999</v>
      </c>
      <c r="F6702">
        <v>6.26</v>
      </c>
    </row>
    <row r="6703" spans="1:6" x14ac:dyDescent="0.3">
      <c r="A6703" t="s">
        <v>11330</v>
      </c>
      <c r="B6703" t="s">
        <v>7356</v>
      </c>
      <c r="C6703" t="s">
        <v>11083</v>
      </c>
      <c r="D6703">
        <v>91204586</v>
      </c>
      <c r="E6703">
        <v>23.89</v>
      </c>
      <c r="F6703">
        <v>6</v>
      </c>
    </row>
    <row r="6704" spans="1:6" x14ac:dyDescent="0.3">
      <c r="A6704" t="s">
        <v>11331</v>
      </c>
      <c r="B6704" t="s">
        <v>9611</v>
      </c>
      <c r="C6704" t="s">
        <v>11332</v>
      </c>
      <c r="D6704">
        <v>91214464</v>
      </c>
      <c r="E6704">
        <v>5.26</v>
      </c>
      <c r="F6704">
        <v>6.18</v>
      </c>
    </row>
    <row r="6705" spans="1:6" x14ac:dyDescent="0.3">
      <c r="A6705" t="s">
        <v>11333</v>
      </c>
      <c r="B6705" t="s">
        <v>9717</v>
      </c>
      <c r="C6705" t="s">
        <v>6254</v>
      </c>
      <c r="D6705">
        <v>91228721</v>
      </c>
      <c r="E6705">
        <v>4.8499999999999996</v>
      </c>
      <c r="F6705">
        <v>5.73</v>
      </c>
    </row>
    <row r="6706" spans="1:6" x14ac:dyDescent="0.3">
      <c r="A6706" t="s">
        <v>11334</v>
      </c>
      <c r="B6706" t="s">
        <v>8838</v>
      </c>
      <c r="C6706" t="s">
        <v>7178</v>
      </c>
      <c r="D6706">
        <v>91249688</v>
      </c>
      <c r="E6706">
        <v>9.1999999999999993</v>
      </c>
      <c r="F6706">
        <v>8.1</v>
      </c>
    </row>
    <row r="6707" spans="1:6" x14ac:dyDescent="0.3">
      <c r="A6707" t="s">
        <v>11335</v>
      </c>
      <c r="B6707" t="s">
        <v>9956</v>
      </c>
      <c r="C6707" t="s">
        <v>6127</v>
      </c>
      <c r="D6707">
        <v>91255536</v>
      </c>
      <c r="E6707">
        <v>4.7300000000000004</v>
      </c>
      <c r="F6707">
        <v>7</v>
      </c>
    </row>
    <row r="6708" spans="1:6" x14ac:dyDescent="0.3">
      <c r="A6708" t="s">
        <v>11336</v>
      </c>
      <c r="B6708" t="s">
        <v>11337</v>
      </c>
      <c r="C6708" t="s">
        <v>11338</v>
      </c>
      <c r="D6708">
        <v>91262760</v>
      </c>
      <c r="E6708">
        <v>16.600000000000001</v>
      </c>
      <c r="F6708">
        <v>8.4</v>
      </c>
    </row>
    <row r="6709" spans="1:6" x14ac:dyDescent="0.3">
      <c r="A6709" t="s">
        <v>11339</v>
      </c>
      <c r="B6709" t="s">
        <v>11340</v>
      </c>
      <c r="C6709" t="s">
        <v>11341</v>
      </c>
      <c r="D6709">
        <v>91264016</v>
      </c>
      <c r="E6709">
        <v>16.190000000000001</v>
      </c>
      <c r="F6709">
        <v>8.0399999999999991</v>
      </c>
    </row>
    <row r="6710" spans="1:6" x14ac:dyDescent="0.3">
      <c r="A6710" t="s">
        <v>11342</v>
      </c>
      <c r="B6710" t="s">
        <v>4019</v>
      </c>
      <c r="C6710" t="s">
        <v>8928</v>
      </c>
      <c r="D6710">
        <v>91267754</v>
      </c>
      <c r="E6710">
        <v>25.45</v>
      </c>
      <c r="F6710">
        <v>9.4</v>
      </c>
    </row>
    <row r="6711" spans="1:6" x14ac:dyDescent="0.3">
      <c r="A6711" t="s">
        <v>11343</v>
      </c>
      <c r="B6711" t="s">
        <v>1584</v>
      </c>
      <c r="C6711" t="s">
        <v>11344</v>
      </c>
      <c r="D6711">
        <v>91268089</v>
      </c>
      <c r="E6711">
        <v>18.27</v>
      </c>
      <c r="F6711">
        <v>7</v>
      </c>
    </row>
    <row r="6712" spans="1:6" x14ac:dyDescent="0.3">
      <c r="A6712" t="s">
        <v>11345</v>
      </c>
      <c r="B6712" t="s">
        <v>11346</v>
      </c>
      <c r="C6712" t="s">
        <v>10886</v>
      </c>
      <c r="D6712">
        <v>91279768</v>
      </c>
      <c r="E6712">
        <v>1.04</v>
      </c>
      <c r="F6712">
        <v>6.91</v>
      </c>
    </row>
    <row r="6713" spans="1:6" x14ac:dyDescent="0.3">
      <c r="A6713" t="s">
        <v>11347</v>
      </c>
      <c r="B6713" t="s">
        <v>5900</v>
      </c>
      <c r="C6713" t="s">
        <v>11020</v>
      </c>
      <c r="D6713">
        <v>91281165</v>
      </c>
      <c r="E6713">
        <v>2.16</v>
      </c>
      <c r="F6713">
        <v>7.36</v>
      </c>
    </row>
    <row r="6714" spans="1:6" x14ac:dyDescent="0.3">
      <c r="A6714" t="s">
        <v>11348</v>
      </c>
      <c r="B6714" t="s">
        <v>8417</v>
      </c>
      <c r="C6714" t="s">
        <v>11349</v>
      </c>
      <c r="D6714">
        <v>91283828</v>
      </c>
      <c r="E6714">
        <v>2.1800000000000002</v>
      </c>
      <c r="F6714">
        <v>6.2</v>
      </c>
    </row>
    <row r="6715" spans="1:6" x14ac:dyDescent="0.3">
      <c r="A6715" t="s">
        <v>11350</v>
      </c>
      <c r="B6715" t="s">
        <v>11351</v>
      </c>
      <c r="C6715" t="s">
        <v>11352</v>
      </c>
      <c r="D6715">
        <v>91293426</v>
      </c>
      <c r="E6715">
        <v>2.86</v>
      </c>
      <c r="F6715">
        <v>7.19</v>
      </c>
    </row>
    <row r="6716" spans="1:6" x14ac:dyDescent="0.3">
      <c r="A6716" t="s">
        <v>9734</v>
      </c>
      <c r="B6716" t="s">
        <v>7083</v>
      </c>
      <c r="C6716" t="s">
        <v>8435</v>
      </c>
      <c r="D6716">
        <v>91294711</v>
      </c>
      <c r="E6716">
        <v>20.75</v>
      </c>
      <c r="F6716">
        <v>8</v>
      </c>
    </row>
    <row r="6717" spans="1:6" x14ac:dyDescent="0.3">
      <c r="A6717" t="s">
        <v>11353</v>
      </c>
      <c r="B6717" t="s">
        <v>11354</v>
      </c>
      <c r="C6717" t="s">
        <v>5483</v>
      </c>
      <c r="D6717">
        <v>91297435</v>
      </c>
      <c r="E6717">
        <v>2.5499999999999998</v>
      </c>
      <c r="F6717">
        <v>5.57</v>
      </c>
    </row>
    <row r="6718" spans="1:6" x14ac:dyDescent="0.3">
      <c r="A6718" t="s">
        <v>11355</v>
      </c>
      <c r="B6718" t="s">
        <v>11356</v>
      </c>
      <c r="C6718" t="s">
        <v>5010</v>
      </c>
      <c r="D6718">
        <v>91316382</v>
      </c>
      <c r="E6718">
        <v>5.43</v>
      </c>
      <c r="F6718">
        <v>6.43</v>
      </c>
    </row>
    <row r="6719" spans="1:6" x14ac:dyDescent="0.3">
      <c r="A6719" t="s">
        <v>11357</v>
      </c>
      <c r="B6719" t="s">
        <v>1691</v>
      </c>
      <c r="C6719" t="s">
        <v>6768</v>
      </c>
      <c r="D6719">
        <v>91326232</v>
      </c>
      <c r="E6719">
        <v>3.62</v>
      </c>
      <c r="F6719">
        <v>6.14</v>
      </c>
    </row>
    <row r="6720" spans="1:6" x14ac:dyDescent="0.3">
      <c r="A6720" t="s">
        <v>11358</v>
      </c>
      <c r="B6720" t="s">
        <v>4441</v>
      </c>
      <c r="C6720" t="s">
        <v>45</v>
      </c>
      <c r="D6720">
        <v>91351939</v>
      </c>
      <c r="E6720" t="s">
        <v>3814</v>
      </c>
      <c r="F6720" t="s">
        <v>3814</v>
      </c>
    </row>
    <row r="6721" spans="1:6" x14ac:dyDescent="0.3">
      <c r="A6721" t="s">
        <v>11359</v>
      </c>
      <c r="B6721" t="s">
        <v>5415</v>
      </c>
      <c r="C6721" t="s">
        <v>11360</v>
      </c>
      <c r="D6721">
        <v>91364034</v>
      </c>
      <c r="E6721">
        <v>6</v>
      </c>
      <c r="F6721">
        <v>5</v>
      </c>
    </row>
    <row r="6722" spans="1:6" x14ac:dyDescent="0.3">
      <c r="A6722" t="s">
        <v>11361</v>
      </c>
      <c r="B6722" t="s">
        <v>11362</v>
      </c>
      <c r="C6722" t="s">
        <v>1355</v>
      </c>
      <c r="D6722">
        <v>91369810</v>
      </c>
      <c r="E6722">
        <v>18.43</v>
      </c>
      <c r="F6722">
        <v>6</v>
      </c>
    </row>
    <row r="6723" spans="1:6" x14ac:dyDescent="0.3">
      <c r="A6723" t="s">
        <v>11363</v>
      </c>
      <c r="B6723" t="s">
        <v>3800</v>
      </c>
      <c r="C6723" t="s">
        <v>1057</v>
      </c>
      <c r="D6723">
        <v>91386392</v>
      </c>
      <c r="E6723">
        <v>21.5</v>
      </c>
      <c r="F6723">
        <v>5.38</v>
      </c>
    </row>
    <row r="6724" spans="1:6" x14ac:dyDescent="0.3">
      <c r="A6724" t="s">
        <v>11364</v>
      </c>
      <c r="B6724" t="s">
        <v>9600</v>
      </c>
      <c r="C6724" t="s">
        <v>11365</v>
      </c>
      <c r="D6724">
        <v>91396136</v>
      </c>
      <c r="E6724">
        <v>24.5</v>
      </c>
      <c r="F6724">
        <v>10</v>
      </c>
    </row>
    <row r="6725" spans="1:6" x14ac:dyDescent="0.3">
      <c r="A6725" t="s">
        <v>11366</v>
      </c>
      <c r="B6725" t="s">
        <v>11367</v>
      </c>
      <c r="C6725" t="s">
        <v>9322</v>
      </c>
      <c r="D6725">
        <v>91413380</v>
      </c>
      <c r="E6725">
        <v>15.2</v>
      </c>
      <c r="F6725">
        <v>3.2</v>
      </c>
    </row>
    <row r="6726" spans="1:6" x14ac:dyDescent="0.3">
      <c r="A6726" t="s">
        <v>11368</v>
      </c>
      <c r="B6726" t="s">
        <v>7044</v>
      </c>
      <c r="C6726" t="s">
        <v>505</v>
      </c>
      <c r="D6726">
        <v>91413592</v>
      </c>
      <c r="E6726">
        <v>24.25</v>
      </c>
      <c r="F6726">
        <v>5.75</v>
      </c>
    </row>
    <row r="6727" spans="1:6" x14ac:dyDescent="0.3">
      <c r="A6727" t="s">
        <v>11369</v>
      </c>
      <c r="B6727" t="s">
        <v>7733</v>
      </c>
      <c r="C6727" t="s">
        <v>4871</v>
      </c>
      <c r="D6727">
        <v>91424942</v>
      </c>
      <c r="E6727">
        <v>17.93</v>
      </c>
      <c r="F6727">
        <v>6.9</v>
      </c>
    </row>
    <row r="6728" spans="1:6" x14ac:dyDescent="0.3">
      <c r="A6728" t="s">
        <v>11370</v>
      </c>
      <c r="B6728" t="s">
        <v>2228</v>
      </c>
      <c r="C6728" t="s">
        <v>6985</v>
      </c>
      <c r="D6728">
        <v>91446932</v>
      </c>
      <c r="E6728">
        <v>3.88</v>
      </c>
      <c r="F6728">
        <v>7.87</v>
      </c>
    </row>
    <row r="6729" spans="1:6" x14ac:dyDescent="0.3">
      <c r="A6729" t="s">
        <v>11371</v>
      </c>
      <c r="B6729" t="s">
        <v>2913</v>
      </c>
      <c r="C6729" t="s">
        <v>1329</v>
      </c>
      <c r="D6729">
        <v>91448272</v>
      </c>
      <c r="E6729">
        <v>2.82</v>
      </c>
      <c r="F6729">
        <v>7.3</v>
      </c>
    </row>
    <row r="6730" spans="1:6" x14ac:dyDescent="0.3">
      <c r="A6730" t="s">
        <v>11372</v>
      </c>
      <c r="B6730" t="s">
        <v>9361</v>
      </c>
      <c r="C6730" t="s">
        <v>9436</v>
      </c>
      <c r="D6730">
        <v>91473138</v>
      </c>
      <c r="E6730">
        <v>17.07</v>
      </c>
      <c r="F6730">
        <v>7.3</v>
      </c>
    </row>
    <row r="6731" spans="1:6" x14ac:dyDescent="0.3">
      <c r="A6731" t="s">
        <v>2663</v>
      </c>
      <c r="B6731" t="s">
        <v>4387</v>
      </c>
      <c r="C6731" t="s">
        <v>3551</v>
      </c>
      <c r="D6731">
        <v>91491253</v>
      </c>
      <c r="E6731">
        <v>10.74</v>
      </c>
      <c r="F6731">
        <v>7.77</v>
      </c>
    </row>
    <row r="6732" spans="1:6" x14ac:dyDescent="0.3">
      <c r="A6732" t="s">
        <v>11373</v>
      </c>
      <c r="B6732" t="s">
        <v>11374</v>
      </c>
      <c r="C6732" t="s">
        <v>736</v>
      </c>
      <c r="D6732">
        <v>91509581</v>
      </c>
      <c r="E6732" t="s">
        <v>3814</v>
      </c>
      <c r="F6732" t="s">
        <v>3814</v>
      </c>
    </row>
    <row r="6733" spans="1:6" x14ac:dyDescent="0.3">
      <c r="A6733" t="s">
        <v>11375</v>
      </c>
      <c r="B6733" t="s">
        <v>11376</v>
      </c>
      <c r="C6733" t="s">
        <v>11377</v>
      </c>
      <c r="D6733">
        <v>91526451</v>
      </c>
      <c r="E6733">
        <v>4.7300000000000004</v>
      </c>
      <c r="F6733">
        <v>6.89</v>
      </c>
    </row>
    <row r="6734" spans="1:6" x14ac:dyDescent="0.3">
      <c r="A6734" t="s">
        <v>11378</v>
      </c>
      <c r="B6734" t="s">
        <v>11379</v>
      </c>
      <c r="C6734" t="s">
        <v>11380</v>
      </c>
      <c r="D6734">
        <v>91533016</v>
      </c>
      <c r="E6734">
        <v>16.04</v>
      </c>
      <c r="F6734">
        <v>8.48</v>
      </c>
    </row>
    <row r="6735" spans="1:6" x14ac:dyDescent="0.3">
      <c r="A6735" t="s">
        <v>11381</v>
      </c>
      <c r="B6735" t="s">
        <v>8565</v>
      </c>
      <c r="C6735" t="s">
        <v>11382</v>
      </c>
      <c r="D6735">
        <v>91534923</v>
      </c>
      <c r="E6735">
        <v>10.06</v>
      </c>
      <c r="F6735">
        <v>8.5500000000000007</v>
      </c>
    </row>
    <row r="6736" spans="1:6" x14ac:dyDescent="0.3">
      <c r="A6736" t="s">
        <v>11383</v>
      </c>
      <c r="B6736" t="s">
        <v>11384</v>
      </c>
      <c r="C6736" t="s">
        <v>175</v>
      </c>
      <c r="D6736">
        <v>91539812</v>
      </c>
      <c r="E6736">
        <v>11.16</v>
      </c>
      <c r="F6736">
        <v>7.29</v>
      </c>
    </row>
    <row r="6737" spans="1:6" x14ac:dyDescent="0.3">
      <c r="A6737" t="s">
        <v>11385</v>
      </c>
      <c r="B6737" t="s">
        <v>10906</v>
      </c>
      <c r="C6737" t="s">
        <v>9322</v>
      </c>
      <c r="D6737">
        <v>91543342</v>
      </c>
      <c r="E6737">
        <v>4.8600000000000003</v>
      </c>
      <c r="F6737">
        <v>7.79</v>
      </c>
    </row>
    <row r="6738" spans="1:6" x14ac:dyDescent="0.3">
      <c r="A6738" t="s">
        <v>11386</v>
      </c>
      <c r="B6738" t="s">
        <v>11387</v>
      </c>
      <c r="C6738" t="s">
        <v>11388</v>
      </c>
      <c r="D6738">
        <v>91578107</v>
      </c>
      <c r="E6738">
        <v>12.5</v>
      </c>
      <c r="F6738">
        <v>6.5</v>
      </c>
    </row>
    <row r="6739" spans="1:6" x14ac:dyDescent="0.3">
      <c r="A6739" t="s">
        <v>11389</v>
      </c>
      <c r="B6739" t="s">
        <v>9655</v>
      </c>
      <c r="C6739" t="s">
        <v>11390</v>
      </c>
      <c r="D6739">
        <v>91578396</v>
      </c>
      <c r="E6739">
        <v>15.5</v>
      </c>
      <c r="F6739">
        <v>7.5</v>
      </c>
    </row>
    <row r="6740" spans="1:6" x14ac:dyDescent="0.3">
      <c r="A6740" t="s">
        <v>11391</v>
      </c>
      <c r="B6740" t="s">
        <v>9565</v>
      </c>
      <c r="C6740" t="s">
        <v>11392</v>
      </c>
      <c r="D6740">
        <v>91578599</v>
      </c>
      <c r="E6740">
        <v>16.03</v>
      </c>
      <c r="F6740">
        <v>7.38</v>
      </c>
    </row>
    <row r="6741" spans="1:6" x14ac:dyDescent="0.3">
      <c r="A6741" t="s">
        <v>11393</v>
      </c>
      <c r="B6741" t="s">
        <v>11394</v>
      </c>
      <c r="C6741" t="s">
        <v>11395</v>
      </c>
      <c r="D6741">
        <v>91579195</v>
      </c>
      <c r="E6741">
        <v>4.93</v>
      </c>
      <c r="F6741">
        <v>7</v>
      </c>
    </row>
    <row r="6742" spans="1:6" x14ac:dyDescent="0.3">
      <c r="A6742" t="s">
        <v>11396</v>
      </c>
      <c r="B6742" t="s">
        <v>11397</v>
      </c>
      <c r="C6742" t="s">
        <v>11398</v>
      </c>
      <c r="D6742">
        <v>91595367</v>
      </c>
      <c r="E6742">
        <v>2.02</v>
      </c>
      <c r="F6742">
        <v>7.37</v>
      </c>
    </row>
    <row r="6743" spans="1:6" x14ac:dyDescent="0.3">
      <c r="A6743" t="s">
        <v>11399</v>
      </c>
      <c r="B6743" t="s">
        <v>11400</v>
      </c>
      <c r="C6743" t="s">
        <v>1161</v>
      </c>
      <c r="D6743">
        <v>91595507</v>
      </c>
      <c r="E6743" t="s">
        <v>3814</v>
      </c>
      <c r="F6743" t="s">
        <v>3814</v>
      </c>
    </row>
    <row r="6744" spans="1:6" x14ac:dyDescent="0.3">
      <c r="A6744" t="s">
        <v>11401</v>
      </c>
      <c r="B6744" t="s">
        <v>10764</v>
      </c>
      <c r="C6744" t="s">
        <v>2192</v>
      </c>
      <c r="D6744">
        <v>91608434</v>
      </c>
      <c r="E6744">
        <v>5.51</v>
      </c>
      <c r="F6744">
        <v>7.15</v>
      </c>
    </row>
    <row r="6745" spans="1:6" x14ac:dyDescent="0.3">
      <c r="A6745" t="s">
        <v>11402</v>
      </c>
      <c r="B6745" t="s">
        <v>8671</v>
      </c>
      <c r="C6745" t="s">
        <v>10678</v>
      </c>
      <c r="D6745">
        <v>91615966</v>
      </c>
      <c r="E6745">
        <v>4.68</v>
      </c>
      <c r="F6745">
        <v>7.64</v>
      </c>
    </row>
    <row r="6746" spans="1:6" x14ac:dyDescent="0.3">
      <c r="A6746" t="s">
        <v>11403</v>
      </c>
      <c r="B6746" t="s">
        <v>11404</v>
      </c>
      <c r="C6746" t="s">
        <v>4001</v>
      </c>
      <c r="D6746">
        <v>91667347</v>
      </c>
      <c r="E6746">
        <v>3.13</v>
      </c>
      <c r="F6746">
        <v>6.3</v>
      </c>
    </row>
    <row r="6747" spans="1:6" x14ac:dyDescent="0.3">
      <c r="A6747" t="s">
        <v>11405</v>
      </c>
      <c r="B6747" t="s">
        <v>11406</v>
      </c>
      <c r="C6747" t="s">
        <v>8632</v>
      </c>
      <c r="D6747">
        <v>91674875</v>
      </c>
      <c r="E6747">
        <v>9.56</v>
      </c>
      <c r="F6747">
        <v>8.16</v>
      </c>
    </row>
    <row r="6748" spans="1:6" x14ac:dyDescent="0.3">
      <c r="A6748" t="s">
        <v>11407</v>
      </c>
      <c r="B6748" t="s">
        <v>11408</v>
      </c>
      <c r="C6748" t="s">
        <v>3006</v>
      </c>
      <c r="D6748">
        <v>91676916</v>
      </c>
      <c r="E6748">
        <v>3.46</v>
      </c>
      <c r="F6748">
        <v>6.43</v>
      </c>
    </row>
    <row r="6749" spans="1:6" x14ac:dyDescent="0.3">
      <c r="A6749" t="s">
        <v>11409</v>
      </c>
      <c r="B6749" t="s">
        <v>11410</v>
      </c>
      <c r="C6749" t="s">
        <v>593</v>
      </c>
      <c r="D6749">
        <v>91680867</v>
      </c>
      <c r="E6749">
        <v>13.97</v>
      </c>
      <c r="F6749">
        <v>8</v>
      </c>
    </row>
    <row r="6750" spans="1:6" x14ac:dyDescent="0.3">
      <c r="A6750" t="s">
        <v>11411</v>
      </c>
      <c r="B6750" t="s">
        <v>4893</v>
      </c>
      <c r="C6750" t="s">
        <v>11412</v>
      </c>
      <c r="D6750">
        <v>91682434</v>
      </c>
      <c r="E6750">
        <v>12.82</v>
      </c>
      <c r="F6750">
        <v>7.73</v>
      </c>
    </row>
    <row r="6751" spans="1:6" x14ac:dyDescent="0.3">
      <c r="A6751" t="s">
        <v>11413</v>
      </c>
      <c r="B6751" t="s">
        <v>11414</v>
      </c>
      <c r="C6751" t="s">
        <v>11415</v>
      </c>
      <c r="D6751">
        <v>91690696</v>
      </c>
      <c r="E6751">
        <v>3.71</v>
      </c>
      <c r="F6751">
        <v>7.06</v>
      </c>
    </row>
    <row r="6752" spans="1:6" x14ac:dyDescent="0.3">
      <c r="A6752" t="s">
        <v>11416</v>
      </c>
      <c r="B6752" t="s">
        <v>5696</v>
      </c>
      <c r="C6752" t="s">
        <v>1263</v>
      </c>
      <c r="D6752">
        <v>91692203</v>
      </c>
      <c r="E6752">
        <v>22</v>
      </c>
      <c r="F6752">
        <v>5.83</v>
      </c>
    </row>
    <row r="6753" spans="1:6" x14ac:dyDescent="0.3">
      <c r="A6753" t="s">
        <v>11417</v>
      </c>
      <c r="B6753" t="s">
        <v>7784</v>
      </c>
      <c r="C6753" t="s">
        <v>5291</v>
      </c>
      <c r="D6753">
        <v>91701349</v>
      </c>
      <c r="E6753">
        <v>21.17</v>
      </c>
      <c r="F6753">
        <v>7.55</v>
      </c>
    </row>
    <row r="6754" spans="1:6" x14ac:dyDescent="0.3">
      <c r="A6754" t="s">
        <v>11418</v>
      </c>
      <c r="B6754" t="s">
        <v>11419</v>
      </c>
      <c r="C6754" t="s">
        <v>4972</v>
      </c>
      <c r="D6754">
        <v>91703082</v>
      </c>
      <c r="E6754">
        <v>4</v>
      </c>
      <c r="F6754">
        <v>5.93</v>
      </c>
    </row>
    <row r="6755" spans="1:6" x14ac:dyDescent="0.3">
      <c r="A6755" t="s">
        <v>11420</v>
      </c>
      <c r="B6755" t="s">
        <v>9071</v>
      </c>
      <c r="C6755" t="s">
        <v>3658</v>
      </c>
      <c r="D6755">
        <v>91709056</v>
      </c>
      <c r="E6755">
        <v>17.3</v>
      </c>
      <c r="F6755">
        <v>8.31</v>
      </c>
    </row>
    <row r="6756" spans="1:6" x14ac:dyDescent="0.3">
      <c r="A6756" t="s">
        <v>11421</v>
      </c>
      <c r="B6756" t="s">
        <v>10160</v>
      </c>
      <c r="C6756" t="s">
        <v>1537</v>
      </c>
      <c r="D6756">
        <v>91711914</v>
      </c>
      <c r="E6756">
        <v>12.64</v>
      </c>
      <c r="F6756">
        <v>4.6399999999999997</v>
      </c>
    </row>
    <row r="6757" spans="1:6" x14ac:dyDescent="0.3">
      <c r="A6757" t="s">
        <v>11422</v>
      </c>
      <c r="B6757" t="s">
        <v>9844</v>
      </c>
      <c r="C6757" t="s">
        <v>11423</v>
      </c>
      <c r="D6757">
        <v>91737656</v>
      </c>
      <c r="E6757">
        <v>17.71</v>
      </c>
      <c r="F6757">
        <v>7.59</v>
      </c>
    </row>
    <row r="6758" spans="1:6" x14ac:dyDescent="0.3">
      <c r="A6758" t="s">
        <v>11424</v>
      </c>
      <c r="B6758" t="s">
        <v>11425</v>
      </c>
      <c r="C6758" t="s">
        <v>11426</v>
      </c>
      <c r="D6758">
        <v>91739197</v>
      </c>
      <c r="E6758">
        <v>23.93</v>
      </c>
      <c r="F6758">
        <v>9.94</v>
      </c>
    </row>
    <row r="6759" spans="1:6" x14ac:dyDescent="0.3">
      <c r="A6759" t="s">
        <v>11427</v>
      </c>
      <c r="B6759" t="s">
        <v>2203</v>
      </c>
      <c r="C6759" t="s">
        <v>5459</v>
      </c>
      <c r="D6759">
        <v>91766387</v>
      </c>
      <c r="E6759">
        <v>4.3</v>
      </c>
      <c r="F6759">
        <v>5.92</v>
      </c>
    </row>
    <row r="6760" spans="1:6" x14ac:dyDescent="0.3">
      <c r="A6760" t="s">
        <v>11428</v>
      </c>
      <c r="B6760" t="s">
        <v>8020</v>
      </c>
      <c r="C6760" t="s">
        <v>11429</v>
      </c>
      <c r="D6760">
        <v>91767011</v>
      </c>
      <c r="E6760">
        <v>1.72</v>
      </c>
      <c r="F6760">
        <v>8.1199999999999992</v>
      </c>
    </row>
    <row r="6761" spans="1:6" x14ac:dyDescent="0.3">
      <c r="A6761" t="s">
        <v>11430</v>
      </c>
      <c r="B6761" t="s">
        <v>6088</v>
      </c>
      <c r="C6761" t="s">
        <v>11398</v>
      </c>
      <c r="D6761">
        <v>91780215</v>
      </c>
      <c r="E6761">
        <v>2.88</v>
      </c>
      <c r="F6761">
        <v>7.38</v>
      </c>
    </row>
    <row r="6762" spans="1:6" x14ac:dyDescent="0.3">
      <c r="A6762" t="s">
        <v>11431</v>
      </c>
      <c r="B6762" t="s">
        <v>11432</v>
      </c>
      <c r="C6762" t="s">
        <v>9856</v>
      </c>
      <c r="D6762">
        <v>91780394</v>
      </c>
      <c r="E6762">
        <v>2.83</v>
      </c>
      <c r="F6762">
        <v>6.73</v>
      </c>
    </row>
    <row r="6763" spans="1:6" x14ac:dyDescent="0.3">
      <c r="A6763" t="s">
        <v>11433</v>
      </c>
      <c r="B6763" t="s">
        <v>11434</v>
      </c>
      <c r="C6763" t="s">
        <v>11435</v>
      </c>
      <c r="D6763">
        <v>91782999</v>
      </c>
      <c r="E6763">
        <v>19.75</v>
      </c>
      <c r="F6763">
        <v>7.71</v>
      </c>
    </row>
    <row r="6764" spans="1:6" x14ac:dyDescent="0.3">
      <c r="A6764" t="s">
        <v>11436</v>
      </c>
      <c r="B6764" t="s">
        <v>6795</v>
      </c>
      <c r="C6764" t="s">
        <v>3184</v>
      </c>
      <c r="D6764">
        <v>91786210</v>
      </c>
      <c r="E6764">
        <v>4.16</v>
      </c>
      <c r="F6764">
        <v>6.35</v>
      </c>
    </row>
    <row r="6765" spans="1:6" x14ac:dyDescent="0.3">
      <c r="A6765" t="s">
        <v>11437</v>
      </c>
      <c r="B6765" t="s">
        <v>11438</v>
      </c>
      <c r="C6765" t="s">
        <v>7354</v>
      </c>
      <c r="D6765">
        <v>91795562</v>
      </c>
      <c r="E6765">
        <v>21.71</v>
      </c>
      <c r="F6765">
        <v>9.3800000000000008</v>
      </c>
    </row>
    <row r="6766" spans="1:6" x14ac:dyDescent="0.3">
      <c r="A6766" t="s">
        <v>11439</v>
      </c>
      <c r="B6766" t="s">
        <v>7456</v>
      </c>
      <c r="C6766" t="s">
        <v>3821</v>
      </c>
      <c r="D6766">
        <v>91816388</v>
      </c>
      <c r="E6766">
        <v>32.67</v>
      </c>
      <c r="F6766">
        <v>6.67</v>
      </c>
    </row>
    <row r="6767" spans="1:6" x14ac:dyDescent="0.3">
      <c r="A6767" t="s">
        <v>11440</v>
      </c>
      <c r="B6767" t="s">
        <v>11441</v>
      </c>
      <c r="C6767" t="s">
        <v>10647</v>
      </c>
      <c r="D6767">
        <v>91831171</v>
      </c>
      <c r="E6767">
        <v>2.52</v>
      </c>
      <c r="F6767">
        <v>6.87</v>
      </c>
    </row>
    <row r="6768" spans="1:6" x14ac:dyDescent="0.3">
      <c r="A6768" t="s">
        <v>11442</v>
      </c>
      <c r="B6768" t="s">
        <v>11443</v>
      </c>
      <c r="C6768" t="s">
        <v>11444</v>
      </c>
      <c r="D6768">
        <v>91846465</v>
      </c>
      <c r="E6768">
        <v>11.5</v>
      </c>
      <c r="F6768">
        <v>5.5</v>
      </c>
    </row>
    <row r="6769" spans="1:6" x14ac:dyDescent="0.3">
      <c r="A6769" t="s">
        <v>11445</v>
      </c>
      <c r="B6769" t="s">
        <v>11446</v>
      </c>
      <c r="C6769" t="s">
        <v>7233</v>
      </c>
      <c r="D6769">
        <v>91854108</v>
      </c>
      <c r="E6769">
        <v>2.1</v>
      </c>
      <c r="F6769">
        <v>5.47</v>
      </c>
    </row>
    <row r="6770" spans="1:6" x14ac:dyDescent="0.3">
      <c r="A6770" t="s">
        <v>11447</v>
      </c>
      <c r="B6770" t="s">
        <v>11448</v>
      </c>
      <c r="C6770" t="s">
        <v>11449</v>
      </c>
      <c r="D6770">
        <v>91854743</v>
      </c>
      <c r="E6770">
        <v>4.63</v>
      </c>
      <c r="F6770">
        <v>5</v>
      </c>
    </row>
    <row r="6771" spans="1:6" x14ac:dyDescent="0.3">
      <c r="A6771" t="s">
        <v>11450</v>
      </c>
      <c r="B6771" t="s">
        <v>11451</v>
      </c>
      <c r="C6771" t="s">
        <v>7050</v>
      </c>
      <c r="D6771">
        <v>91873204</v>
      </c>
      <c r="E6771">
        <v>14</v>
      </c>
      <c r="F6771">
        <v>4</v>
      </c>
    </row>
    <row r="6772" spans="1:6" x14ac:dyDescent="0.3">
      <c r="A6772" t="s">
        <v>11452</v>
      </c>
      <c r="B6772" t="s">
        <v>8460</v>
      </c>
      <c r="C6772" t="s">
        <v>11453</v>
      </c>
      <c r="D6772">
        <v>91879366</v>
      </c>
      <c r="E6772">
        <v>4.63</v>
      </c>
      <c r="F6772">
        <v>6.13</v>
      </c>
    </row>
    <row r="6773" spans="1:6" x14ac:dyDescent="0.3">
      <c r="A6773" t="s">
        <v>11454</v>
      </c>
      <c r="B6773" t="s">
        <v>8387</v>
      </c>
      <c r="C6773" t="s">
        <v>8</v>
      </c>
      <c r="D6773">
        <v>91885669</v>
      </c>
      <c r="E6773">
        <v>15.4</v>
      </c>
      <c r="F6773">
        <v>7.04</v>
      </c>
    </row>
    <row r="6774" spans="1:6" x14ac:dyDescent="0.3">
      <c r="A6774" t="s">
        <v>11455</v>
      </c>
      <c r="B6774" t="s">
        <v>9788</v>
      </c>
      <c r="C6774" t="s">
        <v>8654</v>
      </c>
      <c r="D6774">
        <v>91904126</v>
      </c>
      <c r="E6774">
        <v>15.24</v>
      </c>
      <c r="F6774">
        <v>7</v>
      </c>
    </row>
    <row r="6775" spans="1:6" x14ac:dyDescent="0.3">
      <c r="A6775" t="s">
        <v>7229</v>
      </c>
      <c r="B6775" t="s">
        <v>8958</v>
      </c>
      <c r="C6775" t="s">
        <v>11456</v>
      </c>
      <c r="D6775">
        <v>91905480</v>
      </c>
      <c r="E6775">
        <v>2.61</v>
      </c>
      <c r="F6775">
        <v>7.31</v>
      </c>
    </row>
    <row r="6776" spans="1:6" x14ac:dyDescent="0.3">
      <c r="A6776" t="s">
        <v>11457</v>
      </c>
      <c r="B6776" t="s">
        <v>11458</v>
      </c>
      <c r="C6776" t="s">
        <v>6399</v>
      </c>
      <c r="D6776">
        <v>91905666</v>
      </c>
      <c r="E6776">
        <v>10.75</v>
      </c>
      <c r="F6776">
        <v>7.25</v>
      </c>
    </row>
    <row r="6777" spans="1:6" x14ac:dyDescent="0.3">
      <c r="A6777" t="s">
        <v>11459</v>
      </c>
      <c r="B6777" t="s">
        <v>11460</v>
      </c>
      <c r="C6777" t="s">
        <v>11461</v>
      </c>
      <c r="D6777">
        <v>91911747</v>
      </c>
      <c r="E6777">
        <v>18.13</v>
      </c>
      <c r="F6777">
        <v>8.23</v>
      </c>
    </row>
    <row r="6778" spans="1:6" x14ac:dyDescent="0.3">
      <c r="A6778" t="s">
        <v>11462</v>
      </c>
      <c r="B6778" t="s">
        <v>2070</v>
      </c>
      <c r="C6778" t="s">
        <v>173</v>
      </c>
      <c r="D6778">
        <v>91916496</v>
      </c>
      <c r="E6778">
        <v>3.64</v>
      </c>
      <c r="F6778">
        <v>7.09</v>
      </c>
    </row>
    <row r="6779" spans="1:6" x14ac:dyDescent="0.3">
      <c r="A6779" t="s">
        <v>11463</v>
      </c>
      <c r="B6779" t="s">
        <v>11464</v>
      </c>
      <c r="C6779" t="s">
        <v>11465</v>
      </c>
      <c r="D6779">
        <v>91937002</v>
      </c>
      <c r="E6779">
        <v>14.93</v>
      </c>
      <c r="F6779">
        <v>8.5299999999999994</v>
      </c>
    </row>
    <row r="6780" spans="1:6" x14ac:dyDescent="0.3">
      <c r="A6780" t="s">
        <v>11466</v>
      </c>
      <c r="B6780" t="s">
        <v>4936</v>
      </c>
      <c r="C6780" t="s">
        <v>8703</v>
      </c>
      <c r="D6780">
        <v>91942382</v>
      </c>
      <c r="E6780">
        <v>11.97</v>
      </c>
      <c r="F6780">
        <v>7.56</v>
      </c>
    </row>
    <row r="6781" spans="1:6" x14ac:dyDescent="0.3">
      <c r="A6781" t="s">
        <v>11467</v>
      </c>
      <c r="B6781" t="s">
        <v>11468</v>
      </c>
      <c r="C6781" t="s">
        <v>11469</v>
      </c>
      <c r="D6781">
        <v>91951174</v>
      </c>
      <c r="E6781">
        <v>14.83</v>
      </c>
      <c r="F6781">
        <v>6.55</v>
      </c>
    </row>
    <row r="6782" spans="1:6" x14ac:dyDescent="0.3">
      <c r="A6782" t="s">
        <v>11470</v>
      </c>
      <c r="B6782" t="s">
        <v>9663</v>
      </c>
      <c r="C6782" t="s">
        <v>6830</v>
      </c>
      <c r="D6782">
        <v>91966426</v>
      </c>
      <c r="E6782">
        <v>14.45</v>
      </c>
      <c r="F6782">
        <v>7.37</v>
      </c>
    </row>
    <row r="6783" spans="1:6" x14ac:dyDescent="0.3">
      <c r="A6783" t="s">
        <v>1373</v>
      </c>
      <c r="B6783" t="s">
        <v>8348</v>
      </c>
      <c r="C6783" t="s">
        <v>11471</v>
      </c>
      <c r="D6783">
        <v>91978794</v>
      </c>
      <c r="E6783">
        <v>3.22</v>
      </c>
      <c r="F6783">
        <v>5.96</v>
      </c>
    </row>
    <row r="6784" spans="1:6" x14ac:dyDescent="0.3">
      <c r="A6784" t="s">
        <v>11472</v>
      </c>
      <c r="B6784" t="s">
        <v>10330</v>
      </c>
      <c r="C6784" t="s">
        <v>741</v>
      </c>
      <c r="D6784">
        <v>91997233</v>
      </c>
      <c r="E6784">
        <v>8</v>
      </c>
      <c r="F6784">
        <v>8</v>
      </c>
    </row>
    <row r="6785" spans="1:6" x14ac:dyDescent="0.3">
      <c r="A6785" t="s">
        <v>11473</v>
      </c>
      <c r="B6785" t="s">
        <v>3427</v>
      </c>
      <c r="C6785" t="s">
        <v>11474</v>
      </c>
      <c r="D6785">
        <v>92033337</v>
      </c>
      <c r="E6785">
        <v>18</v>
      </c>
      <c r="F6785">
        <v>5.75</v>
      </c>
    </row>
    <row r="6786" spans="1:6" x14ac:dyDescent="0.3">
      <c r="A6786" t="s">
        <v>11475</v>
      </c>
      <c r="B6786" t="s">
        <v>8648</v>
      </c>
      <c r="C6786" t="s">
        <v>8301</v>
      </c>
      <c r="D6786">
        <v>92037672</v>
      </c>
      <c r="E6786">
        <v>13.29</v>
      </c>
      <c r="F6786">
        <v>8.61</v>
      </c>
    </row>
    <row r="6787" spans="1:6" x14ac:dyDescent="0.3">
      <c r="A6787" t="s">
        <v>11476</v>
      </c>
      <c r="B6787" t="s">
        <v>11477</v>
      </c>
      <c r="C6787" t="s">
        <v>3573</v>
      </c>
      <c r="D6787">
        <v>92053789</v>
      </c>
      <c r="E6787">
        <v>3.17</v>
      </c>
      <c r="F6787">
        <v>5.52</v>
      </c>
    </row>
    <row r="6788" spans="1:6" x14ac:dyDescent="0.3">
      <c r="A6788" t="s">
        <v>11478</v>
      </c>
      <c r="B6788" t="s">
        <v>11479</v>
      </c>
      <c r="C6788" t="s">
        <v>11480</v>
      </c>
      <c r="D6788">
        <v>92054469</v>
      </c>
      <c r="E6788">
        <v>14.41</v>
      </c>
      <c r="F6788">
        <v>5.33</v>
      </c>
    </row>
    <row r="6789" spans="1:6" x14ac:dyDescent="0.3">
      <c r="A6789" t="s">
        <v>11481</v>
      </c>
      <c r="B6789" t="s">
        <v>11482</v>
      </c>
      <c r="C6789" t="s">
        <v>5859</v>
      </c>
      <c r="D6789">
        <v>92056601</v>
      </c>
      <c r="E6789">
        <v>22.4</v>
      </c>
      <c r="F6789">
        <v>4.2</v>
      </c>
    </row>
    <row r="6790" spans="1:6" x14ac:dyDescent="0.3">
      <c r="A6790" t="s">
        <v>11483</v>
      </c>
      <c r="B6790" t="s">
        <v>11484</v>
      </c>
      <c r="C6790" t="s">
        <v>989</v>
      </c>
      <c r="D6790">
        <v>92059774</v>
      </c>
      <c r="E6790">
        <v>5.08</v>
      </c>
      <c r="F6790">
        <v>7.14</v>
      </c>
    </row>
    <row r="6791" spans="1:6" x14ac:dyDescent="0.3">
      <c r="A6791" t="s">
        <v>11485</v>
      </c>
      <c r="B6791" t="s">
        <v>1053</v>
      </c>
      <c r="C6791" t="s">
        <v>11486</v>
      </c>
      <c r="D6791">
        <v>92093417</v>
      </c>
      <c r="E6791">
        <v>20.93</v>
      </c>
      <c r="F6791">
        <v>6.47</v>
      </c>
    </row>
    <row r="6792" spans="1:6" x14ac:dyDescent="0.3">
      <c r="A6792" t="s">
        <v>11487</v>
      </c>
      <c r="B6792" t="s">
        <v>9200</v>
      </c>
      <c r="C6792" t="s">
        <v>782</v>
      </c>
      <c r="D6792">
        <v>92111845</v>
      </c>
      <c r="E6792">
        <v>16.07</v>
      </c>
      <c r="F6792">
        <v>8.61</v>
      </c>
    </row>
    <row r="6793" spans="1:6" x14ac:dyDescent="0.3">
      <c r="A6793" t="s">
        <v>11488</v>
      </c>
      <c r="B6793" t="s">
        <v>7523</v>
      </c>
      <c r="C6793" t="s">
        <v>2220</v>
      </c>
      <c r="D6793">
        <v>92124051</v>
      </c>
      <c r="E6793">
        <v>6.33</v>
      </c>
      <c r="F6793">
        <v>6.25</v>
      </c>
    </row>
    <row r="6794" spans="1:6" x14ac:dyDescent="0.3">
      <c r="A6794" t="s">
        <v>11489</v>
      </c>
      <c r="B6794" t="s">
        <v>11490</v>
      </c>
      <c r="C6794" t="s">
        <v>4291</v>
      </c>
      <c r="D6794">
        <v>92128198</v>
      </c>
      <c r="E6794">
        <v>21.72</v>
      </c>
      <c r="F6794">
        <v>7.24</v>
      </c>
    </row>
    <row r="6795" spans="1:6" x14ac:dyDescent="0.3">
      <c r="A6795" t="s">
        <v>11491</v>
      </c>
      <c r="B6795" t="s">
        <v>11492</v>
      </c>
      <c r="C6795" t="s">
        <v>11493</v>
      </c>
      <c r="D6795">
        <v>92130264</v>
      </c>
      <c r="E6795">
        <v>6.29</v>
      </c>
      <c r="F6795">
        <v>8</v>
      </c>
    </row>
    <row r="6796" spans="1:6" x14ac:dyDescent="0.3">
      <c r="A6796" t="s">
        <v>6698</v>
      </c>
      <c r="B6796" t="s">
        <v>11494</v>
      </c>
      <c r="C6796" t="s">
        <v>3391</v>
      </c>
      <c r="D6796">
        <v>92132505</v>
      </c>
      <c r="E6796">
        <v>32</v>
      </c>
      <c r="F6796">
        <v>8</v>
      </c>
    </row>
    <row r="6797" spans="1:6" x14ac:dyDescent="0.3">
      <c r="A6797" t="s">
        <v>11495</v>
      </c>
      <c r="B6797" t="s">
        <v>11496</v>
      </c>
      <c r="C6797" t="s">
        <v>5212</v>
      </c>
      <c r="D6797">
        <v>92188454</v>
      </c>
      <c r="E6797">
        <v>5.64</v>
      </c>
      <c r="F6797">
        <v>5.75</v>
      </c>
    </row>
    <row r="6798" spans="1:6" x14ac:dyDescent="0.3">
      <c r="A6798" t="s">
        <v>11497</v>
      </c>
      <c r="B6798" t="s">
        <v>7626</v>
      </c>
      <c r="C6798" t="s">
        <v>11498</v>
      </c>
      <c r="D6798">
        <v>92188591</v>
      </c>
      <c r="E6798">
        <v>14.86</v>
      </c>
      <c r="F6798">
        <v>6.05</v>
      </c>
    </row>
    <row r="6799" spans="1:6" x14ac:dyDescent="0.3">
      <c r="A6799" t="s">
        <v>11499</v>
      </c>
      <c r="B6799" t="s">
        <v>4613</v>
      </c>
      <c r="C6799" t="s">
        <v>11500</v>
      </c>
      <c r="D6799">
        <v>92188855</v>
      </c>
      <c r="E6799">
        <v>14.06</v>
      </c>
      <c r="F6799">
        <v>8.6300000000000008</v>
      </c>
    </row>
    <row r="6800" spans="1:6" x14ac:dyDescent="0.3">
      <c r="A6800" t="s">
        <v>11501</v>
      </c>
      <c r="B6800" t="s">
        <v>10341</v>
      </c>
      <c r="C6800" t="s">
        <v>2487</v>
      </c>
      <c r="D6800">
        <v>92215926</v>
      </c>
      <c r="E6800">
        <v>19.600000000000001</v>
      </c>
      <c r="F6800">
        <v>6.8</v>
      </c>
    </row>
    <row r="6801" spans="1:6" x14ac:dyDescent="0.3">
      <c r="A6801" t="s">
        <v>11502</v>
      </c>
      <c r="B6801" t="s">
        <v>11503</v>
      </c>
      <c r="C6801" t="s">
        <v>8991</v>
      </c>
      <c r="D6801">
        <v>92216497</v>
      </c>
      <c r="E6801">
        <v>6.91</v>
      </c>
      <c r="F6801">
        <v>7.06</v>
      </c>
    </row>
    <row r="6802" spans="1:6" x14ac:dyDescent="0.3">
      <c r="A6802" t="s">
        <v>11504</v>
      </c>
      <c r="B6802" t="s">
        <v>7104</v>
      </c>
      <c r="C6802" t="s">
        <v>4573</v>
      </c>
      <c r="D6802">
        <v>92222352</v>
      </c>
      <c r="E6802">
        <v>1.78</v>
      </c>
      <c r="F6802">
        <v>7.39</v>
      </c>
    </row>
    <row r="6803" spans="1:6" x14ac:dyDescent="0.3">
      <c r="A6803" t="s">
        <v>11505</v>
      </c>
      <c r="B6803" t="s">
        <v>10084</v>
      </c>
      <c r="C6803" t="s">
        <v>65</v>
      </c>
      <c r="D6803">
        <v>92245045</v>
      </c>
      <c r="E6803">
        <v>23.33</v>
      </c>
      <c r="F6803">
        <v>9</v>
      </c>
    </row>
    <row r="6804" spans="1:6" x14ac:dyDescent="0.3">
      <c r="A6804" t="s">
        <v>11506</v>
      </c>
      <c r="B6804" t="s">
        <v>11507</v>
      </c>
      <c r="C6804" t="s">
        <v>11508</v>
      </c>
      <c r="D6804">
        <v>92250199</v>
      </c>
      <c r="E6804">
        <v>19.670000000000002</v>
      </c>
      <c r="F6804">
        <v>8.5</v>
      </c>
    </row>
    <row r="6805" spans="1:6" x14ac:dyDescent="0.3">
      <c r="A6805" t="s">
        <v>11509</v>
      </c>
      <c r="B6805" t="s">
        <v>11510</v>
      </c>
      <c r="C6805" t="s">
        <v>11511</v>
      </c>
      <c r="D6805">
        <v>92268894</v>
      </c>
      <c r="E6805">
        <v>8.1999999999999993</v>
      </c>
      <c r="F6805">
        <v>6.5</v>
      </c>
    </row>
    <row r="6806" spans="1:6" x14ac:dyDescent="0.3">
      <c r="A6806" t="s">
        <v>11512</v>
      </c>
      <c r="B6806" t="s">
        <v>10295</v>
      </c>
      <c r="C6806" t="s">
        <v>11513</v>
      </c>
      <c r="D6806">
        <v>92270379</v>
      </c>
      <c r="E6806">
        <v>4.0199999999999996</v>
      </c>
      <c r="F6806">
        <v>6.36</v>
      </c>
    </row>
    <row r="6807" spans="1:6" x14ac:dyDescent="0.3">
      <c r="A6807" t="s">
        <v>11514</v>
      </c>
      <c r="B6807" t="s">
        <v>7604</v>
      </c>
      <c r="C6807" t="s">
        <v>11515</v>
      </c>
      <c r="D6807">
        <v>92275315</v>
      </c>
      <c r="E6807">
        <v>2.88</v>
      </c>
      <c r="F6807">
        <v>8.1999999999999993</v>
      </c>
    </row>
    <row r="6808" spans="1:6" x14ac:dyDescent="0.3">
      <c r="A6808" t="s">
        <v>11516</v>
      </c>
      <c r="B6808" t="s">
        <v>9446</v>
      </c>
      <c r="C6808" t="s">
        <v>11517</v>
      </c>
      <c r="D6808">
        <v>92276415</v>
      </c>
      <c r="E6808">
        <v>16.899999999999999</v>
      </c>
      <c r="F6808">
        <v>7.61</v>
      </c>
    </row>
    <row r="6809" spans="1:6" x14ac:dyDescent="0.3">
      <c r="A6809" t="s">
        <v>11518</v>
      </c>
      <c r="B6809" t="s">
        <v>7980</v>
      </c>
      <c r="C6809" t="s">
        <v>7441</v>
      </c>
      <c r="D6809">
        <v>92282174</v>
      </c>
      <c r="E6809">
        <v>18.329999999999998</v>
      </c>
      <c r="F6809">
        <v>1.67</v>
      </c>
    </row>
    <row r="6810" spans="1:6" x14ac:dyDescent="0.3">
      <c r="A6810" t="s">
        <v>11519</v>
      </c>
      <c r="B6810" t="s">
        <v>10656</v>
      </c>
      <c r="C6810" t="s">
        <v>1719</v>
      </c>
      <c r="D6810">
        <v>92287510</v>
      </c>
      <c r="E6810">
        <v>23.06</v>
      </c>
      <c r="F6810">
        <v>7.17</v>
      </c>
    </row>
    <row r="6811" spans="1:6" x14ac:dyDescent="0.3">
      <c r="A6811" t="s">
        <v>11520</v>
      </c>
      <c r="B6811" t="s">
        <v>6171</v>
      </c>
      <c r="C6811" t="s">
        <v>11521</v>
      </c>
      <c r="D6811">
        <v>92293659</v>
      </c>
      <c r="E6811">
        <v>2.21</v>
      </c>
      <c r="F6811">
        <v>5.92</v>
      </c>
    </row>
    <row r="6812" spans="1:6" x14ac:dyDescent="0.3">
      <c r="A6812" t="s">
        <v>11522</v>
      </c>
      <c r="B6812" t="s">
        <v>10189</v>
      </c>
      <c r="C6812" t="s">
        <v>11523</v>
      </c>
      <c r="D6812">
        <v>92298045</v>
      </c>
      <c r="E6812">
        <v>1.1599999999999999</v>
      </c>
      <c r="F6812">
        <v>7.79</v>
      </c>
    </row>
    <row r="6813" spans="1:6" x14ac:dyDescent="0.3">
      <c r="A6813" t="s">
        <v>11524</v>
      </c>
      <c r="B6813" t="s">
        <v>8701</v>
      </c>
      <c r="C6813" t="s">
        <v>10807</v>
      </c>
      <c r="D6813">
        <v>92299078</v>
      </c>
      <c r="E6813">
        <v>3.88</v>
      </c>
      <c r="F6813">
        <v>7.59</v>
      </c>
    </row>
    <row r="6814" spans="1:6" x14ac:dyDescent="0.3">
      <c r="A6814" t="s">
        <v>11525</v>
      </c>
      <c r="B6814" t="s">
        <v>11526</v>
      </c>
      <c r="C6814" t="s">
        <v>6715</v>
      </c>
      <c r="D6814">
        <v>92299438</v>
      </c>
      <c r="E6814">
        <v>21.89</v>
      </c>
      <c r="F6814">
        <v>7.83</v>
      </c>
    </row>
    <row r="6815" spans="1:6" x14ac:dyDescent="0.3">
      <c r="A6815" t="s">
        <v>11527</v>
      </c>
      <c r="B6815" t="s">
        <v>11528</v>
      </c>
      <c r="C6815" t="s">
        <v>727</v>
      </c>
      <c r="D6815">
        <v>92310374</v>
      </c>
      <c r="E6815">
        <v>3.58</v>
      </c>
      <c r="F6815">
        <v>7.84</v>
      </c>
    </row>
    <row r="6816" spans="1:6" x14ac:dyDescent="0.3">
      <c r="A6816" t="s">
        <v>11529</v>
      </c>
      <c r="B6816" t="s">
        <v>11530</v>
      </c>
      <c r="C6816" t="s">
        <v>1111</v>
      </c>
      <c r="D6816">
        <v>92339490</v>
      </c>
      <c r="E6816">
        <v>7.82</v>
      </c>
      <c r="F6816">
        <v>9.52</v>
      </c>
    </row>
    <row r="6817" spans="1:6" x14ac:dyDescent="0.3">
      <c r="A6817" t="s">
        <v>11531</v>
      </c>
      <c r="B6817" t="s">
        <v>8013</v>
      </c>
      <c r="C6817" t="s">
        <v>6173</v>
      </c>
      <c r="D6817">
        <v>92354338</v>
      </c>
      <c r="E6817">
        <v>4.63</v>
      </c>
      <c r="F6817">
        <v>7.75</v>
      </c>
    </row>
    <row r="6818" spans="1:6" x14ac:dyDescent="0.3">
      <c r="A6818" t="s">
        <v>3555</v>
      </c>
      <c r="B6818" t="s">
        <v>4686</v>
      </c>
      <c r="C6818" t="s">
        <v>3555</v>
      </c>
      <c r="D6818">
        <v>92362284</v>
      </c>
      <c r="E6818">
        <v>21.11</v>
      </c>
      <c r="F6818">
        <v>8</v>
      </c>
    </row>
    <row r="6819" spans="1:6" x14ac:dyDescent="0.3">
      <c r="A6819" t="s">
        <v>11532</v>
      </c>
      <c r="B6819" t="s">
        <v>11533</v>
      </c>
      <c r="C6819" t="s">
        <v>11534</v>
      </c>
      <c r="D6819">
        <v>92389569</v>
      </c>
      <c r="E6819">
        <v>15.87</v>
      </c>
      <c r="F6819">
        <v>8.3699999999999992</v>
      </c>
    </row>
    <row r="6820" spans="1:6" x14ac:dyDescent="0.3">
      <c r="A6820" t="s">
        <v>11535</v>
      </c>
      <c r="B6820" t="s">
        <v>6226</v>
      </c>
      <c r="C6820" t="s">
        <v>2229</v>
      </c>
      <c r="D6820">
        <v>92405538</v>
      </c>
      <c r="E6820">
        <v>5.78</v>
      </c>
      <c r="F6820">
        <v>6.22</v>
      </c>
    </row>
    <row r="6821" spans="1:6" x14ac:dyDescent="0.3">
      <c r="A6821" t="s">
        <v>11536</v>
      </c>
      <c r="B6821" t="s">
        <v>4005</v>
      </c>
      <c r="C6821" t="s">
        <v>6928</v>
      </c>
      <c r="D6821">
        <v>92416762</v>
      </c>
      <c r="E6821">
        <v>10.85</v>
      </c>
      <c r="F6821">
        <v>8.56</v>
      </c>
    </row>
    <row r="6822" spans="1:6" x14ac:dyDescent="0.3">
      <c r="A6822" t="s">
        <v>11537</v>
      </c>
      <c r="B6822" t="s">
        <v>11538</v>
      </c>
      <c r="C6822" t="s">
        <v>11537</v>
      </c>
      <c r="D6822">
        <v>92417063</v>
      </c>
      <c r="E6822">
        <v>5.03</v>
      </c>
      <c r="F6822">
        <v>7.27</v>
      </c>
    </row>
    <row r="6823" spans="1:6" x14ac:dyDescent="0.3">
      <c r="A6823" t="s">
        <v>11539</v>
      </c>
      <c r="B6823" t="s">
        <v>8124</v>
      </c>
      <c r="C6823" t="s">
        <v>11540</v>
      </c>
      <c r="D6823">
        <v>92418993</v>
      </c>
      <c r="E6823">
        <v>3.73</v>
      </c>
      <c r="F6823">
        <v>6.97</v>
      </c>
    </row>
    <row r="6824" spans="1:6" x14ac:dyDescent="0.3">
      <c r="A6824" t="s">
        <v>11541</v>
      </c>
      <c r="B6824" t="s">
        <v>7261</v>
      </c>
      <c r="C6824" t="s">
        <v>6994</v>
      </c>
      <c r="D6824">
        <v>92427741</v>
      </c>
      <c r="E6824">
        <v>2.73</v>
      </c>
      <c r="F6824">
        <v>6.02</v>
      </c>
    </row>
    <row r="6825" spans="1:6" x14ac:dyDescent="0.3">
      <c r="A6825" t="s">
        <v>11542</v>
      </c>
      <c r="B6825" t="s">
        <v>11543</v>
      </c>
      <c r="C6825" t="s">
        <v>11544</v>
      </c>
      <c r="D6825">
        <v>92453242</v>
      </c>
      <c r="E6825">
        <v>22</v>
      </c>
      <c r="F6825">
        <v>10</v>
      </c>
    </row>
    <row r="6826" spans="1:6" x14ac:dyDescent="0.3">
      <c r="A6826" t="s">
        <v>11545</v>
      </c>
      <c r="B6826" t="s">
        <v>4019</v>
      </c>
      <c r="C6826" t="s">
        <v>3158</v>
      </c>
      <c r="D6826">
        <v>92466083</v>
      </c>
      <c r="E6826">
        <v>32</v>
      </c>
      <c r="F6826">
        <v>8.67</v>
      </c>
    </row>
    <row r="6827" spans="1:6" x14ac:dyDescent="0.3">
      <c r="A6827" t="s">
        <v>11546</v>
      </c>
      <c r="B6827" t="s">
        <v>7676</v>
      </c>
      <c r="C6827" t="s">
        <v>11547</v>
      </c>
      <c r="D6827">
        <v>92473158</v>
      </c>
      <c r="E6827">
        <v>22</v>
      </c>
      <c r="F6827">
        <v>7</v>
      </c>
    </row>
    <row r="6828" spans="1:6" x14ac:dyDescent="0.3">
      <c r="A6828" t="s">
        <v>11548</v>
      </c>
      <c r="B6828" t="s">
        <v>8421</v>
      </c>
      <c r="C6828" t="s">
        <v>11549</v>
      </c>
      <c r="D6828">
        <v>92489781</v>
      </c>
      <c r="E6828">
        <v>7</v>
      </c>
      <c r="F6828">
        <v>6.57</v>
      </c>
    </row>
    <row r="6829" spans="1:6" x14ac:dyDescent="0.3">
      <c r="A6829" t="s">
        <v>11550</v>
      </c>
      <c r="B6829" t="s">
        <v>5616</v>
      </c>
      <c r="C6829" t="s">
        <v>11551</v>
      </c>
      <c r="D6829">
        <v>92538968</v>
      </c>
      <c r="E6829">
        <v>29.5</v>
      </c>
      <c r="F6829">
        <v>10</v>
      </c>
    </row>
    <row r="6830" spans="1:6" x14ac:dyDescent="0.3">
      <c r="A6830" t="s">
        <v>11552</v>
      </c>
      <c r="B6830" t="s">
        <v>11553</v>
      </c>
      <c r="C6830" t="s">
        <v>222</v>
      </c>
      <c r="D6830">
        <v>92546101</v>
      </c>
      <c r="E6830">
        <v>2.1800000000000002</v>
      </c>
      <c r="F6830">
        <v>6.87</v>
      </c>
    </row>
    <row r="6831" spans="1:6" x14ac:dyDescent="0.3">
      <c r="A6831" t="s">
        <v>5227</v>
      </c>
      <c r="B6831" t="s">
        <v>6871</v>
      </c>
      <c r="C6831" t="s">
        <v>925</v>
      </c>
      <c r="D6831">
        <v>92548253</v>
      </c>
      <c r="E6831">
        <v>26</v>
      </c>
      <c r="F6831">
        <v>8</v>
      </c>
    </row>
    <row r="6832" spans="1:6" x14ac:dyDescent="0.3">
      <c r="A6832" t="s">
        <v>11554</v>
      </c>
      <c r="B6832" t="s">
        <v>10145</v>
      </c>
      <c r="C6832" t="s">
        <v>11083</v>
      </c>
      <c r="D6832">
        <v>92556312</v>
      </c>
      <c r="E6832">
        <v>4.26</v>
      </c>
      <c r="F6832">
        <v>7.92</v>
      </c>
    </row>
    <row r="6833" spans="1:6" x14ac:dyDescent="0.3">
      <c r="A6833" t="s">
        <v>11555</v>
      </c>
      <c r="B6833" t="s">
        <v>10861</v>
      </c>
      <c r="C6833" t="s">
        <v>11556</v>
      </c>
      <c r="D6833">
        <v>92567334</v>
      </c>
      <c r="E6833">
        <v>2.92</v>
      </c>
      <c r="F6833">
        <v>6.45</v>
      </c>
    </row>
    <row r="6834" spans="1:6" x14ac:dyDescent="0.3">
      <c r="A6834" t="s">
        <v>11557</v>
      </c>
      <c r="B6834" t="s">
        <v>5163</v>
      </c>
      <c r="C6834" t="s">
        <v>11558</v>
      </c>
      <c r="D6834">
        <v>92578034</v>
      </c>
      <c r="E6834">
        <v>6.17</v>
      </c>
      <c r="F6834">
        <v>3.5</v>
      </c>
    </row>
    <row r="6835" spans="1:6" x14ac:dyDescent="0.3">
      <c r="A6835" t="s">
        <v>6054</v>
      </c>
      <c r="B6835" t="s">
        <v>6556</v>
      </c>
      <c r="C6835" t="s">
        <v>977</v>
      </c>
      <c r="D6835">
        <v>92583725</v>
      </c>
      <c r="E6835" t="s">
        <v>3814</v>
      </c>
      <c r="F6835" t="s">
        <v>3814</v>
      </c>
    </row>
    <row r="6836" spans="1:6" x14ac:dyDescent="0.3">
      <c r="A6836" t="s">
        <v>11559</v>
      </c>
      <c r="B6836" t="s">
        <v>3283</v>
      </c>
      <c r="C6836" t="s">
        <v>9585</v>
      </c>
      <c r="D6836">
        <v>92601775</v>
      </c>
      <c r="E6836">
        <v>8.81</v>
      </c>
      <c r="F6836">
        <v>6.82</v>
      </c>
    </row>
    <row r="6837" spans="1:6" x14ac:dyDescent="0.3">
      <c r="A6837" t="s">
        <v>11560</v>
      </c>
      <c r="B6837" t="s">
        <v>11561</v>
      </c>
      <c r="C6837" t="s">
        <v>8550</v>
      </c>
      <c r="D6837">
        <v>92643108</v>
      </c>
      <c r="E6837">
        <v>11.59</v>
      </c>
      <c r="F6837">
        <v>5.88</v>
      </c>
    </row>
    <row r="6838" spans="1:6" x14ac:dyDescent="0.3">
      <c r="A6838" t="s">
        <v>11562</v>
      </c>
      <c r="B6838" t="s">
        <v>4154</v>
      </c>
      <c r="C6838" t="s">
        <v>1452</v>
      </c>
      <c r="D6838">
        <v>92643426</v>
      </c>
      <c r="E6838">
        <v>16.23</v>
      </c>
      <c r="F6838">
        <v>7.36</v>
      </c>
    </row>
    <row r="6839" spans="1:6" x14ac:dyDescent="0.3">
      <c r="A6839" t="s">
        <v>11563</v>
      </c>
      <c r="B6839" t="s">
        <v>11564</v>
      </c>
      <c r="C6839" t="s">
        <v>11565</v>
      </c>
      <c r="D6839">
        <v>92656633</v>
      </c>
      <c r="E6839">
        <v>3.37</v>
      </c>
      <c r="F6839">
        <v>7.05</v>
      </c>
    </row>
    <row r="6840" spans="1:6" x14ac:dyDescent="0.3">
      <c r="A6840" t="s">
        <v>11566</v>
      </c>
      <c r="B6840" t="s">
        <v>9509</v>
      </c>
      <c r="C6840" t="s">
        <v>11566</v>
      </c>
      <c r="D6840">
        <v>92658106</v>
      </c>
      <c r="E6840">
        <v>1.57</v>
      </c>
      <c r="F6840">
        <v>8.7200000000000006</v>
      </c>
    </row>
    <row r="6841" spans="1:6" x14ac:dyDescent="0.3">
      <c r="A6841" t="s">
        <v>11567</v>
      </c>
      <c r="B6841" t="s">
        <v>9790</v>
      </c>
      <c r="C6841" t="s">
        <v>8632</v>
      </c>
      <c r="D6841">
        <v>92678316</v>
      </c>
      <c r="E6841">
        <v>2.59</v>
      </c>
      <c r="F6841">
        <v>7.15</v>
      </c>
    </row>
    <row r="6842" spans="1:6" x14ac:dyDescent="0.3">
      <c r="A6842" t="s">
        <v>5403</v>
      </c>
      <c r="B6842" t="s">
        <v>9423</v>
      </c>
      <c r="C6842" t="s">
        <v>11568</v>
      </c>
      <c r="D6842">
        <v>92682733</v>
      </c>
      <c r="E6842">
        <v>14.97</v>
      </c>
      <c r="F6842">
        <v>7.48</v>
      </c>
    </row>
    <row r="6843" spans="1:6" x14ac:dyDescent="0.3">
      <c r="A6843" t="s">
        <v>11569</v>
      </c>
      <c r="B6843" t="s">
        <v>11570</v>
      </c>
      <c r="C6843" t="s">
        <v>11571</v>
      </c>
      <c r="D6843">
        <v>92686992</v>
      </c>
      <c r="E6843">
        <v>2.25</v>
      </c>
      <c r="F6843">
        <v>6.74</v>
      </c>
    </row>
    <row r="6844" spans="1:6" x14ac:dyDescent="0.3">
      <c r="A6844" t="s">
        <v>6634</v>
      </c>
      <c r="B6844" t="s">
        <v>3627</v>
      </c>
      <c r="C6844" t="s">
        <v>6783</v>
      </c>
      <c r="D6844">
        <v>92704715</v>
      </c>
      <c r="E6844">
        <v>15.37</v>
      </c>
      <c r="F6844">
        <v>8.59</v>
      </c>
    </row>
    <row r="6845" spans="1:6" x14ac:dyDescent="0.3">
      <c r="A6845" t="s">
        <v>11572</v>
      </c>
      <c r="B6845" t="s">
        <v>9596</v>
      </c>
      <c r="C6845" t="s">
        <v>5861</v>
      </c>
      <c r="D6845">
        <v>92706714</v>
      </c>
      <c r="E6845">
        <v>12.56</v>
      </c>
      <c r="F6845">
        <v>8.6</v>
      </c>
    </row>
    <row r="6846" spans="1:6" x14ac:dyDescent="0.3">
      <c r="A6846" t="s">
        <v>11573</v>
      </c>
      <c r="B6846" t="s">
        <v>4184</v>
      </c>
      <c r="C6846" t="s">
        <v>10590</v>
      </c>
      <c r="D6846">
        <v>92712922</v>
      </c>
      <c r="E6846">
        <v>2.2400000000000002</v>
      </c>
      <c r="F6846">
        <v>6.87</v>
      </c>
    </row>
    <row r="6847" spans="1:6" x14ac:dyDescent="0.3">
      <c r="A6847" t="s">
        <v>11574</v>
      </c>
      <c r="B6847" t="s">
        <v>5654</v>
      </c>
      <c r="C6847" t="s">
        <v>11575</v>
      </c>
      <c r="D6847">
        <v>92713152</v>
      </c>
      <c r="E6847">
        <v>1.77</v>
      </c>
      <c r="F6847">
        <v>7.69</v>
      </c>
    </row>
    <row r="6848" spans="1:6" x14ac:dyDescent="0.3">
      <c r="A6848" t="s">
        <v>11576</v>
      </c>
      <c r="B6848" t="s">
        <v>11577</v>
      </c>
      <c r="C6848" t="s">
        <v>11578</v>
      </c>
      <c r="D6848">
        <v>92716951</v>
      </c>
      <c r="E6848">
        <v>1.03</v>
      </c>
      <c r="F6848">
        <v>6.76</v>
      </c>
    </row>
    <row r="6849" spans="1:6" x14ac:dyDescent="0.3">
      <c r="A6849" t="s">
        <v>11579</v>
      </c>
      <c r="B6849" t="s">
        <v>9611</v>
      </c>
      <c r="C6849" t="s">
        <v>11580</v>
      </c>
      <c r="D6849">
        <v>92718050</v>
      </c>
      <c r="E6849">
        <v>6.19</v>
      </c>
      <c r="F6849">
        <v>7</v>
      </c>
    </row>
    <row r="6850" spans="1:6" x14ac:dyDescent="0.3">
      <c r="A6850" t="s">
        <v>11581</v>
      </c>
      <c r="B6850" t="s">
        <v>9752</v>
      </c>
      <c r="C6850" t="s">
        <v>11582</v>
      </c>
      <c r="D6850">
        <v>92719108</v>
      </c>
      <c r="E6850">
        <v>16.5</v>
      </c>
      <c r="F6850">
        <v>8</v>
      </c>
    </row>
    <row r="6851" spans="1:6" x14ac:dyDescent="0.3">
      <c r="A6851" t="s">
        <v>11583</v>
      </c>
      <c r="B6851" t="s">
        <v>11584</v>
      </c>
      <c r="C6851" t="s">
        <v>11585</v>
      </c>
      <c r="D6851">
        <v>92722855</v>
      </c>
      <c r="E6851">
        <v>1.98</v>
      </c>
      <c r="F6851">
        <v>7.29</v>
      </c>
    </row>
    <row r="6852" spans="1:6" x14ac:dyDescent="0.3">
      <c r="A6852" t="s">
        <v>11586</v>
      </c>
      <c r="B6852" t="s">
        <v>9111</v>
      </c>
      <c r="C6852" t="s">
        <v>11587</v>
      </c>
      <c r="D6852">
        <v>92727342</v>
      </c>
      <c r="E6852">
        <v>5.1100000000000003</v>
      </c>
      <c r="F6852">
        <v>7.21</v>
      </c>
    </row>
    <row r="6853" spans="1:6" x14ac:dyDescent="0.3">
      <c r="A6853" t="s">
        <v>11588</v>
      </c>
      <c r="B6853" t="s">
        <v>11589</v>
      </c>
      <c r="C6853" t="s">
        <v>8820</v>
      </c>
      <c r="D6853">
        <v>92729757</v>
      </c>
      <c r="E6853">
        <v>20.84</v>
      </c>
      <c r="F6853">
        <v>7.2</v>
      </c>
    </row>
    <row r="6854" spans="1:6" x14ac:dyDescent="0.3">
      <c r="A6854" t="s">
        <v>11590</v>
      </c>
      <c r="B6854" t="s">
        <v>11591</v>
      </c>
      <c r="C6854" t="s">
        <v>8589</v>
      </c>
      <c r="D6854">
        <v>92730302</v>
      </c>
      <c r="E6854">
        <v>4.08</v>
      </c>
      <c r="F6854">
        <v>7.71</v>
      </c>
    </row>
    <row r="6855" spans="1:6" x14ac:dyDescent="0.3">
      <c r="A6855" t="s">
        <v>11592</v>
      </c>
      <c r="B6855" t="s">
        <v>5928</v>
      </c>
      <c r="C6855" t="s">
        <v>11593</v>
      </c>
      <c r="D6855">
        <v>92742742</v>
      </c>
      <c r="E6855">
        <v>10.34</v>
      </c>
      <c r="F6855">
        <v>7.43</v>
      </c>
    </row>
    <row r="6856" spans="1:6" x14ac:dyDescent="0.3">
      <c r="A6856" t="s">
        <v>11594</v>
      </c>
      <c r="B6856" t="s">
        <v>7037</v>
      </c>
      <c r="C6856" t="s">
        <v>11595</v>
      </c>
      <c r="D6856">
        <v>92744725</v>
      </c>
      <c r="E6856">
        <v>20</v>
      </c>
      <c r="F6856">
        <v>7.96</v>
      </c>
    </row>
    <row r="6857" spans="1:6" x14ac:dyDescent="0.3">
      <c r="A6857" t="s">
        <v>11596</v>
      </c>
      <c r="B6857" t="s">
        <v>8201</v>
      </c>
      <c r="C6857" t="s">
        <v>820</v>
      </c>
      <c r="D6857">
        <v>92751949</v>
      </c>
      <c r="E6857">
        <v>14.07</v>
      </c>
      <c r="F6857">
        <v>8.0399999999999991</v>
      </c>
    </row>
    <row r="6858" spans="1:6" x14ac:dyDescent="0.3">
      <c r="A6858" t="s">
        <v>7179</v>
      </c>
      <c r="B6858" t="s">
        <v>10489</v>
      </c>
      <c r="C6858" t="s">
        <v>4212</v>
      </c>
      <c r="D6858">
        <v>92754566</v>
      </c>
      <c r="E6858">
        <v>1.06</v>
      </c>
      <c r="F6858">
        <v>7.28</v>
      </c>
    </row>
    <row r="6859" spans="1:6" x14ac:dyDescent="0.3">
      <c r="A6859" t="s">
        <v>11597</v>
      </c>
      <c r="B6859" t="s">
        <v>11598</v>
      </c>
      <c r="C6859" t="s">
        <v>727</v>
      </c>
      <c r="D6859">
        <v>92764184</v>
      </c>
      <c r="E6859">
        <v>17.43</v>
      </c>
      <c r="F6859">
        <v>7.5</v>
      </c>
    </row>
    <row r="6860" spans="1:6" x14ac:dyDescent="0.3">
      <c r="A6860" t="s">
        <v>11599</v>
      </c>
      <c r="B6860" t="s">
        <v>1265</v>
      </c>
      <c r="C6860" t="s">
        <v>11600</v>
      </c>
      <c r="D6860">
        <v>92766615</v>
      </c>
      <c r="E6860">
        <v>25</v>
      </c>
      <c r="F6860">
        <v>7</v>
      </c>
    </row>
    <row r="6861" spans="1:6" x14ac:dyDescent="0.3">
      <c r="A6861" t="s">
        <v>11601</v>
      </c>
      <c r="B6861" t="s">
        <v>11602</v>
      </c>
      <c r="C6861" t="s">
        <v>4247</v>
      </c>
      <c r="D6861">
        <v>92770640</v>
      </c>
      <c r="E6861">
        <v>5.38</v>
      </c>
      <c r="F6861">
        <v>5.71</v>
      </c>
    </row>
    <row r="6862" spans="1:6" x14ac:dyDescent="0.3">
      <c r="A6862" t="s">
        <v>11603</v>
      </c>
      <c r="B6862" t="s">
        <v>2203</v>
      </c>
      <c r="C6862" t="s">
        <v>1737</v>
      </c>
      <c r="D6862">
        <v>92776747</v>
      </c>
      <c r="E6862">
        <v>3.78</v>
      </c>
      <c r="F6862">
        <v>6.11</v>
      </c>
    </row>
    <row r="6863" spans="1:6" x14ac:dyDescent="0.3">
      <c r="A6863" t="s">
        <v>11604</v>
      </c>
      <c r="B6863" t="s">
        <v>8565</v>
      </c>
      <c r="C6863" t="s">
        <v>9657</v>
      </c>
      <c r="D6863">
        <v>92782493</v>
      </c>
      <c r="E6863">
        <v>20.98</v>
      </c>
      <c r="F6863">
        <v>7.17</v>
      </c>
    </row>
    <row r="6864" spans="1:6" x14ac:dyDescent="0.3">
      <c r="A6864" t="s">
        <v>10773</v>
      </c>
      <c r="B6864" t="s">
        <v>11605</v>
      </c>
      <c r="C6864" t="s">
        <v>11606</v>
      </c>
      <c r="D6864">
        <v>92784581</v>
      </c>
      <c r="E6864">
        <v>6.68</v>
      </c>
      <c r="F6864">
        <v>7.05</v>
      </c>
    </row>
    <row r="6865" spans="1:6" x14ac:dyDescent="0.3">
      <c r="A6865" t="s">
        <v>11607</v>
      </c>
      <c r="B6865" t="s">
        <v>9207</v>
      </c>
      <c r="C6865" t="s">
        <v>11608</v>
      </c>
      <c r="D6865">
        <v>92788300</v>
      </c>
      <c r="E6865">
        <v>23.22</v>
      </c>
      <c r="F6865">
        <v>8.6300000000000008</v>
      </c>
    </row>
    <row r="6866" spans="1:6" x14ac:dyDescent="0.3">
      <c r="A6866" t="s">
        <v>11609</v>
      </c>
      <c r="B6866" t="s">
        <v>10105</v>
      </c>
      <c r="C6866" t="s">
        <v>227</v>
      </c>
      <c r="D6866">
        <v>92805174</v>
      </c>
      <c r="E6866">
        <v>20.18</v>
      </c>
      <c r="F6866">
        <v>7.2</v>
      </c>
    </row>
    <row r="6867" spans="1:6" x14ac:dyDescent="0.3">
      <c r="A6867" t="s">
        <v>11610</v>
      </c>
      <c r="B6867" t="s">
        <v>11611</v>
      </c>
      <c r="C6867" t="s">
        <v>2579</v>
      </c>
      <c r="D6867">
        <v>92822044</v>
      </c>
      <c r="E6867">
        <v>11.87</v>
      </c>
      <c r="F6867">
        <v>7</v>
      </c>
    </row>
    <row r="6868" spans="1:6" x14ac:dyDescent="0.3">
      <c r="A6868" t="s">
        <v>11612</v>
      </c>
      <c r="B6868" t="s">
        <v>7782</v>
      </c>
      <c r="C6868" t="s">
        <v>11613</v>
      </c>
      <c r="D6868">
        <v>92833359</v>
      </c>
      <c r="E6868">
        <v>11.38</v>
      </c>
      <c r="F6868">
        <v>5.71</v>
      </c>
    </row>
    <row r="6869" spans="1:6" x14ac:dyDescent="0.3">
      <c r="A6869" t="s">
        <v>11614</v>
      </c>
      <c r="B6869" t="s">
        <v>8311</v>
      </c>
      <c r="C6869" t="s">
        <v>969</v>
      </c>
      <c r="D6869">
        <v>92844445</v>
      </c>
      <c r="E6869">
        <v>29</v>
      </c>
      <c r="F6869">
        <v>7</v>
      </c>
    </row>
    <row r="6870" spans="1:6" x14ac:dyDescent="0.3">
      <c r="A6870" t="s">
        <v>11615</v>
      </c>
      <c r="B6870" t="s">
        <v>9982</v>
      </c>
      <c r="C6870" t="s">
        <v>7967</v>
      </c>
      <c r="D6870">
        <v>92858014</v>
      </c>
      <c r="E6870">
        <v>2.04</v>
      </c>
      <c r="F6870">
        <v>7.61</v>
      </c>
    </row>
    <row r="6871" spans="1:6" x14ac:dyDescent="0.3">
      <c r="A6871" t="s">
        <v>11616</v>
      </c>
      <c r="B6871" t="s">
        <v>5900</v>
      </c>
      <c r="C6871" t="s">
        <v>4437</v>
      </c>
      <c r="D6871">
        <v>92891999</v>
      </c>
      <c r="E6871">
        <v>11.06</v>
      </c>
      <c r="F6871">
        <v>8.51</v>
      </c>
    </row>
    <row r="6872" spans="1:6" x14ac:dyDescent="0.3">
      <c r="A6872" t="s">
        <v>3869</v>
      </c>
      <c r="B6872" t="s">
        <v>10005</v>
      </c>
      <c r="C6872" t="s">
        <v>6901</v>
      </c>
      <c r="D6872">
        <v>92894241</v>
      </c>
      <c r="E6872">
        <v>18.25</v>
      </c>
      <c r="F6872">
        <v>8.27</v>
      </c>
    </row>
    <row r="6873" spans="1:6" x14ac:dyDescent="0.3">
      <c r="A6873" t="s">
        <v>11617</v>
      </c>
      <c r="B6873" t="s">
        <v>4445</v>
      </c>
      <c r="C6873" t="s">
        <v>1145</v>
      </c>
      <c r="D6873">
        <v>92895180</v>
      </c>
      <c r="E6873">
        <v>5.5</v>
      </c>
      <c r="F6873">
        <v>6.75</v>
      </c>
    </row>
    <row r="6874" spans="1:6" x14ac:dyDescent="0.3">
      <c r="A6874" t="s">
        <v>11618</v>
      </c>
      <c r="B6874" t="s">
        <v>11619</v>
      </c>
      <c r="C6874" t="s">
        <v>11620</v>
      </c>
      <c r="D6874">
        <v>92898031</v>
      </c>
      <c r="E6874">
        <v>2.9</v>
      </c>
      <c r="F6874">
        <v>7.76</v>
      </c>
    </row>
    <row r="6875" spans="1:6" x14ac:dyDescent="0.3">
      <c r="A6875" t="s">
        <v>11621</v>
      </c>
      <c r="B6875" t="s">
        <v>9780</v>
      </c>
      <c r="C6875" t="s">
        <v>264</v>
      </c>
      <c r="D6875">
        <v>92901605</v>
      </c>
      <c r="E6875">
        <v>2</v>
      </c>
      <c r="F6875">
        <v>7.55</v>
      </c>
    </row>
    <row r="6876" spans="1:6" x14ac:dyDescent="0.3">
      <c r="A6876" t="s">
        <v>11622</v>
      </c>
      <c r="B6876" t="s">
        <v>11623</v>
      </c>
      <c r="C6876" t="s">
        <v>11624</v>
      </c>
      <c r="D6876">
        <v>92926866</v>
      </c>
      <c r="E6876">
        <v>5.27</v>
      </c>
      <c r="F6876">
        <v>7.45</v>
      </c>
    </row>
    <row r="6877" spans="1:6" x14ac:dyDescent="0.3">
      <c r="A6877" t="s">
        <v>11625</v>
      </c>
      <c r="B6877" t="s">
        <v>6438</v>
      </c>
      <c r="C6877" t="s">
        <v>11626</v>
      </c>
      <c r="D6877">
        <v>92952246</v>
      </c>
      <c r="E6877">
        <v>7.38</v>
      </c>
      <c r="F6877">
        <v>6</v>
      </c>
    </row>
    <row r="6878" spans="1:6" x14ac:dyDescent="0.3">
      <c r="A6878" t="s">
        <v>3677</v>
      </c>
      <c r="B6878" t="s">
        <v>8055</v>
      </c>
      <c r="C6878" t="s">
        <v>11627</v>
      </c>
      <c r="D6878">
        <v>92957491</v>
      </c>
      <c r="E6878">
        <v>23.32</v>
      </c>
      <c r="F6878">
        <v>8.7799999999999994</v>
      </c>
    </row>
    <row r="6879" spans="1:6" x14ac:dyDescent="0.3">
      <c r="A6879" t="s">
        <v>11628</v>
      </c>
      <c r="B6879" t="s">
        <v>11629</v>
      </c>
      <c r="C6879" t="s">
        <v>820</v>
      </c>
      <c r="D6879">
        <v>92964605</v>
      </c>
      <c r="E6879">
        <v>1.0900000000000001</v>
      </c>
      <c r="F6879">
        <v>5.81</v>
      </c>
    </row>
    <row r="6880" spans="1:6" x14ac:dyDescent="0.3">
      <c r="A6880" t="s">
        <v>11630</v>
      </c>
      <c r="B6880" t="s">
        <v>6366</v>
      </c>
      <c r="C6880" t="s">
        <v>9630</v>
      </c>
      <c r="D6880">
        <v>92971865</v>
      </c>
      <c r="E6880">
        <v>7.07</v>
      </c>
      <c r="F6880">
        <v>6.12</v>
      </c>
    </row>
    <row r="6881" spans="1:6" x14ac:dyDescent="0.3">
      <c r="A6881" t="s">
        <v>11631</v>
      </c>
      <c r="B6881" t="s">
        <v>8417</v>
      </c>
      <c r="C6881" t="s">
        <v>11632</v>
      </c>
      <c r="D6881">
        <v>92979046</v>
      </c>
      <c r="E6881">
        <v>2.2400000000000002</v>
      </c>
      <c r="F6881">
        <v>6.95</v>
      </c>
    </row>
    <row r="6882" spans="1:6" x14ac:dyDescent="0.3">
      <c r="A6882" t="s">
        <v>11633</v>
      </c>
      <c r="B6882" t="s">
        <v>9668</v>
      </c>
      <c r="C6882" t="s">
        <v>11634</v>
      </c>
      <c r="D6882">
        <v>92987014</v>
      </c>
      <c r="E6882">
        <v>3.56</v>
      </c>
      <c r="F6882">
        <v>6.67</v>
      </c>
    </row>
    <row r="6883" spans="1:6" x14ac:dyDescent="0.3">
      <c r="A6883" t="s">
        <v>11635</v>
      </c>
      <c r="B6883" t="s">
        <v>11636</v>
      </c>
      <c r="C6883" t="s">
        <v>11637</v>
      </c>
      <c r="D6883">
        <v>92987295</v>
      </c>
      <c r="E6883">
        <v>2.64</v>
      </c>
      <c r="F6883">
        <v>7.23</v>
      </c>
    </row>
    <row r="6884" spans="1:6" x14ac:dyDescent="0.3">
      <c r="A6884" t="s">
        <v>11638</v>
      </c>
      <c r="B6884" t="s">
        <v>6955</v>
      </c>
      <c r="C6884" t="s">
        <v>7738</v>
      </c>
      <c r="D6884">
        <v>92996138</v>
      </c>
      <c r="E6884">
        <v>2.95</v>
      </c>
      <c r="F6884">
        <v>5.71</v>
      </c>
    </row>
    <row r="6885" spans="1:6" x14ac:dyDescent="0.3">
      <c r="A6885" t="s">
        <v>11639</v>
      </c>
      <c r="B6885" t="s">
        <v>11640</v>
      </c>
      <c r="C6885" t="s">
        <v>8301</v>
      </c>
      <c r="D6885">
        <v>93001310</v>
      </c>
      <c r="E6885">
        <v>2.76</v>
      </c>
      <c r="F6885">
        <v>7.13</v>
      </c>
    </row>
    <row r="6886" spans="1:6" x14ac:dyDescent="0.3">
      <c r="A6886" t="s">
        <v>11641</v>
      </c>
      <c r="B6886" t="s">
        <v>9663</v>
      </c>
      <c r="C6886" t="s">
        <v>11642</v>
      </c>
      <c r="D6886">
        <v>93003607</v>
      </c>
      <c r="E6886">
        <v>17.21</v>
      </c>
      <c r="F6886">
        <v>9.56</v>
      </c>
    </row>
    <row r="6887" spans="1:6" x14ac:dyDescent="0.3">
      <c r="A6887" t="s">
        <v>11643</v>
      </c>
      <c r="B6887" t="s">
        <v>6220</v>
      </c>
      <c r="C6887" t="s">
        <v>3852</v>
      </c>
      <c r="D6887">
        <v>93019675</v>
      </c>
      <c r="E6887">
        <v>22.93</v>
      </c>
      <c r="F6887">
        <v>7.1</v>
      </c>
    </row>
    <row r="6888" spans="1:6" x14ac:dyDescent="0.3">
      <c r="A6888" t="s">
        <v>11644</v>
      </c>
      <c r="B6888" t="s">
        <v>11645</v>
      </c>
      <c r="C6888" t="s">
        <v>11646</v>
      </c>
      <c r="D6888">
        <v>93020424</v>
      </c>
      <c r="E6888" t="s">
        <v>3814</v>
      </c>
      <c r="F6888" t="s">
        <v>3814</v>
      </c>
    </row>
    <row r="6889" spans="1:6" x14ac:dyDescent="0.3">
      <c r="A6889" t="s">
        <v>11647</v>
      </c>
      <c r="B6889" t="s">
        <v>5763</v>
      </c>
      <c r="C6889" t="s">
        <v>11648</v>
      </c>
      <c r="D6889">
        <v>93048524</v>
      </c>
      <c r="E6889">
        <v>9.35</v>
      </c>
      <c r="F6889">
        <v>7.93</v>
      </c>
    </row>
    <row r="6890" spans="1:6" x14ac:dyDescent="0.3">
      <c r="A6890" t="s">
        <v>11649</v>
      </c>
      <c r="B6890" t="s">
        <v>11650</v>
      </c>
      <c r="C6890" t="s">
        <v>11651</v>
      </c>
      <c r="D6890">
        <v>93069861</v>
      </c>
      <c r="E6890">
        <v>4.4000000000000004</v>
      </c>
      <c r="F6890">
        <v>4</v>
      </c>
    </row>
    <row r="6891" spans="1:6" x14ac:dyDescent="0.3">
      <c r="A6891" t="s">
        <v>11652</v>
      </c>
      <c r="B6891" t="s">
        <v>10210</v>
      </c>
      <c r="C6891" t="s">
        <v>11016</v>
      </c>
      <c r="D6891">
        <v>93071258</v>
      </c>
      <c r="E6891">
        <v>6</v>
      </c>
      <c r="F6891">
        <v>8.6199999999999992</v>
      </c>
    </row>
    <row r="6892" spans="1:6" x14ac:dyDescent="0.3">
      <c r="A6892" t="s">
        <v>11653</v>
      </c>
      <c r="B6892" t="s">
        <v>6667</v>
      </c>
      <c r="C6892">
        <v>1077</v>
      </c>
      <c r="D6892">
        <v>93077274</v>
      </c>
      <c r="E6892">
        <v>14.86</v>
      </c>
      <c r="F6892">
        <v>8.5</v>
      </c>
    </row>
    <row r="6893" spans="1:6" x14ac:dyDescent="0.3">
      <c r="A6893" t="s">
        <v>11654</v>
      </c>
      <c r="B6893" t="s">
        <v>3227</v>
      </c>
      <c r="C6893" t="s">
        <v>11655</v>
      </c>
      <c r="D6893">
        <v>93082352</v>
      </c>
      <c r="E6893">
        <v>1.05</v>
      </c>
      <c r="F6893">
        <v>7.51</v>
      </c>
    </row>
    <row r="6894" spans="1:6" x14ac:dyDescent="0.3">
      <c r="A6894" t="s">
        <v>2941</v>
      </c>
      <c r="B6894" t="s">
        <v>5616</v>
      </c>
      <c r="C6894" t="s">
        <v>11656</v>
      </c>
      <c r="D6894">
        <v>93091893</v>
      </c>
      <c r="E6894" t="s">
        <v>3814</v>
      </c>
      <c r="F6894" t="s">
        <v>3814</v>
      </c>
    </row>
    <row r="6895" spans="1:6" x14ac:dyDescent="0.3">
      <c r="A6895" t="s">
        <v>11657</v>
      </c>
      <c r="B6895" t="s">
        <v>2490</v>
      </c>
      <c r="C6895" t="s">
        <v>1667</v>
      </c>
      <c r="D6895">
        <v>93103285</v>
      </c>
      <c r="E6895">
        <v>9.9600000000000009</v>
      </c>
      <c r="F6895">
        <v>8.91</v>
      </c>
    </row>
    <row r="6896" spans="1:6" x14ac:dyDescent="0.3">
      <c r="A6896" t="s">
        <v>11658</v>
      </c>
      <c r="B6896" t="s">
        <v>6737</v>
      </c>
      <c r="C6896" t="s">
        <v>7738</v>
      </c>
      <c r="D6896">
        <v>93105666</v>
      </c>
      <c r="E6896">
        <v>17.84</v>
      </c>
      <c r="F6896">
        <v>7</v>
      </c>
    </row>
    <row r="6897" spans="1:6" x14ac:dyDescent="0.3">
      <c r="A6897" t="s">
        <v>11659</v>
      </c>
      <c r="B6897" t="s">
        <v>10532</v>
      </c>
      <c r="C6897" t="s">
        <v>820</v>
      </c>
      <c r="D6897">
        <v>93122250</v>
      </c>
      <c r="E6897">
        <v>29.67</v>
      </c>
      <c r="F6897">
        <v>7.33</v>
      </c>
    </row>
    <row r="6898" spans="1:6" x14ac:dyDescent="0.3">
      <c r="A6898" t="s">
        <v>11660</v>
      </c>
      <c r="B6898" t="s">
        <v>4722</v>
      </c>
      <c r="C6898" t="s">
        <v>11661</v>
      </c>
      <c r="D6898">
        <v>93129312</v>
      </c>
      <c r="E6898">
        <v>4.26</v>
      </c>
      <c r="F6898">
        <v>8</v>
      </c>
    </row>
    <row r="6899" spans="1:6" x14ac:dyDescent="0.3">
      <c r="A6899" t="s">
        <v>11662</v>
      </c>
      <c r="B6899" t="s">
        <v>8585</v>
      </c>
      <c r="C6899" t="s">
        <v>11149</v>
      </c>
      <c r="D6899">
        <v>93134101</v>
      </c>
      <c r="E6899">
        <v>1.95</v>
      </c>
      <c r="F6899">
        <v>7.03</v>
      </c>
    </row>
    <row r="6900" spans="1:6" x14ac:dyDescent="0.3">
      <c r="A6900" t="s">
        <v>11663</v>
      </c>
      <c r="B6900" t="s">
        <v>7205</v>
      </c>
      <c r="C6900" t="s">
        <v>5359</v>
      </c>
      <c r="D6900">
        <v>93136999</v>
      </c>
      <c r="E6900">
        <v>20</v>
      </c>
      <c r="F6900">
        <v>5.71</v>
      </c>
    </row>
    <row r="6901" spans="1:6" x14ac:dyDescent="0.3">
      <c r="A6901" t="s">
        <v>5294</v>
      </c>
      <c r="B6901" t="s">
        <v>10607</v>
      </c>
      <c r="C6901" t="s">
        <v>11664</v>
      </c>
      <c r="D6901">
        <v>93148010</v>
      </c>
      <c r="E6901">
        <v>2.0499999999999998</v>
      </c>
      <c r="F6901">
        <v>6.59</v>
      </c>
    </row>
    <row r="6902" spans="1:6" x14ac:dyDescent="0.3">
      <c r="A6902" t="s">
        <v>11665</v>
      </c>
      <c r="B6902" t="s">
        <v>7624</v>
      </c>
      <c r="C6902" t="s">
        <v>4241</v>
      </c>
      <c r="D6902">
        <v>93149040</v>
      </c>
      <c r="E6902">
        <v>3.37</v>
      </c>
      <c r="F6902">
        <v>5.6</v>
      </c>
    </row>
    <row r="6903" spans="1:6" x14ac:dyDescent="0.3">
      <c r="A6903" t="s">
        <v>11666</v>
      </c>
      <c r="B6903" t="s">
        <v>11667</v>
      </c>
      <c r="C6903" t="s">
        <v>10647</v>
      </c>
      <c r="D6903">
        <v>93155813</v>
      </c>
      <c r="E6903" t="s">
        <v>3814</v>
      </c>
      <c r="F6903" t="s">
        <v>3814</v>
      </c>
    </row>
    <row r="6904" spans="1:6" x14ac:dyDescent="0.3">
      <c r="A6904" t="s">
        <v>11668</v>
      </c>
      <c r="B6904" t="s">
        <v>11669</v>
      </c>
      <c r="C6904" t="s">
        <v>1214</v>
      </c>
      <c r="D6904">
        <v>93158106</v>
      </c>
      <c r="E6904">
        <v>8.1</v>
      </c>
      <c r="F6904">
        <v>8.4</v>
      </c>
    </row>
    <row r="6905" spans="1:6" x14ac:dyDescent="0.3">
      <c r="A6905" t="s">
        <v>11670</v>
      </c>
      <c r="B6905" t="s">
        <v>7017</v>
      </c>
      <c r="C6905" t="s">
        <v>10355</v>
      </c>
      <c r="D6905">
        <v>93170582</v>
      </c>
      <c r="E6905">
        <v>2.99</v>
      </c>
      <c r="F6905">
        <v>8.9700000000000006</v>
      </c>
    </row>
    <row r="6906" spans="1:6" x14ac:dyDescent="0.3">
      <c r="A6906" t="s">
        <v>11671</v>
      </c>
      <c r="B6906" t="s">
        <v>11672</v>
      </c>
      <c r="C6906" t="s">
        <v>4081</v>
      </c>
      <c r="D6906">
        <v>93195431</v>
      </c>
      <c r="E6906">
        <v>18</v>
      </c>
      <c r="F6906">
        <v>8.1999999999999993</v>
      </c>
    </row>
    <row r="6907" spans="1:6" x14ac:dyDescent="0.3">
      <c r="A6907" t="s">
        <v>11673</v>
      </c>
      <c r="B6907" t="s">
        <v>9780</v>
      </c>
      <c r="C6907" t="s">
        <v>11674</v>
      </c>
      <c r="D6907">
        <v>93195503</v>
      </c>
      <c r="E6907">
        <v>2.97</v>
      </c>
      <c r="F6907">
        <v>6.58</v>
      </c>
    </row>
    <row r="6908" spans="1:6" x14ac:dyDescent="0.3">
      <c r="A6908" t="s">
        <v>11675</v>
      </c>
      <c r="B6908" t="s">
        <v>11676</v>
      </c>
      <c r="C6908" t="s">
        <v>11094</v>
      </c>
      <c r="D6908">
        <v>93197664</v>
      </c>
      <c r="E6908">
        <v>11.5</v>
      </c>
      <c r="F6908">
        <v>8</v>
      </c>
    </row>
    <row r="6909" spans="1:6" x14ac:dyDescent="0.3">
      <c r="A6909" t="s">
        <v>11677</v>
      </c>
      <c r="B6909" t="s">
        <v>8838</v>
      </c>
      <c r="C6909" t="s">
        <v>10355</v>
      </c>
      <c r="D6909">
        <v>93200350</v>
      </c>
      <c r="E6909">
        <v>15.4</v>
      </c>
      <c r="F6909">
        <v>7.1</v>
      </c>
    </row>
    <row r="6910" spans="1:6" x14ac:dyDescent="0.3">
      <c r="A6910" t="s">
        <v>11678</v>
      </c>
      <c r="B6910" t="s">
        <v>9991</v>
      </c>
      <c r="C6910" t="s">
        <v>3264</v>
      </c>
      <c r="D6910">
        <v>93210275</v>
      </c>
      <c r="E6910">
        <v>16.22</v>
      </c>
      <c r="F6910">
        <v>7</v>
      </c>
    </row>
    <row r="6911" spans="1:6" x14ac:dyDescent="0.3">
      <c r="A6911" t="s">
        <v>7881</v>
      </c>
      <c r="B6911" t="s">
        <v>11679</v>
      </c>
      <c r="C6911" t="s">
        <v>7712</v>
      </c>
      <c r="D6911">
        <v>93211545</v>
      </c>
      <c r="E6911">
        <v>2.19</v>
      </c>
      <c r="F6911">
        <v>6.22</v>
      </c>
    </row>
    <row r="6912" spans="1:6" x14ac:dyDescent="0.3">
      <c r="A6912" t="s">
        <v>11680</v>
      </c>
      <c r="B6912" t="s">
        <v>7419</v>
      </c>
      <c r="C6912" t="s">
        <v>11681</v>
      </c>
      <c r="D6912">
        <v>93213285</v>
      </c>
      <c r="E6912">
        <v>18</v>
      </c>
      <c r="F6912">
        <v>7.29</v>
      </c>
    </row>
    <row r="6913" spans="1:6" x14ac:dyDescent="0.3">
      <c r="A6913" t="s">
        <v>11682</v>
      </c>
      <c r="B6913" t="s">
        <v>3405</v>
      </c>
      <c r="C6913" t="s">
        <v>4909</v>
      </c>
      <c r="D6913">
        <v>93217777</v>
      </c>
      <c r="E6913">
        <v>3.66</v>
      </c>
      <c r="F6913">
        <v>6.35</v>
      </c>
    </row>
    <row r="6914" spans="1:6" x14ac:dyDescent="0.3">
      <c r="A6914" t="s">
        <v>11683</v>
      </c>
      <c r="B6914" t="s">
        <v>11684</v>
      </c>
      <c r="C6914" t="s">
        <v>11685</v>
      </c>
      <c r="D6914">
        <v>93227609</v>
      </c>
      <c r="E6914">
        <v>9.93</v>
      </c>
      <c r="F6914">
        <v>6.82</v>
      </c>
    </row>
    <row r="6915" spans="1:6" x14ac:dyDescent="0.3">
      <c r="A6915" t="s">
        <v>11686</v>
      </c>
      <c r="B6915" t="s">
        <v>5031</v>
      </c>
      <c r="C6915" t="s">
        <v>1269</v>
      </c>
      <c r="D6915">
        <v>93231979</v>
      </c>
      <c r="E6915">
        <v>24.25</v>
      </c>
      <c r="F6915">
        <v>6.5</v>
      </c>
    </row>
    <row r="6916" spans="1:6" x14ac:dyDescent="0.3">
      <c r="A6916" t="s">
        <v>11687</v>
      </c>
      <c r="B6916" t="s">
        <v>4019</v>
      </c>
      <c r="C6916" t="s">
        <v>3837</v>
      </c>
      <c r="D6916">
        <v>93241372</v>
      </c>
      <c r="E6916">
        <v>26</v>
      </c>
      <c r="F6916">
        <v>7</v>
      </c>
    </row>
    <row r="6917" spans="1:6" x14ac:dyDescent="0.3">
      <c r="A6917" t="s">
        <v>2295</v>
      </c>
      <c r="B6917" t="s">
        <v>8119</v>
      </c>
      <c r="C6917" t="s">
        <v>2295</v>
      </c>
      <c r="D6917">
        <v>93242940</v>
      </c>
      <c r="E6917">
        <v>16.14</v>
      </c>
      <c r="F6917">
        <v>6.67</v>
      </c>
    </row>
    <row r="6918" spans="1:6" x14ac:dyDescent="0.3">
      <c r="A6918" t="s">
        <v>11688</v>
      </c>
      <c r="B6918" t="s">
        <v>11689</v>
      </c>
      <c r="C6918" t="s">
        <v>5258</v>
      </c>
      <c r="D6918">
        <v>93250543</v>
      </c>
      <c r="E6918">
        <v>3.29</v>
      </c>
      <c r="F6918">
        <v>5</v>
      </c>
    </row>
    <row r="6919" spans="1:6" x14ac:dyDescent="0.3">
      <c r="A6919" t="s">
        <v>11690</v>
      </c>
      <c r="B6919" t="s">
        <v>4686</v>
      </c>
      <c r="C6919" t="s">
        <v>2810</v>
      </c>
      <c r="D6919">
        <v>93262795</v>
      </c>
      <c r="E6919">
        <v>23.16</v>
      </c>
      <c r="F6919">
        <v>8.1</v>
      </c>
    </row>
    <row r="6920" spans="1:6" x14ac:dyDescent="0.3">
      <c r="A6920" t="s">
        <v>11691</v>
      </c>
      <c r="B6920" t="s">
        <v>7792</v>
      </c>
      <c r="C6920" t="s">
        <v>11692</v>
      </c>
      <c r="D6920">
        <v>93267614</v>
      </c>
      <c r="E6920">
        <v>28</v>
      </c>
      <c r="F6920">
        <v>6</v>
      </c>
    </row>
    <row r="6921" spans="1:6" x14ac:dyDescent="0.3">
      <c r="A6921" t="s">
        <v>11693</v>
      </c>
      <c r="B6921" t="s">
        <v>7436</v>
      </c>
      <c r="C6921" t="s">
        <v>415</v>
      </c>
      <c r="D6921">
        <v>93269697</v>
      </c>
      <c r="E6921">
        <v>8.1</v>
      </c>
      <c r="F6921">
        <v>8.86</v>
      </c>
    </row>
    <row r="6922" spans="1:6" x14ac:dyDescent="0.3">
      <c r="A6922" t="s">
        <v>11694</v>
      </c>
      <c r="B6922" t="s">
        <v>8671</v>
      </c>
      <c r="C6922" t="s">
        <v>7334</v>
      </c>
      <c r="D6922">
        <v>93279960</v>
      </c>
      <c r="E6922">
        <v>15.31</v>
      </c>
      <c r="F6922">
        <v>7.83</v>
      </c>
    </row>
    <row r="6923" spans="1:6" x14ac:dyDescent="0.3">
      <c r="A6923" t="s">
        <v>11695</v>
      </c>
      <c r="B6923" t="s">
        <v>4019</v>
      </c>
      <c r="C6923" t="s">
        <v>3351</v>
      </c>
      <c r="D6923">
        <v>93281587</v>
      </c>
      <c r="E6923">
        <v>32</v>
      </c>
      <c r="F6923">
        <v>4</v>
      </c>
    </row>
    <row r="6924" spans="1:6" x14ac:dyDescent="0.3">
      <c r="A6924" t="s">
        <v>2247</v>
      </c>
      <c r="B6924" t="s">
        <v>11696</v>
      </c>
      <c r="C6924" t="s">
        <v>2004</v>
      </c>
      <c r="D6924">
        <v>93298730</v>
      </c>
      <c r="E6924">
        <v>8.57</v>
      </c>
      <c r="F6924">
        <v>7.25</v>
      </c>
    </row>
    <row r="6925" spans="1:6" x14ac:dyDescent="0.3">
      <c r="A6925" t="s">
        <v>11697</v>
      </c>
      <c r="B6925" t="s">
        <v>10479</v>
      </c>
      <c r="C6925" t="s">
        <v>4937</v>
      </c>
      <c r="D6925">
        <v>93301611</v>
      </c>
      <c r="E6925">
        <v>9.5399999999999991</v>
      </c>
      <c r="F6925">
        <v>7</v>
      </c>
    </row>
    <row r="6926" spans="1:6" x14ac:dyDescent="0.3">
      <c r="A6926" t="s">
        <v>11698</v>
      </c>
      <c r="B6926" t="s">
        <v>7921</v>
      </c>
      <c r="C6926" t="s">
        <v>820</v>
      </c>
      <c r="D6926">
        <v>93311545</v>
      </c>
      <c r="E6926">
        <v>25</v>
      </c>
      <c r="F6926">
        <v>4</v>
      </c>
    </row>
    <row r="6927" spans="1:6" x14ac:dyDescent="0.3">
      <c r="A6927" t="s">
        <v>11699</v>
      </c>
      <c r="B6927" t="s">
        <v>9376</v>
      </c>
      <c r="C6927" t="s">
        <v>8632</v>
      </c>
      <c r="D6927">
        <v>93313846</v>
      </c>
      <c r="E6927">
        <v>1.68</v>
      </c>
      <c r="F6927">
        <v>6.93</v>
      </c>
    </row>
    <row r="6928" spans="1:6" x14ac:dyDescent="0.3">
      <c r="A6928" t="s">
        <v>11700</v>
      </c>
      <c r="B6928" t="s">
        <v>11701</v>
      </c>
      <c r="C6928" t="s">
        <v>7677</v>
      </c>
      <c r="D6928">
        <v>93316755</v>
      </c>
      <c r="E6928">
        <v>15.53</v>
      </c>
      <c r="F6928">
        <v>8</v>
      </c>
    </row>
    <row r="6929" spans="1:6" x14ac:dyDescent="0.3">
      <c r="A6929" t="s">
        <v>11702</v>
      </c>
      <c r="B6929" t="s">
        <v>11703</v>
      </c>
      <c r="C6929" t="s">
        <v>11704</v>
      </c>
      <c r="D6929">
        <v>93317783</v>
      </c>
      <c r="E6929">
        <v>8.43</v>
      </c>
      <c r="F6929">
        <v>9</v>
      </c>
    </row>
    <row r="6930" spans="1:6" x14ac:dyDescent="0.3">
      <c r="A6930" t="s">
        <v>11705</v>
      </c>
      <c r="B6930" t="s">
        <v>6694</v>
      </c>
      <c r="C6930" t="s">
        <v>11706</v>
      </c>
      <c r="D6930">
        <v>93319865</v>
      </c>
      <c r="E6930">
        <v>19.38</v>
      </c>
      <c r="F6930">
        <v>5.88</v>
      </c>
    </row>
    <row r="6931" spans="1:6" x14ac:dyDescent="0.3">
      <c r="A6931" t="s">
        <v>11707</v>
      </c>
      <c r="B6931" t="s">
        <v>8962</v>
      </c>
      <c r="C6931" t="s">
        <v>4599</v>
      </c>
      <c r="D6931">
        <v>93320781</v>
      </c>
      <c r="E6931">
        <v>10.18</v>
      </c>
      <c r="F6931">
        <v>9.17</v>
      </c>
    </row>
    <row r="6932" spans="1:6" x14ac:dyDescent="0.3">
      <c r="A6932" t="s">
        <v>11708</v>
      </c>
      <c r="B6932" t="s">
        <v>11709</v>
      </c>
      <c r="C6932" t="s">
        <v>11710</v>
      </c>
      <c r="D6932">
        <v>93322525</v>
      </c>
      <c r="E6932">
        <v>7.63</v>
      </c>
      <c r="F6932">
        <v>7</v>
      </c>
    </row>
    <row r="6933" spans="1:6" x14ac:dyDescent="0.3">
      <c r="A6933" t="s">
        <v>11711</v>
      </c>
      <c r="B6933" t="s">
        <v>9307</v>
      </c>
      <c r="C6933" t="s">
        <v>6193</v>
      </c>
      <c r="D6933">
        <v>93325922</v>
      </c>
      <c r="E6933">
        <v>4.97</v>
      </c>
      <c r="F6933">
        <v>7.46</v>
      </c>
    </row>
    <row r="6934" spans="1:6" x14ac:dyDescent="0.3">
      <c r="A6934" t="s">
        <v>11712</v>
      </c>
      <c r="B6934" t="s">
        <v>11713</v>
      </c>
      <c r="C6934" t="s">
        <v>3247</v>
      </c>
      <c r="D6934">
        <v>93330200</v>
      </c>
      <c r="E6934">
        <v>14.33</v>
      </c>
      <c r="F6934">
        <v>6.33</v>
      </c>
    </row>
    <row r="6935" spans="1:6" x14ac:dyDescent="0.3">
      <c r="A6935" t="s">
        <v>11714</v>
      </c>
      <c r="B6935" t="s">
        <v>11715</v>
      </c>
      <c r="C6935" t="s">
        <v>11716</v>
      </c>
      <c r="D6935">
        <v>93331292</v>
      </c>
      <c r="E6935">
        <v>4.67</v>
      </c>
      <c r="F6935">
        <v>5.22</v>
      </c>
    </row>
    <row r="6936" spans="1:6" x14ac:dyDescent="0.3">
      <c r="A6936" t="s">
        <v>11717</v>
      </c>
      <c r="B6936" t="s">
        <v>11718</v>
      </c>
      <c r="C6936" t="s">
        <v>1855</v>
      </c>
      <c r="D6936">
        <v>93337560</v>
      </c>
      <c r="E6936">
        <v>7.9</v>
      </c>
      <c r="F6936">
        <v>7.56</v>
      </c>
    </row>
    <row r="6937" spans="1:6" x14ac:dyDescent="0.3">
      <c r="A6937" t="s">
        <v>11719</v>
      </c>
      <c r="B6937" t="s">
        <v>2284</v>
      </c>
      <c r="C6937" t="s">
        <v>11720</v>
      </c>
      <c r="D6937">
        <v>93339534</v>
      </c>
      <c r="E6937" t="s">
        <v>3814</v>
      </c>
      <c r="F6937" t="s">
        <v>3814</v>
      </c>
    </row>
    <row r="6938" spans="1:6" x14ac:dyDescent="0.3">
      <c r="A6938" t="s">
        <v>11721</v>
      </c>
      <c r="B6938" t="s">
        <v>11722</v>
      </c>
      <c r="C6938" t="s">
        <v>11723</v>
      </c>
      <c r="D6938">
        <v>93352808</v>
      </c>
      <c r="E6938">
        <v>14.3</v>
      </c>
      <c r="F6938">
        <v>8.9700000000000006</v>
      </c>
    </row>
    <row r="6939" spans="1:6" x14ac:dyDescent="0.3">
      <c r="A6939" t="s">
        <v>11724</v>
      </c>
      <c r="B6939" t="s">
        <v>11725</v>
      </c>
      <c r="C6939" t="s">
        <v>5971</v>
      </c>
      <c r="D6939">
        <v>93355382</v>
      </c>
      <c r="E6939">
        <v>5.4</v>
      </c>
      <c r="F6939">
        <v>6.88</v>
      </c>
    </row>
    <row r="6940" spans="1:6" x14ac:dyDescent="0.3">
      <c r="A6940" t="s">
        <v>11726</v>
      </c>
      <c r="B6940" t="s">
        <v>8838</v>
      </c>
      <c r="C6940" t="s">
        <v>11727</v>
      </c>
      <c r="D6940">
        <v>93359306</v>
      </c>
      <c r="E6940">
        <v>2.21</v>
      </c>
      <c r="F6940">
        <v>6.84</v>
      </c>
    </row>
    <row r="6941" spans="1:6" x14ac:dyDescent="0.3">
      <c r="A6941" t="s">
        <v>3876</v>
      </c>
      <c r="B6941" t="s">
        <v>11728</v>
      </c>
      <c r="C6941" t="s">
        <v>11729</v>
      </c>
      <c r="D6941">
        <v>93376558</v>
      </c>
      <c r="E6941">
        <v>14.33</v>
      </c>
      <c r="F6941">
        <v>6.08</v>
      </c>
    </row>
    <row r="6942" spans="1:6" x14ac:dyDescent="0.3">
      <c r="A6942" t="s">
        <v>11730</v>
      </c>
      <c r="B6942" t="s">
        <v>10514</v>
      </c>
      <c r="C6942" t="s">
        <v>11731</v>
      </c>
      <c r="D6942">
        <v>93378889</v>
      </c>
      <c r="E6942">
        <v>5.67</v>
      </c>
      <c r="F6942">
        <v>8.41</v>
      </c>
    </row>
    <row r="6943" spans="1:6" x14ac:dyDescent="0.3">
      <c r="A6943" t="s">
        <v>11732</v>
      </c>
      <c r="B6943" t="s">
        <v>11733</v>
      </c>
      <c r="C6943" t="s">
        <v>11734</v>
      </c>
      <c r="D6943">
        <v>93380193</v>
      </c>
      <c r="E6943">
        <v>15.79</v>
      </c>
      <c r="F6943">
        <v>7</v>
      </c>
    </row>
    <row r="6944" spans="1:6" x14ac:dyDescent="0.3">
      <c r="A6944" t="s">
        <v>11735</v>
      </c>
      <c r="B6944" t="s">
        <v>3944</v>
      </c>
      <c r="C6944" t="s">
        <v>992</v>
      </c>
      <c r="D6944">
        <v>93403499</v>
      </c>
      <c r="E6944">
        <v>16.82</v>
      </c>
      <c r="F6944">
        <v>6.13</v>
      </c>
    </row>
    <row r="6945" spans="1:6" x14ac:dyDescent="0.3">
      <c r="A6945" t="s">
        <v>11736</v>
      </c>
      <c r="B6945" t="s">
        <v>9788</v>
      </c>
      <c r="C6945" t="s">
        <v>11737</v>
      </c>
      <c r="D6945">
        <v>93429323</v>
      </c>
      <c r="E6945">
        <v>23</v>
      </c>
      <c r="F6945">
        <v>8.5</v>
      </c>
    </row>
    <row r="6946" spans="1:6" x14ac:dyDescent="0.3">
      <c r="A6946" t="s">
        <v>11738</v>
      </c>
      <c r="B6946" t="s">
        <v>9717</v>
      </c>
      <c r="C6946" t="s">
        <v>10455</v>
      </c>
      <c r="D6946">
        <v>93441762</v>
      </c>
      <c r="E6946">
        <v>1.32</v>
      </c>
      <c r="F6946">
        <v>7.68</v>
      </c>
    </row>
    <row r="6947" spans="1:6" x14ac:dyDescent="0.3">
      <c r="A6947" t="s">
        <v>11739</v>
      </c>
      <c r="B6947" t="s">
        <v>6841</v>
      </c>
      <c r="C6947" t="s">
        <v>6907</v>
      </c>
      <c r="D6947">
        <v>93442514</v>
      </c>
      <c r="E6947">
        <v>4.62</v>
      </c>
      <c r="F6947">
        <v>7.18</v>
      </c>
    </row>
    <row r="6948" spans="1:6" x14ac:dyDescent="0.3">
      <c r="A6948" t="s">
        <v>11740</v>
      </c>
      <c r="B6948" t="s">
        <v>11741</v>
      </c>
      <c r="C6948" t="s">
        <v>5555</v>
      </c>
      <c r="D6948">
        <v>93443694</v>
      </c>
      <c r="E6948">
        <v>5.75</v>
      </c>
      <c r="F6948">
        <v>5.3</v>
      </c>
    </row>
    <row r="6949" spans="1:6" x14ac:dyDescent="0.3">
      <c r="A6949" t="s">
        <v>11742</v>
      </c>
      <c r="B6949" t="s">
        <v>11743</v>
      </c>
      <c r="C6949" t="s">
        <v>11744</v>
      </c>
      <c r="D6949">
        <v>93448558</v>
      </c>
      <c r="E6949">
        <v>5.15</v>
      </c>
      <c r="F6949">
        <v>6.19</v>
      </c>
    </row>
    <row r="6950" spans="1:6" x14ac:dyDescent="0.3">
      <c r="A6950" t="s">
        <v>11745</v>
      </c>
      <c r="B6950" t="s">
        <v>4162</v>
      </c>
      <c r="C6950" t="s">
        <v>2304</v>
      </c>
      <c r="D6950">
        <v>93450782</v>
      </c>
      <c r="E6950">
        <v>32</v>
      </c>
      <c r="F6950">
        <v>4</v>
      </c>
    </row>
    <row r="6951" spans="1:6" x14ac:dyDescent="0.3">
      <c r="A6951" t="s">
        <v>2168</v>
      </c>
      <c r="B6951" t="s">
        <v>6026</v>
      </c>
      <c r="C6951" t="s">
        <v>11746</v>
      </c>
      <c r="D6951">
        <v>93459117</v>
      </c>
      <c r="E6951">
        <v>20</v>
      </c>
      <c r="F6951">
        <v>4.75</v>
      </c>
    </row>
    <row r="6952" spans="1:6" x14ac:dyDescent="0.3">
      <c r="A6952" t="s">
        <v>11747</v>
      </c>
      <c r="B6952" t="s">
        <v>3746</v>
      </c>
      <c r="C6952" t="s">
        <v>3742</v>
      </c>
      <c r="D6952">
        <v>93470943</v>
      </c>
      <c r="E6952">
        <v>16.3</v>
      </c>
      <c r="F6952">
        <v>6.2</v>
      </c>
    </row>
    <row r="6953" spans="1:6" x14ac:dyDescent="0.3">
      <c r="A6953" t="s">
        <v>11748</v>
      </c>
      <c r="B6953" t="s">
        <v>9249</v>
      </c>
      <c r="C6953" t="s">
        <v>6901</v>
      </c>
      <c r="D6953">
        <v>93490967</v>
      </c>
      <c r="E6953">
        <v>23.39</v>
      </c>
      <c r="F6953">
        <v>8.8699999999999992</v>
      </c>
    </row>
    <row r="6954" spans="1:6" x14ac:dyDescent="0.3">
      <c r="A6954" t="s">
        <v>11749</v>
      </c>
      <c r="B6954" t="s">
        <v>11750</v>
      </c>
      <c r="C6954" t="s">
        <v>10647</v>
      </c>
      <c r="D6954">
        <v>93505324</v>
      </c>
      <c r="E6954">
        <v>25.4</v>
      </c>
      <c r="F6954">
        <v>4.4000000000000004</v>
      </c>
    </row>
    <row r="6955" spans="1:6" x14ac:dyDescent="0.3">
      <c r="A6955" t="s">
        <v>11751</v>
      </c>
      <c r="B6955" t="s">
        <v>11752</v>
      </c>
      <c r="C6955" t="s">
        <v>11753</v>
      </c>
      <c r="D6955">
        <v>93505494</v>
      </c>
      <c r="E6955">
        <v>9.56</v>
      </c>
      <c r="F6955">
        <v>7</v>
      </c>
    </row>
    <row r="6956" spans="1:6" x14ac:dyDescent="0.3">
      <c r="A6956" t="s">
        <v>11754</v>
      </c>
      <c r="B6956" t="s">
        <v>11200</v>
      </c>
      <c r="C6956" t="s">
        <v>5219</v>
      </c>
      <c r="D6956">
        <v>93516660</v>
      </c>
      <c r="E6956">
        <v>28</v>
      </c>
      <c r="F6956">
        <v>7</v>
      </c>
    </row>
    <row r="6957" spans="1:6" x14ac:dyDescent="0.3">
      <c r="A6957" t="s">
        <v>11755</v>
      </c>
      <c r="B6957" t="s">
        <v>9788</v>
      </c>
      <c r="C6957" t="s">
        <v>9278</v>
      </c>
      <c r="D6957">
        <v>93530247</v>
      </c>
      <c r="E6957">
        <v>1.1599999999999999</v>
      </c>
      <c r="F6957">
        <v>6.8</v>
      </c>
    </row>
    <row r="6958" spans="1:6" x14ac:dyDescent="0.3">
      <c r="A6958" t="s">
        <v>11756</v>
      </c>
      <c r="B6958" t="s">
        <v>11757</v>
      </c>
      <c r="C6958" t="s">
        <v>11758</v>
      </c>
      <c r="D6958">
        <v>93531116</v>
      </c>
      <c r="E6958">
        <v>2.48</v>
      </c>
      <c r="F6958">
        <v>7.66</v>
      </c>
    </row>
    <row r="6959" spans="1:6" x14ac:dyDescent="0.3">
      <c r="A6959" t="s">
        <v>11759</v>
      </c>
      <c r="B6959" t="s">
        <v>6650</v>
      </c>
      <c r="C6959" t="s">
        <v>11760</v>
      </c>
      <c r="D6959">
        <v>93549959</v>
      </c>
      <c r="E6959">
        <v>20.55</v>
      </c>
      <c r="F6959">
        <v>8.8000000000000007</v>
      </c>
    </row>
    <row r="6960" spans="1:6" x14ac:dyDescent="0.3">
      <c r="A6960" t="s">
        <v>11761</v>
      </c>
      <c r="B6960" t="s">
        <v>11762</v>
      </c>
      <c r="C6960" t="s">
        <v>4599</v>
      </c>
      <c r="D6960">
        <v>93570042</v>
      </c>
      <c r="E6960">
        <v>21.57</v>
      </c>
      <c r="F6960">
        <v>6.57</v>
      </c>
    </row>
    <row r="6961" spans="1:6" x14ac:dyDescent="0.3">
      <c r="A6961" t="s">
        <v>11763</v>
      </c>
      <c r="B6961" t="s">
        <v>8866</v>
      </c>
      <c r="C6961" t="s">
        <v>11764</v>
      </c>
      <c r="D6961">
        <v>93591548</v>
      </c>
      <c r="E6961">
        <v>13</v>
      </c>
      <c r="F6961">
        <v>5.67</v>
      </c>
    </row>
    <row r="6962" spans="1:6" x14ac:dyDescent="0.3">
      <c r="A6962" t="s">
        <v>6779</v>
      </c>
      <c r="B6962" t="s">
        <v>4421</v>
      </c>
      <c r="C6962" t="s">
        <v>1116</v>
      </c>
      <c r="D6962">
        <v>93594974</v>
      </c>
      <c r="E6962">
        <v>1.3</v>
      </c>
      <c r="F6962">
        <v>6.65</v>
      </c>
    </row>
    <row r="6963" spans="1:6" x14ac:dyDescent="0.3">
      <c r="A6963" t="s">
        <v>11765</v>
      </c>
      <c r="B6963" t="s">
        <v>9780</v>
      </c>
      <c r="C6963" t="s">
        <v>11766</v>
      </c>
      <c r="D6963">
        <v>93596347</v>
      </c>
      <c r="E6963">
        <v>21.5</v>
      </c>
      <c r="F6963">
        <v>4</v>
      </c>
    </row>
    <row r="6964" spans="1:6" x14ac:dyDescent="0.3">
      <c r="A6964" t="s">
        <v>11767</v>
      </c>
      <c r="B6964" t="s">
        <v>7200</v>
      </c>
      <c r="C6964" t="s">
        <v>4624</v>
      </c>
      <c r="D6964">
        <v>93613910</v>
      </c>
      <c r="E6964">
        <v>2.19</v>
      </c>
      <c r="F6964">
        <v>6.71</v>
      </c>
    </row>
    <row r="6965" spans="1:6" x14ac:dyDescent="0.3">
      <c r="A6965" t="s">
        <v>11768</v>
      </c>
      <c r="B6965" t="s">
        <v>6523</v>
      </c>
      <c r="C6965" t="s">
        <v>3789</v>
      </c>
      <c r="D6965">
        <v>93618912</v>
      </c>
      <c r="E6965">
        <v>12.19</v>
      </c>
      <c r="F6965">
        <v>5.64</v>
      </c>
    </row>
    <row r="6966" spans="1:6" x14ac:dyDescent="0.3">
      <c r="A6966" t="s">
        <v>11769</v>
      </c>
      <c r="B6966" t="s">
        <v>2614</v>
      </c>
      <c r="C6966" t="s">
        <v>6715</v>
      </c>
      <c r="D6966">
        <v>93635575</v>
      </c>
      <c r="E6966">
        <v>16.899999999999999</v>
      </c>
      <c r="F6966">
        <v>6.5</v>
      </c>
    </row>
    <row r="6967" spans="1:6" x14ac:dyDescent="0.3">
      <c r="A6967" t="s">
        <v>3937</v>
      </c>
      <c r="B6967" t="s">
        <v>4208</v>
      </c>
      <c r="C6967" t="s">
        <v>11770</v>
      </c>
      <c r="D6967">
        <v>93675316</v>
      </c>
      <c r="E6967">
        <v>5.77</v>
      </c>
      <c r="F6967">
        <v>6.68</v>
      </c>
    </row>
    <row r="6968" spans="1:6" x14ac:dyDescent="0.3">
      <c r="A6968" t="s">
        <v>11771</v>
      </c>
      <c r="B6968" t="s">
        <v>11772</v>
      </c>
      <c r="C6968" t="s">
        <v>11773</v>
      </c>
      <c r="D6968">
        <v>93678940</v>
      </c>
      <c r="E6968">
        <v>10.55</v>
      </c>
      <c r="F6968">
        <v>7.55</v>
      </c>
    </row>
    <row r="6969" spans="1:6" x14ac:dyDescent="0.3">
      <c r="A6969" t="s">
        <v>11774</v>
      </c>
      <c r="B6969" t="s">
        <v>7220</v>
      </c>
      <c r="C6969" t="s">
        <v>2056</v>
      </c>
      <c r="D6969">
        <v>93681706</v>
      </c>
      <c r="E6969">
        <v>3.66</v>
      </c>
      <c r="F6969">
        <v>6.7</v>
      </c>
    </row>
    <row r="6970" spans="1:6" x14ac:dyDescent="0.3">
      <c r="A6970" t="s">
        <v>11775</v>
      </c>
      <c r="B6970" t="s">
        <v>11164</v>
      </c>
      <c r="C6970" t="s">
        <v>2961</v>
      </c>
      <c r="D6970">
        <v>93684428</v>
      </c>
      <c r="E6970">
        <v>17.47</v>
      </c>
      <c r="F6970">
        <v>8.11</v>
      </c>
    </row>
    <row r="6971" spans="1:6" x14ac:dyDescent="0.3">
      <c r="A6971" t="s">
        <v>11776</v>
      </c>
      <c r="B6971" t="s">
        <v>5517</v>
      </c>
      <c r="C6971" t="s">
        <v>7552</v>
      </c>
      <c r="D6971">
        <v>93689797</v>
      </c>
      <c r="E6971">
        <v>3.89</v>
      </c>
      <c r="F6971">
        <v>6.77</v>
      </c>
    </row>
    <row r="6972" spans="1:6" x14ac:dyDescent="0.3">
      <c r="A6972" t="s">
        <v>11777</v>
      </c>
      <c r="B6972" t="s">
        <v>3125</v>
      </c>
      <c r="C6972">
        <v>322</v>
      </c>
      <c r="D6972">
        <v>93698697</v>
      </c>
      <c r="E6972">
        <v>16.73</v>
      </c>
      <c r="F6972">
        <v>9</v>
      </c>
    </row>
    <row r="6973" spans="1:6" x14ac:dyDescent="0.3">
      <c r="A6973" t="s">
        <v>11778</v>
      </c>
      <c r="B6973" t="s">
        <v>11779</v>
      </c>
      <c r="C6973" t="s">
        <v>2582</v>
      </c>
      <c r="D6973">
        <v>93700828</v>
      </c>
      <c r="E6973">
        <v>5.67</v>
      </c>
      <c r="F6973">
        <v>5.83</v>
      </c>
    </row>
    <row r="6974" spans="1:6" x14ac:dyDescent="0.3">
      <c r="A6974" t="s">
        <v>11780</v>
      </c>
      <c r="B6974" t="s">
        <v>11410</v>
      </c>
      <c r="C6974" t="s">
        <v>2304</v>
      </c>
      <c r="D6974">
        <v>93726172</v>
      </c>
      <c r="E6974">
        <v>20.78</v>
      </c>
      <c r="F6974">
        <v>6.22</v>
      </c>
    </row>
    <row r="6975" spans="1:6" x14ac:dyDescent="0.3">
      <c r="A6975" t="s">
        <v>11781</v>
      </c>
      <c r="B6975" t="s">
        <v>10116</v>
      </c>
      <c r="C6975" t="s">
        <v>11782</v>
      </c>
      <c r="D6975">
        <v>93732702</v>
      </c>
      <c r="E6975">
        <v>34</v>
      </c>
      <c r="F6975">
        <v>5</v>
      </c>
    </row>
    <row r="6976" spans="1:6" x14ac:dyDescent="0.3">
      <c r="A6976" t="s">
        <v>11783</v>
      </c>
      <c r="B6976" t="s">
        <v>10607</v>
      </c>
      <c r="C6976" t="s">
        <v>8674</v>
      </c>
      <c r="D6976">
        <v>93749484</v>
      </c>
      <c r="E6976">
        <v>22</v>
      </c>
      <c r="F6976">
        <v>1</v>
      </c>
    </row>
    <row r="6977" spans="1:6" x14ac:dyDescent="0.3">
      <c r="A6977" t="s">
        <v>11784</v>
      </c>
      <c r="B6977" t="s">
        <v>4686</v>
      </c>
      <c r="C6977" t="s">
        <v>11785</v>
      </c>
      <c r="D6977">
        <v>93752979</v>
      </c>
      <c r="E6977">
        <v>23.96</v>
      </c>
      <c r="F6977">
        <v>8.2200000000000006</v>
      </c>
    </row>
    <row r="6978" spans="1:6" x14ac:dyDescent="0.3">
      <c r="A6978" t="s">
        <v>11786</v>
      </c>
      <c r="B6978" t="s">
        <v>3348</v>
      </c>
      <c r="C6978" t="s">
        <v>961</v>
      </c>
      <c r="D6978">
        <v>93776365</v>
      </c>
      <c r="E6978">
        <v>12.25</v>
      </c>
      <c r="F6978">
        <v>7</v>
      </c>
    </row>
    <row r="6979" spans="1:6" x14ac:dyDescent="0.3">
      <c r="A6979" t="s">
        <v>11787</v>
      </c>
      <c r="B6979" t="s">
        <v>8686</v>
      </c>
      <c r="C6979" t="s">
        <v>11265</v>
      </c>
      <c r="D6979">
        <v>93792563</v>
      </c>
      <c r="E6979">
        <v>4.26</v>
      </c>
      <c r="F6979">
        <v>7.42</v>
      </c>
    </row>
    <row r="6980" spans="1:6" x14ac:dyDescent="0.3">
      <c r="A6980" t="s">
        <v>11788</v>
      </c>
      <c r="B6980" t="s">
        <v>5412</v>
      </c>
      <c r="C6980" t="s">
        <v>11789</v>
      </c>
      <c r="D6980">
        <v>93792764</v>
      </c>
      <c r="E6980">
        <v>34</v>
      </c>
      <c r="F6980">
        <v>8</v>
      </c>
    </row>
    <row r="6981" spans="1:6" x14ac:dyDescent="0.3">
      <c r="A6981" t="s">
        <v>11790</v>
      </c>
      <c r="B6981" t="s">
        <v>9565</v>
      </c>
      <c r="C6981" t="s">
        <v>11791</v>
      </c>
      <c r="D6981">
        <v>93794284</v>
      </c>
      <c r="E6981">
        <v>23.67</v>
      </c>
      <c r="F6981">
        <v>8.33</v>
      </c>
    </row>
    <row r="6982" spans="1:6" x14ac:dyDescent="0.3">
      <c r="A6982" t="s">
        <v>3849</v>
      </c>
      <c r="B6982" t="s">
        <v>11792</v>
      </c>
      <c r="C6982" t="s">
        <v>1764</v>
      </c>
      <c r="D6982">
        <v>93799148</v>
      </c>
      <c r="E6982">
        <v>24.5</v>
      </c>
      <c r="F6982">
        <v>6</v>
      </c>
    </row>
    <row r="6983" spans="1:6" x14ac:dyDescent="0.3">
      <c r="A6983" t="s">
        <v>11793</v>
      </c>
      <c r="B6983" t="s">
        <v>3746</v>
      </c>
      <c r="C6983" t="s">
        <v>11794</v>
      </c>
      <c r="D6983">
        <v>93800493</v>
      </c>
      <c r="E6983">
        <v>2.97</v>
      </c>
      <c r="F6983">
        <v>6.59</v>
      </c>
    </row>
    <row r="6984" spans="1:6" x14ac:dyDescent="0.3">
      <c r="A6984" t="s">
        <v>11795</v>
      </c>
      <c r="B6984" t="s">
        <v>5775</v>
      </c>
      <c r="C6984" t="s">
        <v>10848</v>
      </c>
      <c r="D6984">
        <v>93838697</v>
      </c>
      <c r="E6984">
        <v>8.3000000000000007</v>
      </c>
      <c r="F6984">
        <v>6.56</v>
      </c>
    </row>
    <row r="6985" spans="1:6" x14ac:dyDescent="0.3">
      <c r="A6985" t="s">
        <v>11796</v>
      </c>
      <c r="B6985" t="s">
        <v>11797</v>
      </c>
      <c r="C6985" t="s">
        <v>11798</v>
      </c>
      <c r="D6985">
        <v>93863581</v>
      </c>
      <c r="E6985">
        <v>7.82</v>
      </c>
      <c r="F6985">
        <v>6.56</v>
      </c>
    </row>
    <row r="6986" spans="1:6" x14ac:dyDescent="0.3">
      <c r="A6986" t="s">
        <v>11799</v>
      </c>
      <c r="B6986" t="s">
        <v>11800</v>
      </c>
      <c r="C6986" t="s">
        <v>5841</v>
      </c>
      <c r="D6986">
        <v>93866256</v>
      </c>
      <c r="E6986">
        <v>15.79</v>
      </c>
      <c r="F6986">
        <v>6.54</v>
      </c>
    </row>
    <row r="6987" spans="1:6" x14ac:dyDescent="0.3">
      <c r="A6987" t="s">
        <v>11801</v>
      </c>
      <c r="B6987" t="s">
        <v>11802</v>
      </c>
      <c r="C6987" t="s">
        <v>3821</v>
      </c>
      <c r="D6987">
        <v>93872964</v>
      </c>
      <c r="E6987">
        <v>11.27</v>
      </c>
      <c r="F6987">
        <v>5.9</v>
      </c>
    </row>
    <row r="6988" spans="1:6" x14ac:dyDescent="0.3">
      <c r="A6988" t="s">
        <v>11803</v>
      </c>
      <c r="B6988" t="s">
        <v>11804</v>
      </c>
      <c r="C6988" t="s">
        <v>11805</v>
      </c>
      <c r="D6988">
        <v>93873140</v>
      </c>
      <c r="E6988">
        <v>26.33</v>
      </c>
      <c r="F6988">
        <v>3.33</v>
      </c>
    </row>
    <row r="6989" spans="1:6" x14ac:dyDescent="0.3">
      <c r="A6989" t="s">
        <v>11806</v>
      </c>
      <c r="B6989" t="s">
        <v>11807</v>
      </c>
      <c r="C6989" t="s">
        <v>11808</v>
      </c>
      <c r="D6989">
        <v>93903458</v>
      </c>
      <c r="E6989">
        <v>6.55</v>
      </c>
      <c r="F6989">
        <v>7.88</v>
      </c>
    </row>
    <row r="6990" spans="1:6" x14ac:dyDescent="0.3">
      <c r="A6990" t="s">
        <v>11809</v>
      </c>
      <c r="B6990" t="s">
        <v>1663</v>
      </c>
      <c r="C6990" t="s">
        <v>10206</v>
      </c>
      <c r="D6990">
        <v>93910243</v>
      </c>
      <c r="E6990">
        <v>23.67</v>
      </c>
      <c r="F6990">
        <v>7</v>
      </c>
    </row>
    <row r="6991" spans="1:6" x14ac:dyDescent="0.3">
      <c r="A6991" t="s">
        <v>11810</v>
      </c>
      <c r="B6991" t="s">
        <v>11811</v>
      </c>
      <c r="C6991" t="s">
        <v>11812</v>
      </c>
      <c r="D6991">
        <v>93916671</v>
      </c>
      <c r="E6991">
        <v>22.26</v>
      </c>
      <c r="F6991">
        <v>8.4</v>
      </c>
    </row>
    <row r="6992" spans="1:6" x14ac:dyDescent="0.3">
      <c r="A6992" t="s">
        <v>11813</v>
      </c>
      <c r="B6992" t="s">
        <v>11814</v>
      </c>
      <c r="C6992" t="s">
        <v>11815</v>
      </c>
      <c r="D6992">
        <v>93917076</v>
      </c>
      <c r="E6992" t="s">
        <v>3814</v>
      </c>
      <c r="F6992" t="s">
        <v>3814</v>
      </c>
    </row>
    <row r="6993" spans="1:6" x14ac:dyDescent="0.3">
      <c r="A6993" t="s">
        <v>11816</v>
      </c>
      <c r="B6993" t="s">
        <v>11817</v>
      </c>
      <c r="C6993" t="s">
        <v>11818</v>
      </c>
      <c r="D6993">
        <v>93917362</v>
      </c>
      <c r="E6993" t="s">
        <v>3814</v>
      </c>
      <c r="F6993" t="s">
        <v>3814</v>
      </c>
    </row>
    <row r="6994" spans="1:6" x14ac:dyDescent="0.3">
      <c r="A6994" t="s">
        <v>11819</v>
      </c>
      <c r="B6994" t="s">
        <v>11820</v>
      </c>
      <c r="C6994" t="s">
        <v>4356</v>
      </c>
      <c r="D6994">
        <v>93928594</v>
      </c>
      <c r="E6994">
        <v>5</v>
      </c>
      <c r="F6994">
        <v>6.73</v>
      </c>
    </row>
    <row r="6995" spans="1:6" x14ac:dyDescent="0.3">
      <c r="A6995" t="s">
        <v>11821</v>
      </c>
      <c r="B6995" t="s">
        <v>11410</v>
      </c>
      <c r="C6995" t="s">
        <v>2961</v>
      </c>
      <c r="D6995">
        <v>93933817</v>
      </c>
      <c r="E6995">
        <v>8.08</v>
      </c>
      <c r="F6995">
        <v>8.3800000000000008</v>
      </c>
    </row>
    <row r="6996" spans="1:6" x14ac:dyDescent="0.3">
      <c r="A6996" t="s">
        <v>11822</v>
      </c>
      <c r="B6996" t="s">
        <v>8397</v>
      </c>
      <c r="C6996" t="s">
        <v>11823</v>
      </c>
      <c r="D6996">
        <v>93935460</v>
      </c>
      <c r="E6996">
        <v>3.93</v>
      </c>
      <c r="F6996">
        <v>7.97</v>
      </c>
    </row>
    <row r="6997" spans="1:6" x14ac:dyDescent="0.3">
      <c r="A6997" t="s">
        <v>11824</v>
      </c>
      <c r="B6997" t="s">
        <v>5407</v>
      </c>
      <c r="C6997" t="s">
        <v>264</v>
      </c>
      <c r="D6997">
        <v>93939369</v>
      </c>
      <c r="E6997">
        <v>21.45</v>
      </c>
      <c r="F6997">
        <v>6.12</v>
      </c>
    </row>
    <row r="6998" spans="1:6" x14ac:dyDescent="0.3">
      <c r="A6998" t="s">
        <v>11825</v>
      </c>
      <c r="B6998" t="s">
        <v>4305</v>
      </c>
      <c r="C6998" t="s">
        <v>11826</v>
      </c>
      <c r="D6998">
        <v>93941971</v>
      </c>
      <c r="E6998">
        <v>32</v>
      </c>
      <c r="F6998">
        <v>8.5</v>
      </c>
    </row>
    <row r="6999" spans="1:6" x14ac:dyDescent="0.3">
      <c r="A6999" t="s">
        <v>11827</v>
      </c>
      <c r="B6999" t="s">
        <v>7813</v>
      </c>
      <c r="C6999" t="s">
        <v>12</v>
      </c>
      <c r="D6999">
        <v>93942081</v>
      </c>
      <c r="E6999">
        <v>4.1100000000000003</v>
      </c>
      <c r="F6999">
        <v>6.59</v>
      </c>
    </row>
    <row r="7000" spans="1:6" x14ac:dyDescent="0.3">
      <c r="A7000" t="s">
        <v>11828</v>
      </c>
      <c r="B7000" t="s">
        <v>11829</v>
      </c>
      <c r="C7000" t="s">
        <v>10530</v>
      </c>
      <c r="D7000">
        <v>93952122</v>
      </c>
      <c r="E7000">
        <v>15</v>
      </c>
      <c r="F7000">
        <v>7</v>
      </c>
    </row>
    <row r="7001" spans="1:6" x14ac:dyDescent="0.3">
      <c r="A7001" t="s">
        <v>11830</v>
      </c>
      <c r="B7001" t="s">
        <v>8029</v>
      </c>
      <c r="C7001" t="s">
        <v>11831</v>
      </c>
      <c r="D7001">
        <v>93956657</v>
      </c>
      <c r="E7001">
        <v>6.89</v>
      </c>
      <c r="F7001">
        <v>7.38</v>
      </c>
    </row>
    <row r="7002" spans="1:6" x14ac:dyDescent="0.3">
      <c r="A7002" t="s">
        <v>3710</v>
      </c>
      <c r="B7002" t="s">
        <v>11832</v>
      </c>
      <c r="C7002" t="s">
        <v>11833</v>
      </c>
      <c r="D7002">
        <v>93962768</v>
      </c>
      <c r="E7002">
        <v>1.85</v>
      </c>
      <c r="F7002">
        <v>6.84</v>
      </c>
    </row>
    <row r="7003" spans="1:6" x14ac:dyDescent="0.3">
      <c r="A7003" t="s">
        <v>11834</v>
      </c>
      <c r="B7003" t="s">
        <v>11835</v>
      </c>
      <c r="C7003" t="s">
        <v>63</v>
      </c>
      <c r="D7003">
        <v>93971978</v>
      </c>
      <c r="E7003">
        <v>22.31</v>
      </c>
      <c r="F7003">
        <v>6.71</v>
      </c>
    </row>
    <row r="7004" spans="1:6" x14ac:dyDescent="0.3">
      <c r="A7004" t="s">
        <v>11836</v>
      </c>
      <c r="B7004" t="s">
        <v>7476</v>
      </c>
      <c r="C7004" t="s">
        <v>10251</v>
      </c>
      <c r="D7004">
        <v>93977588</v>
      </c>
      <c r="E7004">
        <v>4.08</v>
      </c>
      <c r="F7004">
        <v>6.39</v>
      </c>
    </row>
    <row r="7005" spans="1:6" x14ac:dyDescent="0.3">
      <c r="A7005" t="s">
        <v>11837</v>
      </c>
      <c r="B7005" t="s">
        <v>11838</v>
      </c>
      <c r="C7005" t="s">
        <v>1411</v>
      </c>
      <c r="D7005">
        <v>93979993</v>
      </c>
      <c r="E7005">
        <v>11.17</v>
      </c>
      <c r="F7005">
        <v>7.74</v>
      </c>
    </row>
    <row r="7006" spans="1:6" x14ac:dyDescent="0.3">
      <c r="A7006" t="s">
        <v>11839</v>
      </c>
      <c r="B7006" t="s">
        <v>4756</v>
      </c>
      <c r="C7006" t="s">
        <v>11839</v>
      </c>
      <c r="D7006">
        <v>93988001</v>
      </c>
      <c r="E7006">
        <v>18.600000000000001</v>
      </c>
      <c r="F7006">
        <v>9</v>
      </c>
    </row>
    <row r="7007" spans="1:6" x14ac:dyDescent="0.3">
      <c r="A7007" t="s">
        <v>11840</v>
      </c>
      <c r="B7007" t="s">
        <v>11841</v>
      </c>
      <c r="C7007" t="s">
        <v>11842</v>
      </c>
      <c r="D7007">
        <v>94003581</v>
      </c>
      <c r="E7007">
        <v>12.66</v>
      </c>
      <c r="F7007">
        <v>8.5500000000000007</v>
      </c>
    </row>
    <row r="7008" spans="1:6" x14ac:dyDescent="0.3">
      <c r="A7008" t="s">
        <v>11843</v>
      </c>
      <c r="B7008" t="s">
        <v>11844</v>
      </c>
      <c r="C7008" t="s">
        <v>11823</v>
      </c>
      <c r="D7008">
        <v>94004520</v>
      </c>
      <c r="E7008">
        <v>1.56</v>
      </c>
      <c r="F7008">
        <v>7.65</v>
      </c>
    </row>
    <row r="7009" spans="1:6" x14ac:dyDescent="0.3">
      <c r="A7009" t="s">
        <v>11845</v>
      </c>
      <c r="B7009" t="s">
        <v>11846</v>
      </c>
      <c r="C7009" t="s">
        <v>11847</v>
      </c>
      <c r="D7009">
        <v>94007674</v>
      </c>
      <c r="E7009">
        <v>2.66</v>
      </c>
      <c r="F7009">
        <v>5.89</v>
      </c>
    </row>
    <row r="7010" spans="1:6" x14ac:dyDescent="0.3">
      <c r="A7010" t="s">
        <v>11848</v>
      </c>
      <c r="B7010" t="s">
        <v>11503</v>
      </c>
      <c r="C7010" t="s">
        <v>11849</v>
      </c>
      <c r="D7010">
        <v>94026172</v>
      </c>
      <c r="E7010">
        <v>10.71</v>
      </c>
      <c r="F7010">
        <v>7.57</v>
      </c>
    </row>
    <row r="7011" spans="1:6" x14ac:dyDescent="0.3">
      <c r="A7011" t="s">
        <v>11850</v>
      </c>
      <c r="B7011" t="s">
        <v>11851</v>
      </c>
      <c r="C7011" t="s">
        <v>11852</v>
      </c>
      <c r="D7011">
        <v>94027839</v>
      </c>
      <c r="E7011">
        <v>7.21</v>
      </c>
      <c r="F7011">
        <v>7.69</v>
      </c>
    </row>
    <row r="7012" spans="1:6" x14ac:dyDescent="0.3">
      <c r="A7012" t="s">
        <v>11853</v>
      </c>
      <c r="B7012" t="s">
        <v>2126</v>
      </c>
      <c r="C7012" t="s">
        <v>6281</v>
      </c>
      <c r="D7012">
        <v>94030091</v>
      </c>
      <c r="E7012">
        <v>14.67</v>
      </c>
      <c r="F7012">
        <v>8.1999999999999993</v>
      </c>
    </row>
    <row r="7013" spans="1:6" x14ac:dyDescent="0.3">
      <c r="A7013" t="s">
        <v>11854</v>
      </c>
      <c r="B7013" t="s">
        <v>7436</v>
      </c>
      <c r="C7013" t="s">
        <v>11855</v>
      </c>
      <c r="D7013">
        <v>94043098</v>
      </c>
      <c r="E7013">
        <v>10.06</v>
      </c>
      <c r="F7013">
        <v>7.85</v>
      </c>
    </row>
    <row r="7014" spans="1:6" x14ac:dyDescent="0.3">
      <c r="A7014" t="s">
        <v>11550</v>
      </c>
      <c r="B7014" t="s">
        <v>11856</v>
      </c>
      <c r="C7014" t="s">
        <v>1269</v>
      </c>
      <c r="D7014">
        <v>94043690</v>
      </c>
      <c r="E7014" t="s">
        <v>3814</v>
      </c>
      <c r="F7014" t="s">
        <v>3814</v>
      </c>
    </row>
    <row r="7015" spans="1:6" x14ac:dyDescent="0.3">
      <c r="A7015" t="s">
        <v>11857</v>
      </c>
      <c r="B7015" t="s">
        <v>11858</v>
      </c>
      <c r="C7015" t="s">
        <v>11859</v>
      </c>
      <c r="D7015">
        <v>94068248</v>
      </c>
      <c r="E7015">
        <v>23.17</v>
      </c>
      <c r="F7015">
        <v>7.83</v>
      </c>
    </row>
    <row r="7016" spans="1:6" x14ac:dyDescent="0.3">
      <c r="A7016" t="s">
        <v>11860</v>
      </c>
      <c r="B7016" t="s">
        <v>9663</v>
      </c>
      <c r="C7016" t="s">
        <v>11184</v>
      </c>
      <c r="D7016">
        <v>94077076</v>
      </c>
      <c r="E7016">
        <v>19.760000000000002</v>
      </c>
      <c r="F7016">
        <v>8.64</v>
      </c>
    </row>
    <row r="7017" spans="1:6" x14ac:dyDescent="0.3">
      <c r="A7017" t="s">
        <v>11861</v>
      </c>
      <c r="B7017" t="s">
        <v>11862</v>
      </c>
      <c r="C7017" t="s">
        <v>6580</v>
      </c>
      <c r="D7017">
        <v>94082509</v>
      </c>
      <c r="E7017">
        <v>17.11</v>
      </c>
      <c r="F7017">
        <v>6.89</v>
      </c>
    </row>
    <row r="7018" spans="1:6" x14ac:dyDescent="0.3">
      <c r="A7018" t="s">
        <v>11863</v>
      </c>
      <c r="B7018" t="s">
        <v>11864</v>
      </c>
      <c r="C7018" t="s">
        <v>11865</v>
      </c>
      <c r="D7018">
        <v>94083417</v>
      </c>
      <c r="E7018">
        <v>21.04</v>
      </c>
      <c r="F7018">
        <v>6.78</v>
      </c>
    </row>
    <row r="7019" spans="1:6" x14ac:dyDescent="0.3">
      <c r="A7019" t="s">
        <v>11866</v>
      </c>
      <c r="B7019" t="s">
        <v>2976</v>
      </c>
      <c r="C7019" t="s">
        <v>11867</v>
      </c>
      <c r="D7019">
        <v>94088072</v>
      </c>
      <c r="E7019">
        <v>2.86</v>
      </c>
      <c r="F7019">
        <v>6.12</v>
      </c>
    </row>
    <row r="7020" spans="1:6" x14ac:dyDescent="0.3">
      <c r="A7020" t="s">
        <v>11868</v>
      </c>
      <c r="B7020" t="s">
        <v>11503</v>
      </c>
      <c r="C7020" t="s">
        <v>11869</v>
      </c>
      <c r="D7020">
        <v>94102770</v>
      </c>
      <c r="E7020">
        <v>3.9</v>
      </c>
      <c r="F7020">
        <v>6.56</v>
      </c>
    </row>
    <row r="7021" spans="1:6" x14ac:dyDescent="0.3">
      <c r="A7021" t="s">
        <v>11870</v>
      </c>
      <c r="B7021" t="s">
        <v>2166</v>
      </c>
      <c r="C7021" t="s">
        <v>950</v>
      </c>
      <c r="D7021">
        <v>94107500</v>
      </c>
      <c r="E7021">
        <v>32</v>
      </c>
      <c r="F7021">
        <v>9</v>
      </c>
    </row>
    <row r="7022" spans="1:6" x14ac:dyDescent="0.3">
      <c r="A7022" t="s">
        <v>11871</v>
      </c>
      <c r="B7022" t="s">
        <v>3800</v>
      </c>
      <c r="C7022" t="s">
        <v>7934</v>
      </c>
      <c r="D7022">
        <v>94108622</v>
      </c>
      <c r="E7022">
        <v>3.04</v>
      </c>
      <c r="F7022">
        <v>7.91</v>
      </c>
    </row>
    <row r="7023" spans="1:6" x14ac:dyDescent="0.3">
      <c r="A7023" t="s">
        <v>1224</v>
      </c>
      <c r="B7023" t="s">
        <v>1068</v>
      </c>
      <c r="C7023" t="s">
        <v>959</v>
      </c>
      <c r="D7023">
        <v>94109719</v>
      </c>
      <c r="E7023">
        <v>2.86</v>
      </c>
      <c r="F7023">
        <v>6.09</v>
      </c>
    </row>
    <row r="7024" spans="1:6" x14ac:dyDescent="0.3">
      <c r="A7024" t="s">
        <v>11872</v>
      </c>
      <c r="B7024" t="s">
        <v>11873</v>
      </c>
      <c r="C7024" t="s">
        <v>3696</v>
      </c>
      <c r="D7024">
        <v>94120931</v>
      </c>
      <c r="E7024" t="s">
        <v>3814</v>
      </c>
      <c r="F7024" t="s">
        <v>3814</v>
      </c>
    </row>
    <row r="7025" spans="1:6" x14ac:dyDescent="0.3">
      <c r="A7025" t="s">
        <v>11874</v>
      </c>
      <c r="B7025" t="s">
        <v>11875</v>
      </c>
      <c r="C7025" t="s">
        <v>11876</v>
      </c>
      <c r="D7025">
        <v>94147402</v>
      </c>
      <c r="E7025">
        <v>4.9400000000000004</v>
      </c>
      <c r="F7025">
        <v>7.93</v>
      </c>
    </row>
    <row r="7026" spans="1:6" x14ac:dyDescent="0.3">
      <c r="A7026" t="s">
        <v>11877</v>
      </c>
      <c r="B7026" t="s">
        <v>11878</v>
      </c>
      <c r="C7026" t="s">
        <v>11879</v>
      </c>
      <c r="D7026">
        <v>94156085</v>
      </c>
      <c r="E7026">
        <v>33</v>
      </c>
      <c r="F7026">
        <v>6</v>
      </c>
    </row>
    <row r="7027" spans="1:6" x14ac:dyDescent="0.3">
      <c r="A7027" t="s">
        <v>11880</v>
      </c>
      <c r="B7027" t="s">
        <v>1331</v>
      </c>
      <c r="C7027" t="s">
        <v>11881</v>
      </c>
      <c r="D7027">
        <v>94157258</v>
      </c>
      <c r="E7027">
        <v>18.25</v>
      </c>
      <c r="F7027">
        <v>5.75</v>
      </c>
    </row>
    <row r="7028" spans="1:6" x14ac:dyDescent="0.3">
      <c r="A7028" t="s">
        <v>11882</v>
      </c>
      <c r="B7028" t="s">
        <v>10941</v>
      </c>
      <c r="C7028" t="s">
        <v>1610</v>
      </c>
      <c r="D7028">
        <v>94164875</v>
      </c>
      <c r="E7028">
        <v>25.5</v>
      </c>
      <c r="F7028">
        <v>3.25</v>
      </c>
    </row>
    <row r="7029" spans="1:6" x14ac:dyDescent="0.3">
      <c r="A7029" t="s">
        <v>10816</v>
      </c>
      <c r="B7029" t="s">
        <v>4008</v>
      </c>
      <c r="C7029" t="s">
        <v>11883</v>
      </c>
      <c r="D7029">
        <v>94166144</v>
      </c>
      <c r="E7029">
        <v>13.29</v>
      </c>
      <c r="F7029">
        <v>8.07</v>
      </c>
    </row>
    <row r="7030" spans="1:6" x14ac:dyDescent="0.3">
      <c r="A7030" t="s">
        <v>11884</v>
      </c>
      <c r="B7030" t="s">
        <v>11885</v>
      </c>
      <c r="C7030" t="s">
        <v>8094</v>
      </c>
      <c r="D7030">
        <v>94167855</v>
      </c>
      <c r="E7030">
        <v>8.84</v>
      </c>
      <c r="F7030">
        <v>8.33</v>
      </c>
    </row>
    <row r="7031" spans="1:6" x14ac:dyDescent="0.3">
      <c r="A7031" t="s">
        <v>11886</v>
      </c>
      <c r="B7031" t="s">
        <v>11887</v>
      </c>
      <c r="C7031" t="s">
        <v>3677</v>
      </c>
      <c r="D7031">
        <v>94179418</v>
      </c>
      <c r="E7031">
        <v>14.49</v>
      </c>
      <c r="F7031">
        <v>7.83</v>
      </c>
    </row>
    <row r="7032" spans="1:6" x14ac:dyDescent="0.3">
      <c r="A7032" t="s">
        <v>11888</v>
      </c>
      <c r="B7032" t="s">
        <v>8838</v>
      </c>
      <c r="C7032" t="s">
        <v>8674</v>
      </c>
      <c r="D7032">
        <v>94196048</v>
      </c>
      <c r="E7032">
        <v>6.34</v>
      </c>
      <c r="F7032">
        <v>7.46</v>
      </c>
    </row>
    <row r="7033" spans="1:6" x14ac:dyDescent="0.3">
      <c r="A7033" t="s">
        <v>11889</v>
      </c>
      <c r="B7033" t="s">
        <v>11890</v>
      </c>
      <c r="C7033" t="s">
        <v>9369</v>
      </c>
      <c r="D7033">
        <v>94200487</v>
      </c>
      <c r="E7033">
        <v>23.5</v>
      </c>
      <c r="F7033">
        <v>9.5</v>
      </c>
    </row>
    <row r="7034" spans="1:6" x14ac:dyDescent="0.3">
      <c r="A7034" t="s">
        <v>11891</v>
      </c>
      <c r="B7034" t="s">
        <v>11404</v>
      </c>
      <c r="C7034" t="s">
        <v>2487</v>
      </c>
      <c r="D7034">
        <v>94229602</v>
      </c>
      <c r="E7034">
        <v>2.82</v>
      </c>
      <c r="F7034">
        <v>6.69</v>
      </c>
    </row>
    <row r="7035" spans="1:6" x14ac:dyDescent="0.3">
      <c r="A7035" t="s">
        <v>11892</v>
      </c>
      <c r="B7035" t="s">
        <v>6002</v>
      </c>
      <c r="C7035" t="s">
        <v>11893</v>
      </c>
      <c r="D7035">
        <v>94229906</v>
      </c>
      <c r="E7035">
        <v>3.03</v>
      </c>
      <c r="F7035">
        <v>7.06</v>
      </c>
    </row>
    <row r="7036" spans="1:6" x14ac:dyDescent="0.3">
      <c r="A7036" t="s">
        <v>3408</v>
      </c>
      <c r="B7036" t="s">
        <v>4196</v>
      </c>
      <c r="C7036" t="s">
        <v>11894</v>
      </c>
      <c r="D7036">
        <v>94231246</v>
      </c>
      <c r="E7036">
        <v>2.1800000000000002</v>
      </c>
      <c r="F7036">
        <v>7.44</v>
      </c>
    </row>
    <row r="7037" spans="1:6" x14ac:dyDescent="0.3">
      <c r="A7037" t="s">
        <v>11895</v>
      </c>
      <c r="B7037" t="s">
        <v>11896</v>
      </c>
      <c r="C7037" t="s">
        <v>8225</v>
      </c>
      <c r="D7037">
        <v>94237405</v>
      </c>
      <c r="E7037">
        <v>6.15</v>
      </c>
      <c r="F7037">
        <v>9.09</v>
      </c>
    </row>
    <row r="7038" spans="1:6" x14ac:dyDescent="0.3">
      <c r="A7038" t="s">
        <v>11897</v>
      </c>
      <c r="B7038" t="s">
        <v>3169</v>
      </c>
      <c r="C7038" t="s">
        <v>11898</v>
      </c>
      <c r="D7038">
        <v>94259701</v>
      </c>
      <c r="E7038">
        <v>10.5</v>
      </c>
      <c r="F7038">
        <v>5.33</v>
      </c>
    </row>
    <row r="7039" spans="1:6" x14ac:dyDescent="0.3">
      <c r="A7039" t="s">
        <v>11899</v>
      </c>
      <c r="B7039" t="s">
        <v>3880</v>
      </c>
      <c r="C7039" t="s">
        <v>7593</v>
      </c>
      <c r="D7039">
        <v>94262476</v>
      </c>
      <c r="E7039">
        <v>7.91</v>
      </c>
      <c r="F7039">
        <v>5.36</v>
      </c>
    </row>
    <row r="7040" spans="1:6" x14ac:dyDescent="0.3">
      <c r="A7040" t="s">
        <v>11900</v>
      </c>
      <c r="B7040" t="s">
        <v>11901</v>
      </c>
      <c r="C7040" t="s">
        <v>10277</v>
      </c>
      <c r="D7040">
        <v>94286566</v>
      </c>
      <c r="E7040">
        <v>7.41</v>
      </c>
      <c r="F7040">
        <v>6.23</v>
      </c>
    </row>
    <row r="7041" spans="1:6" x14ac:dyDescent="0.3">
      <c r="A7041" t="s">
        <v>11902</v>
      </c>
      <c r="B7041" t="s">
        <v>11903</v>
      </c>
      <c r="C7041" t="s">
        <v>898</v>
      </c>
      <c r="D7041">
        <v>94289296</v>
      </c>
      <c r="E7041">
        <v>11.5</v>
      </c>
      <c r="F7041">
        <v>7.17</v>
      </c>
    </row>
    <row r="7042" spans="1:6" x14ac:dyDescent="0.3">
      <c r="A7042" t="s">
        <v>11904</v>
      </c>
      <c r="B7042" t="s">
        <v>9234</v>
      </c>
      <c r="C7042" t="s">
        <v>8467</v>
      </c>
      <c r="D7042">
        <v>94290040</v>
      </c>
      <c r="E7042">
        <v>12.5</v>
      </c>
      <c r="F7042">
        <v>6.33</v>
      </c>
    </row>
    <row r="7043" spans="1:6" x14ac:dyDescent="0.3">
      <c r="A7043" t="s">
        <v>11905</v>
      </c>
      <c r="B7043" t="s">
        <v>7261</v>
      </c>
      <c r="C7043" t="s">
        <v>3844</v>
      </c>
      <c r="D7043">
        <v>94303007</v>
      </c>
      <c r="E7043">
        <v>2.93</v>
      </c>
      <c r="F7043">
        <v>7.08</v>
      </c>
    </row>
    <row r="7044" spans="1:6" x14ac:dyDescent="0.3">
      <c r="A7044" t="s">
        <v>11906</v>
      </c>
      <c r="B7044" t="s">
        <v>11907</v>
      </c>
      <c r="C7044" t="s">
        <v>2787</v>
      </c>
      <c r="D7044">
        <v>94306917</v>
      </c>
      <c r="E7044">
        <v>17.829999999999998</v>
      </c>
      <c r="F7044">
        <v>8.83</v>
      </c>
    </row>
    <row r="7045" spans="1:6" x14ac:dyDescent="0.3">
      <c r="A7045" t="s">
        <v>11908</v>
      </c>
      <c r="B7045" t="s">
        <v>11909</v>
      </c>
      <c r="C7045" t="s">
        <v>11910</v>
      </c>
      <c r="D7045">
        <v>94314290</v>
      </c>
      <c r="E7045">
        <v>9.98</v>
      </c>
      <c r="F7045">
        <v>6.82</v>
      </c>
    </row>
    <row r="7046" spans="1:6" x14ac:dyDescent="0.3">
      <c r="A7046" t="s">
        <v>11911</v>
      </c>
      <c r="B7046" t="s">
        <v>1010</v>
      </c>
      <c r="C7046" t="s">
        <v>2246</v>
      </c>
      <c r="D7046">
        <v>94314678</v>
      </c>
      <c r="E7046">
        <v>8.16</v>
      </c>
      <c r="F7046">
        <v>8.19</v>
      </c>
    </row>
    <row r="7047" spans="1:6" x14ac:dyDescent="0.3">
      <c r="A7047" t="s">
        <v>11912</v>
      </c>
      <c r="B7047" t="s">
        <v>6525</v>
      </c>
      <c r="C7047" t="s">
        <v>11913</v>
      </c>
      <c r="D7047">
        <v>94320862</v>
      </c>
      <c r="E7047">
        <v>18.57</v>
      </c>
      <c r="F7047">
        <v>9.32</v>
      </c>
    </row>
    <row r="7048" spans="1:6" x14ac:dyDescent="0.3">
      <c r="A7048" t="s">
        <v>11914</v>
      </c>
      <c r="B7048" t="s">
        <v>11510</v>
      </c>
      <c r="C7048" t="s">
        <v>7808</v>
      </c>
      <c r="D7048">
        <v>94329190</v>
      </c>
      <c r="E7048">
        <v>15.78</v>
      </c>
      <c r="F7048">
        <v>4.75</v>
      </c>
    </row>
    <row r="7049" spans="1:6" x14ac:dyDescent="0.3">
      <c r="A7049" t="s">
        <v>11915</v>
      </c>
      <c r="B7049" t="s">
        <v>7343</v>
      </c>
      <c r="C7049" t="s">
        <v>8382</v>
      </c>
      <c r="D7049">
        <v>94337825</v>
      </c>
      <c r="E7049">
        <v>3.04</v>
      </c>
      <c r="F7049">
        <v>6.18</v>
      </c>
    </row>
    <row r="7050" spans="1:6" x14ac:dyDescent="0.3">
      <c r="A7050" t="s">
        <v>11916</v>
      </c>
      <c r="B7050" t="s">
        <v>11406</v>
      </c>
      <c r="C7050" t="s">
        <v>11917</v>
      </c>
      <c r="D7050">
        <v>94341748</v>
      </c>
      <c r="E7050">
        <v>19</v>
      </c>
      <c r="F7050">
        <v>6</v>
      </c>
    </row>
    <row r="7051" spans="1:6" x14ac:dyDescent="0.3">
      <c r="A7051" t="s">
        <v>11918</v>
      </c>
      <c r="B7051" t="s">
        <v>1265</v>
      </c>
      <c r="C7051" t="s">
        <v>1787</v>
      </c>
      <c r="D7051">
        <v>94346953</v>
      </c>
      <c r="E7051">
        <v>16.21</v>
      </c>
      <c r="F7051">
        <v>7.25</v>
      </c>
    </row>
    <row r="7052" spans="1:6" x14ac:dyDescent="0.3">
      <c r="A7052" t="s">
        <v>11919</v>
      </c>
      <c r="B7052" t="s">
        <v>11920</v>
      </c>
      <c r="C7052" t="s">
        <v>1420</v>
      </c>
      <c r="D7052">
        <v>94351074</v>
      </c>
      <c r="E7052">
        <v>1.84</v>
      </c>
      <c r="F7052">
        <v>7.15</v>
      </c>
    </row>
    <row r="7053" spans="1:6" x14ac:dyDescent="0.3">
      <c r="A7053" t="s">
        <v>11921</v>
      </c>
      <c r="B7053" t="s">
        <v>5928</v>
      </c>
      <c r="C7053" t="s">
        <v>11922</v>
      </c>
      <c r="D7053">
        <v>94353238</v>
      </c>
      <c r="E7053">
        <v>21.88</v>
      </c>
      <c r="F7053">
        <v>9.3800000000000008</v>
      </c>
    </row>
    <row r="7054" spans="1:6" x14ac:dyDescent="0.3">
      <c r="A7054" t="s">
        <v>11923</v>
      </c>
      <c r="B7054" t="s">
        <v>6903</v>
      </c>
      <c r="C7054" t="s">
        <v>11924</v>
      </c>
      <c r="D7054">
        <v>94355168</v>
      </c>
      <c r="E7054">
        <v>19.760000000000002</v>
      </c>
      <c r="F7054">
        <v>6.11</v>
      </c>
    </row>
    <row r="7055" spans="1:6" x14ac:dyDescent="0.3">
      <c r="A7055" t="s">
        <v>11925</v>
      </c>
      <c r="B7055" t="s">
        <v>6556</v>
      </c>
      <c r="C7055" t="s">
        <v>4281</v>
      </c>
      <c r="D7055">
        <v>94359172</v>
      </c>
      <c r="E7055" t="s">
        <v>3814</v>
      </c>
      <c r="F7055" t="s">
        <v>3814</v>
      </c>
    </row>
    <row r="7056" spans="1:6" x14ac:dyDescent="0.3">
      <c r="A7056" t="s">
        <v>11926</v>
      </c>
      <c r="B7056" t="s">
        <v>11927</v>
      </c>
      <c r="C7056" t="s">
        <v>11928</v>
      </c>
      <c r="D7056">
        <v>94383049</v>
      </c>
      <c r="E7056">
        <v>27.89</v>
      </c>
      <c r="F7056">
        <v>8.3800000000000008</v>
      </c>
    </row>
    <row r="7057" spans="1:6" x14ac:dyDescent="0.3">
      <c r="A7057" t="s">
        <v>11929</v>
      </c>
      <c r="B7057" t="s">
        <v>11930</v>
      </c>
      <c r="C7057" t="s">
        <v>1066</v>
      </c>
      <c r="D7057">
        <v>94389297</v>
      </c>
      <c r="E7057">
        <v>16.329999999999998</v>
      </c>
      <c r="F7057">
        <v>8.33</v>
      </c>
    </row>
    <row r="7058" spans="1:6" x14ac:dyDescent="0.3">
      <c r="A7058" t="s">
        <v>11931</v>
      </c>
      <c r="B7058" t="s">
        <v>11460</v>
      </c>
      <c r="C7058" t="s">
        <v>11932</v>
      </c>
      <c r="D7058">
        <v>94390380</v>
      </c>
      <c r="E7058" t="s">
        <v>3814</v>
      </c>
      <c r="F7058" t="s">
        <v>3814</v>
      </c>
    </row>
    <row r="7059" spans="1:6" x14ac:dyDescent="0.3">
      <c r="A7059" t="s">
        <v>11933</v>
      </c>
      <c r="B7059" t="s">
        <v>11934</v>
      </c>
      <c r="C7059" t="s">
        <v>9159</v>
      </c>
      <c r="D7059">
        <v>94390600</v>
      </c>
      <c r="E7059">
        <v>8.14</v>
      </c>
      <c r="F7059">
        <v>7.52</v>
      </c>
    </row>
    <row r="7060" spans="1:6" x14ac:dyDescent="0.3">
      <c r="A7060" t="s">
        <v>11935</v>
      </c>
      <c r="B7060" t="s">
        <v>4756</v>
      </c>
      <c r="C7060" t="s">
        <v>2224</v>
      </c>
      <c r="D7060">
        <v>94401747</v>
      </c>
      <c r="E7060">
        <v>11.63</v>
      </c>
      <c r="F7060">
        <v>8.09</v>
      </c>
    </row>
    <row r="7061" spans="1:6" x14ac:dyDescent="0.3">
      <c r="A7061" t="s">
        <v>11936</v>
      </c>
      <c r="B7061" t="s">
        <v>8613</v>
      </c>
      <c r="C7061" t="s">
        <v>6920</v>
      </c>
      <c r="D7061">
        <v>94406576</v>
      </c>
      <c r="E7061">
        <v>16.989999999999998</v>
      </c>
      <c r="F7061">
        <v>9.17</v>
      </c>
    </row>
    <row r="7062" spans="1:6" x14ac:dyDescent="0.3">
      <c r="A7062" t="s">
        <v>11937</v>
      </c>
      <c r="B7062" t="s">
        <v>11938</v>
      </c>
      <c r="C7062" t="s">
        <v>1012</v>
      </c>
      <c r="D7062">
        <v>94410319</v>
      </c>
      <c r="E7062">
        <v>26.3</v>
      </c>
      <c r="F7062">
        <v>7.69</v>
      </c>
    </row>
    <row r="7063" spans="1:6" x14ac:dyDescent="0.3">
      <c r="A7063" t="s">
        <v>11939</v>
      </c>
      <c r="B7063" t="s">
        <v>49</v>
      </c>
      <c r="C7063" t="s">
        <v>11940</v>
      </c>
      <c r="D7063">
        <v>94412187</v>
      </c>
      <c r="E7063">
        <v>19.27</v>
      </c>
      <c r="F7063">
        <v>8.9499999999999993</v>
      </c>
    </row>
    <row r="7064" spans="1:6" x14ac:dyDescent="0.3">
      <c r="A7064" t="s">
        <v>472</v>
      </c>
      <c r="B7064" t="s">
        <v>11941</v>
      </c>
      <c r="C7064" t="s">
        <v>11942</v>
      </c>
      <c r="D7064">
        <v>94451290</v>
      </c>
      <c r="E7064">
        <v>2.89</v>
      </c>
      <c r="F7064">
        <v>6.91</v>
      </c>
    </row>
    <row r="7065" spans="1:6" x14ac:dyDescent="0.3">
      <c r="A7065" t="s">
        <v>11943</v>
      </c>
      <c r="B7065" t="s">
        <v>6648</v>
      </c>
      <c r="C7065" t="s">
        <v>11944</v>
      </c>
      <c r="D7065">
        <v>94453329</v>
      </c>
      <c r="E7065">
        <v>8.92</v>
      </c>
      <c r="F7065">
        <v>7.71</v>
      </c>
    </row>
    <row r="7066" spans="1:6" x14ac:dyDescent="0.3">
      <c r="A7066" t="s">
        <v>11945</v>
      </c>
      <c r="B7066" t="s">
        <v>6990</v>
      </c>
      <c r="C7066" t="s">
        <v>11946</v>
      </c>
      <c r="D7066">
        <v>94464877</v>
      </c>
      <c r="E7066">
        <v>30</v>
      </c>
      <c r="F7066">
        <v>6</v>
      </c>
    </row>
    <row r="7067" spans="1:6" x14ac:dyDescent="0.3">
      <c r="A7067" t="s">
        <v>11947</v>
      </c>
      <c r="B7067" t="s">
        <v>9956</v>
      </c>
      <c r="C7067" t="s">
        <v>11948</v>
      </c>
      <c r="D7067">
        <v>94472929</v>
      </c>
      <c r="E7067">
        <v>4.49</v>
      </c>
      <c r="F7067">
        <v>8</v>
      </c>
    </row>
    <row r="7068" spans="1:6" x14ac:dyDescent="0.3">
      <c r="A7068" t="s">
        <v>11949</v>
      </c>
      <c r="B7068" t="s">
        <v>5484</v>
      </c>
      <c r="C7068" t="s">
        <v>6072</v>
      </c>
      <c r="D7068">
        <v>94481272</v>
      </c>
      <c r="E7068">
        <v>8.32</v>
      </c>
      <c r="F7068">
        <v>7.37</v>
      </c>
    </row>
    <row r="7069" spans="1:6" x14ac:dyDescent="0.3">
      <c r="A7069" t="s">
        <v>11950</v>
      </c>
      <c r="B7069" t="s">
        <v>9668</v>
      </c>
      <c r="C7069" t="s">
        <v>11951</v>
      </c>
      <c r="D7069">
        <v>94499224</v>
      </c>
      <c r="E7069">
        <v>9.18</v>
      </c>
      <c r="F7069">
        <v>7.38</v>
      </c>
    </row>
    <row r="7070" spans="1:6" x14ac:dyDescent="0.3">
      <c r="A7070" t="s">
        <v>10472</v>
      </c>
      <c r="B7070" t="s">
        <v>8671</v>
      </c>
      <c r="C7070" t="s">
        <v>11952</v>
      </c>
      <c r="D7070">
        <v>94505101</v>
      </c>
      <c r="E7070">
        <v>10</v>
      </c>
      <c r="F7070">
        <v>7.86</v>
      </c>
    </row>
    <row r="7071" spans="1:6" x14ac:dyDescent="0.3">
      <c r="A7071" t="s">
        <v>11953</v>
      </c>
      <c r="B7071" t="s">
        <v>336</v>
      </c>
      <c r="C7071" t="s">
        <v>1389</v>
      </c>
      <c r="D7071">
        <v>94505292</v>
      </c>
      <c r="E7071">
        <v>21</v>
      </c>
      <c r="F7071">
        <v>9</v>
      </c>
    </row>
    <row r="7072" spans="1:6" x14ac:dyDescent="0.3">
      <c r="A7072" t="s">
        <v>11954</v>
      </c>
      <c r="B7072" t="s">
        <v>11955</v>
      </c>
      <c r="C7072" t="s">
        <v>7804</v>
      </c>
      <c r="D7072">
        <v>94516000</v>
      </c>
      <c r="E7072">
        <v>18.670000000000002</v>
      </c>
      <c r="F7072">
        <v>8.17</v>
      </c>
    </row>
    <row r="7073" spans="1:6" x14ac:dyDescent="0.3">
      <c r="A7073" t="s">
        <v>11956</v>
      </c>
      <c r="B7073" t="s">
        <v>8133</v>
      </c>
      <c r="C7073" t="s">
        <v>11957</v>
      </c>
      <c r="D7073">
        <v>94518542</v>
      </c>
      <c r="E7073">
        <v>2.82</v>
      </c>
      <c r="F7073">
        <v>6.09</v>
      </c>
    </row>
    <row r="7074" spans="1:6" x14ac:dyDescent="0.3">
      <c r="A7074" t="s">
        <v>11958</v>
      </c>
      <c r="B7074" t="s">
        <v>6615</v>
      </c>
      <c r="C7074" t="s">
        <v>11959</v>
      </c>
      <c r="D7074">
        <v>94534669</v>
      </c>
      <c r="E7074">
        <v>12</v>
      </c>
      <c r="F7074">
        <v>8</v>
      </c>
    </row>
    <row r="7075" spans="1:6" x14ac:dyDescent="0.3">
      <c r="A7075" t="s">
        <v>11960</v>
      </c>
      <c r="B7075" t="s">
        <v>5176</v>
      </c>
      <c r="C7075" t="s">
        <v>11961</v>
      </c>
      <c r="D7075">
        <v>94547076</v>
      </c>
      <c r="E7075">
        <v>17.91</v>
      </c>
      <c r="F7075">
        <v>4.83</v>
      </c>
    </row>
    <row r="7076" spans="1:6" x14ac:dyDescent="0.3">
      <c r="A7076" t="s">
        <v>11962</v>
      </c>
      <c r="B7076" t="s">
        <v>11963</v>
      </c>
      <c r="C7076" t="s">
        <v>10362</v>
      </c>
      <c r="D7076">
        <v>94551585</v>
      </c>
      <c r="E7076">
        <v>2.56</v>
      </c>
      <c r="F7076">
        <v>7.39</v>
      </c>
    </row>
    <row r="7077" spans="1:6" x14ac:dyDescent="0.3">
      <c r="A7077" t="s">
        <v>11964</v>
      </c>
      <c r="B7077" t="s">
        <v>7670</v>
      </c>
      <c r="C7077" t="s">
        <v>11627</v>
      </c>
      <c r="D7077">
        <v>94563744</v>
      </c>
      <c r="E7077">
        <v>14.04</v>
      </c>
      <c r="F7077">
        <v>5.24</v>
      </c>
    </row>
    <row r="7078" spans="1:6" x14ac:dyDescent="0.3">
      <c r="A7078" t="s">
        <v>11965</v>
      </c>
      <c r="B7078" t="s">
        <v>4686</v>
      </c>
      <c r="C7078" t="s">
        <v>6583</v>
      </c>
      <c r="D7078">
        <v>94578424</v>
      </c>
      <c r="E7078" t="s">
        <v>3814</v>
      </c>
      <c r="F7078" t="s">
        <v>3814</v>
      </c>
    </row>
    <row r="7079" spans="1:6" x14ac:dyDescent="0.3">
      <c r="A7079" t="s">
        <v>11966</v>
      </c>
      <c r="B7079" t="s">
        <v>8906</v>
      </c>
      <c r="C7079" t="s">
        <v>1598</v>
      </c>
      <c r="D7079">
        <v>94584570</v>
      </c>
      <c r="E7079">
        <v>13.5</v>
      </c>
      <c r="F7079">
        <v>7.17</v>
      </c>
    </row>
    <row r="7080" spans="1:6" x14ac:dyDescent="0.3">
      <c r="A7080" t="s">
        <v>11967</v>
      </c>
      <c r="B7080" t="s">
        <v>8565</v>
      </c>
      <c r="C7080" t="s">
        <v>11968</v>
      </c>
      <c r="D7080">
        <v>94587757</v>
      </c>
      <c r="E7080">
        <v>20.68</v>
      </c>
      <c r="F7080">
        <v>8.48</v>
      </c>
    </row>
    <row r="7081" spans="1:6" x14ac:dyDescent="0.3">
      <c r="A7081" t="s">
        <v>11969</v>
      </c>
      <c r="B7081" t="s">
        <v>11970</v>
      </c>
      <c r="C7081" t="s">
        <v>11971</v>
      </c>
      <c r="D7081">
        <v>94591693</v>
      </c>
      <c r="E7081">
        <v>4.9000000000000004</v>
      </c>
      <c r="F7081">
        <v>7.11</v>
      </c>
    </row>
    <row r="7082" spans="1:6" x14ac:dyDescent="0.3">
      <c r="A7082" t="s">
        <v>11972</v>
      </c>
      <c r="B7082" t="s">
        <v>8722</v>
      </c>
      <c r="C7082" t="s">
        <v>11973</v>
      </c>
      <c r="D7082">
        <v>94591772</v>
      </c>
      <c r="E7082">
        <v>9.83</v>
      </c>
      <c r="F7082">
        <v>8.07</v>
      </c>
    </row>
    <row r="7083" spans="1:6" x14ac:dyDescent="0.3">
      <c r="A7083" t="s">
        <v>11974</v>
      </c>
      <c r="B7083" t="s">
        <v>11975</v>
      </c>
      <c r="C7083" t="s">
        <v>5136</v>
      </c>
      <c r="D7083">
        <v>94595689</v>
      </c>
      <c r="E7083">
        <v>16.670000000000002</v>
      </c>
      <c r="F7083">
        <v>4.33</v>
      </c>
    </row>
    <row r="7084" spans="1:6" x14ac:dyDescent="0.3">
      <c r="A7084" t="s">
        <v>11976</v>
      </c>
      <c r="B7084" t="s">
        <v>11977</v>
      </c>
      <c r="C7084" t="s">
        <v>8025</v>
      </c>
      <c r="D7084">
        <v>94595730</v>
      </c>
      <c r="E7084">
        <v>16.73</v>
      </c>
      <c r="F7084">
        <v>5.14</v>
      </c>
    </row>
    <row r="7085" spans="1:6" x14ac:dyDescent="0.3">
      <c r="A7085" t="s">
        <v>11978</v>
      </c>
      <c r="B7085" t="s">
        <v>7494</v>
      </c>
      <c r="C7085" t="s">
        <v>11978</v>
      </c>
      <c r="D7085">
        <v>94599528</v>
      </c>
      <c r="E7085">
        <v>2.86</v>
      </c>
      <c r="F7085">
        <v>6.57</v>
      </c>
    </row>
    <row r="7086" spans="1:6" x14ac:dyDescent="0.3">
      <c r="A7086" t="s">
        <v>11979</v>
      </c>
      <c r="B7086" t="s">
        <v>11980</v>
      </c>
      <c r="C7086" t="s">
        <v>9046</v>
      </c>
      <c r="D7086">
        <v>94603503</v>
      </c>
      <c r="E7086">
        <v>5.95</v>
      </c>
      <c r="F7086">
        <v>8.08</v>
      </c>
    </row>
    <row r="7087" spans="1:6" x14ac:dyDescent="0.3">
      <c r="A7087" t="s">
        <v>11981</v>
      </c>
      <c r="B7087" t="s">
        <v>4390</v>
      </c>
      <c r="C7087" t="s">
        <v>11982</v>
      </c>
      <c r="D7087">
        <v>94604704</v>
      </c>
      <c r="E7087">
        <v>5.96</v>
      </c>
      <c r="F7087">
        <v>8.35</v>
      </c>
    </row>
    <row r="7088" spans="1:6" x14ac:dyDescent="0.3">
      <c r="A7088" t="s">
        <v>11983</v>
      </c>
      <c r="B7088" t="s">
        <v>3181</v>
      </c>
      <c r="C7088" t="s">
        <v>5833</v>
      </c>
      <c r="D7088">
        <v>94610370</v>
      </c>
      <c r="E7088">
        <v>14.11</v>
      </c>
      <c r="F7088">
        <v>8.18</v>
      </c>
    </row>
    <row r="7089" spans="1:6" x14ac:dyDescent="0.3">
      <c r="A7089" t="s">
        <v>11984</v>
      </c>
      <c r="B7089" t="s">
        <v>6655</v>
      </c>
      <c r="C7089" t="s">
        <v>9060</v>
      </c>
      <c r="D7089">
        <v>94610603</v>
      </c>
      <c r="E7089">
        <v>12.73</v>
      </c>
      <c r="F7089">
        <v>8</v>
      </c>
    </row>
    <row r="7090" spans="1:6" x14ac:dyDescent="0.3">
      <c r="A7090" t="s">
        <v>11985</v>
      </c>
      <c r="B7090" t="s">
        <v>10911</v>
      </c>
      <c r="C7090" t="s">
        <v>11986</v>
      </c>
      <c r="D7090">
        <v>94623556</v>
      </c>
      <c r="E7090">
        <v>10.119999999999999</v>
      </c>
      <c r="F7090">
        <v>7.63</v>
      </c>
    </row>
    <row r="7091" spans="1:6" x14ac:dyDescent="0.3">
      <c r="A7091" t="s">
        <v>11987</v>
      </c>
      <c r="B7091" t="s">
        <v>8615</v>
      </c>
      <c r="C7091" t="s">
        <v>3980</v>
      </c>
      <c r="D7091">
        <v>94643002</v>
      </c>
      <c r="E7091">
        <v>16.55</v>
      </c>
      <c r="F7091">
        <v>8.4</v>
      </c>
    </row>
    <row r="7092" spans="1:6" x14ac:dyDescent="0.3">
      <c r="A7092" t="s">
        <v>3457</v>
      </c>
      <c r="B7092" t="s">
        <v>11988</v>
      </c>
      <c r="C7092" t="s">
        <v>11989</v>
      </c>
      <c r="D7092">
        <v>94643814</v>
      </c>
      <c r="E7092">
        <v>9.5399999999999991</v>
      </c>
      <c r="F7092">
        <v>5.53</v>
      </c>
    </row>
    <row r="7093" spans="1:6" x14ac:dyDescent="0.3">
      <c r="A7093" t="s">
        <v>11990</v>
      </c>
      <c r="B7093" t="s">
        <v>11991</v>
      </c>
      <c r="C7093" t="s">
        <v>736</v>
      </c>
      <c r="D7093">
        <v>94644327</v>
      </c>
      <c r="E7093">
        <v>13.3</v>
      </c>
      <c r="F7093">
        <v>6.38</v>
      </c>
    </row>
    <row r="7094" spans="1:6" x14ac:dyDescent="0.3">
      <c r="A7094" t="s">
        <v>11992</v>
      </c>
      <c r="B7094" t="s">
        <v>11993</v>
      </c>
      <c r="C7094" t="s">
        <v>10647</v>
      </c>
      <c r="D7094">
        <v>94679341</v>
      </c>
      <c r="E7094">
        <v>3.38</v>
      </c>
      <c r="F7094">
        <v>7.15</v>
      </c>
    </row>
    <row r="7095" spans="1:6" x14ac:dyDescent="0.3">
      <c r="A7095" t="s">
        <v>11994</v>
      </c>
      <c r="B7095" t="s">
        <v>6262</v>
      </c>
      <c r="C7095" t="s">
        <v>5240</v>
      </c>
      <c r="D7095">
        <v>94689952</v>
      </c>
      <c r="E7095">
        <v>10.89</v>
      </c>
      <c r="F7095">
        <v>8.11</v>
      </c>
    </row>
    <row r="7096" spans="1:6" x14ac:dyDescent="0.3">
      <c r="A7096" t="s">
        <v>11995</v>
      </c>
      <c r="B7096" t="s">
        <v>11996</v>
      </c>
      <c r="C7096" t="s">
        <v>5918</v>
      </c>
      <c r="D7096">
        <v>94690267</v>
      </c>
      <c r="E7096">
        <v>23.83</v>
      </c>
      <c r="F7096">
        <v>8</v>
      </c>
    </row>
    <row r="7097" spans="1:6" x14ac:dyDescent="0.3">
      <c r="A7097" t="s">
        <v>11997</v>
      </c>
      <c r="B7097" t="s">
        <v>4354</v>
      </c>
      <c r="C7097" t="s">
        <v>349</v>
      </c>
      <c r="D7097">
        <v>94703536</v>
      </c>
      <c r="E7097">
        <v>16.75</v>
      </c>
      <c r="F7097">
        <v>8.25</v>
      </c>
    </row>
    <row r="7098" spans="1:6" x14ac:dyDescent="0.3">
      <c r="A7098" t="s">
        <v>11998</v>
      </c>
      <c r="B7098" t="s">
        <v>3944</v>
      </c>
      <c r="C7098" t="s">
        <v>4737</v>
      </c>
      <c r="D7098">
        <v>94714114</v>
      </c>
      <c r="E7098">
        <v>5.07</v>
      </c>
      <c r="F7098">
        <v>6.46</v>
      </c>
    </row>
    <row r="7099" spans="1:6" x14ac:dyDescent="0.3">
      <c r="A7099" t="s">
        <v>8639</v>
      </c>
      <c r="B7099" t="s">
        <v>11999</v>
      </c>
      <c r="C7099" t="s">
        <v>12000</v>
      </c>
      <c r="D7099">
        <v>94719000</v>
      </c>
      <c r="E7099">
        <v>3.87</v>
      </c>
      <c r="F7099">
        <v>7.17</v>
      </c>
    </row>
    <row r="7100" spans="1:6" x14ac:dyDescent="0.3">
      <c r="A7100" t="s">
        <v>12001</v>
      </c>
      <c r="B7100" t="s">
        <v>11991</v>
      </c>
      <c r="C7100" t="s">
        <v>36</v>
      </c>
      <c r="D7100">
        <v>94734132</v>
      </c>
      <c r="E7100">
        <v>4.62</v>
      </c>
      <c r="F7100">
        <v>7.18</v>
      </c>
    </row>
    <row r="7101" spans="1:6" x14ac:dyDescent="0.3">
      <c r="A7101" t="s">
        <v>12002</v>
      </c>
      <c r="B7101" t="s">
        <v>12003</v>
      </c>
      <c r="C7101" t="s">
        <v>12004</v>
      </c>
      <c r="D7101">
        <v>94740725</v>
      </c>
      <c r="E7101">
        <v>13</v>
      </c>
      <c r="F7101">
        <v>7.33</v>
      </c>
    </row>
    <row r="7102" spans="1:6" x14ac:dyDescent="0.3">
      <c r="A7102" t="s">
        <v>12005</v>
      </c>
      <c r="B7102" t="s">
        <v>8247</v>
      </c>
      <c r="C7102" t="s">
        <v>8594</v>
      </c>
      <c r="D7102">
        <v>94741609</v>
      </c>
      <c r="E7102">
        <v>22</v>
      </c>
      <c r="F7102">
        <v>5.5</v>
      </c>
    </row>
    <row r="7103" spans="1:6" x14ac:dyDescent="0.3">
      <c r="A7103" t="s">
        <v>12006</v>
      </c>
      <c r="B7103" t="s">
        <v>12007</v>
      </c>
      <c r="C7103" t="s">
        <v>12008</v>
      </c>
      <c r="D7103">
        <v>94746164</v>
      </c>
      <c r="E7103">
        <v>15.6</v>
      </c>
      <c r="F7103">
        <v>5.8</v>
      </c>
    </row>
    <row r="7104" spans="1:6" x14ac:dyDescent="0.3">
      <c r="A7104" t="s">
        <v>12009</v>
      </c>
      <c r="B7104" t="s">
        <v>11991</v>
      </c>
      <c r="C7104" t="s">
        <v>23</v>
      </c>
      <c r="D7104">
        <v>94749416</v>
      </c>
      <c r="E7104">
        <v>17.38</v>
      </c>
      <c r="F7104">
        <v>7.73</v>
      </c>
    </row>
    <row r="7105" spans="1:6" x14ac:dyDescent="0.3">
      <c r="A7105" t="s">
        <v>12010</v>
      </c>
      <c r="B7105" t="s">
        <v>11991</v>
      </c>
      <c r="C7105" t="s">
        <v>25</v>
      </c>
      <c r="D7105">
        <v>94750142</v>
      </c>
      <c r="E7105">
        <v>13</v>
      </c>
      <c r="F7105">
        <v>7</v>
      </c>
    </row>
    <row r="7106" spans="1:6" x14ac:dyDescent="0.3">
      <c r="A7106" t="s">
        <v>12011</v>
      </c>
      <c r="B7106" t="s">
        <v>12012</v>
      </c>
      <c r="C7106" t="s">
        <v>11228</v>
      </c>
      <c r="D7106">
        <v>94753259</v>
      </c>
      <c r="E7106">
        <v>4.9400000000000004</v>
      </c>
      <c r="F7106">
        <v>7.17</v>
      </c>
    </row>
    <row r="7107" spans="1:6" x14ac:dyDescent="0.3">
      <c r="A7107" t="s">
        <v>12013</v>
      </c>
      <c r="B7107" t="s">
        <v>12014</v>
      </c>
      <c r="C7107" t="s">
        <v>12015</v>
      </c>
      <c r="D7107">
        <v>94755896</v>
      </c>
      <c r="E7107">
        <v>3.4</v>
      </c>
      <c r="F7107">
        <v>6.27</v>
      </c>
    </row>
    <row r="7108" spans="1:6" x14ac:dyDescent="0.3">
      <c r="A7108" t="s">
        <v>12016</v>
      </c>
      <c r="B7108" t="s">
        <v>9228</v>
      </c>
      <c r="C7108" t="s">
        <v>12017</v>
      </c>
      <c r="D7108">
        <v>94756396</v>
      </c>
      <c r="E7108">
        <v>3.16</v>
      </c>
      <c r="F7108">
        <v>7.62</v>
      </c>
    </row>
    <row r="7109" spans="1:6" x14ac:dyDescent="0.3">
      <c r="A7109" t="s">
        <v>12018</v>
      </c>
      <c r="B7109" t="s">
        <v>9144</v>
      </c>
      <c r="C7109" t="s">
        <v>12019</v>
      </c>
      <c r="D7109">
        <v>94759343</v>
      </c>
      <c r="E7109">
        <v>2.14</v>
      </c>
      <c r="F7109">
        <v>7.92</v>
      </c>
    </row>
    <row r="7110" spans="1:6" x14ac:dyDescent="0.3">
      <c r="A7110" t="s">
        <v>12020</v>
      </c>
      <c r="B7110" t="s">
        <v>12021</v>
      </c>
      <c r="C7110" t="s">
        <v>769</v>
      </c>
      <c r="D7110">
        <v>94761797</v>
      </c>
      <c r="E7110" t="s">
        <v>3814</v>
      </c>
      <c r="F7110" t="s">
        <v>3814</v>
      </c>
    </row>
    <row r="7111" spans="1:6" x14ac:dyDescent="0.3">
      <c r="A7111" t="s">
        <v>12022</v>
      </c>
      <c r="B7111" t="s">
        <v>4756</v>
      </c>
      <c r="C7111" t="s">
        <v>4573</v>
      </c>
      <c r="D7111">
        <v>94763624</v>
      </c>
      <c r="E7111">
        <v>13.19</v>
      </c>
      <c r="F7111">
        <v>6.35</v>
      </c>
    </row>
    <row r="7112" spans="1:6" x14ac:dyDescent="0.3">
      <c r="A7112" t="s">
        <v>12023</v>
      </c>
      <c r="B7112" t="s">
        <v>12024</v>
      </c>
      <c r="C7112" t="s">
        <v>1098</v>
      </c>
      <c r="D7112">
        <v>94772024</v>
      </c>
      <c r="E7112">
        <v>24.54</v>
      </c>
      <c r="F7112">
        <v>7.77</v>
      </c>
    </row>
    <row r="7113" spans="1:6" x14ac:dyDescent="0.3">
      <c r="A7113" t="s">
        <v>12025</v>
      </c>
      <c r="B7113" t="s">
        <v>12026</v>
      </c>
      <c r="C7113" t="s">
        <v>2436</v>
      </c>
      <c r="D7113">
        <v>94773925</v>
      </c>
      <c r="E7113">
        <v>18.34</v>
      </c>
      <c r="F7113">
        <v>8.59</v>
      </c>
    </row>
    <row r="7114" spans="1:6" x14ac:dyDescent="0.3">
      <c r="A7114" t="s">
        <v>12027</v>
      </c>
      <c r="B7114" t="s">
        <v>1361</v>
      </c>
      <c r="C7114" t="s">
        <v>12028</v>
      </c>
      <c r="D7114">
        <v>94795275</v>
      </c>
      <c r="E7114">
        <v>3.01</v>
      </c>
      <c r="F7114">
        <v>7.61</v>
      </c>
    </row>
    <row r="7115" spans="1:6" x14ac:dyDescent="0.3">
      <c r="A7115" t="s">
        <v>12029</v>
      </c>
      <c r="B7115" t="s">
        <v>9423</v>
      </c>
      <c r="C7115" t="s">
        <v>12030</v>
      </c>
      <c r="D7115">
        <v>94798024</v>
      </c>
      <c r="E7115">
        <v>3.28</v>
      </c>
      <c r="F7115">
        <v>6.7</v>
      </c>
    </row>
    <row r="7116" spans="1:6" x14ac:dyDescent="0.3">
      <c r="A7116" t="s">
        <v>12031</v>
      </c>
      <c r="B7116" t="s">
        <v>12032</v>
      </c>
      <c r="C7116" t="s">
        <v>7050</v>
      </c>
      <c r="D7116">
        <v>94798186</v>
      </c>
      <c r="E7116">
        <v>12.92</v>
      </c>
      <c r="F7116">
        <v>6.33</v>
      </c>
    </row>
    <row r="7117" spans="1:6" x14ac:dyDescent="0.3">
      <c r="A7117" t="s">
        <v>12033</v>
      </c>
      <c r="B7117" t="s">
        <v>6269</v>
      </c>
      <c r="C7117" t="s">
        <v>1015</v>
      </c>
      <c r="D7117">
        <v>94814341</v>
      </c>
      <c r="E7117">
        <v>12.08</v>
      </c>
      <c r="F7117">
        <v>6.17</v>
      </c>
    </row>
    <row r="7118" spans="1:6" x14ac:dyDescent="0.3">
      <c r="A7118" t="s">
        <v>12034</v>
      </c>
      <c r="B7118" t="s">
        <v>7083</v>
      </c>
      <c r="C7118" t="s">
        <v>3677</v>
      </c>
      <c r="D7118">
        <v>94817502</v>
      </c>
      <c r="E7118">
        <v>5.0999999999999996</v>
      </c>
      <c r="F7118">
        <v>7.78</v>
      </c>
    </row>
    <row r="7119" spans="1:6" x14ac:dyDescent="0.3">
      <c r="A7119" t="s">
        <v>12035</v>
      </c>
      <c r="B7119" t="s">
        <v>12036</v>
      </c>
      <c r="C7119" t="s">
        <v>9145</v>
      </c>
      <c r="D7119">
        <v>94824580</v>
      </c>
      <c r="E7119">
        <v>1.17</v>
      </c>
      <c r="F7119">
        <v>8.11</v>
      </c>
    </row>
    <row r="7120" spans="1:6" x14ac:dyDescent="0.3">
      <c r="A7120" t="s">
        <v>12037</v>
      </c>
      <c r="B7120" t="s">
        <v>10289</v>
      </c>
      <c r="C7120" t="s">
        <v>8490</v>
      </c>
      <c r="D7120">
        <v>94839390</v>
      </c>
      <c r="E7120">
        <v>20.67</v>
      </c>
      <c r="F7120">
        <v>8.33</v>
      </c>
    </row>
    <row r="7121" spans="1:6" x14ac:dyDescent="0.3">
      <c r="A7121" t="s">
        <v>12038</v>
      </c>
      <c r="B7121" t="s">
        <v>10869</v>
      </c>
      <c r="C7121" t="s">
        <v>12039</v>
      </c>
      <c r="D7121">
        <v>94842060</v>
      </c>
      <c r="E7121">
        <v>12.4</v>
      </c>
      <c r="F7121">
        <v>6.82</v>
      </c>
    </row>
    <row r="7122" spans="1:6" x14ac:dyDescent="0.3">
      <c r="A7122" t="s">
        <v>12040</v>
      </c>
      <c r="B7122" t="s">
        <v>12041</v>
      </c>
      <c r="C7122" t="s">
        <v>12042</v>
      </c>
      <c r="D7122">
        <v>94853152</v>
      </c>
      <c r="E7122">
        <v>7.9</v>
      </c>
      <c r="F7122">
        <v>8.26</v>
      </c>
    </row>
    <row r="7123" spans="1:6" x14ac:dyDescent="0.3">
      <c r="A7123" t="s">
        <v>2463</v>
      </c>
      <c r="B7123" t="s">
        <v>7604</v>
      </c>
      <c r="C7123" t="s">
        <v>2463</v>
      </c>
      <c r="D7123">
        <v>94861600</v>
      </c>
      <c r="E7123">
        <v>3.08</v>
      </c>
      <c r="F7123">
        <v>7.91</v>
      </c>
    </row>
    <row r="7124" spans="1:6" x14ac:dyDescent="0.3">
      <c r="A7124" t="s">
        <v>12043</v>
      </c>
      <c r="B7124" t="s">
        <v>5730</v>
      </c>
      <c r="C7124" t="s">
        <v>12044</v>
      </c>
      <c r="D7124">
        <v>94862078</v>
      </c>
      <c r="E7124">
        <v>21.4</v>
      </c>
      <c r="F7124">
        <v>7.6</v>
      </c>
    </row>
    <row r="7125" spans="1:6" x14ac:dyDescent="0.3">
      <c r="A7125" t="s">
        <v>12045</v>
      </c>
      <c r="B7125" t="s">
        <v>9105</v>
      </c>
      <c r="C7125" t="s">
        <v>736</v>
      </c>
      <c r="D7125">
        <v>94869320</v>
      </c>
      <c r="E7125">
        <v>18.3</v>
      </c>
      <c r="F7125">
        <v>8.6999999999999993</v>
      </c>
    </row>
    <row r="7126" spans="1:6" x14ac:dyDescent="0.3">
      <c r="A7126" t="s">
        <v>12046</v>
      </c>
      <c r="B7126" t="s">
        <v>6295</v>
      </c>
      <c r="C7126" t="s">
        <v>12047</v>
      </c>
      <c r="D7126">
        <v>94885016</v>
      </c>
      <c r="E7126">
        <v>3.48</v>
      </c>
      <c r="F7126">
        <v>6.55</v>
      </c>
    </row>
    <row r="7127" spans="1:6" x14ac:dyDescent="0.3">
      <c r="A7127" t="s">
        <v>12048</v>
      </c>
      <c r="B7127" t="s">
        <v>9409</v>
      </c>
      <c r="C7127" t="s">
        <v>4665</v>
      </c>
      <c r="D7127">
        <v>94888985</v>
      </c>
      <c r="E7127">
        <v>18.5</v>
      </c>
      <c r="F7127">
        <v>5.5</v>
      </c>
    </row>
    <row r="7128" spans="1:6" x14ac:dyDescent="0.3">
      <c r="A7128" t="s">
        <v>12049</v>
      </c>
      <c r="B7128" t="s">
        <v>3436</v>
      </c>
      <c r="C7128" t="s">
        <v>9918</v>
      </c>
      <c r="D7128">
        <v>94890873</v>
      </c>
      <c r="E7128">
        <v>4.13</v>
      </c>
      <c r="F7128">
        <v>7.37</v>
      </c>
    </row>
    <row r="7129" spans="1:6" x14ac:dyDescent="0.3">
      <c r="A7129" t="s">
        <v>12050</v>
      </c>
      <c r="B7129" t="s">
        <v>8479</v>
      </c>
      <c r="C7129" t="s">
        <v>7593</v>
      </c>
      <c r="D7129">
        <v>94892050</v>
      </c>
      <c r="E7129">
        <v>20</v>
      </c>
      <c r="F7129">
        <v>6</v>
      </c>
    </row>
    <row r="7130" spans="1:6" x14ac:dyDescent="0.3">
      <c r="A7130" t="s">
        <v>12051</v>
      </c>
      <c r="B7130" t="s">
        <v>7436</v>
      </c>
      <c r="C7130" t="s">
        <v>12052</v>
      </c>
      <c r="D7130">
        <v>94896515</v>
      </c>
      <c r="E7130">
        <v>14.93</v>
      </c>
      <c r="F7130">
        <v>9.11</v>
      </c>
    </row>
    <row r="7131" spans="1:6" x14ac:dyDescent="0.3">
      <c r="A7131" t="s">
        <v>12053</v>
      </c>
      <c r="B7131" t="s">
        <v>9393</v>
      </c>
      <c r="C7131" t="s">
        <v>9685</v>
      </c>
      <c r="D7131">
        <v>94922475</v>
      </c>
      <c r="E7131">
        <v>7.6</v>
      </c>
      <c r="F7131">
        <v>7.85</v>
      </c>
    </row>
    <row r="7132" spans="1:6" x14ac:dyDescent="0.3">
      <c r="A7132" t="s">
        <v>12054</v>
      </c>
      <c r="B7132" t="s">
        <v>12055</v>
      </c>
      <c r="C7132" t="s">
        <v>2911</v>
      </c>
      <c r="D7132">
        <v>94923922</v>
      </c>
      <c r="E7132">
        <v>22.5</v>
      </c>
      <c r="F7132">
        <v>7</v>
      </c>
    </row>
    <row r="7133" spans="1:6" x14ac:dyDescent="0.3">
      <c r="A7133" t="s">
        <v>12056</v>
      </c>
      <c r="B7133" t="s">
        <v>12057</v>
      </c>
      <c r="C7133" t="s">
        <v>12058</v>
      </c>
      <c r="D7133">
        <v>94924286</v>
      </c>
      <c r="E7133">
        <v>26</v>
      </c>
      <c r="F7133">
        <v>8</v>
      </c>
    </row>
    <row r="7134" spans="1:6" x14ac:dyDescent="0.3">
      <c r="A7134" t="s">
        <v>12059</v>
      </c>
      <c r="B7134" t="s">
        <v>3944</v>
      </c>
      <c r="C7134" t="s">
        <v>20</v>
      </c>
      <c r="D7134">
        <v>94928487</v>
      </c>
      <c r="E7134" t="s">
        <v>3814</v>
      </c>
      <c r="F7134" t="s">
        <v>3814</v>
      </c>
    </row>
    <row r="7135" spans="1:6" x14ac:dyDescent="0.3">
      <c r="A7135" t="s">
        <v>12060</v>
      </c>
      <c r="B7135" t="s">
        <v>6874</v>
      </c>
      <c r="C7135" t="s">
        <v>3728</v>
      </c>
      <c r="D7135">
        <v>94944574</v>
      </c>
      <c r="E7135">
        <v>14.4</v>
      </c>
      <c r="F7135">
        <v>8</v>
      </c>
    </row>
    <row r="7136" spans="1:6" x14ac:dyDescent="0.3">
      <c r="A7136" t="s">
        <v>12061</v>
      </c>
      <c r="B7136" t="s">
        <v>7320</v>
      </c>
      <c r="C7136" t="s">
        <v>12062</v>
      </c>
      <c r="D7136">
        <v>94948299</v>
      </c>
      <c r="E7136">
        <v>3.13</v>
      </c>
      <c r="F7136">
        <v>7.51</v>
      </c>
    </row>
    <row r="7137" spans="1:6" x14ac:dyDescent="0.3">
      <c r="A7137" t="s">
        <v>12063</v>
      </c>
      <c r="B7137" t="s">
        <v>4686</v>
      </c>
      <c r="C7137" t="s">
        <v>12064</v>
      </c>
      <c r="D7137">
        <v>94969889</v>
      </c>
      <c r="E7137">
        <v>35</v>
      </c>
      <c r="F7137">
        <v>3</v>
      </c>
    </row>
    <row r="7138" spans="1:6" x14ac:dyDescent="0.3">
      <c r="A7138" t="s">
        <v>12065</v>
      </c>
      <c r="B7138" t="s">
        <v>6887</v>
      </c>
      <c r="C7138" t="s">
        <v>12066</v>
      </c>
      <c r="D7138">
        <v>94978471</v>
      </c>
      <c r="E7138">
        <v>8.9</v>
      </c>
      <c r="F7138">
        <v>6.56</v>
      </c>
    </row>
    <row r="7139" spans="1:6" x14ac:dyDescent="0.3">
      <c r="A7139" t="s">
        <v>12067</v>
      </c>
      <c r="B7139" t="s">
        <v>4536</v>
      </c>
      <c r="C7139" t="s">
        <v>12068</v>
      </c>
      <c r="D7139">
        <v>94986453</v>
      </c>
      <c r="E7139">
        <v>3.57</v>
      </c>
      <c r="F7139">
        <v>7.31</v>
      </c>
    </row>
    <row r="7140" spans="1:6" x14ac:dyDescent="0.3">
      <c r="A7140" t="s">
        <v>12069</v>
      </c>
      <c r="B7140" t="s">
        <v>6992</v>
      </c>
      <c r="C7140" t="s">
        <v>12070</v>
      </c>
      <c r="D7140">
        <v>94990907</v>
      </c>
      <c r="E7140">
        <v>4.37</v>
      </c>
      <c r="F7140">
        <v>7.72</v>
      </c>
    </row>
    <row r="7141" spans="1:6" x14ac:dyDescent="0.3">
      <c r="A7141" t="s">
        <v>12071</v>
      </c>
      <c r="B7141" t="s">
        <v>12072</v>
      </c>
      <c r="C7141" t="s">
        <v>12073</v>
      </c>
      <c r="D7141">
        <v>94994868</v>
      </c>
      <c r="E7141">
        <v>7.2</v>
      </c>
      <c r="F7141">
        <v>8.5</v>
      </c>
    </row>
    <row r="7142" spans="1:6" x14ac:dyDescent="0.3">
      <c r="A7142" t="s">
        <v>12074</v>
      </c>
      <c r="B7142" t="s">
        <v>9336</v>
      </c>
      <c r="C7142" t="s">
        <v>741</v>
      </c>
      <c r="D7142">
        <v>95001602</v>
      </c>
      <c r="E7142">
        <v>13.67</v>
      </c>
      <c r="F7142">
        <v>6.83</v>
      </c>
    </row>
    <row r="7143" spans="1:6" x14ac:dyDescent="0.3">
      <c r="A7143" t="s">
        <v>12075</v>
      </c>
      <c r="B7143" t="s">
        <v>7631</v>
      </c>
      <c r="C7143" t="s">
        <v>11549</v>
      </c>
      <c r="D7143">
        <v>95004493</v>
      </c>
      <c r="E7143">
        <v>11.91</v>
      </c>
      <c r="F7143">
        <v>7</v>
      </c>
    </row>
    <row r="7144" spans="1:6" x14ac:dyDescent="0.3">
      <c r="A7144" t="s">
        <v>12076</v>
      </c>
      <c r="B7144" t="s">
        <v>1732</v>
      </c>
      <c r="C7144" t="s">
        <v>1733</v>
      </c>
      <c r="D7144">
        <v>95017935</v>
      </c>
      <c r="E7144">
        <v>11.29</v>
      </c>
      <c r="F7144">
        <v>6.23</v>
      </c>
    </row>
    <row r="7145" spans="1:6" x14ac:dyDescent="0.3">
      <c r="A7145" t="s">
        <v>12077</v>
      </c>
      <c r="B7145" t="s">
        <v>7782</v>
      </c>
      <c r="C7145" t="s">
        <v>12078</v>
      </c>
      <c r="D7145">
        <v>95031870</v>
      </c>
      <c r="E7145">
        <v>35</v>
      </c>
      <c r="F7145">
        <v>9</v>
      </c>
    </row>
    <row r="7146" spans="1:6" x14ac:dyDescent="0.3">
      <c r="A7146" t="s">
        <v>12079</v>
      </c>
      <c r="B7146" t="s">
        <v>10325</v>
      </c>
      <c r="C7146" t="s">
        <v>6783</v>
      </c>
      <c r="D7146">
        <v>95039127</v>
      </c>
      <c r="E7146">
        <v>1.82</v>
      </c>
      <c r="F7146">
        <v>6.25</v>
      </c>
    </row>
    <row r="7147" spans="1:6" x14ac:dyDescent="0.3">
      <c r="A7147" t="s">
        <v>12080</v>
      </c>
      <c r="B7147" t="s">
        <v>12081</v>
      </c>
      <c r="C7147" t="s">
        <v>1355</v>
      </c>
      <c r="D7147">
        <v>95040142</v>
      </c>
      <c r="E7147">
        <v>9.08</v>
      </c>
      <c r="F7147">
        <v>6.89</v>
      </c>
    </row>
    <row r="7148" spans="1:6" x14ac:dyDescent="0.3">
      <c r="A7148" t="s">
        <v>12082</v>
      </c>
      <c r="B7148" t="s">
        <v>10197</v>
      </c>
      <c r="C7148" t="s">
        <v>4411</v>
      </c>
      <c r="D7148">
        <v>95041210</v>
      </c>
      <c r="E7148">
        <v>15.06</v>
      </c>
      <c r="F7148">
        <v>8.14</v>
      </c>
    </row>
    <row r="7149" spans="1:6" x14ac:dyDescent="0.3">
      <c r="A7149" t="s">
        <v>12083</v>
      </c>
      <c r="B7149" t="s">
        <v>12084</v>
      </c>
      <c r="C7149" t="s">
        <v>6091</v>
      </c>
      <c r="D7149">
        <v>95045278</v>
      </c>
      <c r="E7149">
        <v>6.44</v>
      </c>
      <c r="F7149">
        <v>8.08</v>
      </c>
    </row>
    <row r="7150" spans="1:6" x14ac:dyDescent="0.3">
      <c r="A7150" t="s">
        <v>12085</v>
      </c>
      <c r="B7150" t="s">
        <v>12086</v>
      </c>
      <c r="C7150" t="s">
        <v>5780</v>
      </c>
      <c r="D7150">
        <v>95049815</v>
      </c>
      <c r="E7150" t="s">
        <v>3814</v>
      </c>
      <c r="F7150" t="s">
        <v>3814</v>
      </c>
    </row>
    <row r="7151" spans="1:6" x14ac:dyDescent="0.3">
      <c r="A7151" t="s">
        <v>12087</v>
      </c>
      <c r="B7151" t="s">
        <v>12088</v>
      </c>
      <c r="C7151" t="s">
        <v>8910</v>
      </c>
      <c r="D7151">
        <v>95061038</v>
      </c>
      <c r="E7151">
        <v>20.55</v>
      </c>
      <c r="F7151">
        <v>8.09</v>
      </c>
    </row>
    <row r="7152" spans="1:6" x14ac:dyDescent="0.3">
      <c r="A7152" t="s">
        <v>12089</v>
      </c>
      <c r="B7152" t="s">
        <v>5554</v>
      </c>
      <c r="C7152" t="s">
        <v>9244</v>
      </c>
      <c r="D7152">
        <v>95067312</v>
      </c>
      <c r="E7152">
        <v>6.08</v>
      </c>
      <c r="F7152">
        <v>6.8</v>
      </c>
    </row>
    <row r="7153" spans="1:6" x14ac:dyDescent="0.3">
      <c r="A7153" t="s">
        <v>12090</v>
      </c>
      <c r="B7153" t="s">
        <v>12091</v>
      </c>
      <c r="C7153" t="s">
        <v>12092</v>
      </c>
      <c r="D7153">
        <v>95070494</v>
      </c>
      <c r="E7153">
        <v>1.82</v>
      </c>
      <c r="F7153">
        <v>6.91</v>
      </c>
    </row>
    <row r="7154" spans="1:6" x14ac:dyDescent="0.3">
      <c r="A7154" t="s">
        <v>11083</v>
      </c>
      <c r="B7154" t="s">
        <v>10289</v>
      </c>
      <c r="C7154" t="s">
        <v>11083</v>
      </c>
      <c r="D7154">
        <v>95089240</v>
      </c>
      <c r="E7154">
        <v>32</v>
      </c>
      <c r="F7154">
        <v>9</v>
      </c>
    </row>
    <row r="7155" spans="1:6" x14ac:dyDescent="0.3">
      <c r="A7155" t="s">
        <v>12093</v>
      </c>
      <c r="B7155" t="s">
        <v>12094</v>
      </c>
      <c r="C7155" t="s">
        <v>5164</v>
      </c>
      <c r="D7155">
        <v>95090483</v>
      </c>
      <c r="E7155">
        <v>1.07</v>
      </c>
      <c r="F7155">
        <v>6.89</v>
      </c>
    </row>
    <row r="7156" spans="1:6" x14ac:dyDescent="0.3">
      <c r="A7156" t="s">
        <v>12095</v>
      </c>
      <c r="B7156" t="s">
        <v>12096</v>
      </c>
      <c r="C7156" t="s">
        <v>2948</v>
      </c>
      <c r="D7156">
        <v>95091079</v>
      </c>
      <c r="E7156">
        <v>6.76</v>
      </c>
      <c r="F7156">
        <v>8.1199999999999992</v>
      </c>
    </row>
    <row r="7157" spans="1:6" x14ac:dyDescent="0.3">
      <c r="A7157" t="s">
        <v>12097</v>
      </c>
      <c r="B7157">
        <v>45744574</v>
      </c>
      <c r="C7157" t="s">
        <v>12098</v>
      </c>
      <c r="D7157">
        <v>95106283</v>
      </c>
      <c r="E7157">
        <v>5.64</v>
      </c>
      <c r="F7157">
        <v>7.64</v>
      </c>
    </row>
    <row r="7158" spans="1:6" x14ac:dyDescent="0.3">
      <c r="A7158" t="s">
        <v>12099</v>
      </c>
      <c r="B7158" t="s">
        <v>12100</v>
      </c>
      <c r="C7158" t="s">
        <v>12101</v>
      </c>
      <c r="D7158">
        <v>95106737</v>
      </c>
      <c r="E7158">
        <v>1.18</v>
      </c>
      <c r="F7158">
        <v>7.12</v>
      </c>
    </row>
    <row r="7159" spans="1:6" x14ac:dyDescent="0.3">
      <c r="A7159" t="s">
        <v>12102</v>
      </c>
      <c r="B7159" t="s">
        <v>12103</v>
      </c>
      <c r="C7159" t="s">
        <v>12104</v>
      </c>
      <c r="D7159">
        <v>95112102</v>
      </c>
      <c r="E7159">
        <v>8</v>
      </c>
      <c r="F7159">
        <v>6.88</v>
      </c>
    </row>
    <row r="7160" spans="1:6" x14ac:dyDescent="0.3">
      <c r="A7160" t="s">
        <v>12105</v>
      </c>
      <c r="B7160" t="s">
        <v>7154</v>
      </c>
      <c r="C7160" t="s">
        <v>813</v>
      </c>
      <c r="D7160">
        <v>95136527</v>
      </c>
      <c r="E7160">
        <v>15.93</v>
      </c>
      <c r="F7160">
        <v>8.27</v>
      </c>
    </row>
    <row r="7161" spans="1:6" x14ac:dyDescent="0.3">
      <c r="A7161" t="s">
        <v>12106</v>
      </c>
      <c r="B7161" t="s">
        <v>3159</v>
      </c>
      <c r="C7161" t="s">
        <v>12107</v>
      </c>
      <c r="D7161">
        <v>95138230</v>
      </c>
      <c r="E7161">
        <v>32</v>
      </c>
      <c r="F7161">
        <v>4</v>
      </c>
    </row>
    <row r="7162" spans="1:6" x14ac:dyDescent="0.3">
      <c r="A7162" t="s">
        <v>6830</v>
      </c>
      <c r="B7162" t="s">
        <v>12108</v>
      </c>
      <c r="C7162" t="s">
        <v>12109</v>
      </c>
      <c r="D7162">
        <v>95169617</v>
      </c>
      <c r="E7162">
        <v>1.1200000000000001</v>
      </c>
      <c r="F7162">
        <v>6.99</v>
      </c>
    </row>
    <row r="7163" spans="1:6" x14ac:dyDescent="0.3">
      <c r="A7163" t="s">
        <v>12110</v>
      </c>
      <c r="B7163" t="s">
        <v>504</v>
      </c>
      <c r="C7163" t="s">
        <v>3821</v>
      </c>
      <c r="D7163">
        <v>95172805</v>
      </c>
      <c r="E7163">
        <v>5</v>
      </c>
      <c r="F7163">
        <v>6.37</v>
      </c>
    </row>
    <row r="7164" spans="1:6" x14ac:dyDescent="0.3">
      <c r="A7164" t="s">
        <v>12111</v>
      </c>
      <c r="B7164" t="s">
        <v>9890</v>
      </c>
      <c r="C7164" t="s">
        <v>11593</v>
      </c>
      <c r="D7164">
        <v>95176417</v>
      </c>
      <c r="E7164" t="s">
        <v>3814</v>
      </c>
      <c r="F7164" t="s">
        <v>3814</v>
      </c>
    </row>
    <row r="7165" spans="1:6" x14ac:dyDescent="0.3">
      <c r="A7165" t="s">
        <v>12112</v>
      </c>
      <c r="B7165" t="s">
        <v>8970</v>
      </c>
      <c r="C7165" t="s">
        <v>2657</v>
      </c>
      <c r="D7165">
        <v>95197843</v>
      </c>
      <c r="E7165">
        <v>2.36</v>
      </c>
      <c r="F7165">
        <v>6.1</v>
      </c>
    </row>
    <row r="7166" spans="1:6" x14ac:dyDescent="0.3">
      <c r="A7166" t="s">
        <v>12113</v>
      </c>
      <c r="B7166" t="s">
        <v>12114</v>
      </c>
      <c r="C7166" t="s">
        <v>4744</v>
      </c>
      <c r="D7166">
        <v>95205663</v>
      </c>
      <c r="E7166">
        <v>4.83</v>
      </c>
      <c r="F7166">
        <v>6.07</v>
      </c>
    </row>
    <row r="7167" spans="1:6" x14ac:dyDescent="0.3">
      <c r="A7167" t="s">
        <v>12115</v>
      </c>
      <c r="B7167" t="s">
        <v>12116</v>
      </c>
      <c r="C7167" t="s">
        <v>5467</v>
      </c>
      <c r="D7167">
        <v>95220921</v>
      </c>
      <c r="E7167">
        <v>3.95</v>
      </c>
      <c r="F7167">
        <v>7.7</v>
      </c>
    </row>
    <row r="7168" spans="1:6" x14ac:dyDescent="0.3">
      <c r="A7168" t="s">
        <v>12117</v>
      </c>
      <c r="B7168" t="s">
        <v>9071</v>
      </c>
      <c r="C7168" t="s">
        <v>8699</v>
      </c>
      <c r="D7168">
        <v>95228237</v>
      </c>
      <c r="E7168">
        <v>21.64</v>
      </c>
      <c r="F7168">
        <v>8.06</v>
      </c>
    </row>
    <row r="7169" spans="1:6" x14ac:dyDescent="0.3">
      <c r="A7169" t="s">
        <v>12118</v>
      </c>
      <c r="B7169" t="s">
        <v>4686</v>
      </c>
      <c r="C7169" t="s">
        <v>12119</v>
      </c>
      <c r="D7169">
        <v>95248655</v>
      </c>
      <c r="E7169">
        <v>19.670000000000002</v>
      </c>
      <c r="F7169">
        <v>7.68</v>
      </c>
    </row>
    <row r="7170" spans="1:6" x14ac:dyDescent="0.3">
      <c r="A7170" t="s">
        <v>11129</v>
      </c>
      <c r="B7170" t="s">
        <v>12120</v>
      </c>
      <c r="C7170" t="s">
        <v>12121</v>
      </c>
      <c r="D7170">
        <v>95255152</v>
      </c>
      <c r="E7170">
        <v>28.5</v>
      </c>
      <c r="F7170">
        <v>7</v>
      </c>
    </row>
    <row r="7171" spans="1:6" x14ac:dyDescent="0.3">
      <c r="A7171" t="s">
        <v>12122</v>
      </c>
      <c r="B7171" t="s">
        <v>9335</v>
      </c>
      <c r="C7171" t="s">
        <v>12123</v>
      </c>
      <c r="D7171">
        <v>95263197</v>
      </c>
      <c r="E7171">
        <v>11.07</v>
      </c>
      <c r="F7171">
        <v>8.57</v>
      </c>
    </row>
    <row r="7172" spans="1:6" x14ac:dyDescent="0.3">
      <c r="A7172" t="s">
        <v>12124</v>
      </c>
      <c r="B7172" t="s">
        <v>5915</v>
      </c>
      <c r="C7172" t="s">
        <v>12125</v>
      </c>
      <c r="D7172">
        <v>95263403</v>
      </c>
      <c r="E7172">
        <v>21.67</v>
      </c>
      <c r="F7172">
        <v>8.1999999999999993</v>
      </c>
    </row>
    <row r="7173" spans="1:6" x14ac:dyDescent="0.3">
      <c r="A7173" t="s">
        <v>12126</v>
      </c>
      <c r="B7173" t="s">
        <v>8357</v>
      </c>
      <c r="C7173" t="s">
        <v>969</v>
      </c>
      <c r="D7173">
        <v>95265819</v>
      </c>
      <c r="E7173">
        <v>5.45</v>
      </c>
      <c r="F7173">
        <v>7.3</v>
      </c>
    </row>
    <row r="7174" spans="1:6" x14ac:dyDescent="0.3">
      <c r="A7174" t="s">
        <v>12127</v>
      </c>
      <c r="B7174" t="s">
        <v>8340</v>
      </c>
      <c r="C7174" t="s">
        <v>12128</v>
      </c>
      <c r="D7174">
        <v>95281931</v>
      </c>
      <c r="E7174">
        <v>27.63</v>
      </c>
      <c r="F7174">
        <v>10</v>
      </c>
    </row>
    <row r="7175" spans="1:6" x14ac:dyDescent="0.3">
      <c r="A7175" t="s">
        <v>12129</v>
      </c>
      <c r="B7175" t="s">
        <v>12130</v>
      </c>
      <c r="C7175" t="s">
        <v>12131</v>
      </c>
      <c r="D7175">
        <v>95290558</v>
      </c>
      <c r="E7175">
        <v>15.6</v>
      </c>
      <c r="F7175">
        <v>9.4</v>
      </c>
    </row>
    <row r="7176" spans="1:6" x14ac:dyDescent="0.3">
      <c r="A7176" t="s">
        <v>12132</v>
      </c>
      <c r="B7176" t="s">
        <v>5053</v>
      </c>
      <c r="C7176" t="s">
        <v>12133</v>
      </c>
      <c r="D7176">
        <v>95294285</v>
      </c>
      <c r="E7176">
        <v>31</v>
      </c>
      <c r="F7176">
        <v>8</v>
      </c>
    </row>
    <row r="7177" spans="1:6" x14ac:dyDescent="0.3">
      <c r="A7177" t="s">
        <v>12134</v>
      </c>
      <c r="B7177" t="s">
        <v>12135</v>
      </c>
      <c r="C7177" t="s">
        <v>3367</v>
      </c>
      <c r="D7177">
        <v>95296970</v>
      </c>
      <c r="E7177">
        <v>5.27</v>
      </c>
      <c r="F7177">
        <v>6.75</v>
      </c>
    </row>
    <row r="7178" spans="1:6" x14ac:dyDescent="0.3">
      <c r="A7178" t="s">
        <v>12136</v>
      </c>
      <c r="B7178" t="s">
        <v>3692</v>
      </c>
      <c r="C7178" t="s">
        <v>9472</v>
      </c>
      <c r="D7178">
        <v>95303860</v>
      </c>
      <c r="E7178">
        <v>2.02</v>
      </c>
      <c r="F7178">
        <v>6.75</v>
      </c>
    </row>
    <row r="7179" spans="1:6" x14ac:dyDescent="0.3">
      <c r="A7179" t="s">
        <v>12137</v>
      </c>
      <c r="B7179" t="s">
        <v>4756</v>
      </c>
      <c r="C7179" t="s">
        <v>1152</v>
      </c>
      <c r="D7179">
        <v>95313820</v>
      </c>
      <c r="E7179">
        <v>23</v>
      </c>
      <c r="F7179">
        <v>8</v>
      </c>
    </row>
    <row r="7180" spans="1:6" x14ac:dyDescent="0.3">
      <c r="A7180" t="s">
        <v>12138</v>
      </c>
      <c r="B7180" t="s">
        <v>6780</v>
      </c>
      <c r="C7180" t="s">
        <v>12139</v>
      </c>
      <c r="D7180">
        <v>95314059</v>
      </c>
      <c r="E7180" t="s">
        <v>3814</v>
      </c>
      <c r="F7180" t="s">
        <v>3814</v>
      </c>
    </row>
    <row r="7181" spans="1:6" x14ac:dyDescent="0.3">
      <c r="A7181" t="s">
        <v>12140</v>
      </c>
      <c r="B7181" t="s">
        <v>8883</v>
      </c>
      <c r="C7181" t="s">
        <v>12141</v>
      </c>
      <c r="D7181">
        <v>95324136</v>
      </c>
      <c r="E7181">
        <v>5.42</v>
      </c>
      <c r="F7181">
        <v>5.24</v>
      </c>
    </row>
    <row r="7182" spans="1:6" x14ac:dyDescent="0.3">
      <c r="A7182" t="s">
        <v>7688</v>
      </c>
      <c r="B7182" t="s">
        <v>12142</v>
      </c>
      <c r="C7182" t="s">
        <v>3369</v>
      </c>
      <c r="D7182">
        <v>95327529</v>
      </c>
      <c r="E7182" t="s">
        <v>3814</v>
      </c>
      <c r="F7182" t="s">
        <v>3814</v>
      </c>
    </row>
    <row r="7183" spans="1:6" x14ac:dyDescent="0.3">
      <c r="A7183" t="s">
        <v>12143</v>
      </c>
      <c r="B7183" t="s">
        <v>5075</v>
      </c>
      <c r="C7183" t="s">
        <v>12144</v>
      </c>
      <c r="D7183">
        <v>95332963</v>
      </c>
      <c r="E7183">
        <v>13.07</v>
      </c>
      <c r="F7183">
        <v>7.85</v>
      </c>
    </row>
    <row r="7184" spans="1:6" x14ac:dyDescent="0.3">
      <c r="A7184" t="s">
        <v>12145</v>
      </c>
      <c r="B7184" t="s">
        <v>7534</v>
      </c>
      <c r="C7184" t="s">
        <v>12146</v>
      </c>
      <c r="D7184">
        <v>95336503</v>
      </c>
      <c r="E7184">
        <v>26.67</v>
      </c>
      <c r="F7184">
        <v>8</v>
      </c>
    </row>
    <row r="7185" spans="1:6" x14ac:dyDescent="0.3">
      <c r="A7185" t="s">
        <v>12147</v>
      </c>
      <c r="B7185" t="s">
        <v>10170</v>
      </c>
      <c r="C7185" t="s">
        <v>3106</v>
      </c>
      <c r="D7185">
        <v>95338625</v>
      </c>
      <c r="E7185">
        <v>24.5</v>
      </c>
      <c r="F7185">
        <v>3.5</v>
      </c>
    </row>
    <row r="7186" spans="1:6" x14ac:dyDescent="0.3">
      <c r="A7186" t="s">
        <v>12148</v>
      </c>
      <c r="B7186" t="s">
        <v>6688</v>
      </c>
      <c r="C7186" t="s">
        <v>12149</v>
      </c>
      <c r="D7186">
        <v>95339200</v>
      </c>
      <c r="E7186">
        <v>16.38</v>
      </c>
      <c r="F7186">
        <v>6.88</v>
      </c>
    </row>
    <row r="7187" spans="1:6" x14ac:dyDescent="0.3">
      <c r="A7187" t="s">
        <v>12150</v>
      </c>
      <c r="B7187" t="s">
        <v>6375</v>
      </c>
      <c r="C7187" t="s">
        <v>12151</v>
      </c>
      <c r="D7187">
        <v>95342774</v>
      </c>
      <c r="E7187">
        <v>8.73</v>
      </c>
      <c r="F7187">
        <v>7.08</v>
      </c>
    </row>
    <row r="7188" spans="1:6" x14ac:dyDescent="0.3">
      <c r="A7188" t="s">
        <v>12152</v>
      </c>
      <c r="B7188" t="s">
        <v>1691</v>
      </c>
      <c r="C7188" t="s">
        <v>12153</v>
      </c>
      <c r="D7188">
        <v>95345719</v>
      </c>
      <c r="E7188">
        <v>3.76</v>
      </c>
      <c r="F7188">
        <v>6.39</v>
      </c>
    </row>
    <row r="7189" spans="1:6" x14ac:dyDescent="0.3">
      <c r="A7189" t="s">
        <v>12154</v>
      </c>
      <c r="B7189" t="s">
        <v>9178</v>
      </c>
      <c r="C7189" t="s">
        <v>12155</v>
      </c>
      <c r="D7189">
        <v>95348970</v>
      </c>
      <c r="E7189">
        <v>2.66</v>
      </c>
      <c r="F7189">
        <v>8.48</v>
      </c>
    </row>
    <row r="7190" spans="1:6" x14ac:dyDescent="0.3">
      <c r="A7190" t="s">
        <v>12156</v>
      </c>
      <c r="B7190" t="s">
        <v>12157</v>
      </c>
      <c r="C7190" t="s">
        <v>12158</v>
      </c>
      <c r="D7190">
        <v>95354162</v>
      </c>
      <c r="E7190">
        <v>1.79</v>
      </c>
      <c r="F7190">
        <v>7.64</v>
      </c>
    </row>
    <row r="7191" spans="1:6" x14ac:dyDescent="0.3">
      <c r="A7191" t="s">
        <v>12159</v>
      </c>
      <c r="B7191" t="s">
        <v>12160</v>
      </c>
      <c r="C7191" t="s">
        <v>12161</v>
      </c>
      <c r="D7191">
        <v>95355264</v>
      </c>
      <c r="E7191">
        <v>24.8</v>
      </c>
      <c r="F7191">
        <v>8.2200000000000006</v>
      </c>
    </row>
    <row r="7192" spans="1:6" x14ac:dyDescent="0.3">
      <c r="A7192" t="s">
        <v>12162</v>
      </c>
      <c r="B7192" t="s">
        <v>8020</v>
      </c>
      <c r="C7192" t="s">
        <v>3013</v>
      </c>
      <c r="D7192">
        <v>95356862</v>
      </c>
      <c r="E7192">
        <v>21.93</v>
      </c>
      <c r="F7192">
        <v>6</v>
      </c>
    </row>
    <row r="7193" spans="1:6" x14ac:dyDescent="0.3">
      <c r="A7193" t="s">
        <v>12163</v>
      </c>
      <c r="B7193" t="s">
        <v>12164</v>
      </c>
      <c r="C7193" t="s">
        <v>12165</v>
      </c>
      <c r="D7193">
        <v>95357504</v>
      </c>
      <c r="E7193">
        <v>18.5</v>
      </c>
      <c r="F7193">
        <v>6.5</v>
      </c>
    </row>
    <row r="7194" spans="1:6" x14ac:dyDescent="0.3">
      <c r="A7194" t="s">
        <v>12166</v>
      </c>
      <c r="B7194" t="s">
        <v>3243</v>
      </c>
      <c r="C7194" t="s">
        <v>12167</v>
      </c>
      <c r="D7194">
        <v>95357896</v>
      </c>
      <c r="E7194">
        <v>6.82</v>
      </c>
      <c r="F7194">
        <v>7.4</v>
      </c>
    </row>
    <row r="7195" spans="1:6" x14ac:dyDescent="0.3">
      <c r="A7195" t="s">
        <v>12168</v>
      </c>
      <c r="B7195" t="s">
        <v>12169</v>
      </c>
      <c r="C7195" t="s">
        <v>5455</v>
      </c>
      <c r="D7195">
        <v>95381296</v>
      </c>
      <c r="E7195">
        <v>8.67</v>
      </c>
      <c r="F7195">
        <v>7.67</v>
      </c>
    </row>
    <row r="7196" spans="1:6" x14ac:dyDescent="0.3">
      <c r="A7196" t="s">
        <v>12170</v>
      </c>
      <c r="B7196" t="s">
        <v>12171</v>
      </c>
      <c r="C7196" t="s">
        <v>8789</v>
      </c>
      <c r="D7196">
        <v>95383256</v>
      </c>
      <c r="E7196">
        <v>18.71</v>
      </c>
      <c r="F7196">
        <v>7.71</v>
      </c>
    </row>
    <row r="7197" spans="1:6" x14ac:dyDescent="0.3">
      <c r="A7197" t="s">
        <v>12172</v>
      </c>
      <c r="B7197" t="s">
        <v>12173</v>
      </c>
      <c r="C7197" t="s">
        <v>12174</v>
      </c>
      <c r="D7197">
        <v>95423156</v>
      </c>
      <c r="E7197">
        <v>21.15</v>
      </c>
      <c r="F7197">
        <v>7.25</v>
      </c>
    </row>
    <row r="7198" spans="1:6" x14ac:dyDescent="0.3">
      <c r="A7198" t="s">
        <v>12175</v>
      </c>
      <c r="B7198" t="s">
        <v>5206</v>
      </c>
      <c r="C7198" t="s">
        <v>11893</v>
      </c>
      <c r="D7198">
        <v>95435650</v>
      </c>
      <c r="E7198">
        <v>30</v>
      </c>
      <c r="F7198">
        <v>9</v>
      </c>
    </row>
    <row r="7199" spans="1:6" x14ac:dyDescent="0.3">
      <c r="A7199" t="s">
        <v>12176</v>
      </c>
      <c r="B7199" t="s">
        <v>7152</v>
      </c>
      <c r="C7199" t="s">
        <v>1909</v>
      </c>
      <c r="D7199">
        <v>95436030</v>
      </c>
      <c r="E7199">
        <v>2.79</v>
      </c>
      <c r="F7199">
        <v>7.44</v>
      </c>
    </row>
    <row r="7200" spans="1:6" x14ac:dyDescent="0.3">
      <c r="A7200" t="s">
        <v>12177</v>
      </c>
      <c r="B7200" t="s">
        <v>4580</v>
      </c>
      <c r="C7200" t="s">
        <v>1123</v>
      </c>
      <c r="D7200">
        <v>95436164</v>
      </c>
      <c r="E7200">
        <v>2.4700000000000002</v>
      </c>
      <c r="F7200">
        <v>8.34</v>
      </c>
    </row>
    <row r="7201" spans="1:6" x14ac:dyDescent="0.3">
      <c r="A7201" t="s">
        <v>12178</v>
      </c>
      <c r="B7201" t="s">
        <v>7545</v>
      </c>
      <c r="C7201" t="s">
        <v>12179</v>
      </c>
      <c r="D7201">
        <v>95440955</v>
      </c>
      <c r="E7201">
        <v>32</v>
      </c>
      <c r="F7201">
        <v>4</v>
      </c>
    </row>
    <row r="7202" spans="1:6" x14ac:dyDescent="0.3">
      <c r="A7202" t="s">
        <v>12180</v>
      </c>
      <c r="B7202" t="s">
        <v>12181</v>
      </c>
      <c r="C7202" t="s">
        <v>11005</v>
      </c>
      <c r="D7202">
        <v>95461605</v>
      </c>
      <c r="E7202">
        <v>5.91</v>
      </c>
      <c r="F7202">
        <v>8.23</v>
      </c>
    </row>
    <row r="7203" spans="1:6" x14ac:dyDescent="0.3">
      <c r="A7203" t="s">
        <v>12182</v>
      </c>
      <c r="B7203" t="s">
        <v>9419</v>
      </c>
      <c r="C7203" t="s">
        <v>12183</v>
      </c>
      <c r="D7203">
        <v>95466836</v>
      </c>
      <c r="E7203">
        <v>2.98</v>
      </c>
      <c r="F7203">
        <v>7.72</v>
      </c>
    </row>
    <row r="7204" spans="1:6" x14ac:dyDescent="0.3">
      <c r="A7204" t="s">
        <v>12184</v>
      </c>
      <c r="B7204" t="s">
        <v>12185</v>
      </c>
      <c r="C7204" t="s">
        <v>8703</v>
      </c>
      <c r="D7204">
        <v>95471187</v>
      </c>
      <c r="E7204">
        <v>20</v>
      </c>
      <c r="F7204">
        <v>8.5</v>
      </c>
    </row>
    <row r="7205" spans="1:6" x14ac:dyDescent="0.3">
      <c r="A7205" t="s">
        <v>12186</v>
      </c>
      <c r="B7205" t="s">
        <v>10552</v>
      </c>
      <c r="C7205" t="s">
        <v>1293</v>
      </c>
      <c r="D7205">
        <v>95477471</v>
      </c>
      <c r="E7205">
        <v>15.65</v>
      </c>
      <c r="F7205">
        <v>7.13</v>
      </c>
    </row>
    <row r="7206" spans="1:6" x14ac:dyDescent="0.3">
      <c r="A7206" t="s">
        <v>12187</v>
      </c>
      <c r="B7206" t="s">
        <v>5330</v>
      </c>
      <c r="C7206" t="s">
        <v>5219</v>
      </c>
      <c r="D7206">
        <v>95481638</v>
      </c>
      <c r="E7206">
        <v>22.33</v>
      </c>
      <c r="F7206">
        <v>9.33</v>
      </c>
    </row>
    <row r="7207" spans="1:6" x14ac:dyDescent="0.3">
      <c r="A7207" t="s">
        <v>12188</v>
      </c>
      <c r="B7207" t="s">
        <v>4893</v>
      </c>
      <c r="C7207" t="s">
        <v>4211</v>
      </c>
      <c r="D7207">
        <v>95484955</v>
      </c>
      <c r="E7207">
        <v>1.31</v>
      </c>
      <c r="F7207">
        <v>7.41</v>
      </c>
    </row>
    <row r="7208" spans="1:6" x14ac:dyDescent="0.3">
      <c r="A7208" t="s">
        <v>12189</v>
      </c>
      <c r="B7208" t="s">
        <v>10850</v>
      </c>
      <c r="C7208" t="s">
        <v>12189</v>
      </c>
      <c r="D7208">
        <v>95506191</v>
      </c>
      <c r="E7208">
        <v>4.05</v>
      </c>
      <c r="F7208">
        <v>7.98</v>
      </c>
    </row>
    <row r="7209" spans="1:6" x14ac:dyDescent="0.3">
      <c r="A7209" t="s">
        <v>6941</v>
      </c>
      <c r="B7209" t="s">
        <v>6841</v>
      </c>
      <c r="C7209" t="s">
        <v>6941</v>
      </c>
      <c r="D7209">
        <v>95507089</v>
      </c>
      <c r="E7209">
        <v>2</v>
      </c>
      <c r="F7209">
        <v>8.43</v>
      </c>
    </row>
    <row r="7210" spans="1:6" x14ac:dyDescent="0.3">
      <c r="A7210" t="s">
        <v>12190</v>
      </c>
      <c r="B7210" t="s">
        <v>12191</v>
      </c>
      <c r="C7210" t="s">
        <v>6773</v>
      </c>
      <c r="D7210">
        <v>95521225</v>
      </c>
      <c r="E7210">
        <v>5.42</v>
      </c>
      <c r="F7210">
        <v>7.09</v>
      </c>
    </row>
    <row r="7211" spans="1:6" x14ac:dyDescent="0.3">
      <c r="A7211" t="s">
        <v>12192</v>
      </c>
      <c r="B7211" t="s">
        <v>5486</v>
      </c>
      <c r="C7211" t="s">
        <v>12193</v>
      </c>
      <c r="D7211">
        <v>95524621</v>
      </c>
      <c r="E7211">
        <v>33</v>
      </c>
      <c r="F7211">
        <v>10</v>
      </c>
    </row>
    <row r="7212" spans="1:6" x14ac:dyDescent="0.3">
      <c r="A7212" t="s">
        <v>12194</v>
      </c>
      <c r="B7212" t="s">
        <v>4445</v>
      </c>
      <c r="C7212" t="s">
        <v>12195</v>
      </c>
      <c r="D7212">
        <v>95561797</v>
      </c>
      <c r="E7212">
        <v>7.97</v>
      </c>
      <c r="F7212">
        <v>8</v>
      </c>
    </row>
    <row r="7213" spans="1:6" x14ac:dyDescent="0.3">
      <c r="A7213" t="s">
        <v>12196</v>
      </c>
      <c r="B7213" t="s">
        <v>10273</v>
      </c>
      <c r="C7213" t="s">
        <v>12197</v>
      </c>
      <c r="D7213">
        <v>95564658</v>
      </c>
      <c r="E7213">
        <v>31</v>
      </c>
      <c r="F7213">
        <v>7</v>
      </c>
    </row>
    <row r="7214" spans="1:6" x14ac:dyDescent="0.3">
      <c r="A7214" t="s">
        <v>12198</v>
      </c>
      <c r="B7214" t="s">
        <v>6202</v>
      </c>
      <c r="C7214" t="s">
        <v>12199</v>
      </c>
      <c r="D7214">
        <v>95565191</v>
      </c>
      <c r="E7214">
        <v>20.5</v>
      </c>
      <c r="F7214">
        <v>6.1</v>
      </c>
    </row>
    <row r="7215" spans="1:6" x14ac:dyDescent="0.3">
      <c r="A7215" t="s">
        <v>12200</v>
      </c>
      <c r="B7215" t="s">
        <v>10656</v>
      </c>
      <c r="C7215" t="s">
        <v>2443</v>
      </c>
      <c r="D7215">
        <v>95568649</v>
      </c>
      <c r="E7215">
        <v>22</v>
      </c>
      <c r="F7215">
        <v>7.75</v>
      </c>
    </row>
    <row r="7216" spans="1:6" x14ac:dyDescent="0.3">
      <c r="A7216" t="s">
        <v>12201</v>
      </c>
      <c r="B7216" t="s">
        <v>12202</v>
      </c>
      <c r="C7216" t="s">
        <v>12203</v>
      </c>
      <c r="D7216">
        <v>95569528</v>
      </c>
      <c r="E7216">
        <v>2.5</v>
      </c>
      <c r="F7216">
        <v>8.33</v>
      </c>
    </row>
    <row r="7217" spans="1:6" x14ac:dyDescent="0.3">
      <c r="A7217" t="s">
        <v>12204</v>
      </c>
      <c r="B7217" t="s">
        <v>12205</v>
      </c>
      <c r="C7217" t="s">
        <v>3801</v>
      </c>
      <c r="D7217">
        <v>95594197</v>
      </c>
      <c r="E7217">
        <v>12.99</v>
      </c>
      <c r="F7217">
        <v>7.41</v>
      </c>
    </row>
    <row r="7218" spans="1:6" x14ac:dyDescent="0.3">
      <c r="A7218" t="s">
        <v>12206</v>
      </c>
      <c r="B7218" t="s">
        <v>3746</v>
      </c>
      <c r="C7218" t="s">
        <v>749</v>
      </c>
      <c r="D7218">
        <v>95598169</v>
      </c>
      <c r="E7218">
        <v>2.98</v>
      </c>
      <c r="F7218">
        <v>6.82</v>
      </c>
    </row>
    <row r="7219" spans="1:6" x14ac:dyDescent="0.3">
      <c r="A7219" t="s">
        <v>12207</v>
      </c>
      <c r="B7219" t="s">
        <v>12208</v>
      </c>
      <c r="C7219" t="s">
        <v>9293</v>
      </c>
      <c r="D7219">
        <v>95600181</v>
      </c>
      <c r="E7219">
        <v>16.82</v>
      </c>
      <c r="F7219">
        <v>7.9</v>
      </c>
    </row>
    <row r="7220" spans="1:6" x14ac:dyDescent="0.3">
      <c r="A7220" t="s">
        <v>12209</v>
      </c>
      <c r="B7220" t="s">
        <v>11930</v>
      </c>
      <c r="C7220" t="s">
        <v>12210</v>
      </c>
      <c r="D7220">
        <v>95603967</v>
      </c>
      <c r="E7220">
        <v>6</v>
      </c>
      <c r="F7220">
        <v>5</v>
      </c>
    </row>
    <row r="7221" spans="1:6" x14ac:dyDescent="0.3">
      <c r="A7221" t="s">
        <v>12211</v>
      </c>
      <c r="B7221" t="s">
        <v>8338</v>
      </c>
      <c r="C7221" t="s">
        <v>12212</v>
      </c>
      <c r="D7221">
        <v>95607708</v>
      </c>
      <c r="E7221">
        <v>7.06</v>
      </c>
      <c r="F7221">
        <v>8</v>
      </c>
    </row>
    <row r="7222" spans="1:6" x14ac:dyDescent="0.3">
      <c r="A7222" t="s">
        <v>12213</v>
      </c>
      <c r="B7222" t="s">
        <v>9013</v>
      </c>
      <c r="C7222" t="s">
        <v>12214</v>
      </c>
      <c r="D7222">
        <v>95617660</v>
      </c>
      <c r="E7222">
        <v>22</v>
      </c>
      <c r="F7222">
        <v>5.33</v>
      </c>
    </row>
    <row r="7223" spans="1:6" x14ac:dyDescent="0.3">
      <c r="A7223" t="s">
        <v>12215</v>
      </c>
      <c r="B7223" t="s">
        <v>11757</v>
      </c>
      <c r="C7223" t="s">
        <v>9276</v>
      </c>
      <c r="D7223">
        <v>95631307</v>
      </c>
      <c r="E7223">
        <v>6.81</v>
      </c>
      <c r="F7223">
        <v>8.1199999999999992</v>
      </c>
    </row>
    <row r="7224" spans="1:6" x14ac:dyDescent="0.3">
      <c r="A7224" t="s">
        <v>12216</v>
      </c>
      <c r="B7224" t="s">
        <v>6079</v>
      </c>
      <c r="C7224" t="s">
        <v>11009</v>
      </c>
      <c r="D7224">
        <v>95656048</v>
      </c>
      <c r="E7224">
        <v>11.75</v>
      </c>
      <c r="F7224">
        <v>4.75</v>
      </c>
    </row>
    <row r="7225" spans="1:6" x14ac:dyDescent="0.3">
      <c r="A7225" t="s">
        <v>12217</v>
      </c>
      <c r="B7225" t="s">
        <v>12218</v>
      </c>
      <c r="C7225" t="s">
        <v>6544</v>
      </c>
      <c r="D7225">
        <v>95675702</v>
      </c>
      <c r="E7225">
        <v>33</v>
      </c>
      <c r="F7225">
        <v>6.6</v>
      </c>
    </row>
    <row r="7226" spans="1:6" x14ac:dyDescent="0.3">
      <c r="A7226" t="s">
        <v>12219</v>
      </c>
      <c r="B7226" t="s">
        <v>12220</v>
      </c>
      <c r="C7226" t="s">
        <v>8472</v>
      </c>
      <c r="D7226">
        <v>95677850</v>
      </c>
      <c r="E7226">
        <v>15.5</v>
      </c>
      <c r="F7226">
        <v>6</v>
      </c>
    </row>
    <row r="7227" spans="1:6" x14ac:dyDescent="0.3">
      <c r="A7227" t="s">
        <v>12221</v>
      </c>
      <c r="B7227" t="s">
        <v>12222</v>
      </c>
      <c r="C7227" t="s">
        <v>11849</v>
      </c>
      <c r="D7227">
        <v>95683886</v>
      </c>
      <c r="E7227">
        <v>5.46</v>
      </c>
      <c r="F7227">
        <v>7.51</v>
      </c>
    </row>
    <row r="7228" spans="1:6" x14ac:dyDescent="0.3">
      <c r="A7228" t="s">
        <v>12223</v>
      </c>
      <c r="B7228" t="s">
        <v>12224</v>
      </c>
      <c r="C7228" t="s">
        <v>6054</v>
      </c>
      <c r="D7228">
        <v>95696243</v>
      </c>
      <c r="E7228">
        <v>3.63</v>
      </c>
      <c r="F7228">
        <v>6.73</v>
      </c>
    </row>
    <row r="7229" spans="1:6" x14ac:dyDescent="0.3">
      <c r="A7229" t="s">
        <v>12225</v>
      </c>
      <c r="B7229" t="s">
        <v>6633</v>
      </c>
      <c r="C7229" t="s">
        <v>12226</v>
      </c>
      <c r="D7229">
        <v>95700141</v>
      </c>
      <c r="E7229">
        <v>15.3</v>
      </c>
      <c r="F7229">
        <v>8.16</v>
      </c>
    </row>
    <row r="7230" spans="1:6" x14ac:dyDescent="0.3">
      <c r="A7230" t="s">
        <v>12227</v>
      </c>
      <c r="B7230" t="s">
        <v>8838</v>
      </c>
      <c r="C7230" t="s">
        <v>4808</v>
      </c>
      <c r="D7230">
        <v>95706763</v>
      </c>
      <c r="E7230">
        <v>1.44</v>
      </c>
      <c r="F7230">
        <v>7.27</v>
      </c>
    </row>
    <row r="7231" spans="1:6" x14ac:dyDescent="0.3">
      <c r="A7231" t="s">
        <v>12228</v>
      </c>
      <c r="B7231" t="s">
        <v>7670</v>
      </c>
      <c r="C7231" t="s">
        <v>2192</v>
      </c>
      <c r="D7231">
        <v>95732494</v>
      </c>
      <c r="E7231">
        <v>10</v>
      </c>
      <c r="F7231">
        <v>6.29</v>
      </c>
    </row>
    <row r="7232" spans="1:6" x14ac:dyDescent="0.3">
      <c r="A7232" t="s">
        <v>12229</v>
      </c>
      <c r="B7232" t="s">
        <v>9590</v>
      </c>
      <c r="C7232" t="s">
        <v>2246</v>
      </c>
      <c r="D7232">
        <v>95748850</v>
      </c>
      <c r="E7232">
        <v>13.62</v>
      </c>
      <c r="F7232">
        <v>6</v>
      </c>
    </row>
    <row r="7233" spans="1:6" x14ac:dyDescent="0.3">
      <c r="A7233" t="s">
        <v>12230</v>
      </c>
      <c r="B7233" t="s">
        <v>8671</v>
      </c>
      <c r="C7233" t="s">
        <v>12231</v>
      </c>
      <c r="D7233">
        <v>95757926</v>
      </c>
      <c r="E7233">
        <v>21.99</v>
      </c>
      <c r="F7233">
        <v>8.19</v>
      </c>
    </row>
    <row r="7234" spans="1:6" x14ac:dyDescent="0.3">
      <c r="A7234" t="s">
        <v>12232</v>
      </c>
      <c r="B7234" t="s">
        <v>12233</v>
      </c>
      <c r="C7234" t="s">
        <v>1375</v>
      </c>
      <c r="D7234">
        <v>95767653</v>
      </c>
      <c r="E7234" t="s">
        <v>3814</v>
      </c>
      <c r="F7234" t="s">
        <v>3814</v>
      </c>
    </row>
    <row r="7235" spans="1:6" x14ac:dyDescent="0.3">
      <c r="A7235" t="s">
        <v>12234</v>
      </c>
      <c r="B7235" t="s">
        <v>10802</v>
      </c>
      <c r="C7235" t="s">
        <v>12234</v>
      </c>
      <c r="D7235">
        <v>95789062</v>
      </c>
      <c r="E7235">
        <v>3.75</v>
      </c>
      <c r="F7235">
        <v>8.68</v>
      </c>
    </row>
    <row r="7236" spans="1:6" x14ac:dyDescent="0.3">
      <c r="A7236" t="s">
        <v>12235</v>
      </c>
      <c r="B7236" t="s">
        <v>12236</v>
      </c>
      <c r="C7236" t="s">
        <v>1165</v>
      </c>
      <c r="D7236">
        <v>95793596</v>
      </c>
      <c r="E7236">
        <v>12.97</v>
      </c>
      <c r="F7236">
        <v>6.2</v>
      </c>
    </row>
    <row r="7237" spans="1:6" x14ac:dyDescent="0.3">
      <c r="A7237" t="s">
        <v>12237</v>
      </c>
      <c r="B7237" t="s">
        <v>12238</v>
      </c>
      <c r="C7237" t="s">
        <v>9701</v>
      </c>
      <c r="D7237">
        <v>95806581</v>
      </c>
      <c r="E7237">
        <v>6.29</v>
      </c>
      <c r="F7237">
        <v>8.36</v>
      </c>
    </row>
    <row r="7238" spans="1:6" x14ac:dyDescent="0.3">
      <c r="A7238" t="s">
        <v>8864</v>
      </c>
      <c r="B7238" t="s">
        <v>8864</v>
      </c>
      <c r="C7238" t="s">
        <v>12239</v>
      </c>
      <c r="D7238">
        <v>95811793</v>
      </c>
      <c r="E7238">
        <v>5.98</v>
      </c>
      <c r="F7238">
        <v>7.54</v>
      </c>
    </row>
    <row r="7239" spans="1:6" x14ac:dyDescent="0.3">
      <c r="A7239" t="s">
        <v>12240</v>
      </c>
      <c r="B7239" t="s">
        <v>4208</v>
      </c>
      <c r="C7239" t="s">
        <v>11005</v>
      </c>
      <c r="D7239">
        <v>95825827</v>
      </c>
      <c r="E7239">
        <v>11.85</v>
      </c>
      <c r="F7239">
        <v>7.67</v>
      </c>
    </row>
    <row r="7240" spans="1:6" x14ac:dyDescent="0.3">
      <c r="A7240" t="s">
        <v>9691</v>
      </c>
      <c r="B7240" t="s">
        <v>7083</v>
      </c>
      <c r="C7240" t="s">
        <v>3997</v>
      </c>
      <c r="D7240">
        <v>95825940</v>
      </c>
      <c r="E7240">
        <v>3.24</v>
      </c>
      <c r="F7240">
        <v>7.73</v>
      </c>
    </row>
    <row r="7241" spans="1:6" x14ac:dyDescent="0.3">
      <c r="A7241" t="s">
        <v>12241</v>
      </c>
      <c r="B7241" t="s">
        <v>1135</v>
      </c>
      <c r="C7241" t="s">
        <v>749</v>
      </c>
      <c r="D7241">
        <v>95831600</v>
      </c>
      <c r="E7241">
        <v>30</v>
      </c>
      <c r="F7241">
        <v>5</v>
      </c>
    </row>
    <row r="7242" spans="1:6" x14ac:dyDescent="0.3">
      <c r="A7242" t="s">
        <v>12242</v>
      </c>
      <c r="B7242" t="s">
        <v>12243</v>
      </c>
      <c r="C7242" t="s">
        <v>7996</v>
      </c>
      <c r="D7242">
        <v>95851008</v>
      </c>
      <c r="E7242" t="s">
        <v>3814</v>
      </c>
      <c r="F7242" t="s">
        <v>3814</v>
      </c>
    </row>
    <row r="7243" spans="1:6" x14ac:dyDescent="0.3">
      <c r="A7243" t="s">
        <v>12244</v>
      </c>
      <c r="B7243" t="s">
        <v>11503</v>
      </c>
      <c r="C7243" t="s">
        <v>12245</v>
      </c>
      <c r="D7243">
        <v>95863574</v>
      </c>
      <c r="E7243">
        <v>7.99</v>
      </c>
      <c r="F7243">
        <v>7.55</v>
      </c>
    </row>
    <row r="7244" spans="1:6" x14ac:dyDescent="0.3">
      <c r="A7244" t="s">
        <v>12246</v>
      </c>
      <c r="B7244" t="s">
        <v>11980</v>
      </c>
      <c r="C7244" t="s">
        <v>4744</v>
      </c>
      <c r="D7244">
        <v>95876774</v>
      </c>
      <c r="E7244">
        <v>11.54</v>
      </c>
      <c r="F7244">
        <v>7.97</v>
      </c>
    </row>
    <row r="7245" spans="1:6" x14ac:dyDescent="0.3">
      <c r="A7245" t="s">
        <v>12247</v>
      </c>
      <c r="B7245" t="s">
        <v>10492</v>
      </c>
      <c r="C7245" t="s">
        <v>12248</v>
      </c>
      <c r="D7245">
        <v>95879987</v>
      </c>
      <c r="E7245">
        <v>8.8000000000000007</v>
      </c>
      <c r="F7245">
        <v>6.78</v>
      </c>
    </row>
    <row r="7246" spans="1:6" x14ac:dyDescent="0.3">
      <c r="A7246" t="s">
        <v>12249</v>
      </c>
      <c r="B7246" t="s">
        <v>5384</v>
      </c>
      <c r="C7246" t="s">
        <v>12250</v>
      </c>
      <c r="D7246">
        <v>95880763</v>
      </c>
      <c r="E7246">
        <v>4.7</v>
      </c>
      <c r="F7246">
        <v>8</v>
      </c>
    </row>
    <row r="7247" spans="1:6" x14ac:dyDescent="0.3">
      <c r="A7247" t="s">
        <v>2520</v>
      </c>
      <c r="B7247" t="s">
        <v>11988</v>
      </c>
      <c r="C7247">
        <v>2010</v>
      </c>
      <c r="D7247">
        <v>95900378</v>
      </c>
      <c r="E7247">
        <v>12.21</v>
      </c>
      <c r="F7247">
        <v>7.54</v>
      </c>
    </row>
    <row r="7248" spans="1:6" x14ac:dyDescent="0.3">
      <c r="A7248" t="s">
        <v>12251</v>
      </c>
      <c r="B7248" t="s">
        <v>11374</v>
      </c>
      <c r="C7248" t="s">
        <v>2992</v>
      </c>
      <c r="D7248">
        <v>95911424</v>
      </c>
      <c r="E7248">
        <v>22.07</v>
      </c>
      <c r="F7248">
        <v>6.25</v>
      </c>
    </row>
    <row r="7249" spans="1:6" x14ac:dyDescent="0.3">
      <c r="A7249" t="s">
        <v>12252</v>
      </c>
      <c r="B7249" t="s">
        <v>10240</v>
      </c>
      <c r="C7249" t="s">
        <v>12253</v>
      </c>
      <c r="D7249">
        <v>95914480</v>
      </c>
      <c r="E7249">
        <v>21</v>
      </c>
      <c r="F7249">
        <v>4.5599999999999996</v>
      </c>
    </row>
    <row r="7250" spans="1:6" x14ac:dyDescent="0.3">
      <c r="A7250" t="s">
        <v>12254</v>
      </c>
      <c r="B7250" t="s">
        <v>5075</v>
      </c>
      <c r="C7250" t="s">
        <v>9701</v>
      </c>
      <c r="D7250">
        <v>95916696</v>
      </c>
      <c r="E7250">
        <v>2.83</v>
      </c>
      <c r="F7250">
        <v>7.11</v>
      </c>
    </row>
    <row r="7251" spans="1:6" x14ac:dyDescent="0.3">
      <c r="A7251" t="s">
        <v>12255</v>
      </c>
      <c r="B7251" t="s">
        <v>8787</v>
      </c>
      <c r="C7251" t="s">
        <v>8897</v>
      </c>
      <c r="D7251">
        <v>95929957</v>
      </c>
      <c r="E7251">
        <v>32</v>
      </c>
      <c r="F7251">
        <v>7</v>
      </c>
    </row>
    <row r="7252" spans="1:6" x14ac:dyDescent="0.3">
      <c r="A7252" t="s">
        <v>12256</v>
      </c>
      <c r="B7252" t="s">
        <v>12257</v>
      </c>
      <c r="C7252" t="s">
        <v>6045</v>
      </c>
      <c r="D7252">
        <v>95948205</v>
      </c>
      <c r="E7252">
        <v>15.93</v>
      </c>
      <c r="F7252">
        <v>8.5</v>
      </c>
    </row>
    <row r="7253" spans="1:6" x14ac:dyDescent="0.3">
      <c r="A7253" t="s">
        <v>12258</v>
      </c>
      <c r="B7253" t="s">
        <v>12259</v>
      </c>
      <c r="C7253" t="s">
        <v>12260</v>
      </c>
      <c r="D7253">
        <v>95962558</v>
      </c>
      <c r="E7253">
        <v>4.3600000000000003</v>
      </c>
      <c r="F7253">
        <v>7.38</v>
      </c>
    </row>
    <row r="7254" spans="1:6" x14ac:dyDescent="0.3">
      <c r="A7254" t="s">
        <v>12261</v>
      </c>
      <c r="B7254" t="s">
        <v>12262</v>
      </c>
      <c r="C7254" t="s">
        <v>12263</v>
      </c>
      <c r="D7254">
        <v>95994161</v>
      </c>
      <c r="E7254">
        <v>12.5</v>
      </c>
      <c r="F7254">
        <v>6.75</v>
      </c>
    </row>
    <row r="7255" spans="1:6" x14ac:dyDescent="0.3">
      <c r="A7255" t="s">
        <v>12264</v>
      </c>
      <c r="B7255" t="s">
        <v>5879</v>
      </c>
      <c r="C7255" t="s">
        <v>1103</v>
      </c>
      <c r="D7255">
        <v>95998005</v>
      </c>
      <c r="E7255" t="s">
        <v>3814</v>
      </c>
      <c r="F7255" t="s">
        <v>3814</v>
      </c>
    </row>
    <row r="7256" spans="1:6" x14ac:dyDescent="0.3">
      <c r="A7256" t="s">
        <v>12265</v>
      </c>
      <c r="B7256" t="s">
        <v>10247</v>
      </c>
      <c r="C7256" t="s">
        <v>12266</v>
      </c>
      <c r="D7256">
        <v>95999072</v>
      </c>
      <c r="E7256" t="s">
        <v>3814</v>
      </c>
      <c r="F7256" t="s">
        <v>3814</v>
      </c>
    </row>
    <row r="7257" spans="1:6" x14ac:dyDescent="0.3">
      <c r="A7257" t="s">
        <v>12267</v>
      </c>
      <c r="B7257" t="s">
        <v>8697</v>
      </c>
      <c r="C7257" t="s">
        <v>8632</v>
      </c>
      <c r="D7257">
        <v>96015816</v>
      </c>
      <c r="E7257">
        <v>28</v>
      </c>
      <c r="F7257">
        <v>8</v>
      </c>
    </row>
    <row r="7258" spans="1:6" x14ac:dyDescent="0.3">
      <c r="A7258" t="s">
        <v>12268</v>
      </c>
      <c r="B7258" t="s">
        <v>12269</v>
      </c>
      <c r="C7258" t="s">
        <v>845</v>
      </c>
      <c r="D7258">
        <v>96025331</v>
      </c>
      <c r="E7258">
        <v>16.329999999999998</v>
      </c>
      <c r="F7258">
        <v>8.0500000000000007</v>
      </c>
    </row>
    <row r="7259" spans="1:6" x14ac:dyDescent="0.3">
      <c r="A7259" t="s">
        <v>12270</v>
      </c>
      <c r="B7259" t="s">
        <v>11425</v>
      </c>
      <c r="C7259" t="s">
        <v>12271</v>
      </c>
      <c r="D7259">
        <v>96035641</v>
      </c>
      <c r="E7259">
        <v>33</v>
      </c>
      <c r="F7259">
        <v>7.5</v>
      </c>
    </row>
    <row r="7260" spans="1:6" x14ac:dyDescent="0.3">
      <c r="A7260" t="s">
        <v>12272</v>
      </c>
      <c r="B7260" t="s">
        <v>12273</v>
      </c>
      <c r="C7260" t="s">
        <v>12274</v>
      </c>
      <c r="D7260">
        <v>96036565</v>
      </c>
      <c r="E7260">
        <v>4.99</v>
      </c>
      <c r="F7260">
        <v>7.25</v>
      </c>
    </row>
    <row r="7261" spans="1:6" x14ac:dyDescent="0.3">
      <c r="A7261" t="s">
        <v>12275</v>
      </c>
      <c r="B7261" t="s">
        <v>2433</v>
      </c>
      <c r="C7261" t="s">
        <v>12275</v>
      </c>
      <c r="D7261">
        <v>96036893</v>
      </c>
      <c r="E7261">
        <v>20.420000000000002</v>
      </c>
      <c r="F7261">
        <v>7.5</v>
      </c>
    </row>
    <row r="7262" spans="1:6" x14ac:dyDescent="0.3">
      <c r="A7262" t="s">
        <v>12276</v>
      </c>
      <c r="B7262" t="s">
        <v>9659</v>
      </c>
      <c r="C7262" t="s">
        <v>9329</v>
      </c>
      <c r="D7262">
        <v>96038432</v>
      </c>
      <c r="E7262">
        <v>13.94</v>
      </c>
      <c r="F7262">
        <v>6.59</v>
      </c>
    </row>
    <row r="7263" spans="1:6" x14ac:dyDescent="0.3">
      <c r="A7263" t="s">
        <v>12277</v>
      </c>
      <c r="B7263" t="s">
        <v>11240</v>
      </c>
      <c r="C7263" t="s">
        <v>12278</v>
      </c>
      <c r="D7263">
        <v>96039122</v>
      </c>
      <c r="E7263">
        <v>12.8</v>
      </c>
      <c r="F7263">
        <v>6.56</v>
      </c>
    </row>
    <row r="7264" spans="1:6" x14ac:dyDescent="0.3">
      <c r="A7264" t="s">
        <v>12279</v>
      </c>
      <c r="B7264" t="s">
        <v>5228</v>
      </c>
      <c r="C7264" t="s">
        <v>5948</v>
      </c>
      <c r="D7264">
        <v>96039801</v>
      </c>
      <c r="E7264">
        <v>20.96</v>
      </c>
      <c r="F7264">
        <v>6.78</v>
      </c>
    </row>
    <row r="7265" spans="1:6" x14ac:dyDescent="0.3">
      <c r="A7265" t="s">
        <v>12280</v>
      </c>
      <c r="B7265" t="s">
        <v>5588</v>
      </c>
      <c r="C7265" t="s">
        <v>7108</v>
      </c>
      <c r="D7265">
        <v>96042826</v>
      </c>
      <c r="E7265">
        <v>1.84</v>
      </c>
      <c r="F7265">
        <v>7.43</v>
      </c>
    </row>
    <row r="7266" spans="1:6" x14ac:dyDescent="0.3">
      <c r="A7266" t="s">
        <v>12281</v>
      </c>
      <c r="B7266" t="s">
        <v>8187</v>
      </c>
      <c r="C7266" t="s">
        <v>4473</v>
      </c>
      <c r="D7266">
        <v>96043243</v>
      </c>
      <c r="E7266">
        <v>20.5</v>
      </c>
      <c r="F7266">
        <v>6.5</v>
      </c>
    </row>
    <row r="7267" spans="1:6" x14ac:dyDescent="0.3">
      <c r="A7267" t="s">
        <v>12282</v>
      </c>
      <c r="B7267" t="s">
        <v>7747</v>
      </c>
      <c r="C7267" t="s">
        <v>2726</v>
      </c>
      <c r="D7267">
        <v>96050702</v>
      </c>
      <c r="E7267">
        <v>22</v>
      </c>
      <c r="F7267">
        <v>5</v>
      </c>
    </row>
    <row r="7268" spans="1:6" x14ac:dyDescent="0.3">
      <c r="A7268" t="s">
        <v>12283</v>
      </c>
      <c r="B7268" t="s">
        <v>10850</v>
      </c>
      <c r="C7268" t="s">
        <v>12284</v>
      </c>
      <c r="D7268">
        <v>96066286</v>
      </c>
      <c r="E7268">
        <v>15.33</v>
      </c>
      <c r="F7268">
        <v>8.8000000000000007</v>
      </c>
    </row>
    <row r="7269" spans="1:6" x14ac:dyDescent="0.3">
      <c r="A7269" t="s">
        <v>12285</v>
      </c>
      <c r="B7269" t="s">
        <v>12286</v>
      </c>
      <c r="C7269" t="s">
        <v>12287</v>
      </c>
      <c r="D7269">
        <v>96068816</v>
      </c>
      <c r="E7269">
        <v>6.64</v>
      </c>
      <c r="F7269">
        <v>7.13</v>
      </c>
    </row>
    <row r="7270" spans="1:6" x14ac:dyDescent="0.3">
      <c r="A7270" t="s">
        <v>12288</v>
      </c>
      <c r="B7270" t="s">
        <v>5698</v>
      </c>
      <c r="C7270" t="s">
        <v>12289</v>
      </c>
      <c r="D7270">
        <v>96083028</v>
      </c>
      <c r="E7270">
        <v>34</v>
      </c>
      <c r="F7270">
        <v>8</v>
      </c>
    </row>
    <row r="7271" spans="1:6" x14ac:dyDescent="0.3">
      <c r="A7271" t="s">
        <v>12290</v>
      </c>
      <c r="B7271" t="s">
        <v>12291</v>
      </c>
      <c r="C7271" t="s">
        <v>12292</v>
      </c>
      <c r="D7271">
        <v>96096712</v>
      </c>
      <c r="E7271">
        <v>9.9700000000000006</v>
      </c>
      <c r="F7271">
        <v>5.91</v>
      </c>
    </row>
    <row r="7272" spans="1:6" x14ac:dyDescent="0.3">
      <c r="A7272" t="s">
        <v>12293</v>
      </c>
      <c r="B7272" t="s">
        <v>7668</v>
      </c>
      <c r="C7272" t="s">
        <v>12294</v>
      </c>
      <c r="D7272">
        <v>96101873</v>
      </c>
      <c r="E7272">
        <v>19.18</v>
      </c>
      <c r="F7272">
        <v>4.13</v>
      </c>
    </row>
    <row r="7273" spans="1:6" x14ac:dyDescent="0.3">
      <c r="A7273" t="s">
        <v>12295</v>
      </c>
      <c r="B7273" t="s">
        <v>5228</v>
      </c>
      <c r="C7273" t="s">
        <v>4951</v>
      </c>
      <c r="D7273">
        <v>96106362</v>
      </c>
      <c r="E7273">
        <v>5.47</v>
      </c>
      <c r="F7273">
        <v>7.4</v>
      </c>
    </row>
    <row r="7274" spans="1:6" x14ac:dyDescent="0.3">
      <c r="A7274" t="s">
        <v>12296</v>
      </c>
      <c r="B7274" t="s">
        <v>7261</v>
      </c>
      <c r="C7274" t="s">
        <v>3172</v>
      </c>
      <c r="D7274">
        <v>96118566</v>
      </c>
      <c r="E7274">
        <v>3.53</v>
      </c>
      <c r="F7274">
        <v>8.14</v>
      </c>
    </row>
    <row r="7275" spans="1:6" x14ac:dyDescent="0.3">
      <c r="A7275" t="s">
        <v>12297</v>
      </c>
      <c r="B7275" t="s">
        <v>8430</v>
      </c>
      <c r="C7275" t="s">
        <v>12298</v>
      </c>
      <c r="D7275">
        <v>96122162</v>
      </c>
      <c r="E7275">
        <v>4</v>
      </c>
      <c r="F7275">
        <v>6</v>
      </c>
    </row>
    <row r="7276" spans="1:6" x14ac:dyDescent="0.3">
      <c r="A7276" t="s">
        <v>12299</v>
      </c>
      <c r="B7276" t="s">
        <v>7604</v>
      </c>
      <c r="C7276" t="s">
        <v>7286</v>
      </c>
      <c r="D7276">
        <v>96182791</v>
      </c>
      <c r="E7276">
        <v>14.92</v>
      </c>
      <c r="F7276">
        <v>8.2100000000000009</v>
      </c>
    </row>
    <row r="7277" spans="1:6" x14ac:dyDescent="0.3">
      <c r="A7277" t="s">
        <v>12300</v>
      </c>
      <c r="B7277" t="s">
        <v>12301</v>
      </c>
      <c r="C7277" t="s">
        <v>6242</v>
      </c>
      <c r="D7277">
        <v>96189372</v>
      </c>
      <c r="E7277">
        <v>17.739999999999998</v>
      </c>
      <c r="F7277">
        <v>8.4600000000000009</v>
      </c>
    </row>
    <row r="7278" spans="1:6" x14ac:dyDescent="0.3">
      <c r="A7278" t="s">
        <v>12302</v>
      </c>
      <c r="B7278" t="s">
        <v>5900</v>
      </c>
      <c r="C7278" t="s">
        <v>6063</v>
      </c>
      <c r="D7278">
        <v>96226630</v>
      </c>
      <c r="E7278">
        <v>7.09</v>
      </c>
      <c r="F7278">
        <v>8.2200000000000006</v>
      </c>
    </row>
    <row r="7279" spans="1:6" x14ac:dyDescent="0.3">
      <c r="A7279" t="s">
        <v>12303</v>
      </c>
      <c r="B7279" t="s">
        <v>12304</v>
      </c>
      <c r="C7279" t="s">
        <v>12305</v>
      </c>
      <c r="D7279">
        <v>96257670</v>
      </c>
      <c r="E7279">
        <v>3.93</v>
      </c>
      <c r="F7279">
        <v>7.91</v>
      </c>
    </row>
    <row r="7280" spans="1:6" x14ac:dyDescent="0.3">
      <c r="A7280" t="s">
        <v>12306</v>
      </c>
      <c r="B7280" t="s">
        <v>12307</v>
      </c>
      <c r="C7280" t="s">
        <v>8499</v>
      </c>
      <c r="D7280">
        <v>96262991</v>
      </c>
      <c r="E7280">
        <v>2.71</v>
      </c>
      <c r="F7280">
        <v>8.16</v>
      </c>
    </row>
    <row r="7281" spans="1:6" x14ac:dyDescent="0.3">
      <c r="A7281" t="s">
        <v>2935</v>
      </c>
      <c r="B7281" t="s">
        <v>3348</v>
      </c>
      <c r="C7281" t="s">
        <v>7677</v>
      </c>
      <c r="D7281">
        <v>96265352</v>
      </c>
      <c r="E7281" t="s">
        <v>3814</v>
      </c>
      <c r="F7281" t="s">
        <v>3814</v>
      </c>
    </row>
    <row r="7282" spans="1:6" x14ac:dyDescent="0.3">
      <c r="A7282" t="s">
        <v>12308</v>
      </c>
      <c r="B7282" t="s">
        <v>7523</v>
      </c>
      <c r="C7282" t="s">
        <v>3891</v>
      </c>
      <c r="D7282">
        <v>96266657</v>
      </c>
      <c r="E7282">
        <v>18.54</v>
      </c>
      <c r="F7282">
        <v>5.13</v>
      </c>
    </row>
    <row r="7283" spans="1:6" x14ac:dyDescent="0.3">
      <c r="A7283" t="s">
        <v>12309</v>
      </c>
      <c r="B7283" t="s">
        <v>9668</v>
      </c>
      <c r="C7283" t="s">
        <v>12274</v>
      </c>
      <c r="D7283">
        <v>96285641</v>
      </c>
      <c r="E7283">
        <v>15.46</v>
      </c>
      <c r="F7283">
        <v>6.64</v>
      </c>
    </row>
    <row r="7284" spans="1:6" x14ac:dyDescent="0.3">
      <c r="A7284" t="s">
        <v>12310</v>
      </c>
      <c r="B7284" t="s">
        <v>9550</v>
      </c>
      <c r="C7284" t="s">
        <v>12311</v>
      </c>
      <c r="D7284">
        <v>96290185</v>
      </c>
      <c r="E7284">
        <v>8.25</v>
      </c>
      <c r="F7284">
        <v>6.5</v>
      </c>
    </row>
    <row r="7285" spans="1:6" x14ac:dyDescent="0.3">
      <c r="A7285" t="s">
        <v>12312</v>
      </c>
      <c r="B7285" t="s">
        <v>3668</v>
      </c>
      <c r="C7285" t="s">
        <v>1598</v>
      </c>
      <c r="D7285">
        <v>96297553</v>
      </c>
      <c r="E7285">
        <v>18.559999999999999</v>
      </c>
      <c r="F7285">
        <v>8.69</v>
      </c>
    </row>
    <row r="7286" spans="1:6" x14ac:dyDescent="0.3">
      <c r="A7286" t="s">
        <v>12313</v>
      </c>
      <c r="B7286" t="s">
        <v>9291</v>
      </c>
      <c r="C7286" t="s">
        <v>989</v>
      </c>
      <c r="D7286">
        <v>96306860</v>
      </c>
      <c r="E7286">
        <v>14.84</v>
      </c>
      <c r="F7286">
        <v>6.76</v>
      </c>
    </row>
    <row r="7287" spans="1:6" x14ac:dyDescent="0.3">
      <c r="A7287" t="s">
        <v>12314</v>
      </c>
      <c r="B7287" t="s">
        <v>1958</v>
      </c>
      <c r="C7287" t="s">
        <v>832</v>
      </c>
      <c r="D7287">
        <v>96314787</v>
      </c>
      <c r="E7287" t="s">
        <v>3814</v>
      </c>
      <c r="F7287" t="s">
        <v>3814</v>
      </c>
    </row>
    <row r="7288" spans="1:6" x14ac:dyDescent="0.3">
      <c r="A7288" t="s">
        <v>12315</v>
      </c>
      <c r="B7288" t="s">
        <v>8810</v>
      </c>
      <c r="C7288" t="s">
        <v>10590</v>
      </c>
      <c r="D7288">
        <v>96321052</v>
      </c>
      <c r="E7288">
        <v>8.59</v>
      </c>
      <c r="F7288">
        <v>8.3699999999999992</v>
      </c>
    </row>
    <row r="7289" spans="1:6" x14ac:dyDescent="0.3">
      <c r="A7289" t="s">
        <v>6851</v>
      </c>
      <c r="B7289" t="s">
        <v>6748</v>
      </c>
      <c r="C7289" t="s">
        <v>12316</v>
      </c>
      <c r="D7289">
        <v>96338496</v>
      </c>
      <c r="E7289">
        <v>1.93</v>
      </c>
      <c r="F7289">
        <v>7.25</v>
      </c>
    </row>
    <row r="7290" spans="1:6" x14ac:dyDescent="0.3">
      <c r="A7290" t="s">
        <v>12317</v>
      </c>
      <c r="B7290" t="s">
        <v>10084</v>
      </c>
      <c r="C7290" t="s">
        <v>5465</v>
      </c>
      <c r="D7290">
        <v>96345801</v>
      </c>
      <c r="E7290">
        <v>32</v>
      </c>
      <c r="F7290">
        <v>5.67</v>
      </c>
    </row>
    <row r="7291" spans="1:6" x14ac:dyDescent="0.3">
      <c r="A7291" t="s">
        <v>12318</v>
      </c>
      <c r="B7291" t="s">
        <v>10210</v>
      </c>
      <c r="C7291" t="s">
        <v>12319</v>
      </c>
      <c r="D7291">
        <v>96383314</v>
      </c>
      <c r="E7291">
        <v>22.52</v>
      </c>
      <c r="F7291">
        <v>7.38</v>
      </c>
    </row>
    <row r="7292" spans="1:6" x14ac:dyDescent="0.3">
      <c r="A7292" t="s">
        <v>12320</v>
      </c>
      <c r="B7292" t="s">
        <v>6805</v>
      </c>
      <c r="C7292" t="s">
        <v>1051</v>
      </c>
      <c r="D7292">
        <v>96383663</v>
      </c>
      <c r="E7292" t="s">
        <v>3814</v>
      </c>
      <c r="F7292" t="s">
        <v>3814</v>
      </c>
    </row>
    <row r="7293" spans="1:6" x14ac:dyDescent="0.3">
      <c r="A7293" t="s">
        <v>11620</v>
      </c>
      <c r="B7293" t="s">
        <v>10167</v>
      </c>
      <c r="C7293" t="s">
        <v>8703</v>
      </c>
      <c r="D7293">
        <v>96386314</v>
      </c>
      <c r="E7293">
        <v>16.46</v>
      </c>
      <c r="F7293">
        <v>8.7100000000000009</v>
      </c>
    </row>
    <row r="7294" spans="1:6" x14ac:dyDescent="0.3">
      <c r="A7294" t="s">
        <v>12321</v>
      </c>
      <c r="B7294" t="s">
        <v>11148</v>
      </c>
      <c r="C7294" t="s">
        <v>12322</v>
      </c>
      <c r="D7294">
        <v>96392577</v>
      </c>
      <c r="E7294">
        <v>3.18</v>
      </c>
      <c r="F7294">
        <v>7.58</v>
      </c>
    </row>
    <row r="7295" spans="1:6" x14ac:dyDescent="0.3">
      <c r="A7295" t="s">
        <v>12323</v>
      </c>
      <c r="B7295" t="s">
        <v>9446</v>
      </c>
      <c r="C7295" t="s">
        <v>12324</v>
      </c>
      <c r="D7295">
        <v>96410452</v>
      </c>
      <c r="E7295">
        <v>5.03</v>
      </c>
      <c r="F7295">
        <v>7.37</v>
      </c>
    </row>
    <row r="7296" spans="1:6" x14ac:dyDescent="0.3">
      <c r="A7296" t="s">
        <v>12325</v>
      </c>
      <c r="B7296" t="s">
        <v>12326</v>
      </c>
      <c r="C7296" t="s">
        <v>5891</v>
      </c>
      <c r="D7296">
        <v>96418058</v>
      </c>
      <c r="E7296">
        <v>24.17</v>
      </c>
      <c r="F7296">
        <v>8</v>
      </c>
    </row>
    <row r="7297" spans="1:6" x14ac:dyDescent="0.3">
      <c r="A7297" t="s">
        <v>12327</v>
      </c>
      <c r="B7297" t="s">
        <v>12328</v>
      </c>
      <c r="C7297" t="s">
        <v>4898</v>
      </c>
      <c r="D7297">
        <v>96457938</v>
      </c>
      <c r="E7297">
        <v>4.63</v>
      </c>
      <c r="F7297">
        <v>7.79</v>
      </c>
    </row>
    <row r="7298" spans="1:6" x14ac:dyDescent="0.3">
      <c r="A7298" t="s">
        <v>12329</v>
      </c>
      <c r="B7298" t="s">
        <v>10240</v>
      </c>
      <c r="C7298" t="s">
        <v>12330</v>
      </c>
      <c r="D7298">
        <v>96470224</v>
      </c>
      <c r="E7298">
        <v>30</v>
      </c>
      <c r="F7298">
        <v>9</v>
      </c>
    </row>
    <row r="7299" spans="1:6" x14ac:dyDescent="0.3">
      <c r="A7299" t="s">
        <v>12331</v>
      </c>
      <c r="B7299" t="s">
        <v>9233</v>
      </c>
      <c r="C7299" t="s">
        <v>845</v>
      </c>
      <c r="D7299">
        <v>96471171</v>
      </c>
      <c r="E7299">
        <v>33</v>
      </c>
      <c r="F7299">
        <v>10</v>
      </c>
    </row>
    <row r="7300" spans="1:6" x14ac:dyDescent="0.3">
      <c r="A7300" t="s">
        <v>12332</v>
      </c>
      <c r="B7300" t="s">
        <v>12333</v>
      </c>
      <c r="C7300" t="s">
        <v>12334</v>
      </c>
      <c r="D7300">
        <v>96475718</v>
      </c>
      <c r="E7300">
        <v>4.8600000000000003</v>
      </c>
      <c r="F7300">
        <v>6.5</v>
      </c>
    </row>
    <row r="7301" spans="1:6" x14ac:dyDescent="0.3">
      <c r="A7301" t="s">
        <v>12335</v>
      </c>
      <c r="B7301" t="s">
        <v>8119</v>
      </c>
      <c r="C7301" t="s">
        <v>1174</v>
      </c>
      <c r="D7301">
        <v>96477272</v>
      </c>
      <c r="E7301">
        <v>4.9000000000000004</v>
      </c>
      <c r="F7301">
        <v>6.21</v>
      </c>
    </row>
    <row r="7302" spans="1:6" x14ac:dyDescent="0.3">
      <c r="A7302" t="s">
        <v>7661</v>
      </c>
      <c r="B7302" t="s">
        <v>8165</v>
      </c>
      <c r="C7302" t="s">
        <v>2192</v>
      </c>
      <c r="D7302">
        <v>96481212</v>
      </c>
      <c r="E7302">
        <v>7.57</v>
      </c>
      <c r="F7302">
        <v>5.69</v>
      </c>
    </row>
    <row r="7303" spans="1:6" x14ac:dyDescent="0.3">
      <c r="A7303" t="s">
        <v>12336</v>
      </c>
      <c r="B7303" t="s">
        <v>5410</v>
      </c>
      <c r="C7303" t="s">
        <v>1411</v>
      </c>
      <c r="D7303">
        <v>96512076</v>
      </c>
      <c r="E7303">
        <v>21.5</v>
      </c>
      <c r="F7303">
        <v>6</v>
      </c>
    </row>
    <row r="7304" spans="1:6" x14ac:dyDescent="0.3">
      <c r="A7304" t="s">
        <v>12337</v>
      </c>
      <c r="B7304" t="s">
        <v>4128</v>
      </c>
      <c r="C7304" t="s">
        <v>12338</v>
      </c>
      <c r="D7304">
        <v>96527678</v>
      </c>
      <c r="E7304">
        <v>27.33</v>
      </c>
      <c r="F7304">
        <v>6.67</v>
      </c>
    </row>
    <row r="7305" spans="1:6" x14ac:dyDescent="0.3">
      <c r="A7305" t="s">
        <v>12339</v>
      </c>
      <c r="B7305" t="s">
        <v>2470</v>
      </c>
      <c r="C7305" t="s">
        <v>799</v>
      </c>
      <c r="D7305">
        <v>96547545</v>
      </c>
      <c r="E7305">
        <v>14.67</v>
      </c>
      <c r="F7305">
        <v>8.17</v>
      </c>
    </row>
    <row r="7306" spans="1:6" x14ac:dyDescent="0.3">
      <c r="A7306" t="s">
        <v>12340</v>
      </c>
      <c r="B7306" t="s">
        <v>10073</v>
      </c>
      <c r="C7306" t="s">
        <v>12341</v>
      </c>
      <c r="D7306">
        <v>96549270</v>
      </c>
      <c r="E7306">
        <v>23</v>
      </c>
      <c r="F7306">
        <v>9.33</v>
      </c>
    </row>
    <row r="7307" spans="1:6" x14ac:dyDescent="0.3">
      <c r="A7307" t="s">
        <v>12342</v>
      </c>
      <c r="B7307" t="s">
        <v>8417</v>
      </c>
      <c r="C7307" t="s">
        <v>12343</v>
      </c>
      <c r="D7307">
        <v>96550218</v>
      </c>
      <c r="E7307">
        <v>1.86</v>
      </c>
      <c r="F7307">
        <v>7.86</v>
      </c>
    </row>
    <row r="7308" spans="1:6" x14ac:dyDescent="0.3">
      <c r="A7308" t="s">
        <v>12344</v>
      </c>
      <c r="B7308" t="s">
        <v>4686</v>
      </c>
      <c r="C7308" t="s">
        <v>12345</v>
      </c>
      <c r="D7308">
        <v>96566713</v>
      </c>
      <c r="E7308">
        <v>13.72</v>
      </c>
      <c r="F7308">
        <v>8</v>
      </c>
    </row>
    <row r="7309" spans="1:6" x14ac:dyDescent="0.3">
      <c r="A7309" t="s">
        <v>12346</v>
      </c>
      <c r="B7309" t="s">
        <v>8119</v>
      </c>
      <c r="C7309" t="s">
        <v>12347</v>
      </c>
      <c r="D7309">
        <v>96590328</v>
      </c>
      <c r="E7309">
        <v>31.67</v>
      </c>
      <c r="F7309">
        <v>9</v>
      </c>
    </row>
    <row r="7310" spans="1:6" x14ac:dyDescent="0.3">
      <c r="A7310" t="s">
        <v>12348</v>
      </c>
      <c r="B7310" t="s">
        <v>12349</v>
      </c>
      <c r="C7310" t="s">
        <v>12350</v>
      </c>
      <c r="D7310">
        <v>96604457</v>
      </c>
      <c r="E7310">
        <v>18.98</v>
      </c>
      <c r="F7310">
        <v>7.66</v>
      </c>
    </row>
    <row r="7311" spans="1:6" x14ac:dyDescent="0.3">
      <c r="A7311" t="s">
        <v>12351</v>
      </c>
      <c r="B7311" t="s">
        <v>12352</v>
      </c>
      <c r="C7311" t="s">
        <v>3677</v>
      </c>
      <c r="D7311">
        <v>96613492</v>
      </c>
      <c r="E7311">
        <v>2.99</v>
      </c>
      <c r="F7311">
        <v>7.25</v>
      </c>
    </row>
    <row r="7312" spans="1:6" x14ac:dyDescent="0.3">
      <c r="A7312" t="s">
        <v>12353</v>
      </c>
      <c r="B7312" t="s">
        <v>8508</v>
      </c>
      <c r="C7312" t="s">
        <v>12305</v>
      </c>
      <c r="D7312">
        <v>96627999</v>
      </c>
      <c r="E7312">
        <v>2.57</v>
      </c>
      <c r="F7312">
        <v>7.97</v>
      </c>
    </row>
    <row r="7313" spans="1:6" x14ac:dyDescent="0.3">
      <c r="A7313" t="s">
        <v>12354</v>
      </c>
      <c r="B7313" t="s">
        <v>11460</v>
      </c>
      <c r="C7313" t="s">
        <v>12355</v>
      </c>
      <c r="D7313">
        <v>96639513</v>
      </c>
      <c r="E7313">
        <v>15.72</v>
      </c>
      <c r="F7313">
        <v>7.07</v>
      </c>
    </row>
    <row r="7314" spans="1:6" x14ac:dyDescent="0.3">
      <c r="A7314" t="s">
        <v>12356</v>
      </c>
      <c r="B7314" t="s">
        <v>11240</v>
      </c>
      <c r="C7314" t="s">
        <v>12357</v>
      </c>
      <c r="D7314">
        <v>96648560</v>
      </c>
      <c r="E7314">
        <v>17.59</v>
      </c>
      <c r="F7314">
        <v>8.2899999999999991</v>
      </c>
    </row>
    <row r="7315" spans="1:6" x14ac:dyDescent="0.3">
      <c r="A7315" t="s">
        <v>12358</v>
      </c>
      <c r="B7315" t="s">
        <v>12359</v>
      </c>
      <c r="C7315" t="s">
        <v>6985</v>
      </c>
      <c r="D7315">
        <v>96651884</v>
      </c>
      <c r="E7315">
        <v>6</v>
      </c>
      <c r="F7315">
        <v>7.38</v>
      </c>
    </row>
    <row r="7316" spans="1:6" x14ac:dyDescent="0.3">
      <c r="A7316" t="s">
        <v>12360</v>
      </c>
      <c r="B7316" t="s">
        <v>12361</v>
      </c>
      <c r="C7316" t="s">
        <v>12362</v>
      </c>
      <c r="D7316">
        <v>96676213</v>
      </c>
      <c r="E7316" t="s">
        <v>3814</v>
      </c>
      <c r="F7316">
        <v>1</v>
      </c>
    </row>
    <row r="7317" spans="1:6" x14ac:dyDescent="0.3">
      <c r="A7317" t="s">
        <v>12363</v>
      </c>
      <c r="B7317" t="s">
        <v>2999</v>
      </c>
      <c r="C7317" t="s">
        <v>12364</v>
      </c>
      <c r="D7317">
        <v>96685322</v>
      </c>
      <c r="E7317">
        <v>2.0299999999999998</v>
      </c>
      <c r="F7317">
        <v>7.15</v>
      </c>
    </row>
    <row r="7318" spans="1:6" x14ac:dyDescent="0.3">
      <c r="A7318" t="s">
        <v>12365</v>
      </c>
      <c r="B7318" t="s">
        <v>8169</v>
      </c>
      <c r="C7318" t="s">
        <v>4489</v>
      </c>
      <c r="D7318">
        <v>96705689</v>
      </c>
      <c r="E7318">
        <v>1.76</v>
      </c>
      <c r="F7318">
        <v>7.76</v>
      </c>
    </row>
    <row r="7319" spans="1:6" x14ac:dyDescent="0.3">
      <c r="A7319" t="s">
        <v>12366</v>
      </c>
      <c r="B7319" t="s">
        <v>5890</v>
      </c>
      <c r="C7319" t="s">
        <v>9</v>
      </c>
      <c r="D7319">
        <v>96716452</v>
      </c>
      <c r="E7319">
        <v>5.26</v>
      </c>
      <c r="F7319">
        <v>6.13</v>
      </c>
    </row>
    <row r="7320" spans="1:6" x14ac:dyDescent="0.3">
      <c r="A7320" t="s">
        <v>12367</v>
      </c>
      <c r="B7320" t="s">
        <v>12368</v>
      </c>
      <c r="C7320" t="s">
        <v>2337</v>
      </c>
      <c r="D7320">
        <v>96731952</v>
      </c>
      <c r="E7320">
        <v>13.13</v>
      </c>
      <c r="F7320">
        <v>8</v>
      </c>
    </row>
    <row r="7321" spans="1:6" x14ac:dyDescent="0.3">
      <c r="A7321" t="s">
        <v>12369</v>
      </c>
      <c r="B7321" t="s">
        <v>6366</v>
      </c>
      <c r="C7321" t="s">
        <v>6731</v>
      </c>
      <c r="D7321">
        <v>96732638</v>
      </c>
      <c r="E7321">
        <v>2.74</v>
      </c>
      <c r="F7321">
        <v>7.07</v>
      </c>
    </row>
    <row r="7322" spans="1:6" x14ac:dyDescent="0.3">
      <c r="A7322" t="s">
        <v>12370</v>
      </c>
      <c r="B7322" t="s">
        <v>4150</v>
      </c>
      <c r="C7322" t="s">
        <v>1452</v>
      </c>
      <c r="D7322">
        <v>96773689</v>
      </c>
      <c r="E7322">
        <v>11.07</v>
      </c>
      <c r="F7322">
        <v>8</v>
      </c>
    </row>
    <row r="7323" spans="1:6" x14ac:dyDescent="0.3">
      <c r="A7323" t="s">
        <v>10361</v>
      </c>
      <c r="B7323" t="s">
        <v>9659</v>
      </c>
      <c r="C7323" t="s">
        <v>8603</v>
      </c>
      <c r="D7323">
        <v>96776475</v>
      </c>
      <c r="E7323">
        <v>1.86</v>
      </c>
      <c r="F7323">
        <v>7.69</v>
      </c>
    </row>
    <row r="7324" spans="1:6" x14ac:dyDescent="0.3">
      <c r="A7324" t="s">
        <v>12371</v>
      </c>
      <c r="B7324" t="s">
        <v>12372</v>
      </c>
      <c r="C7324" t="s">
        <v>2429</v>
      </c>
      <c r="D7324">
        <v>96778492</v>
      </c>
      <c r="E7324">
        <v>10.7</v>
      </c>
      <c r="F7324">
        <v>8.3699999999999992</v>
      </c>
    </row>
    <row r="7325" spans="1:6" x14ac:dyDescent="0.3">
      <c r="A7325" t="s">
        <v>12373</v>
      </c>
      <c r="B7325" t="s">
        <v>6992</v>
      </c>
      <c r="C7325" t="s">
        <v>12374</v>
      </c>
      <c r="D7325">
        <v>96789867</v>
      </c>
      <c r="E7325">
        <v>3.66</v>
      </c>
      <c r="F7325">
        <v>7.58</v>
      </c>
    </row>
    <row r="7326" spans="1:6" x14ac:dyDescent="0.3">
      <c r="A7326" t="s">
        <v>12375</v>
      </c>
      <c r="B7326" t="s">
        <v>12376</v>
      </c>
      <c r="C7326" t="s">
        <v>12377</v>
      </c>
      <c r="D7326">
        <v>96792997</v>
      </c>
      <c r="E7326">
        <v>6.65</v>
      </c>
      <c r="F7326">
        <v>5.2</v>
      </c>
    </row>
    <row r="7327" spans="1:6" x14ac:dyDescent="0.3">
      <c r="A7327" t="s">
        <v>12378</v>
      </c>
      <c r="B7327" t="s">
        <v>9291</v>
      </c>
      <c r="C7327" t="s">
        <v>4045</v>
      </c>
      <c r="D7327">
        <v>96842422</v>
      </c>
      <c r="E7327">
        <v>12.36</v>
      </c>
      <c r="F7327">
        <v>8.43</v>
      </c>
    </row>
    <row r="7328" spans="1:6" x14ac:dyDescent="0.3">
      <c r="A7328" t="s">
        <v>12379</v>
      </c>
      <c r="B7328" t="s">
        <v>1853</v>
      </c>
      <c r="C7328" t="s">
        <v>12380</v>
      </c>
      <c r="D7328">
        <v>96846935</v>
      </c>
      <c r="E7328">
        <v>23.65</v>
      </c>
      <c r="F7328">
        <v>7.64</v>
      </c>
    </row>
    <row r="7329" spans="1:6" x14ac:dyDescent="0.3">
      <c r="A7329" t="s">
        <v>12381</v>
      </c>
      <c r="B7329" t="s">
        <v>12382</v>
      </c>
      <c r="C7329" t="s">
        <v>6961</v>
      </c>
      <c r="D7329">
        <v>96855941</v>
      </c>
      <c r="E7329">
        <v>3.48</v>
      </c>
      <c r="F7329">
        <v>6.8</v>
      </c>
    </row>
    <row r="7330" spans="1:6" x14ac:dyDescent="0.3">
      <c r="A7330" t="s">
        <v>2061</v>
      </c>
      <c r="B7330" t="s">
        <v>12383</v>
      </c>
      <c r="C7330" t="s">
        <v>2061</v>
      </c>
      <c r="D7330">
        <v>96862932</v>
      </c>
      <c r="E7330">
        <v>23</v>
      </c>
      <c r="F7330">
        <v>9</v>
      </c>
    </row>
    <row r="7331" spans="1:6" x14ac:dyDescent="0.3">
      <c r="A7331" t="s">
        <v>12384</v>
      </c>
      <c r="B7331" t="s">
        <v>7784</v>
      </c>
      <c r="C7331" t="s">
        <v>12385</v>
      </c>
      <c r="D7331">
        <v>96872233</v>
      </c>
      <c r="E7331">
        <v>16.11</v>
      </c>
      <c r="F7331">
        <v>8.81</v>
      </c>
    </row>
    <row r="7332" spans="1:6" x14ac:dyDescent="0.3">
      <c r="A7332" t="s">
        <v>12386</v>
      </c>
      <c r="B7332" t="s">
        <v>2126</v>
      </c>
      <c r="C7332" t="s">
        <v>4141</v>
      </c>
      <c r="D7332">
        <v>96883856</v>
      </c>
      <c r="E7332">
        <v>6.98</v>
      </c>
      <c r="F7332">
        <v>6.16</v>
      </c>
    </row>
    <row r="7333" spans="1:6" x14ac:dyDescent="0.3">
      <c r="A7333" t="s">
        <v>12387</v>
      </c>
      <c r="B7333" t="s">
        <v>4124</v>
      </c>
      <c r="C7333" t="s">
        <v>12388</v>
      </c>
      <c r="D7333">
        <v>96884619</v>
      </c>
      <c r="E7333">
        <v>2.2799999999999998</v>
      </c>
      <c r="F7333">
        <v>7.11</v>
      </c>
    </row>
    <row r="7334" spans="1:6" x14ac:dyDescent="0.3">
      <c r="A7334" t="s">
        <v>12389</v>
      </c>
      <c r="B7334" t="s">
        <v>3746</v>
      </c>
      <c r="C7334" t="s">
        <v>12390</v>
      </c>
      <c r="D7334">
        <v>96885224</v>
      </c>
      <c r="E7334">
        <v>2.98</v>
      </c>
      <c r="F7334">
        <v>6.43</v>
      </c>
    </row>
    <row r="7335" spans="1:6" x14ac:dyDescent="0.3">
      <c r="A7335" t="s">
        <v>12391</v>
      </c>
      <c r="B7335" t="s">
        <v>5775</v>
      </c>
      <c r="C7335" t="s">
        <v>3938</v>
      </c>
      <c r="D7335">
        <v>96901617</v>
      </c>
      <c r="E7335">
        <v>17.27</v>
      </c>
      <c r="F7335">
        <v>6.09</v>
      </c>
    </row>
    <row r="7336" spans="1:6" x14ac:dyDescent="0.3">
      <c r="A7336" t="s">
        <v>12392</v>
      </c>
      <c r="B7336" t="s">
        <v>5060</v>
      </c>
      <c r="C7336" t="s">
        <v>12393</v>
      </c>
      <c r="D7336">
        <v>96904106</v>
      </c>
      <c r="E7336">
        <v>17.149999999999999</v>
      </c>
      <c r="F7336">
        <v>7.17</v>
      </c>
    </row>
    <row r="7337" spans="1:6" x14ac:dyDescent="0.3">
      <c r="A7337" t="s">
        <v>12394</v>
      </c>
      <c r="B7337" t="s">
        <v>12395</v>
      </c>
      <c r="C7337" t="s">
        <v>11664</v>
      </c>
      <c r="D7337">
        <v>96916256</v>
      </c>
      <c r="E7337">
        <v>9</v>
      </c>
      <c r="F7337">
        <v>5.44</v>
      </c>
    </row>
    <row r="7338" spans="1:6" x14ac:dyDescent="0.3">
      <c r="A7338" t="s">
        <v>12396</v>
      </c>
      <c r="B7338" t="s">
        <v>6115</v>
      </c>
      <c r="C7338" t="s">
        <v>2293</v>
      </c>
      <c r="D7338">
        <v>96933425</v>
      </c>
      <c r="E7338">
        <v>2.36</v>
      </c>
      <c r="F7338">
        <v>6.75</v>
      </c>
    </row>
    <row r="7339" spans="1:6" x14ac:dyDescent="0.3">
      <c r="A7339" t="s">
        <v>12397</v>
      </c>
      <c r="B7339" t="s">
        <v>12398</v>
      </c>
      <c r="C7339" t="s">
        <v>6440</v>
      </c>
      <c r="D7339">
        <v>96943971</v>
      </c>
      <c r="E7339">
        <v>3.25</v>
      </c>
      <c r="F7339">
        <v>7.36</v>
      </c>
    </row>
    <row r="7340" spans="1:6" x14ac:dyDescent="0.3">
      <c r="A7340" t="s">
        <v>12399</v>
      </c>
      <c r="B7340" t="s">
        <v>11051</v>
      </c>
      <c r="C7340" t="s">
        <v>4281</v>
      </c>
      <c r="D7340">
        <v>96949109</v>
      </c>
      <c r="E7340">
        <v>5.58</v>
      </c>
      <c r="F7340">
        <v>8.36</v>
      </c>
    </row>
    <row r="7341" spans="1:6" x14ac:dyDescent="0.3">
      <c r="A7341" t="s">
        <v>12400</v>
      </c>
      <c r="B7341" t="s">
        <v>6953</v>
      </c>
      <c r="C7341" t="s">
        <v>5772</v>
      </c>
      <c r="D7341">
        <v>96972965</v>
      </c>
      <c r="E7341">
        <v>1.88</v>
      </c>
      <c r="F7341">
        <v>7.58</v>
      </c>
    </row>
    <row r="7342" spans="1:6" x14ac:dyDescent="0.3">
      <c r="A7342" t="s">
        <v>12401</v>
      </c>
      <c r="B7342" t="s">
        <v>6119</v>
      </c>
      <c r="C7342" t="s">
        <v>11517</v>
      </c>
      <c r="D7342">
        <v>96973689</v>
      </c>
      <c r="E7342">
        <v>3.22</v>
      </c>
      <c r="F7342">
        <v>9.2899999999999991</v>
      </c>
    </row>
    <row r="7343" spans="1:6" x14ac:dyDescent="0.3">
      <c r="A7343" t="s">
        <v>12402</v>
      </c>
      <c r="B7343" t="s">
        <v>9663</v>
      </c>
      <c r="C7343" t="s">
        <v>11083</v>
      </c>
      <c r="D7343">
        <v>96976763</v>
      </c>
      <c r="E7343">
        <v>5.0999999999999996</v>
      </c>
      <c r="F7343">
        <v>7.1</v>
      </c>
    </row>
    <row r="7344" spans="1:6" x14ac:dyDescent="0.3">
      <c r="A7344" t="s">
        <v>12403</v>
      </c>
      <c r="B7344" t="s">
        <v>12404</v>
      </c>
      <c r="C7344" t="s">
        <v>8630</v>
      </c>
      <c r="D7344">
        <v>96977745</v>
      </c>
      <c r="E7344">
        <v>20.04</v>
      </c>
      <c r="F7344">
        <v>3.63</v>
      </c>
    </row>
    <row r="7345" spans="1:6" x14ac:dyDescent="0.3">
      <c r="A7345" t="s">
        <v>12405</v>
      </c>
      <c r="B7345" t="s">
        <v>5554</v>
      </c>
      <c r="C7345" t="s">
        <v>8301</v>
      </c>
      <c r="D7345">
        <v>96978035</v>
      </c>
      <c r="E7345">
        <v>1.97</v>
      </c>
      <c r="F7345">
        <v>7.87</v>
      </c>
    </row>
    <row r="7346" spans="1:6" x14ac:dyDescent="0.3">
      <c r="A7346" t="s">
        <v>12406</v>
      </c>
      <c r="B7346" t="s">
        <v>12407</v>
      </c>
      <c r="C7346" t="s">
        <v>6583</v>
      </c>
      <c r="D7346">
        <v>96991452</v>
      </c>
      <c r="E7346">
        <v>12.65</v>
      </c>
      <c r="F7346">
        <v>8.2899999999999991</v>
      </c>
    </row>
    <row r="7347" spans="1:6" x14ac:dyDescent="0.3">
      <c r="A7347" t="s">
        <v>12408</v>
      </c>
      <c r="B7347" t="s">
        <v>8029</v>
      </c>
      <c r="C7347" t="s">
        <v>10587</v>
      </c>
      <c r="D7347">
        <v>96996017</v>
      </c>
      <c r="E7347" t="s">
        <v>3814</v>
      </c>
      <c r="F7347" t="s">
        <v>3814</v>
      </c>
    </row>
    <row r="7348" spans="1:6" x14ac:dyDescent="0.3">
      <c r="A7348" t="s">
        <v>12409</v>
      </c>
      <c r="B7348" t="s">
        <v>4686</v>
      </c>
      <c r="C7348" t="s">
        <v>12410</v>
      </c>
      <c r="D7348">
        <v>97001775</v>
      </c>
      <c r="E7348">
        <v>16.72</v>
      </c>
      <c r="F7348">
        <v>9.09</v>
      </c>
    </row>
    <row r="7349" spans="1:6" x14ac:dyDescent="0.3">
      <c r="A7349" t="s">
        <v>11603</v>
      </c>
      <c r="B7349" t="s">
        <v>12411</v>
      </c>
      <c r="C7349" t="s">
        <v>12412</v>
      </c>
      <c r="D7349">
        <v>97013293</v>
      </c>
      <c r="E7349">
        <v>26</v>
      </c>
      <c r="F7349">
        <v>8</v>
      </c>
    </row>
    <row r="7350" spans="1:6" x14ac:dyDescent="0.3">
      <c r="A7350" t="s">
        <v>12413</v>
      </c>
      <c r="B7350" t="s">
        <v>12414</v>
      </c>
      <c r="C7350" t="s">
        <v>4654</v>
      </c>
      <c r="D7350">
        <v>97018775</v>
      </c>
      <c r="E7350">
        <v>23</v>
      </c>
      <c r="F7350">
        <v>6.67</v>
      </c>
    </row>
    <row r="7351" spans="1:6" x14ac:dyDescent="0.3">
      <c r="A7351" t="s">
        <v>12415</v>
      </c>
      <c r="B7351" t="s">
        <v>11543</v>
      </c>
      <c r="C7351" t="s">
        <v>11753</v>
      </c>
      <c r="D7351">
        <v>97018999</v>
      </c>
      <c r="E7351">
        <v>21</v>
      </c>
      <c r="F7351">
        <v>6.14</v>
      </c>
    </row>
    <row r="7352" spans="1:6" x14ac:dyDescent="0.3">
      <c r="A7352" t="s">
        <v>12416</v>
      </c>
      <c r="B7352" t="s">
        <v>3746</v>
      </c>
      <c r="C7352" t="s">
        <v>3013</v>
      </c>
      <c r="D7352">
        <v>97046019</v>
      </c>
      <c r="E7352">
        <v>4.8099999999999996</v>
      </c>
      <c r="F7352">
        <v>6.78</v>
      </c>
    </row>
    <row r="7353" spans="1:6" x14ac:dyDescent="0.3">
      <c r="A7353" t="s">
        <v>12417</v>
      </c>
      <c r="B7353" t="s">
        <v>8319</v>
      </c>
      <c r="C7353" t="s">
        <v>12418</v>
      </c>
      <c r="D7353">
        <v>97047157</v>
      </c>
      <c r="E7353">
        <v>4.38</v>
      </c>
      <c r="F7353">
        <v>7</v>
      </c>
    </row>
    <row r="7354" spans="1:6" x14ac:dyDescent="0.3">
      <c r="A7354" t="s">
        <v>12419</v>
      </c>
      <c r="B7354" t="s">
        <v>12420</v>
      </c>
      <c r="C7354" t="s">
        <v>12421</v>
      </c>
      <c r="D7354">
        <v>97051551</v>
      </c>
      <c r="E7354">
        <v>14.83</v>
      </c>
      <c r="F7354">
        <v>7.14</v>
      </c>
    </row>
    <row r="7355" spans="1:6" x14ac:dyDescent="0.3">
      <c r="A7355" t="s">
        <v>3423</v>
      </c>
      <c r="B7355" t="s">
        <v>12422</v>
      </c>
      <c r="C7355" t="s">
        <v>10829</v>
      </c>
      <c r="D7355">
        <v>97063869</v>
      </c>
      <c r="E7355" t="s">
        <v>3814</v>
      </c>
      <c r="F7355" t="s">
        <v>3814</v>
      </c>
    </row>
    <row r="7356" spans="1:6" x14ac:dyDescent="0.3">
      <c r="A7356" t="s">
        <v>6685</v>
      </c>
      <c r="B7356" t="s">
        <v>12423</v>
      </c>
      <c r="C7356" t="s">
        <v>6342</v>
      </c>
      <c r="D7356">
        <v>97064861</v>
      </c>
      <c r="E7356">
        <v>2.79</v>
      </c>
      <c r="F7356">
        <v>8.2899999999999991</v>
      </c>
    </row>
    <row r="7357" spans="1:6" x14ac:dyDescent="0.3">
      <c r="A7357" t="s">
        <v>12424</v>
      </c>
      <c r="B7357" t="s">
        <v>12425</v>
      </c>
      <c r="C7357" t="s">
        <v>12426</v>
      </c>
      <c r="D7357">
        <v>97068422</v>
      </c>
      <c r="E7357">
        <v>18.600000000000001</v>
      </c>
      <c r="F7357">
        <v>7.2</v>
      </c>
    </row>
    <row r="7358" spans="1:6" x14ac:dyDescent="0.3">
      <c r="A7358" t="s">
        <v>12427</v>
      </c>
      <c r="B7358" t="s">
        <v>12428</v>
      </c>
      <c r="C7358" t="s">
        <v>3867</v>
      </c>
      <c r="D7358">
        <v>97070194</v>
      </c>
      <c r="E7358">
        <v>13.95</v>
      </c>
      <c r="F7358">
        <v>6.33</v>
      </c>
    </row>
    <row r="7359" spans="1:6" x14ac:dyDescent="0.3">
      <c r="A7359" t="s">
        <v>12429</v>
      </c>
      <c r="B7359" t="s">
        <v>12430</v>
      </c>
      <c r="C7359" t="s">
        <v>2938</v>
      </c>
      <c r="D7359">
        <v>97071775</v>
      </c>
      <c r="E7359">
        <v>5.07</v>
      </c>
      <c r="F7359">
        <v>6.86</v>
      </c>
    </row>
    <row r="7360" spans="1:6" x14ac:dyDescent="0.3">
      <c r="A7360" t="s">
        <v>12431</v>
      </c>
      <c r="B7360" t="s">
        <v>12432</v>
      </c>
      <c r="C7360" t="s">
        <v>12433</v>
      </c>
      <c r="D7360">
        <v>97076118</v>
      </c>
      <c r="E7360">
        <v>3.29</v>
      </c>
      <c r="F7360">
        <v>9</v>
      </c>
    </row>
    <row r="7361" spans="1:6" x14ac:dyDescent="0.3">
      <c r="A7361" t="s">
        <v>12434</v>
      </c>
      <c r="B7361" t="s">
        <v>12435</v>
      </c>
      <c r="C7361" t="s">
        <v>12436</v>
      </c>
      <c r="D7361">
        <v>97087325</v>
      </c>
      <c r="E7361">
        <v>21.5</v>
      </c>
      <c r="F7361">
        <v>8</v>
      </c>
    </row>
    <row r="7362" spans="1:6" x14ac:dyDescent="0.3">
      <c r="A7362" t="s">
        <v>12437</v>
      </c>
      <c r="B7362" t="s">
        <v>1605</v>
      </c>
      <c r="C7362" t="s">
        <v>12438</v>
      </c>
      <c r="D7362">
        <v>97090315</v>
      </c>
      <c r="E7362">
        <v>16.63</v>
      </c>
      <c r="F7362">
        <v>6.73</v>
      </c>
    </row>
    <row r="7363" spans="1:6" x14ac:dyDescent="0.3">
      <c r="A7363" t="s">
        <v>12439</v>
      </c>
      <c r="B7363" t="s">
        <v>11212</v>
      </c>
      <c r="C7363" t="s">
        <v>6072</v>
      </c>
      <c r="D7363">
        <v>97175254</v>
      </c>
      <c r="E7363">
        <v>23</v>
      </c>
      <c r="F7363">
        <v>5</v>
      </c>
    </row>
    <row r="7364" spans="1:6" x14ac:dyDescent="0.3">
      <c r="A7364" t="s">
        <v>12440</v>
      </c>
      <c r="B7364" t="s">
        <v>2490</v>
      </c>
      <c r="C7364" t="s">
        <v>12441</v>
      </c>
      <c r="D7364">
        <v>97179822</v>
      </c>
      <c r="E7364">
        <v>12.78</v>
      </c>
      <c r="F7364">
        <v>8.27</v>
      </c>
    </row>
    <row r="7365" spans="1:6" x14ac:dyDescent="0.3">
      <c r="A7365" t="s">
        <v>12442</v>
      </c>
      <c r="B7365" t="s">
        <v>12443</v>
      </c>
      <c r="C7365" t="s">
        <v>5739</v>
      </c>
      <c r="D7365">
        <v>97190089</v>
      </c>
      <c r="E7365">
        <v>3.16</v>
      </c>
      <c r="F7365">
        <v>8.52</v>
      </c>
    </row>
    <row r="7366" spans="1:6" x14ac:dyDescent="0.3">
      <c r="A7366" t="s">
        <v>12444</v>
      </c>
      <c r="B7366" t="s">
        <v>12445</v>
      </c>
      <c r="C7366" t="s">
        <v>8147</v>
      </c>
      <c r="D7366">
        <v>97195361</v>
      </c>
      <c r="E7366">
        <v>24.33</v>
      </c>
      <c r="F7366">
        <v>8.83</v>
      </c>
    </row>
    <row r="7367" spans="1:6" x14ac:dyDescent="0.3">
      <c r="A7367" t="s">
        <v>12446</v>
      </c>
      <c r="B7367" t="s">
        <v>12447</v>
      </c>
      <c r="C7367" t="s">
        <v>12448</v>
      </c>
      <c r="D7367">
        <v>97199755</v>
      </c>
      <c r="E7367">
        <v>1.56</v>
      </c>
      <c r="F7367">
        <v>7.45</v>
      </c>
    </row>
    <row r="7368" spans="1:6" x14ac:dyDescent="0.3">
      <c r="A7368" t="s">
        <v>12449</v>
      </c>
      <c r="B7368" t="s">
        <v>8831</v>
      </c>
      <c r="C7368" t="s">
        <v>12450</v>
      </c>
      <c r="D7368">
        <v>97235578</v>
      </c>
      <c r="E7368">
        <v>25.08</v>
      </c>
      <c r="F7368">
        <v>5.5</v>
      </c>
    </row>
    <row r="7369" spans="1:6" x14ac:dyDescent="0.3">
      <c r="A7369" t="s">
        <v>12451</v>
      </c>
      <c r="B7369" t="s">
        <v>4578</v>
      </c>
      <c r="C7369" t="s">
        <v>2679</v>
      </c>
      <c r="D7369">
        <v>97242685</v>
      </c>
      <c r="E7369">
        <v>16.25</v>
      </c>
      <c r="F7369">
        <v>6.75</v>
      </c>
    </row>
    <row r="7370" spans="1:6" x14ac:dyDescent="0.3">
      <c r="A7370" t="s">
        <v>12452</v>
      </c>
      <c r="B7370" t="s">
        <v>12453</v>
      </c>
      <c r="C7370" t="s">
        <v>9729</v>
      </c>
      <c r="D7370">
        <v>97242791</v>
      </c>
      <c r="E7370">
        <v>6</v>
      </c>
      <c r="F7370">
        <v>5.4</v>
      </c>
    </row>
    <row r="7371" spans="1:6" x14ac:dyDescent="0.3">
      <c r="A7371" t="s">
        <v>9835</v>
      </c>
      <c r="B7371" t="s">
        <v>2684</v>
      </c>
      <c r="C7371" t="s">
        <v>9835</v>
      </c>
      <c r="D7371">
        <v>97308502</v>
      </c>
      <c r="E7371">
        <v>3.83</v>
      </c>
      <c r="F7371">
        <v>6.3</v>
      </c>
    </row>
    <row r="7372" spans="1:6" x14ac:dyDescent="0.3">
      <c r="A7372" t="s">
        <v>12454</v>
      </c>
      <c r="B7372" t="s">
        <v>3774</v>
      </c>
      <c r="C7372" t="s">
        <v>12455</v>
      </c>
      <c r="D7372">
        <v>97317220</v>
      </c>
      <c r="E7372">
        <v>14.63</v>
      </c>
      <c r="F7372">
        <v>6</v>
      </c>
    </row>
    <row r="7373" spans="1:6" x14ac:dyDescent="0.3">
      <c r="A7373" t="s">
        <v>12456</v>
      </c>
      <c r="B7373" t="s">
        <v>2126</v>
      </c>
      <c r="C7373" t="s">
        <v>5725</v>
      </c>
      <c r="D7373">
        <v>97332987</v>
      </c>
      <c r="E7373">
        <v>4.63</v>
      </c>
      <c r="F7373">
        <v>7.14</v>
      </c>
    </row>
    <row r="7374" spans="1:6" x14ac:dyDescent="0.3">
      <c r="A7374" t="s">
        <v>12457</v>
      </c>
      <c r="B7374" t="s">
        <v>12458</v>
      </c>
      <c r="C7374" t="s">
        <v>3891</v>
      </c>
      <c r="D7374">
        <v>97333525</v>
      </c>
      <c r="E7374">
        <v>15.63</v>
      </c>
      <c r="F7374">
        <v>7.54</v>
      </c>
    </row>
    <row r="7375" spans="1:6" x14ac:dyDescent="0.3">
      <c r="A7375" t="s">
        <v>12459</v>
      </c>
      <c r="B7375" t="s">
        <v>11187</v>
      </c>
      <c r="C7375" t="s">
        <v>7203</v>
      </c>
      <c r="D7375">
        <v>97336718</v>
      </c>
      <c r="E7375">
        <v>2.27</v>
      </c>
      <c r="F7375">
        <v>7.26</v>
      </c>
    </row>
    <row r="7376" spans="1:6" x14ac:dyDescent="0.3">
      <c r="A7376" t="s">
        <v>12460</v>
      </c>
      <c r="B7376" t="s">
        <v>12461</v>
      </c>
      <c r="C7376" t="s">
        <v>12462</v>
      </c>
      <c r="D7376">
        <v>97337001</v>
      </c>
      <c r="E7376">
        <v>2.15</v>
      </c>
      <c r="F7376">
        <v>7.31</v>
      </c>
    </row>
    <row r="7377" spans="1:6" x14ac:dyDescent="0.3">
      <c r="A7377" t="s">
        <v>12463</v>
      </c>
      <c r="B7377" t="s">
        <v>10073</v>
      </c>
      <c r="C7377" t="s">
        <v>12464</v>
      </c>
      <c r="D7377">
        <v>97364686</v>
      </c>
      <c r="E7377" t="s">
        <v>3814</v>
      </c>
      <c r="F7377" t="s">
        <v>3814</v>
      </c>
    </row>
    <row r="7378" spans="1:6" x14ac:dyDescent="0.3">
      <c r="A7378" t="s">
        <v>12465</v>
      </c>
      <c r="B7378" t="s">
        <v>2519</v>
      </c>
      <c r="C7378" t="s">
        <v>11395</v>
      </c>
      <c r="D7378">
        <v>97370986</v>
      </c>
      <c r="E7378">
        <v>5.36</v>
      </c>
      <c r="F7378">
        <v>7.64</v>
      </c>
    </row>
    <row r="7379" spans="1:6" x14ac:dyDescent="0.3">
      <c r="A7379" t="s">
        <v>12466</v>
      </c>
      <c r="B7379" t="s">
        <v>12467</v>
      </c>
      <c r="C7379" t="s">
        <v>12468</v>
      </c>
      <c r="D7379">
        <v>97423478</v>
      </c>
      <c r="E7379">
        <v>10.36</v>
      </c>
      <c r="F7379">
        <v>6.79</v>
      </c>
    </row>
    <row r="7380" spans="1:6" x14ac:dyDescent="0.3">
      <c r="A7380" t="s">
        <v>12469</v>
      </c>
      <c r="B7380" t="s">
        <v>7480</v>
      </c>
      <c r="C7380" t="s">
        <v>9502</v>
      </c>
      <c r="D7380">
        <v>97425949</v>
      </c>
      <c r="E7380">
        <v>24.67</v>
      </c>
      <c r="F7380">
        <v>5</v>
      </c>
    </row>
    <row r="7381" spans="1:6" x14ac:dyDescent="0.3">
      <c r="A7381" t="s">
        <v>12470</v>
      </c>
      <c r="B7381" t="s">
        <v>12471</v>
      </c>
      <c r="C7381" t="s">
        <v>10277</v>
      </c>
      <c r="D7381">
        <v>97461222</v>
      </c>
      <c r="E7381">
        <v>4.38</v>
      </c>
      <c r="F7381">
        <v>7.31</v>
      </c>
    </row>
    <row r="7382" spans="1:6" x14ac:dyDescent="0.3">
      <c r="A7382" t="s">
        <v>12472</v>
      </c>
      <c r="B7382" t="s">
        <v>8540</v>
      </c>
      <c r="C7382" t="s">
        <v>5833</v>
      </c>
      <c r="D7382">
        <v>97474554</v>
      </c>
      <c r="E7382">
        <v>11.77</v>
      </c>
      <c r="F7382">
        <v>6.85</v>
      </c>
    </row>
    <row r="7383" spans="1:6" x14ac:dyDescent="0.3">
      <c r="A7383" t="s">
        <v>12473</v>
      </c>
      <c r="B7383" t="s">
        <v>2362</v>
      </c>
      <c r="C7383" t="s">
        <v>6920</v>
      </c>
      <c r="D7383">
        <v>97480971</v>
      </c>
      <c r="E7383">
        <v>5.36</v>
      </c>
      <c r="F7383">
        <v>7.9</v>
      </c>
    </row>
    <row r="7384" spans="1:6" x14ac:dyDescent="0.3">
      <c r="A7384" t="s">
        <v>12474</v>
      </c>
      <c r="B7384" t="s">
        <v>8701</v>
      </c>
      <c r="C7384" t="s">
        <v>5849</v>
      </c>
      <c r="D7384">
        <v>97493518</v>
      </c>
      <c r="E7384">
        <v>2.73</v>
      </c>
      <c r="F7384">
        <v>8.7100000000000009</v>
      </c>
    </row>
    <row r="7385" spans="1:6" x14ac:dyDescent="0.3">
      <c r="A7385" t="s">
        <v>12475</v>
      </c>
      <c r="B7385" t="s">
        <v>12476</v>
      </c>
      <c r="C7385" t="s">
        <v>12477</v>
      </c>
      <c r="D7385">
        <v>97520070</v>
      </c>
      <c r="E7385" t="s">
        <v>3814</v>
      </c>
      <c r="F7385">
        <v>7.38</v>
      </c>
    </row>
    <row r="7386" spans="1:6" x14ac:dyDescent="0.3">
      <c r="A7386" t="s">
        <v>12478</v>
      </c>
      <c r="B7386" t="s">
        <v>10802</v>
      </c>
      <c r="C7386" t="s">
        <v>12479</v>
      </c>
      <c r="D7386">
        <v>97527751</v>
      </c>
      <c r="E7386">
        <v>1.31</v>
      </c>
      <c r="F7386">
        <v>7.11</v>
      </c>
    </row>
    <row r="7387" spans="1:6" x14ac:dyDescent="0.3">
      <c r="A7387" t="s">
        <v>12480</v>
      </c>
      <c r="B7387" t="s">
        <v>2398</v>
      </c>
      <c r="C7387" t="s">
        <v>12481</v>
      </c>
      <c r="D7387">
        <v>97536552</v>
      </c>
      <c r="E7387" t="s">
        <v>3814</v>
      </c>
      <c r="F7387">
        <v>5.97</v>
      </c>
    </row>
    <row r="7388" spans="1:6" x14ac:dyDescent="0.3">
      <c r="A7388" t="s">
        <v>12482</v>
      </c>
      <c r="B7388" t="s">
        <v>12483</v>
      </c>
      <c r="C7388" t="s">
        <v>9774</v>
      </c>
      <c r="D7388">
        <v>97543536</v>
      </c>
      <c r="E7388" t="s">
        <v>3814</v>
      </c>
      <c r="F7388">
        <v>6.16</v>
      </c>
    </row>
    <row r="7389" spans="1:6" x14ac:dyDescent="0.3">
      <c r="A7389" t="s">
        <v>12484</v>
      </c>
      <c r="B7389" t="s">
        <v>9832</v>
      </c>
      <c r="C7389" t="s">
        <v>36</v>
      </c>
      <c r="D7389">
        <v>97615807</v>
      </c>
      <c r="E7389">
        <v>15.91</v>
      </c>
      <c r="F7389">
        <v>9.4</v>
      </c>
    </row>
    <row r="7390" spans="1:6" x14ac:dyDescent="0.3">
      <c r="A7390" t="s">
        <v>12485</v>
      </c>
      <c r="B7390" t="s">
        <v>8065</v>
      </c>
      <c r="C7390" t="s">
        <v>12486</v>
      </c>
      <c r="D7390">
        <v>97624039</v>
      </c>
      <c r="E7390">
        <v>16</v>
      </c>
      <c r="F7390">
        <v>7.77</v>
      </c>
    </row>
    <row r="7391" spans="1:6" x14ac:dyDescent="0.3">
      <c r="A7391" t="s">
        <v>12487</v>
      </c>
      <c r="B7391" t="s">
        <v>12488</v>
      </c>
      <c r="C7391" t="s">
        <v>9868</v>
      </c>
      <c r="D7391">
        <v>97660104</v>
      </c>
      <c r="E7391" t="s">
        <v>3814</v>
      </c>
      <c r="F7391">
        <v>6.83</v>
      </c>
    </row>
    <row r="7392" spans="1:6" x14ac:dyDescent="0.3">
      <c r="A7392" t="s">
        <v>12489</v>
      </c>
      <c r="B7392" t="s">
        <v>12490</v>
      </c>
      <c r="C7392" t="s">
        <v>12491</v>
      </c>
      <c r="D7392">
        <v>97683923</v>
      </c>
      <c r="E7392" t="s">
        <v>3814</v>
      </c>
      <c r="F7392">
        <v>4.95</v>
      </c>
    </row>
    <row r="7393" spans="1:6" x14ac:dyDescent="0.3">
      <c r="A7393" t="s">
        <v>12492</v>
      </c>
      <c r="B7393" t="s">
        <v>12493</v>
      </c>
      <c r="C7393" t="s">
        <v>12494</v>
      </c>
      <c r="D7393">
        <v>97692058</v>
      </c>
      <c r="E7393" t="s">
        <v>3814</v>
      </c>
      <c r="F7393">
        <v>4.08</v>
      </c>
    </row>
    <row r="7394" spans="1:6" x14ac:dyDescent="0.3">
      <c r="A7394" t="s">
        <v>2991</v>
      </c>
      <c r="B7394" t="s">
        <v>6210</v>
      </c>
      <c r="C7394" t="s">
        <v>3852</v>
      </c>
      <c r="D7394">
        <v>97701584</v>
      </c>
      <c r="E7394">
        <v>5.38</v>
      </c>
      <c r="F7394">
        <v>7.05</v>
      </c>
    </row>
    <row r="7395" spans="1:6" x14ac:dyDescent="0.3">
      <c r="A7395" t="s">
        <v>12495</v>
      </c>
      <c r="B7395" t="s">
        <v>5698</v>
      </c>
      <c r="C7395" t="s">
        <v>12496</v>
      </c>
      <c r="D7395">
        <v>97713011</v>
      </c>
      <c r="E7395" t="s">
        <v>3814</v>
      </c>
      <c r="F7395">
        <v>6.44</v>
      </c>
    </row>
    <row r="7396" spans="1:6" x14ac:dyDescent="0.3">
      <c r="A7396" t="s">
        <v>12497</v>
      </c>
      <c r="B7396" t="s">
        <v>7917</v>
      </c>
      <c r="C7396" t="s">
        <v>12498</v>
      </c>
      <c r="D7396">
        <v>97735944</v>
      </c>
      <c r="E7396" t="s">
        <v>3814</v>
      </c>
      <c r="F7396">
        <v>6.78</v>
      </c>
    </row>
    <row r="7397" spans="1:6" x14ac:dyDescent="0.3">
      <c r="A7397" t="s">
        <v>12499</v>
      </c>
      <c r="B7397" t="s">
        <v>12500</v>
      </c>
      <c r="C7397" t="s">
        <v>12501</v>
      </c>
      <c r="D7397">
        <v>97783607</v>
      </c>
      <c r="E7397" t="s">
        <v>3814</v>
      </c>
      <c r="F7397">
        <v>5.6</v>
      </c>
    </row>
    <row r="7398" spans="1:6" x14ac:dyDescent="0.3">
      <c r="A7398" t="s">
        <v>12502</v>
      </c>
      <c r="B7398" t="s">
        <v>12503</v>
      </c>
      <c r="C7398" t="s">
        <v>12504</v>
      </c>
      <c r="D7398">
        <v>97787386</v>
      </c>
      <c r="E7398" t="s">
        <v>3814</v>
      </c>
      <c r="F7398">
        <v>3.95</v>
      </c>
    </row>
    <row r="7399" spans="1:6" x14ac:dyDescent="0.3">
      <c r="A7399" t="s">
        <v>12505</v>
      </c>
      <c r="B7399" t="s">
        <v>12506</v>
      </c>
      <c r="C7399" t="s">
        <v>3658</v>
      </c>
      <c r="D7399">
        <v>97793375</v>
      </c>
      <c r="E7399" t="s">
        <v>3814</v>
      </c>
      <c r="F7399">
        <v>7.76</v>
      </c>
    </row>
    <row r="7400" spans="1:6" x14ac:dyDescent="0.3">
      <c r="A7400" t="s">
        <v>12507</v>
      </c>
      <c r="B7400" t="s">
        <v>4479</v>
      </c>
      <c r="C7400" t="e">
        <f>-Orr- Conceptual Cubes</f>
        <v>#NAME?</v>
      </c>
      <c r="D7400">
        <v>97795164</v>
      </c>
      <c r="E7400">
        <v>7.72</v>
      </c>
      <c r="F7400">
        <v>6.79</v>
      </c>
    </row>
    <row r="7401" spans="1:6" x14ac:dyDescent="0.3">
      <c r="A7401" t="s">
        <v>12508</v>
      </c>
      <c r="B7401" t="s">
        <v>12509</v>
      </c>
      <c r="C7401" t="s">
        <v>12510</v>
      </c>
      <c r="D7401">
        <v>97808752</v>
      </c>
      <c r="E7401" t="s">
        <v>3814</v>
      </c>
      <c r="F7401">
        <v>5.3</v>
      </c>
    </row>
    <row r="7402" spans="1:6" x14ac:dyDescent="0.3">
      <c r="A7402" t="s">
        <v>12511</v>
      </c>
      <c r="B7402" t="s">
        <v>1923</v>
      </c>
      <c r="C7402" t="s">
        <v>12512</v>
      </c>
      <c r="D7402">
        <v>97812307</v>
      </c>
      <c r="E7402" t="s">
        <v>3814</v>
      </c>
      <c r="F7402">
        <v>6.94</v>
      </c>
    </row>
    <row r="7403" spans="1:6" x14ac:dyDescent="0.3">
      <c r="A7403" t="s">
        <v>3025</v>
      </c>
      <c r="B7403" t="s">
        <v>12513</v>
      </c>
      <c r="C7403" t="s">
        <v>12514</v>
      </c>
      <c r="D7403">
        <v>97817395</v>
      </c>
      <c r="E7403" t="s">
        <v>3814</v>
      </c>
      <c r="F7403">
        <v>5.58</v>
      </c>
    </row>
    <row r="7404" spans="1:6" x14ac:dyDescent="0.3">
      <c r="A7404" t="s">
        <v>12515</v>
      </c>
      <c r="B7404" t="s">
        <v>12516</v>
      </c>
      <c r="C7404" t="s">
        <v>9527</v>
      </c>
      <c r="D7404">
        <v>97835571</v>
      </c>
      <c r="E7404" t="s">
        <v>3814</v>
      </c>
      <c r="F7404">
        <v>6.03</v>
      </c>
    </row>
    <row r="7405" spans="1:6" x14ac:dyDescent="0.3">
      <c r="A7405" t="s">
        <v>12517</v>
      </c>
      <c r="B7405" t="s">
        <v>12518</v>
      </c>
      <c r="C7405" t="s">
        <v>12519</v>
      </c>
      <c r="D7405">
        <v>97882006</v>
      </c>
      <c r="E7405" t="s">
        <v>3814</v>
      </c>
      <c r="F7405">
        <v>5.22</v>
      </c>
    </row>
    <row r="7406" spans="1:6" x14ac:dyDescent="0.3">
      <c r="A7406" t="s">
        <v>12520</v>
      </c>
      <c r="B7406" t="s">
        <v>12521</v>
      </c>
      <c r="C7406" t="s">
        <v>12522</v>
      </c>
      <c r="D7406">
        <v>97885852</v>
      </c>
      <c r="E7406" t="s">
        <v>3814</v>
      </c>
      <c r="F7406">
        <v>8.5299999999999994</v>
      </c>
    </row>
    <row r="7407" spans="1:6" x14ac:dyDescent="0.3">
      <c r="A7407" t="s">
        <v>12523</v>
      </c>
      <c r="B7407" t="s">
        <v>12524</v>
      </c>
      <c r="C7407" t="s">
        <v>10194</v>
      </c>
      <c r="D7407">
        <v>97889000</v>
      </c>
      <c r="E7407" t="s">
        <v>3814</v>
      </c>
      <c r="F7407">
        <v>5.31</v>
      </c>
    </row>
    <row r="7408" spans="1:6" x14ac:dyDescent="0.3">
      <c r="A7408" t="s">
        <v>12525</v>
      </c>
      <c r="B7408" t="s">
        <v>10514</v>
      </c>
      <c r="C7408" t="s">
        <v>10777</v>
      </c>
      <c r="D7408">
        <v>97906220</v>
      </c>
      <c r="E7408" t="s">
        <v>3814</v>
      </c>
      <c r="F7408">
        <v>7.31</v>
      </c>
    </row>
    <row r="7409" spans="1:6" x14ac:dyDescent="0.3">
      <c r="A7409" t="s">
        <v>12526</v>
      </c>
      <c r="B7409" t="s">
        <v>12527</v>
      </c>
      <c r="C7409" t="s">
        <v>12528</v>
      </c>
      <c r="D7409">
        <v>97910718</v>
      </c>
      <c r="E7409" t="s">
        <v>3814</v>
      </c>
      <c r="F7409">
        <v>6.15</v>
      </c>
    </row>
    <row r="7410" spans="1:6" x14ac:dyDescent="0.3">
      <c r="A7410" t="s">
        <v>12529</v>
      </c>
      <c r="B7410" t="s">
        <v>11930</v>
      </c>
      <c r="C7410" t="s">
        <v>12530</v>
      </c>
      <c r="D7410">
        <v>97924911</v>
      </c>
      <c r="E7410" t="s">
        <v>3814</v>
      </c>
      <c r="F7410">
        <v>3.33</v>
      </c>
    </row>
    <row r="7411" spans="1:6" x14ac:dyDescent="0.3">
      <c r="A7411" t="s">
        <v>12531</v>
      </c>
      <c r="B7411" t="s">
        <v>5140</v>
      </c>
      <c r="C7411" t="s">
        <v>1111</v>
      </c>
      <c r="D7411">
        <v>97930702</v>
      </c>
      <c r="E7411">
        <v>9.65</v>
      </c>
      <c r="F7411">
        <v>6.14</v>
      </c>
    </row>
    <row r="7412" spans="1:6" x14ac:dyDescent="0.3">
      <c r="A7412" t="s">
        <v>12532</v>
      </c>
      <c r="B7412" t="s">
        <v>11629</v>
      </c>
      <c r="C7412" t="s">
        <v>12533</v>
      </c>
      <c r="D7412">
        <v>97934791</v>
      </c>
      <c r="E7412" t="s">
        <v>3814</v>
      </c>
      <c r="F7412">
        <v>5.88</v>
      </c>
    </row>
    <row r="7413" spans="1:6" x14ac:dyDescent="0.3">
      <c r="A7413" t="s">
        <v>12534</v>
      </c>
      <c r="B7413" t="s">
        <v>8984</v>
      </c>
      <c r="C7413" t="s">
        <v>8225</v>
      </c>
      <c r="D7413">
        <v>97942947</v>
      </c>
      <c r="E7413">
        <v>19.62</v>
      </c>
      <c r="F7413">
        <v>7.69</v>
      </c>
    </row>
    <row r="7414" spans="1:6" x14ac:dyDescent="0.3">
      <c r="A7414" t="s">
        <v>12535</v>
      </c>
      <c r="B7414" t="s">
        <v>6226</v>
      </c>
      <c r="C7414" t="s">
        <v>713</v>
      </c>
      <c r="D7414">
        <v>97952497</v>
      </c>
      <c r="E7414" t="s">
        <v>3814</v>
      </c>
      <c r="F7414">
        <v>4.55</v>
      </c>
    </row>
    <row r="7415" spans="1:6" x14ac:dyDescent="0.3">
      <c r="A7415" t="s">
        <v>12536</v>
      </c>
      <c r="B7415" t="s">
        <v>12537</v>
      </c>
      <c r="C7415" t="s">
        <v>12538</v>
      </c>
      <c r="D7415">
        <v>97962826</v>
      </c>
      <c r="E7415" t="s">
        <v>3814</v>
      </c>
      <c r="F7415">
        <v>7.28</v>
      </c>
    </row>
    <row r="7416" spans="1:6" x14ac:dyDescent="0.3">
      <c r="A7416" t="s">
        <v>12539</v>
      </c>
      <c r="B7416" t="s">
        <v>6403</v>
      </c>
      <c r="C7416" t="s">
        <v>2650</v>
      </c>
      <c r="D7416">
        <v>97990129</v>
      </c>
      <c r="E7416">
        <v>7.84</v>
      </c>
      <c r="F7416">
        <v>7.7</v>
      </c>
    </row>
    <row r="7417" spans="1:6" x14ac:dyDescent="0.3">
      <c r="A7417" t="s">
        <v>12540</v>
      </c>
      <c r="B7417" t="s">
        <v>12541</v>
      </c>
      <c r="C7417" t="s">
        <v>12542</v>
      </c>
      <c r="D7417">
        <v>98007034</v>
      </c>
      <c r="E7417" t="s">
        <v>3814</v>
      </c>
      <c r="F7417">
        <v>6.7</v>
      </c>
    </row>
    <row r="7418" spans="1:6" x14ac:dyDescent="0.3">
      <c r="A7418" t="s">
        <v>12543</v>
      </c>
      <c r="B7418" t="s">
        <v>12544</v>
      </c>
      <c r="C7418" t="s">
        <v>7090</v>
      </c>
      <c r="D7418">
        <v>98021621</v>
      </c>
      <c r="E7418">
        <v>2.16</v>
      </c>
      <c r="F7418">
        <v>6.49</v>
      </c>
    </row>
    <row r="7419" spans="1:6" x14ac:dyDescent="0.3">
      <c r="A7419" t="s">
        <v>12545</v>
      </c>
      <c r="B7419" t="s">
        <v>12546</v>
      </c>
      <c r="C7419" t="s">
        <v>12547</v>
      </c>
      <c r="D7419">
        <v>98021806</v>
      </c>
      <c r="E7419" t="s">
        <v>3814</v>
      </c>
      <c r="F7419">
        <v>6.02</v>
      </c>
    </row>
    <row r="7420" spans="1:6" x14ac:dyDescent="0.3">
      <c r="A7420" t="s">
        <v>12548</v>
      </c>
      <c r="B7420" t="s">
        <v>12549</v>
      </c>
      <c r="C7420" t="s">
        <v>12550</v>
      </c>
      <c r="D7420">
        <v>98052971</v>
      </c>
      <c r="E7420" t="s">
        <v>3814</v>
      </c>
      <c r="F7420">
        <v>6.28</v>
      </c>
    </row>
    <row r="7421" spans="1:6" x14ac:dyDescent="0.3">
      <c r="A7421" t="s">
        <v>12551</v>
      </c>
      <c r="B7421" t="s">
        <v>12552</v>
      </c>
      <c r="C7421" t="s">
        <v>12553</v>
      </c>
      <c r="D7421">
        <v>98055641</v>
      </c>
      <c r="E7421" t="s">
        <v>3814</v>
      </c>
      <c r="F7421">
        <v>6.42</v>
      </c>
    </row>
    <row r="7422" spans="1:6" x14ac:dyDescent="0.3">
      <c r="A7422" t="s">
        <v>12554</v>
      </c>
      <c r="B7422" t="s">
        <v>4350</v>
      </c>
      <c r="C7422" t="s">
        <v>4361</v>
      </c>
      <c r="D7422">
        <v>98065104</v>
      </c>
      <c r="E7422">
        <v>5.98</v>
      </c>
      <c r="F7422">
        <v>7.29</v>
      </c>
    </row>
    <row r="7423" spans="1:6" x14ac:dyDescent="0.3">
      <c r="A7423" t="s">
        <v>12555</v>
      </c>
      <c r="B7423" t="s">
        <v>2462</v>
      </c>
      <c r="C7423" t="s">
        <v>5405</v>
      </c>
      <c r="D7423">
        <v>98071844</v>
      </c>
      <c r="E7423">
        <v>1.75</v>
      </c>
      <c r="F7423">
        <v>7.8</v>
      </c>
    </row>
    <row r="7424" spans="1:6" x14ac:dyDescent="0.3">
      <c r="A7424" t="s">
        <v>12556</v>
      </c>
      <c r="B7424" t="s">
        <v>12012</v>
      </c>
      <c r="C7424" t="s">
        <v>12557</v>
      </c>
      <c r="D7424">
        <v>98074710</v>
      </c>
      <c r="E7424">
        <v>1.3</v>
      </c>
      <c r="F7424">
        <v>5.78</v>
      </c>
    </row>
    <row r="7425" spans="1:6" x14ac:dyDescent="0.3">
      <c r="A7425" t="s">
        <v>12558</v>
      </c>
      <c r="B7425" t="s">
        <v>11323</v>
      </c>
      <c r="C7425" t="s">
        <v>977</v>
      </c>
      <c r="D7425">
        <v>98079761</v>
      </c>
      <c r="E7425" t="s">
        <v>3814</v>
      </c>
      <c r="F7425">
        <v>7.1</v>
      </c>
    </row>
    <row r="7426" spans="1:6" x14ac:dyDescent="0.3">
      <c r="A7426" t="s">
        <v>12559</v>
      </c>
      <c r="B7426" t="s">
        <v>12560</v>
      </c>
      <c r="C7426" t="s">
        <v>12561</v>
      </c>
      <c r="D7426">
        <v>98079787</v>
      </c>
      <c r="E7426" t="s">
        <v>3814</v>
      </c>
      <c r="F7426">
        <v>6.88</v>
      </c>
    </row>
    <row r="7427" spans="1:6" x14ac:dyDescent="0.3">
      <c r="A7427" t="s">
        <v>12562</v>
      </c>
      <c r="B7427" t="s">
        <v>12563</v>
      </c>
      <c r="C7427" t="s">
        <v>12564</v>
      </c>
      <c r="D7427">
        <v>98081234</v>
      </c>
      <c r="E7427" t="s">
        <v>3814</v>
      </c>
      <c r="F7427">
        <v>6.42</v>
      </c>
    </row>
    <row r="7428" spans="1:6" x14ac:dyDescent="0.3">
      <c r="A7428" t="s">
        <v>12565</v>
      </c>
      <c r="B7428" t="s">
        <v>11443</v>
      </c>
      <c r="C7428" t="s">
        <v>12566</v>
      </c>
      <c r="D7428">
        <v>98093563</v>
      </c>
      <c r="E7428">
        <v>5.5</v>
      </c>
      <c r="F7428">
        <v>5.82</v>
      </c>
    </row>
    <row r="7429" spans="1:6" x14ac:dyDescent="0.3">
      <c r="A7429" t="s">
        <v>12567</v>
      </c>
      <c r="B7429" t="s">
        <v>12568</v>
      </c>
      <c r="C7429" t="s">
        <v>12569</v>
      </c>
      <c r="D7429">
        <v>98094285</v>
      </c>
      <c r="E7429" t="s">
        <v>3814</v>
      </c>
      <c r="F7429">
        <v>6.76</v>
      </c>
    </row>
    <row r="7430" spans="1:6" x14ac:dyDescent="0.3">
      <c r="A7430" t="s">
        <v>12570</v>
      </c>
      <c r="B7430" t="s">
        <v>11404</v>
      </c>
      <c r="C7430" t="s">
        <v>2399</v>
      </c>
      <c r="D7430">
        <v>98139734</v>
      </c>
      <c r="E7430">
        <v>5.13</v>
      </c>
      <c r="F7430">
        <v>6.13</v>
      </c>
    </row>
    <row r="7431" spans="1:6" x14ac:dyDescent="0.3">
      <c r="A7431" t="s">
        <v>12571</v>
      </c>
      <c r="B7431" t="s">
        <v>12572</v>
      </c>
      <c r="C7431" t="s">
        <v>12573</v>
      </c>
      <c r="D7431">
        <v>98147815</v>
      </c>
      <c r="E7431" t="s">
        <v>3814</v>
      </c>
      <c r="F7431">
        <v>6.56</v>
      </c>
    </row>
    <row r="7432" spans="1:6" x14ac:dyDescent="0.3">
      <c r="A7432" t="s">
        <v>12574</v>
      </c>
      <c r="B7432" t="s">
        <v>3832</v>
      </c>
      <c r="C7432" t="s">
        <v>12575</v>
      </c>
      <c r="D7432">
        <v>98150072</v>
      </c>
      <c r="E7432">
        <v>5.38</v>
      </c>
      <c r="F7432">
        <v>6.42</v>
      </c>
    </row>
    <row r="7433" spans="1:6" x14ac:dyDescent="0.3">
      <c r="A7433" t="s">
        <v>12576</v>
      </c>
      <c r="B7433" t="s">
        <v>5698</v>
      </c>
      <c r="C7433" t="s">
        <v>12577</v>
      </c>
      <c r="D7433">
        <v>98163412</v>
      </c>
      <c r="E7433" t="s">
        <v>3814</v>
      </c>
      <c r="F7433">
        <v>5.81</v>
      </c>
    </row>
    <row r="7434" spans="1:6" x14ac:dyDescent="0.3">
      <c r="A7434" t="s">
        <v>12578</v>
      </c>
      <c r="B7434" t="s">
        <v>1576</v>
      </c>
      <c r="C7434" t="s">
        <v>12579</v>
      </c>
      <c r="D7434">
        <v>98170000</v>
      </c>
      <c r="E7434" t="s">
        <v>3814</v>
      </c>
      <c r="F7434">
        <v>6.18</v>
      </c>
    </row>
    <row r="7435" spans="1:6" x14ac:dyDescent="0.3">
      <c r="A7435" t="s">
        <v>12580</v>
      </c>
      <c r="B7435" t="s">
        <v>2351</v>
      </c>
      <c r="C7435" t="s">
        <v>12581</v>
      </c>
      <c r="D7435">
        <v>98173196</v>
      </c>
      <c r="E7435" t="s">
        <v>3814</v>
      </c>
      <c r="F7435">
        <v>6.78</v>
      </c>
    </row>
    <row r="7436" spans="1:6" x14ac:dyDescent="0.3">
      <c r="A7436" t="s">
        <v>12582</v>
      </c>
      <c r="B7436" t="s">
        <v>6887</v>
      </c>
      <c r="C7436" t="s">
        <v>12583</v>
      </c>
      <c r="D7436">
        <v>98222333</v>
      </c>
      <c r="E7436" t="s">
        <v>3814</v>
      </c>
      <c r="F7436">
        <v>6.81</v>
      </c>
    </row>
    <row r="7437" spans="1:6" x14ac:dyDescent="0.3">
      <c r="A7437" t="s">
        <v>12584</v>
      </c>
      <c r="B7437" t="s">
        <v>8020</v>
      </c>
      <c r="C7437" t="e">
        <f>-Orr- Conceptual Cubes</f>
        <v>#NAME?</v>
      </c>
      <c r="D7437">
        <v>98224591</v>
      </c>
      <c r="E7437">
        <v>4.88</v>
      </c>
      <c r="F7437">
        <v>7.38</v>
      </c>
    </row>
    <row r="7438" spans="1:6" x14ac:dyDescent="0.3">
      <c r="A7438" t="s">
        <v>12585</v>
      </c>
      <c r="B7438" t="s">
        <v>11494</v>
      </c>
      <c r="C7438" t="s">
        <v>12586</v>
      </c>
      <c r="D7438">
        <v>98228276</v>
      </c>
      <c r="E7438" t="s">
        <v>3814</v>
      </c>
      <c r="F7438">
        <v>2.71</v>
      </c>
    </row>
    <row r="7439" spans="1:6" x14ac:dyDescent="0.3">
      <c r="A7439" t="s">
        <v>12587</v>
      </c>
      <c r="B7439" t="s">
        <v>12588</v>
      </c>
      <c r="C7439" t="s">
        <v>7650</v>
      </c>
      <c r="D7439">
        <v>98229070</v>
      </c>
      <c r="E7439" t="s">
        <v>3814</v>
      </c>
      <c r="F7439">
        <v>6.31</v>
      </c>
    </row>
    <row r="7440" spans="1:6" x14ac:dyDescent="0.3">
      <c r="A7440" t="s">
        <v>12589</v>
      </c>
      <c r="B7440" t="s">
        <v>1996</v>
      </c>
      <c r="C7440" t="s">
        <v>12589</v>
      </c>
      <c r="D7440">
        <v>98266813</v>
      </c>
      <c r="E7440">
        <v>4.3899999999999997</v>
      </c>
      <c r="F7440">
        <v>7.11</v>
      </c>
    </row>
    <row r="7441" spans="1:6" x14ac:dyDescent="0.3">
      <c r="A7441" t="s">
        <v>12590</v>
      </c>
      <c r="B7441" t="s">
        <v>3827</v>
      </c>
      <c r="C7441" t="s">
        <v>1203</v>
      </c>
      <c r="D7441">
        <v>98268993</v>
      </c>
      <c r="E7441">
        <v>15.81</v>
      </c>
      <c r="F7441">
        <v>6.9</v>
      </c>
    </row>
    <row r="7442" spans="1:6" x14ac:dyDescent="0.3">
      <c r="A7442" t="s">
        <v>12591</v>
      </c>
      <c r="B7442" t="s">
        <v>12592</v>
      </c>
      <c r="C7442" t="s">
        <v>39</v>
      </c>
      <c r="D7442">
        <v>98275850</v>
      </c>
      <c r="E7442" t="s">
        <v>3814</v>
      </c>
      <c r="F7442">
        <v>6.13</v>
      </c>
    </row>
    <row r="7443" spans="1:6" x14ac:dyDescent="0.3">
      <c r="A7443" t="s">
        <v>12593</v>
      </c>
      <c r="B7443" t="s">
        <v>7436</v>
      </c>
      <c r="C7443" t="s">
        <v>11583</v>
      </c>
      <c r="D7443">
        <v>98284764</v>
      </c>
      <c r="E7443" t="s">
        <v>3814</v>
      </c>
      <c r="F7443" t="s">
        <v>3814</v>
      </c>
    </row>
    <row r="7444" spans="1:6" x14ac:dyDescent="0.3">
      <c r="A7444" t="s">
        <v>12594</v>
      </c>
      <c r="B7444" t="s">
        <v>12595</v>
      </c>
      <c r="C7444" t="s">
        <v>12596</v>
      </c>
      <c r="D7444">
        <v>98291349</v>
      </c>
      <c r="E7444" t="s">
        <v>3814</v>
      </c>
      <c r="F7444">
        <v>6.45</v>
      </c>
    </row>
    <row r="7445" spans="1:6" x14ac:dyDescent="0.3">
      <c r="A7445" t="s">
        <v>12597</v>
      </c>
      <c r="B7445" t="s">
        <v>1477</v>
      </c>
      <c r="C7445" t="s">
        <v>4129</v>
      </c>
      <c r="D7445">
        <v>98313836</v>
      </c>
      <c r="E7445" t="s">
        <v>3814</v>
      </c>
      <c r="F7445">
        <v>5</v>
      </c>
    </row>
    <row r="7446" spans="1:6" x14ac:dyDescent="0.3">
      <c r="A7446" t="s">
        <v>12598</v>
      </c>
      <c r="B7446" t="s">
        <v>6603</v>
      </c>
      <c r="C7446" t="s">
        <v>12599</v>
      </c>
      <c r="D7446">
        <v>98318278</v>
      </c>
      <c r="E7446">
        <v>3.77</v>
      </c>
      <c r="F7446">
        <v>6.05</v>
      </c>
    </row>
    <row r="7447" spans="1:6" x14ac:dyDescent="0.3">
      <c r="A7447" t="s">
        <v>12056</v>
      </c>
      <c r="B7447" t="s">
        <v>8671</v>
      </c>
      <c r="C7447" t="s">
        <v>12600</v>
      </c>
      <c r="D7447">
        <v>98322118</v>
      </c>
      <c r="E7447" t="s">
        <v>3814</v>
      </c>
      <c r="F7447">
        <v>7.85</v>
      </c>
    </row>
    <row r="7448" spans="1:6" x14ac:dyDescent="0.3">
      <c r="A7448" t="s">
        <v>12601</v>
      </c>
      <c r="B7448" t="s">
        <v>8912</v>
      </c>
      <c r="C7448" t="s">
        <v>3854</v>
      </c>
      <c r="D7448">
        <v>98330904</v>
      </c>
      <c r="E7448">
        <v>1.0900000000000001</v>
      </c>
      <c r="F7448">
        <v>5.68</v>
      </c>
    </row>
    <row r="7449" spans="1:6" x14ac:dyDescent="0.3">
      <c r="A7449" t="s">
        <v>12602</v>
      </c>
      <c r="B7449" t="s">
        <v>12603</v>
      </c>
      <c r="C7449" t="s">
        <v>12604</v>
      </c>
      <c r="D7449">
        <v>98335060</v>
      </c>
      <c r="E7449" t="s">
        <v>3814</v>
      </c>
      <c r="F7449">
        <v>6.1</v>
      </c>
    </row>
    <row r="7450" spans="1:6" x14ac:dyDescent="0.3">
      <c r="A7450" t="s">
        <v>12605</v>
      </c>
      <c r="B7450" t="s">
        <v>9386</v>
      </c>
      <c r="C7450" t="s">
        <v>12606</v>
      </c>
      <c r="D7450">
        <v>98357978</v>
      </c>
      <c r="E7450">
        <v>11.45</v>
      </c>
      <c r="F7450">
        <v>7.58</v>
      </c>
    </row>
    <row r="7451" spans="1:6" x14ac:dyDescent="0.3">
      <c r="A7451" t="s">
        <v>12607</v>
      </c>
      <c r="B7451" t="s">
        <v>12608</v>
      </c>
      <c r="C7451" t="s">
        <v>9436</v>
      </c>
      <c r="D7451">
        <v>98371484</v>
      </c>
      <c r="E7451">
        <v>23.5</v>
      </c>
      <c r="F7451">
        <v>7</v>
      </c>
    </row>
    <row r="7452" spans="1:6" x14ac:dyDescent="0.3">
      <c r="A7452" t="s">
        <v>12609</v>
      </c>
      <c r="B7452" t="s">
        <v>8249</v>
      </c>
      <c r="C7452" t="s">
        <v>5666</v>
      </c>
      <c r="D7452">
        <v>98387008</v>
      </c>
      <c r="E7452">
        <v>11.33</v>
      </c>
      <c r="F7452">
        <v>6.27</v>
      </c>
    </row>
    <row r="7453" spans="1:6" x14ac:dyDescent="0.3">
      <c r="A7453" t="s">
        <v>12610</v>
      </c>
      <c r="B7453" t="s">
        <v>9234</v>
      </c>
      <c r="C7453" t="s">
        <v>12611</v>
      </c>
      <c r="D7453">
        <v>98397362</v>
      </c>
      <c r="E7453">
        <v>2.75</v>
      </c>
      <c r="F7453">
        <v>7.79</v>
      </c>
    </row>
    <row r="7454" spans="1:6" x14ac:dyDescent="0.3">
      <c r="A7454" t="s">
        <v>12612</v>
      </c>
      <c r="B7454" t="s">
        <v>7649</v>
      </c>
      <c r="C7454" t="s">
        <v>12613</v>
      </c>
      <c r="D7454">
        <v>98439428</v>
      </c>
      <c r="E7454" t="s">
        <v>3814</v>
      </c>
      <c r="F7454">
        <v>8.4600000000000009</v>
      </c>
    </row>
    <row r="7455" spans="1:6" x14ac:dyDescent="0.3">
      <c r="A7455" t="s">
        <v>12614</v>
      </c>
      <c r="B7455" t="s">
        <v>12615</v>
      </c>
      <c r="C7455" t="s">
        <v>9087</v>
      </c>
      <c r="D7455">
        <v>98447706</v>
      </c>
      <c r="E7455" t="s">
        <v>3814</v>
      </c>
      <c r="F7455">
        <v>4.29</v>
      </c>
    </row>
    <row r="7456" spans="1:6" x14ac:dyDescent="0.3">
      <c r="A7456" t="s">
        <v>12616</v>
      </c>
      <c r="B7456" t="s">
        <v>12617</v>
      </c>
      <c r="C7456" t="s">
        <v>12618</v>
      </c>
      <c r="D7456">
        <v>98457659</v>
      </c>
      <c r="E7456" t="s">
        <v>3814</v>
      </c>
      <c r="F7456">
        <v>6</v>
      </c>
    </row>
    <row r="7457" spans="1:6" x14ac:dyDescent="0.3">
      <c r="A7457" t="s">
        <v>12619</v>
      </c>
      <c r="B7457" t="s">
        <v>12620</v>
      </c>
      <c r="C7457" t="s">
        <v>12621</v>
      </c>
      <c r="D7457">
        <v>98489186</v>
      </c>
      <c r="E7457" t="s">
        <v>3814</v>
      </c>
      <c r="F7457">
        <v>5.69</v>
      </c>
    </row>
    <row r="7458" spans="1:6" x14ac:dyDescent="0.3">
      <c r="A7458" t="s">
        <v>12622</v>
      </c>
      <c r="B7458" t="s">
        <v>9663</v>
      </c>
      <c r="C7458" t="s">
        <v>10536</v>
      </c>
      <c r="D7458">
        <v>98490093</v>
      </c>
      <c r="E7458">
        <v>15.84</v>
      </c>
      <c r="F7458">
        <v>8.0299999999999994</v>
      </c>
    </row>
    <row r="7459" spans="1:6" x14ac:dyDescent="0.3">
      <c r="A7459" t="s">
        <v>2291</v>
      </c>
      <c r="B7459" t="s">
        <v>12383</v>
      </c>
      <c r="C7459" t="s">
        <v>12623</v>
      </c>
      <c r="D7459">
        <v>98501864</v>
      </c>
      <c r="E7459">
        <v>8.83</v>
      </c>
      <c r="F7459">
        <v>6.29</v>
      </c>
    </row>
    <row r="7460" spans="1:6" x14ac:dyDescent="0.3">
      <c r="A7460" t="s">
        <v>12624</v>
      </c>
      <c r="B7460" t="s">
        <v>10323</v>
      </c>
      <c r="C7460" t="s">
        <v>3286</v>
      </c>
      <c r="D7460">
        <v>98502425</v>
      </c>
      <c r="E7460" t="s">
        <v>3814</v>
      </c>
      <c r="F7460">
        <v>6.86</v>
      </c>
    </row>
    <row r="7461" spans="1:6" x14ac:dyDescent="0.3">
      <c r="A7461" t="s">
        <v>12625</v>
      </c>
      <c r="B7461" t="s">
        <v>12626</v>
      </c>
      <c r="C7461" t="s">
        <v>12627</v>
      </c>
      <c r="D7461">
        <v>98518437</v>
      </c>
      <c r="E7461" t="s">
        <v>3814</v>
      </c>
      <c r="F7461">
        <v>7.13</v>
      </c>
    </row>
    <row r="7462" spans="1:6" x14ac:dyDescent="0.3">
      <c r="A7462" t="s">
        <v>12628</v>
      </c>
      <c r="B7462" t="s">
        <v>9455</v>
      </c>
      <c r="C7462" t="s">
        <v>942</v>
      </c>
      <c r="D7462">
        <v>98545452</v>
      </c>
      <c r="E7462" t="s">
        <v>3814</v>
      </c>
      <c r="F7462">
        <v>6.63</v>
      </c>
    </row>
    <row r="7463" spans="1:6" x14ac:dyDescent="0.3">
      <c r="A7463" t="s">
        <v>12629</v>
      </c>
      <c r="B7463" t="s">
        <v>4686</v>
      </c>
      <c r="C7463" t="s">
        <v>11380</v>
      </c>
      <c r="D7463">
        <v>98552808</v>
      </c>
      <c r="E7463">
        <v>5.26</v>
      </c>
      <c r="F7463">
        <v>7.19</v>
      </c>
    </row>
    <row r="7464" spans="1:6" x14ac:dyDescent="0.3">
      <c r="A7464" t="s">
        <v>12630</v>
      </c>
      <c r="B7464" t="s">
        <v>12631</v>
      </c>
      <c r="C7464" t="s">
        <v>8793</v>
      </c>
      <c r="D7464">
        <v>98558936</v>
      </c>
      <c r="E7464">
        <v>14.6</v>
      </c>
      <c r="F7464">
        <v>5.73</v>
      </c>
    </row>
    <row r="7465" spans="1:6" x14ac:dyDescent="0.3">
      <c r="A7465" t="s">
        <v>2520</v>
      </c>
      <c r="B7465" t="s">
        <v>6676</v>
      </c>
      <c r="C7465" t="s">
        <v>3706</v>
      </c>
      <c r="D7465">
        <v>98564977</v>
      </c>
      <c r="E7465">
        <v>3.29</v>
      </c>
      <c r="F7465">
        <v>7.04</v>
      </c>
    </row>
    <row r="7466" spans="1:6" x14ac:dyDescent="0.3">
      <c r="A7466" t="s">
        <v>12632</v>
      </c>
      <c r="B7466" t="s">
        <v>1227</v>
      </c>
      <c r="C7466" t="s">
        <v>1303</v>
      </c>
      <c r="D7466">
        <v>98611098</v>
      </c>
      <c r="E7466" t="s">
        <v>3814</v>
      </c>
      <c r="F7466">
        <v>4.32</v>
      </c>
    </row>
    <row r="7467" spans="1:6" x14ac:dyDescent="0.3">
      <c r="A7467" t="s">
        <v>12633</v>
      </c>
      <c r="B7467" t="s">
        <v>6694</v>
      </c>
      <c r="C7467" t="s">
        <v>10192</v>
      </c>
      <c r="D7467">
        <v>98617210</v>
      </c>
      <c r="E7467" t="s">
        <v>3814</v>
      </c>
      <c r="F7467">
        <v>4.07</v>
      </c>
    </row>
    <row r="7468" spans="1:6" x14ac:dyDescent="0.3">
      <c r="A7468" t="s">
        <v>12634</v>
      </c>
      <c r="B7468" t="s">
        <v>12635</v>
      </c>
      <c r="C7468" t="s">
        <v>8897</v>
      </c>
      <c r="D7468">
        <v>98620767</v>
      </c>
      <c r="E7468">
        <v>8.2200000000000006</v>
      </c>
      <c r="F7468">
        <v>6.89</v>
      </c>
    </row>
    <row r="7469" spans="1:6" x14ac:dyDescent="0.3">
      <c r="A7469" t="s">
        <v>12636</v>
      </c>
      <c r="B7469" t="s">
        <v>12637</v>
      </c>
      <c r="C7469" t="s">
        <v>12388</v>
      </c>
      <c r="D7469">
        <v>98625553</v>
      </c>
      <c r="E7469">
        <v>3.13</v>
      </c>
      <c r="F7469">
        <v>7.35</v>
      </c>
    </row>
    <row r="7470" spans="1:6" x14ac:dyDescent="0.3">
      <c r="A7470" t="s">
        <v>12638</v>
      </c>
      <c r="B7470" t="s">
        <v>12639</v>
      </c>
      <c r="C7470" t="s">
        <v>12564</v>
      </c>
      <c r="D7470">
        <v>98634896</v>
      </c>
      <c r="E7470" t="s">
        <v>3814</v>
      </c>
      <c r="F7470">
        <v>6.39</v>
      </c>
    </row>
    <row r="7471" spans="1:6" x14ac:dyDescent="0.3">
      <c r="A7471" t="s">
        <v>12640</v>
      </c>
      <c r="B7471" t="s">
        <v>3909</v>
      </c>
      <c r="C7471" t="s">
        <v>12641</v>
      </c>
      <c r="D7471">
        <v>98667498</v>
      </c>
      <c r="E7471">
        <v>3.24</v>
      </c>
      <c r="F7471">
        <v>8.08</v>
      </c>
    </row>
    <row r="7472" spans="1:6" x14ac:dyDescent="0.3">
      <c r="A7472" t="s">
        <v>12642</v>
      </c>
      <c r="B7472" t="s">
        <v>6235</v>
      </c>
      <c r="C7472" t="s">
        <v>12643</v>
      </c>
      <c r="D7472">
        <v>98683552</v>
      </c>
      <c r="E7472">
        <v>10.83</v>
      </c>
      <c r="F7472">
        <v>8.4</v>
      </c>
    </row>
    <row r="7473" spans="1:6" x14ac:dyDescent="0.3">
      <c r="A7473" t="s">
        <v>12644</v>
      </c>
      <c r="B7473" t="s">
        <v>12645</v>
      </c>
      <c r="C7473" t="s">
        <v>12646</v>
      </c>
      <c r="D7473">
        <v>98695499</v>
      </c>
      <c r="E7473" t="s">
        <v>3814</v>
      </c>
      <c r="F7473">
        <v>5.37</v>
      </c>
    </row>
    <row r="7474" spans="1:6" x14ac:dyDescent="0.3">
      <c r="A7474" t="s">
        <v>12647</v>
      </c>
      <c r="B7474" t="s">
        <v>10994</v>
      </c>
      <c r="C7474" t="s">
        <v>12648</v>
      </c>
      <c r="D7474">
        <v>98697505</v>
      </c>
      <c r="E7474">
        <v>7.53</v>
      </c>
      <c r="F7474">
        <v>7.5</v>
      </c>
    </row>
    <row r="7475" spans="1:6" x14ac:dyDescent="0.3">
      <c r="A7475" t="s">
        <v>12649</v>
      </c>
      <c r="B7475" t="s">
        <v>6403</v>
      </c>
      <c r="C7475" t="s">
        <v>12650</v>
      </c>
      <c r="D7475">
        <v>98705273</v>
      </c>
      <c r="E7475">
        <v>4.29</v>
      </c>
      <c r="F7475">
        <v>8.18</v>
      </c>
    </row>
    <row r="7476" spans="1:6" x14ac:dyDescent="0.3">
      <c r="A7476" t="s">
        <v>12651</v>
      </c>
      <c r="B7476" t="s">
        <v>12518</v>
      </c>
      <c r="C7476" t="s">
        <v>4331</v>
      </c>
      <c r="D7476">
        <v>98707083</v>
      </c>
      <c r="E7476" t="s">
        <v>3814</v>
      </c>
      <c r="F7476">
        <v>4.5999999999999996</v>
      </c>
    </row>
    <row r="7477" spans="1:6" x14ac:dyDescent="0.3">
      <c r="A7477" t="s">
        <v>12652</v>
      </c>
      <c r="B7477" t="s">
        <v>12653</v>
      </c>
      <c r="C7477" t="s">
        <v>5190</v>
      </c>
      <c r="D7477">
        <v>98716888</v>
      </c>
      <c r="E7477" t="s">
        <v>3814</v>
      </c>
      <c r="F7477">
        <v>6.02</v>
      </c>
    </row>
    <row r="7478" spans="1:6" x14ac:dyDescent="0.3">
      <c r="A7478" t="s">
        <v>12654</v>
      </c>
      <c r="B7478" t="s">
        <v>12655</v>
      </c>
      <c r="C7478" t="s">
        <v>12656</v>
      </c>
      <c r="D7478">
        <v>98721246</v>
      </c>
      <c r="E7478" t="s">
        <v>3814</v>
      </c>
      <c r="F7478">
        <v>4.58</v>
      </c>
    </row>
    <row r="7479" spans="1:6" x14ac:dyDescent="0.3">
      <c r="A7479" t="s">
        <v>12657</v>
      </c>
      <c r="B7479" t="s">
        <v>9602</v>
      </c>
      <c r="C7479" t="s">
        <v>7446</v>
      </c>
      <c r="D7479">
        <v>98729373</v>
      </c>
      <c r="E7479">
        <v>5.32</v>
      </c>
      <c r="F7479">
        <v>8.64</v>
      </c>
    </row>
    <row r="7480" spans="1:6" x14ac:dyDescent="0.3">
      <c r="A7480" t="s">
        <v>12658</v>
      </c>
      <c r="B7480" t="s">
        <v>3800</v>
      </c>
      <c r="C7480" t="s">
        <v>12659</v>
      </c>
      <c r="D7480">
        <v>98741640</v>
      </c>
      <c r="E7480" t="s">
        <v>3814</v>
      </c>
      <c r="F7480">
        <v>7.68</v>
      </c>
    </row>
    <row r="7481" spans="1:6" x14ac:dyDescent="0.3">
      <c r="A7481" t="s">
        <v>12660</v>
      </c>
      <c r="B7481" t="s">
        <v>12661</v>
      </c>
      <c r="C7481" t="s">
        <v>12662</v>
      </c>
      <c r="D7481">
        <v>98742191</v>
      </c>
      <c r="E7481" t="s">
        <v>3814</v>
      </c>
      <c r="F7481">
        <v>6.33</v>
      </c>
    </row>
    <row r="7482" spans="1:6" x14ac:dyDescent="0.3">
      <c r="A7482" t="s">
        <v>12663</v>
      </c>
      <c r="B7482" t="s">
        <v>12664</v>
      </c>
      <c r="C7482" t="s">
        <v>12665</v>
      </c>
      <c r="D7482">
        <v>98745817</v>
      </c>
      <c r="E7482" t="s">
        <v>3814</v>
      </c>
      <c r="F7482">
        <v>6.33</v>
      </c>
    </row>
    <row r="7483" spans="1:6" x14ac:dyDescent="0.3">
      <c r="A7483" t="s">
        <v>12666</v>
      </c>
      <c r="B7483" t="s">
        <v>12667</v>
      </c>
      <c r="C7483" t="s">
        <v>12668</v>
      </c>
      <c r="D7483">
        <v>98780627</v>
      </c>
      <c r="E7483" t="s">
        <v>3814</v>
      </c>
      <c r="F7483">
        <v>6.97</v>
      </c>
    </row>
    <row r="7484" spans="1:6" x14ac:dyDescent="0.3">
      <c r="A7484" t="s">
        <v>12669</v>
      </c>
      <c r="B7484" t="s">
        <v>12670</v>
      </c>
      <c r="C7484" t="s">
        <v>1658</v>
      </c>
      <c r="D7484">
        <v>98790724</v>
      </c>
      <c r="E7484" t="s">
        <v>3814</v>
      </c>
      <c r="F7484">
        <v>3.94</v>
      </c>
    </row>
    <row r="7485" spans="1:6" x14ac:dyDescent="0.3">
      <c r="A7485" t="s">
        <v>12671</v>
      </c>
      <c r="B7485" t="s">
        <v>9668</v>
      </c>
      <c r="C7485" t="s">
        <v>12672</v>
      </c>
      <c r="D7485">
        <v>98801569</v>
      </c>
      <c r="E7485">
        <v>11.43</v>
      </c>
      <c r="F7485">
        <v>4</v>
      </c>
    </row>
    <row r="7486" spans="1:6" x14ac:dyDescent="0.3">
      <c r="A7486" t="s">
        <v>12673</v>
      </c>
      <c r="B7486" t="s">
        <v>12674</v>
      </c>
      <c r="C7486" t="s">
        <v>4576</v>
      </c>
      <c r="D7486">
        <v>98821971</v>
      </c>
      <c r="E7486">
        <v>1.77</v>
      </c>
      <c r="F7486">
        <v>7.9</v>
      </c>
    </row>
    <row r="7487" spans="1:6" x14ac:dyDescent="0.3">
      <c r="A7487" t="s">
        <v>12675</v>
      </c>
      <c r="B7487" t="s">
        <v>12676</v>
      </c>
      <c r="C7487" t="s">
        <v>12677</v>
      </c>
      <c r="D7487">
        <v>98864831</v>
      </c>
      <c r="E7487" t="s">
        <v>3814</v>
      </c>
      <c r="F7487">
        <v>5.77</v>
      </c>
    </row>
    <row r="7488" spans="1:6" x14ac:dyDescent="0.3">
      <c r="A7488" t="s">
        <v>12678</v>
      </c>
      <c r="B7488" t="s">
        <v>12679</v>
      </c>
      <c r="C7488" t="s">
        <v>12680</v>
      </c>
      <c r="D7488">
        <v>98866732</v>
      </c>
      <c r="E7488" t="s">
        <v>3814</v>
      </c>
      <c r="F7488">
        <v>2.5</v>
      </c>
    </row>
    <row r="7489" spans="1:6" x14ac:dyDescent="0.3">
      <c r="A7489" t="s">
        <v>12681</v>
      </c>
      <c r="B7489" t="s">
        <v>10764</v>
      </c>
      <c r="C7489" t="s">
        <v>12015</v>
      </c>
      <c r="D7489">
        <v>98891820</v>
      </c>
      <c r="E7489">
        <v>2.02</v>
      </c>
      <c r="F7489">
        <v>7.27</v>
      </c>
    </row>
    <row r="7490" spans="1:6" x14ac:dyDescent="0.3">
      <c r="A7490" t="s">
        <v>12682</v>
      </c>
      <c r="B7490" t="s">
        <v>6126</v>
      </c>
      <c r="C7490" t="s">
        <v>7712</v>
      </c>
      <c r="D7490">
        <v>98904941</v>
      </c>
      <c r="E7490">
        <v>1.17</v>
      </c>
      <c r="F7490">
        <v>7.16</v>
      </c>
    </row>
    <row r="7491" spans="1:6" x14ac:dyDescent="0.3">
      <c r="A7491" t="s">
        <v>12683</v>
      </c>
      <c r="B7491" t="s">
        <v>12684</v>
      </c>
      <c r="C7491" t="s">
        <v>3160</v>
      </c>
      <c r="D7491">
        <v>98911329</v>
      </c>
      <c r="E7491">
        <v>22</v>
      </c>
      <c r="F7491">
        <v>10</v>
      </c>
    </row>
    <row r="7492" spans="1:6" x14ac:dyDescent="0.3">
      <c r="A7492" t="s">
        <v>12685</v>
      </c>
      <c r="B7492" t="s">
        <v>2317</v>
      </c>
      <c r="C7492" t="s">
        <v>12685</v>
      </c>
      <c r="D7492">
        <v>98929172</v>
      </c>
      <c r="E7492">
        <v>27</v>
      </c>
      <c r="F7492">
        <v>10</v>
      </c>
    </row>
    <row r="7493" spans="1:6" x14ac:dyDescent="0.3">
      <c r="A7493" t="s">
        <v>12686</v>
      </c>
      <c r="B7493" t="s">
        <v>12687</v>
      </c>
      <c r="C7493" t="s">
        <v>12688</v>
      </c>
      <c r="D7493">
        <v>98948058</v>
      </c>
      <c r="E7493">
        <v>17</v>
      </c>
      <c r="F7493">
        <v>6.83</v>
      </c>
    </row>
    <row r="7494" spans="1:6" x14ac:dyDescent="0.3">
      <c r="A7494" t="s">
        <v>12689</v>
      </c>
      <c r="B7494" t="s">
        <v>6262</v>
      </c>
      <c r="C7494" t="s">
        <v>753</v>
      </c>
      <c r="D7494">
        <v>98950709</v>
      </c>
      <c r="E7494" t="s">
        <v>3814</v>
      </c>
      <c r="F7494" t="s">
        <v>3814</v>
      </c>
    </row>
    <row r="7495" spans="1:6" x14ac:dyDescent="0.3">
      <c r="A7495" t="s">
        <v>4668</v>
      </c>
      <c r="B7495" t="s">
        <v>10823</v>
      </c>
      <c r="C7495" t="s">
        <v>4211</v>
      </c>
      <c r="D7495">
        <v>98954081</v>
      </c>
      <c r="E7495">
        <v>1.87</v>
      </c>
      <c r="F7495">
        <v>7.18</v>
      </c>
    </row>
    <row r="7496" spans="1:6" x14ac:dyDescent="0.3">
      <c r="A7496" t="s">
        <v>12690</v>
      </c>
      <c r="B7496" t="s">
        <v>12262</v>
      </c>
      <c r="C7496" t="s">
        <v>12691</v>
      </c>
      <c r="D7496">
        <v>98982091</v>
      </c>
      <c r="E7496" t="s">
        <v>3814</v>
      </c>
      <c r="F7496">
        <v>6.21</v>
      </c>
    </row>
    <row r="7497" spans="1:6" x14ac:dyDescent="0.3">
      <c r="A7497" t="s">
        <v>12692</v>
      </c>
      <c r="B7497" t="s">
        <v>12693</v>
      </c>
      <c r="C7497" t="s">
        <v>12694</v>
      </c>
      <c r="D7497">
        <v>98989531</v>
      </c>
      <c r="E7497" t="s">
        <v>3814</v>
      </c>
      <c r="F7497">
        <v>6.32</v>
      </c>
    </row>
    <row r="7498" spans="1:6" x14ac:dyDescent="0.3">
      <c r="A7498" t="s">
        <v>12695</v>
      </c>
      <c r="B7498" t="s">
        <v>12696</v>
      </c>
      <c r="C7498" t="s">
        <v>2586</v>
      </c>
      <c r="D7498">
        <v>98997192</v>
      </c>
      <c r="E7498" t="s">
        <v>3814</v>
      </c>
      <c r="F7498">
        <v>6.6</v>
      </c>
    </row>
    <row r="7499" spans="1:6" x14ac:dyDescent="0.3">
      <c r="A7499" t="s">
        <v>12697</v>
      </c>
      <c r="B7499" t="s">
        <v>12698</v>
      </c>
      <c r="C7499" t="s">
        <v>12491</v>
      </c>
      <c r="D7499">
        <v>99022488</v>
      </c>
      <c r="E7499" t="s">
        <v>3814</v>
      </c>
      <c r="F7499">
        <v>5</v>
      </c>
    </row>
    <row r="7500" spans="1:6" x14ac:dyDescent="0.3">
      <c r="A7500" t="s">
        <v>12699</v>
      </c>
      <c r="B7500" t="s">
        <v>8328</v>
      </c>
      <c r="C7500" t="s">
        <v>12700</v>
      </c>
      <c r="D7500">
        <v>99025959</v>
      </c>
      <c r="E7500" t="s">
        <v>3814</v>
      </c>
      <c r="F7500">
        <v>6.9</v>
      </c>
    </row>
    <row r="7501" spans="1:6" x14ac:dyDescent="0.3">
      <c r="A7501" t="s">
        <v>12701</v>
      </c>
      <c r="B7501" t="s">
        <v>12702</v>
      </c>
      <c r="C7501" t="s">
        <v>12703</v>
      </c>
      <c r="D7501">
        <v>99040500</v>
      </c>
      <c r="E7501">
        <v>2.97</v>
      </c>
      <c r="F7501">
        <v>7.31</v>
      </c>
    </row>
    <row r="7502" spans="1:6" x14ac:dyDescent="0.3">
      <c r="A7502" t="s">
        <v>12704</v>
      </c>
      <c r="B7502" t="s">
        <v>9780</v>
      </c>
      <c r="C7502" t="s">
        <v>12705</v>
      </c>
      <c r="D7502">
        <v>99057557</v>
      </c>
      <c r="E7502">
        <v>4.7699999999999996</v>
      </c>
      <c r="F7502">
        <v>6.89</v>
      </c>
    </row>
    <row r="7503" spans="1:6" x14ac:dyDescent="0.3">
      <c r="A7503" t="s">
        <v>12706</v>
      </c>
      <c r="B7503" t="s">
        <v>4544</v>
      </c>
      <c r="C7503" t="s">
        <v>12707</v>
      </c>
      <c r="D7503">
        <v>99076862</v>
      </c>
      <c r="E7503" t="s">
        <v>3814</v>
      </c>
      <c r="F7503">
        <v>4.5999999999999996</v>
      </c>
    </row>
    <row r="7504" spans="1:6" x14ac:dyDescent="0.3">
      <c r="A7504" t="s">
        <v>12708</v>
      </c>
      <c r="B7504" t="s">
        <v>12709</v>
      </c>
      <c r="C7504" t="s">
        <v>12710</v>
      </c>
      <c r="D7504">
        <v>99093996</v>
      </c>
      <c r="E7504" t="s">
        <v>3814</v>
      </c>
      <c r="F7504">
        <v>4.8</v>
      </c>
    </row>
    <row r="7505" spans="1:6" x14ac:dyDescent="0.3">
      <c r="A7505" t="s">
        <v>12008</v>
      </c>
      <c r="B7505" t="s">
        <v>12711</v>
      </c>
      <c r="C7505" t="s">
        <v>12712</v>
      </c>
      <c r="D7505">
        <v>99119406</v>
      </c>
      <c r="E7505" t="s">
        <v>3814</v>
      </c>
      <c r="F7505">
        <v>6.12</v>
      </c>
    </row>
    <row r="7506" spans="1:6" x14ac:dyDescent="0.3">
      <c r="A7506" t="s">
        <v>12713</v>
      </c>
      <c r="B7506" t="s">
        <v>10271</v>
      </c>
      <c r="C7506" t="s">
        <v>11893</v>
      </c>
      <c r="D7506">
        <v>99127186</v>
      </c>
      <c r="E7506" t="s">
        <v>3814</v>
      </c>
      <c r="F7506">
        <v>7.95</v>
      </c>
    </row>
    <row r="7507" spans="1:6" x14ac:dyDescent="0.3">
      <c r="A7507" t="s">
        <v>12714</v>
      </c>
      <c r="B7507" t="s">
        <v>3627</v>
      </c>
      <c r="C7507" t="s">
        <v>8603</v>
      </c>
      <c r="D7507">
        <v>99127862</v>
      </c>
      <c r="E7507">
        <v>4.96</v>
      </c>
      <c r="F7507">
        <v>7.53</v>
      </c>
    </row>
    <row r="7508" spans="1:6" x14ac:dyDescent="0.3">
      <c r="A7508" t="s">
        <v>12715</v>
      </c>
      <c r="B7508" t="s">
        <v>12716</v>
      </c>
      <c r="C7508" t="s">
        <v>12717</v>
      </c>
      <c r="D7508">
        <v>99131171</v>
      </c>
      <c r="E7508" t="s">
        <v>3814</v>
      </c>
      <c r="F7508">
        <v>7.39</v>
      </c>
    </row>
    <row r="7509" spans="1:6" x14ac:dyDescent="0.3">
      <c r="A7509" t="s">
        <v>12718</v>
      </c>
      <c r="B7509" t="s">
        <v>4911</v>
      </c>
      <c r="C7509" t="s">
        <v>4663</v>
      </c>
      <c r="D7509">
        <v>99170473</v>
      </c>
      <c r="E7509" t="s">
        <v>3814</v>
      </c>
      <c r="F7509">
        <v>6.21</v>
      </c>
    </row>
    <row r="7510" spans="1:6" x14ac:dyDescent="0.3">
      <c r="A7510" t="s">
        <v>12719</v>
      </c>
      <c r="B7510" t="s">
        <v>4913</v>
      </c>
      <c r="C7510" t="s">
        <v>12720</v>
      </c>
      <c r="D7510">
        <v>99187118</v>
      </c>
      <c r="E7510" t="s">
        <v>3814</v>
      </c>
      <c r="F7510">
        <v>7.15</v>
      </c>
    </row>
    <row r="7511" spans="1:6" x14ac:dyDescent="0.3">
      <c r="A7511" t="s">
        <v>12721</v>
      </c>
      <c r="B7511" t="s">
        <v>12722</v>
      </c>
      <c r="C7511" t="s">
        <v>12596</v>
      </c>
      <c r="D7511">
        <v>99195742</v>
      </c>
      <c r="E7511" t="s">
        <v>3814</v>
      </c>
      <c r="F7511">
        <v>3</v>
      </c>
    </row>
    <row r="7512" spans="1:6" x14ac:dyDescent="0.3">
      <c r="A7512" t="s">
        <v>12723</v>
      </c>
      <c r="B7512" t="s">
        <v>12724</v>
      </c>
      <c r="C7512" t="s">
        <v>12725</v>
      </c>
      <c r="D7512">
        <v>99197403</v>
      </c>
      <c r="E7512" t="s">
        <v>3814</v>
      </c>
      <c r="F7512">
        <v>4.03</v>
      </c>
    </row>
    <row r="7513" spans="1:6" x14ac:dyDescent="0.3">
      <c r="A7513" t="s">
        <v>12726</v>
      </c>
      <c r="B7513" t="s">
        <v>2101</v>
      </c>
      <c r="C7513" t="s">
        <v>12727</v>
      </c>
      <c r="D7513">
        <v>99203456</v>
      </c>
      <c r="E7513" t="s">
        <v>3814</v>
      </c>
      <c r="F7513">
        <v>8</v>
      </c>
    </row>
    <row r="7514" spans="1:6" x14ac:dyDescent="0.3">
      <c r="A7514" t="s">
        <v>2520</v>
      </c>
      <c r="B7514" t="s">
        <v>4196</v>
      </c>
      <c r="C7514" t="s">
        <v>6068</v>
      </c>
      <c r="D7514">
        <v>99220012</v>
      </c>
      <c r="E7514">
        <v>8.4</v>
      </c>
      <c r="F7514">
        <v>6.03</v>
      </c>
    </row>
    <row r="7515" spans="1:6" x14ac:dyDescent="0.3">
      <c r="A7515" t="s">
        <v>12728</v>
      </c>
      <c r="B7515" t="s">
        <v>10869</v>
      </c>
      <c r="C7515" t="s">
        <v>12729</v>
      </c>
      <c r="D7515">
        <v>99246761</v>
      </c>
      <c r="E7515">
        <v>4.04</v>
      </c>
      <c r="F7515">
        <v>5.76</v>
      </c>
    </row>
    <row r="7516" spans="1:6" x14ac:dyDescent="0.3">
      <c r="A7516" t="s">
        <v>12730</v>
      </c>
      <c r="B7516" t="s">
        <v>12731</v>
      </c>
      <c r="C7516" t="s">
        <v>12</v>
      </c>
      <c r="D7516">
        <v>99271133</v>
      </c>
      <c r="E7516">
        <v>6.79</v>
      </c>
      <c r="F7516">
        <v>8.32</v>
      </c>
    </row>
    <row r="7517" spans="1:6" x14ac:dyDescent="0.3">
      <c r="A7517" t="s">
        <v>12732</v>
      </c>
      <c r="B7517" t="s">
        <v>12733</v>
      </c>
      <c r="C7517" t="s">
        <v>12734</v>
      </c>
      <c r="D7517">
        <v>99308462</v>
      </c>
      <c r="E7517" t="s">
        <v>3814</v>
      </c>
      <c r="F7517">
        <v>5.54</v>
      </c>
    </row>
    <row r="7518" spans="1:6" x14ac:dyDescent="0.3">
      <c r="A7518" t="s">
        <v>12735</v>
      </c>
      <c r="B7518" t="s">
        <v>12736</v>
      </c>
      <c r="C7518" t="s">
        <v>12737</v>
      </c>
      <c r="D7518">
        <v>99309522</v>
      </c>
      <c r="E7518">
        <v>4.4000000000000004</v>
      </c>
      <c r="F7518">
        <v>7.3</v>
      </c>
    </row>
    <row r="7519" spans="1:6" x14ac:dyDescent="0.3">
      <c r="A7519" t="s">
        <v>10457</v>
      </c>
      <c r="B7519" t="s">
        <v>12738</v>
      </c>
      <c r="C7519" t="s">
        <v>10457</v>
      </c>
      <c r="D7519">
        <v>99310008</v>
      </c>
      <c r="E7519">
        <v>13.11</v>
      </c>
      <c r="F7519">
        <v>6.22</v>
      </c>
    </row>
    <row r="7520" spans="1:6" x14ac:dyDescent="0.3">
      <c r="A7520" t="s">
        <v>12739</v>
      </c>
      <c r="B7520" t="s">
        <v>12740</v>
      </c>
      <c r="C7520" t="s">
        <v>5432</v>
      </c>
      <c r="D7520">
        <v>99323755</v>
      </c>
      <c r="E7520">
        <v>11.82</v>
      </c>
      <c r="F7520">
        <v>6.82</v>
      </c>
    </row>
    <row r="7521" spans="1:6" x14ac:dyDescent="0.3">
      <c r="A7521" t="s">
        <v>12741</v>
      </c>
      <c r="B7521" t="s">
        <v>1923</v>
      </c>
      <c r="C7521" t="s">
        <v>12742</v>
      </c>
      <c r="D7521">
        <v>99335322</v>
      </c>
      <c r="E7521" t="s">
        <v>3814</v>
      </c>
      <c r="F7521">
        <v>6.8</v>
      </c>
    </row>
    <row r="7522" spans="1:6" x14ac:dyDescent="0.3">
      <c r="A7522" t="s">
        <v>12743</v>
      </c>
      <c r="B7522" t="s">
        <v>10885</v>
      </c>
      <c r="C7522" t="s">
        <v>12744</v>
      </c>
      <c r="D7522">
        <v>99357048</v>
      </c>
      <c r="E7522" t="s">
        <v>3814</v>
      </c>
      <c r="F7522">
        <v>6.96</v>
      </c>
    </row>
    <row r="7523" spans="1:6" x14ac:dyDescent="0.3">
      <c r="A7523" t="s">
        <v>12745</v>
      </c>
      <c r="B7523" t="s">
        <v>12746</v>
      </c>
      <c r="C7523" t="s">
        <v>2497</v>
      </c>
      <c r="D7523">
        <v>99372688</v>
      </c>
      <c r="E7523">
        <v>11.33</v>
      </c>
      <c r="F7523">
        <v>7.33</v>
      </c>
    </row>
    <row r="7524" spans="1:6" x14ac:dyDescent="0.3">
      <c r="A7524" t="s">
        <v>12747</v>
      </c>
      <c r="B7524" t="s">
        <v>9071</v>
      </c>
      <c r="C7524" t="s">
        <v>12748</v>
      </c>
      <c r="D7524">
        <v>99374578</v>
      </c>
      <c r="E7524" t="s">
        <v>3814</v>
      </c>
      <c r="F7524">
        <v>7.16</v>
      </c>
    </row>
    <row r="7525" spans="1:6" x14ac:dyDescent="0.3">
      <c r="A7525" t="s">
        <v>12749</v>
      </c>
      <c r="B7525" t="s">
        <v>12750</v>
      </c>
      <c r="C7525" t="s">
        <v>9918</v>
      </c>
      <c r="D7525">
        <v>99381003</v>
      </c>
      <c r="E7525">
        <v>9.17</v>
      </c>
      <c r="F7525">
        <v>8.0399999999999991</v>
      </c>
    </row>
    <row r="7526" spans="1:6" x14ac:dyDescent="0.3">
      <c r="A7526" t="s">
        <v>12751</v>
      </c>
      <c r="B7526" t="s">
        <v>8397</v>
      </c>
      <c r="C7526" t="s">
        <v>11852</v>
      </c>
      <c r="D7526">
        <v>99410948</v>
      </c>
      <c r="E7526">
        <v>1.66</v>
      </c>
      <c r="F7526">
        <v>7.75</v>
      </c>
    </row>
    <row r="7527" spans="1:6" x14ac:dyDescent="0.3">
      <c r="A7527" t="s">
        <v>12752</v>
      </c>
      <c r="B7527" t="s">
        <v>12753</v>
      </c>
      <c r="C7527" t="s">
        <v>12754</v>
      </c>
      <c r="D7527">
        <v>99413870</v>
      </c>
      <c r="E7527">
        <v>4.37</v>
      </c>
      <c r="F7527">
        <v>7.52</v>
      </c>
    </row>
    <row r="7528" spans="1:6" x14ac:dyDescent="0.3">
      <c r="A7528" t="s">
        <v>12755</v>
      </c>
      <c r="B7528" t="s">
        <v>12756</v>
      </c>
      <c r="C7528" t="s">
        <v>12757</v>
      </c>
      <c r="D7528">
        <v>99421687</v>
      </c>
      <c r="E7528">
        <v>3.07</v>
      </c>
      <c r="F7528">
        <v>6.62</v>
      </c>
    </row>
    <row r="7529" spans="1:6" x14ac:dyDescent="0.3">
      <c r="A7529" t="s">
        <v>12758</v>
      </c>
      <c r="B7529" t="s">
        <v>12617</v>
      </c>
      <c r="C7529" t="s">
        <v>12759</v>
      </c>
      <c r="D7529">
        <v>99432013</v>
      </c>
      <c r="E7529" t="s">
        <v>3814</v>
      </c>
      <c r="F7529">
        <v>7.03</v>
      </c>
    </row>
    <row r="7530" spans="1:6" x14ac:dyDescent="0.3">
      <c r="A7530" t="s">
        <v>12760</v>
      </c>
      <c r="B7530" t="s">
        <v>12761</v>
      </c>
      <c r="C7530" t="s">
        <v>12762</v>
      </c>
      <c r="D7530">
        <v>99443178</v>
      </c>
      <c r="E7530" t="s">
        <v>3814</v>
      </c>
      <c r="F7530">
        <v>4.2300000000000004</v>
      </c>
    </row>
    <row r="7531" spans="1:6" x14ac:dyDescent="0.3">
      <c r="A7531" t="s">
        <v>12763</v>
      </c>
      <c r="B7531" t="s">
        <v>2203</v>
      </c>
      <c r="C7531" t="s">
        <v>995</v>
      </c>
      <c r="D7531">
        <v>99465112</v>
      </c>
      <c r="E7531" t="s">
        <v>3814</v>
      </c>
      <c r="F7531" t="s">
        <v>3814</v>
      </c>
    </row>
    <row r="7532" spans="1:6" x14ac:dyDescent="0.3">
      <c r="A7532" t="s">
        <v>12764</v>
      </c>
      <c r="B7532" t="s">
        <v>12765</v>
      </c>
      <c r="C7532" t="s">
        <v>12491</v>
      </c>
      <c r="D7532">
        <v>99480096</v>
      </c>
      <c r="E7532" t="s">
        <v>3814</v>
      </c>
      <c r="F7532">
        <v>5.28</v>
      </c>
    </row>
    <row r="7533" spans="1:6" x14ac:dyDescent="0.3">
      <c r="A7533" t="s">
        <v>12766</v>
      </c>
      <c r="B7533" t="s">
        <v>12767</v>
      </c>
      <c r="C7533" t="s">
        <v>12766</v>
      </c>
      <c r="D7533">
        <v>99486709</v>
      </c>
      <c r="E7533">
        <v>1.87</v>
      </c>
      <c r="F7533">
        <v>6.84</v>
      </c>
    </row>
    <row r="7534" spans="1:6" x14ac:dyDescent="0.3">
      <c r="A7534" t="s">
        <v>12768</v>
      </c>
      <c r="B7534" t="s">
        <v>8988</v>
      </c>
      <c r="C7534" t="s">
        <v>2189</v>
      </c>
      <c r="D7534">
        <v>99495619</v>
      </c>
      <c r="E7534">
        <v>33</v>
      </c>
      <c r="F7534">
        <v>8</v>
      </c>
    </row>
    <row r="7535" spans="1:6" x14ac:dyDescent="0.3">
      <c r="A7535" t="s">
        <v>12769</v>
      </c>
      <c r="B7535" t="s">
        <v>12770</v>
      </c>
      <c r="C7535" t="s">
        <v>4860</v>
      </c>
      <c r="D7535">
        <v>99499805</v>
      </c>
      <c r="E7535">
        <v>10.17</v>
      </c>
      <c r="F7535">
        <v>8.33</v>
      </c>
    </row>
    <row r="7536" spans="1:6" x14ac:dyDescent="0.3">
      <c r="A7536" t="s">
        <v>12771</v>
      </c>
      <c r="B7536" t="s">
        <v>8656</v>
      </c>
      <c r="C7536" t="s">
        <v>12772</v>
      </c>
      <c r="D7536">
        <v>99500729</v>
      </c>
      <c r="E7536">
        <v>7.86</v>
      </c>
      <c r="F7536">
        <v>7.33</v>
      </c>
    </row>
    <row r="7537" spans="1:6" x14ac:dyDescent="0.3">
      <c r="A7537" t="s">
        <v>12773</v>
      </c>
      <c r="B7537" t="s">
        <v>5107</v>
      </c>
      <c r="C7537" t="s">
        <v>6072</v>
      </c>
      <c r="D7537">
        <v>99510949</v>
      </c>
      <c r="E7537">
        <v>2.9</v>
      </c>
      <c r="F7537">
        <v>7.06</v>
      </c>
    </row>
    <row r="7538" spans="1:6" x14ac:dyDescent="0.3">
      <c r="A7538" t="s">
        <v>12774</v>
      </c>
      <c r="B7538" t="s">
        <v>3255</v>
      </c>
      <c r="C7538" t="s">
        <v>12775</v>
      </c>
      <c r="D7538">
        <v>99516517</v>
      </c>
      <c r="E7538" t="s">
        <v>3814</v>
      </c>
      <c r="F7538">
        <v>7.96</v>
      </c>
    </row>
    <row r="7539" spans="1:6" x14ac:dyDescent="0.3">
      <c r="A7539" t="s">
        <v>12776</v>
      </c>
      <c r="B7539" t="s">
        <v>12777</v>
      </c>
      <c r="C7539" t="s">
        <v>12778</v>
      </c>
      <c r="D7539">
        <v>99517459</v>
      </c>
      <c r="E7539" t="s">
        <v>3814</v>
      </c>
      <c r="F7539">
        <v>6.12</v>
      </c>
    </row>
    <row r="7540" spans="1:6" x14ac:dyDescent="0.3">
      <c r="A7540" t="s">
        <v>12779</v>
      </c>
      <c r="B7540" t="s">
        <v>12780</v>
      </c>
      <c r="C7540" t="s">
        <v>12781</v>
      </c>
      <c r="D7540">
        <v>99530630</v>
      </c>
      <c r="E7540" t="s">
        <v>3814</v>
      </c>
      <c r="F7540">
        <v>7.5</v>
      </c>
    </row>
    <row r="7541" spans="1:6" x14ac:dyDescent="0.3">
      <c r="A7541" t="s">
        <v>12782</v>
      </c>
      <c r="B7541" t="s">
        <v>12783</v>
      </c>
      <c r="C7541" t="s">
        <v>12784</v>
      </c>
      <c r="D7541">
        <v>99559752</v>
      </c>
      <c r="E7541">
        <v>14</v>
      </c>
      <c r="F7541">
        <v>8.5</v>
      </c>
    </row>
    <row r="7542" spans="1:6" x14ac:dyDescent="0.3">
      <c r="A7542" t="s">
        <v>12785</v>
      </c>
      <c r="B7542" t="s">
        <v>11410</v>
      </c>
      <c r="C7542" t="s">
        <v>12189</v>
      </c>
      <c r="D7542">
        <v>99575828</v>
      </c>
      <c r="E7542">
        <v>16.25</v>
      </c>
      <c r="F7542">
        <v>7.84</v>
      </c>
    </row>
    <row r="7543" spans="1:6" x14ac:dyDescent="0.3">
      <c r="A7543" t="s">
        <v>12786</v>
      </c>
      <c r="B7543" t="s">
        <v>12787</v>
      </c>
      <c r="C7543" t="s">
        <v>12788</v>
      </c>
      <c r="D7543">
        <v>99589753</v>
      </c>
      <c r="E7543" t="s">
        <v>3814</v>
      </c>
      <c r="F7543">
        <v>4.75</v>
      </c>
    </row>
    <row r="7544" spans="1:6" x14ac:dyDescent="0.3">
      <c r="A7544" t="s">
        <v>12789</v>
      </c>
      <c r="B7544" t="s">
        <v>7025</v>
      </c>
      <c r="C7544" t="s">
        <v>12790</v>
      </c>
      <c r="D7544">
        <v>99602299</v>
      </c>
      <c r="E7544">
        <v>10.199999999999999</v>
      </c>
      <c r="F7544">
        <v>7.55</v>
      </c>
    </row>
    <row r="7545" spans="1:6" x14ac:dyDescent="0.3">
      <c r="A7545" t="s">
        <v>12791</v>
      </c>
      <c r="B7545" t="s">
        <v>12722</v>
      </c>
      <c r="C7545" t="s">
        <v>12792</v>
      </c>
      <c r="D7545">
        <v>99608524</v>
      </c>
      <c r="E7545" t="s">
        <v>3814</v>
      </c>
      <c r="F7545">
        <v>4.5</v>
      </c>
    </row>
    <row r="7546" spans="1:6" x14ac:dyDescent="0.3">
      <c r="A7546" t="s">
        <v>12793</v>
      </c>
      <c r="B7546" t="s">
        <v>12291</v>
      </c>
      <c r="C7546" t="s">
        <v>10243</v>
      </c>
      <c r="D7546">
        <v>99637064</v>
      </c>
      <c r="E7546" t="s">
        <v>3814</v>
      </c>
      <c r="F7546">
        <v>6.86</v>
      </c>
    </row>
    <row r="7547" spans="1:6" x14ac:dyDescent="0.3">
      <c r="A7547" t="s">
        <v>12794</v>
      </c>
      <c r="B7547" t="s">
        <v>12795</v>
      </c>
      <c r="C7547" t="s">
        <v>12796</v>
      </c>
      <c r="D7547">
        <v>99649155</v>
      </c>
      <c r="E7547">
        <v>8.7799999999999994</v>
      </c>
      <c r="F7547">
        <v>5.67</v>
      </c>
    </row>
    <row r="7548" spans="1:6" x14ac:dyDescent="0.3">
      <c r="A7548" t="s">
        <v>12797</v>
      </c>
      <c r="B7548" t="s">
        <v>10921</v>
      </c>
      <c r="C7548" t="s">
        <v>12798</v>
      </c>
      <c r="D7548">
        <v>99683306</v>
      </c>
      <c r="E7548" t="s">
        <v>3814</v>
      </c>
      <c r="F7548">
        <v>5.8</v>
      </c>
    </row>
    <row r="7549" spans="1:6" x14ac:dyDescent="0.3">
      <c r="A7549" t="s">
        <v>12799</v>
      </c>
      <c r="B7549" t="s">
        <v>4817</v>
      </c>
      <c r="C7549" t="s">
        <v>12800</v>
      </c>
      <c r="D7549">
        <v>99692910</v>
      </c>
      <c r="E7549">
        <v>31.5</v>
      </c>
      <c r="F7549">
        <v>3.5</v>
      </c>
    </row>
    <row r="7550" spans="1:6" x14ac:dyDescent="0.3">
      <c r="A7550" t="s">
        <v>12801</v>
      </c>
      <c r="B7550" t="s">
        <v>12802</v>
      </c>
      <c r="C7550" t="s">
        <v>9087</v>
      </c>
      <c r="D7550">
        <v>99693231</v>
      </c>
      <c r="E7550" t="s">
        <v>3814</v>
      </c>
      <c r="F7550" t="s">
        <v>3814</v>
      </c>
    </row>
    <row r="7551" spans="1:6" x14ac:dyDescent="0.3">
      <c r="A7551" t="s">
        <v>12803</v>
      </c>
      <c r="B7551" t="s">
        <v>12617</v>
      </c>
      <c r="C7551" t="s">
        <v>12804</v>
      </c>
      <c r="D7551">
        <v>99712375</v>
      </c>
      <c r="E7551" t="s">
        <v>3814</v>
      </c>
      <c r="F7551">
        <v>4.3099999999999996</v>
      </c>
    </row>
    <row r="7552" spans="1:6" x14ac:dyDescent="0.3">
      <c r="A7552" t="s">
        <v>12805</v>
      </c>
      <c r="B7552" t="s">
        <v>3800</v>
      </c>
      <c r="C7552" t="s">
        <v>12806</v>
      </c>
      <c r="D7552">
        <v>99726832</v>
      </c>
      <c r="E7552">
        <v>3.33</v>
      </c>
      <c r="F7552">
        <v>5.7</v>
      </c>
    </row>
    <row r="7553" spans="1:6" x14ac:dyDescent="0.3">
      <c r="A7553" t="s">
        <v>12807</v>
      </c>
      <c r="B7553" t="s">
        <v>12645</v>
      </c>
      <c r="C7553" t="s">
        <v>12808</v>
      </c>
      <c r="D7553">
        <v>99732035</v>
      </c>
      <c r="E7553" t="s">
        <v>3814</v>
      </c>
      <c r="F7553">
        <v>5</v>
      </c>
    </row>
    <row r="7554" spans="1:6" x14ac:dyDescent="0.3">
      <c r="A7554" t="s">
        <v>12809</v>
      </c>
      <c r="B7554" t="s">
        <v>9544</v>
      </c>
      <c r="C7554" t="s">
        <v>12810</v>
      </c>
      <c r="D7554">
        <v>99733747</v>
      </c>
      <c r="E7554">
        <v>3.87</v>
      </c>
      <c r="F7554">
        <v>6.62</v>
      </c>
    </row>
    <row r="7555" spans="1:6" x14ac:dyDescent="0.3">
      <c r="A7555" t="s">
        <v>12811</v>
      </c>
      <c r="B7555" t="s">
        <v>9071</v>
      </c>
      <c r="C7555" t="s">
        <v>12812</v>
      </c>
      <c r="D7555">
        <v>99740072</v>
      </c>
      <c r="E7555" t="s">
        <v>3814</v>
      </c>
      <c r="F7555">
        <v>7.56</v>
      </c>
    </row>
    <row r="7556" spans="1:6" x14ac:dyDescent="0.3">
      <c r="A7556" t="s">
        <v>12813</v>
      </c>
      <c r="B7556" t="s">
        <v>12814</v>
      </c>
      <c r="C7556" t="s">
        <v>5707</v>
      </c>
      <c r="D7556">
        <v>99755672</v>
      </c>
      <c r="E7556">
        <v>5.71</v>
      </c>
      <c r="F7556">
        <v>6.14</v>
      </c>
    </row>
    <row r="7557" spans="1:6" x14ac:dyDescent="0.3">
      <c r="A7557" t="s">
        <v>12815</v>
      </c>
      <c r="B7557" t="s">
        <v>7436</v>
      </c>
      <c r="C7557" t="s">
        <v>7564</v>
      </c>
      <c r="D7557">
        <v>99769743</v>
      </c>
      <c r="E7557" t="s">
        <v>3814</v>
      </c>
      <c r="F7557">
        <v>6.64</v>
      </c>
    </row>
    <row r="7558" spans="1:6" x14ac:dyDescent="0.3">
      <c r="A7558" t="s">
        <v>12816</v>
      </c>
      <c r="B7558" t="s">
        <v>12471</v>
      </c>
      <c r="C7558" t="s">
        <v>11893</v>
      </c>
      <c r="D7558">
        <v>99791178</v>
      </c>
      <c r="E7558" t="s">
        <v>3814</v>
      </c>
      <c r="F7558">
        <v>5.79</v>
      </c>
    </row>
    <row r="7559" spans="1:6" x14ac:dyDescent="0.3">
      <c r="A7559" t="s">
        <v>8786</v>
      </c>
      <c r="B7559" t="s">
        <v>6262</v>
      </c>
      <c r="C7559" t="s">
        <v>7050</v>
      </c>
      <c r="D7559">
        <v>99800205</v>
      </c>
      <c r="E7559">
        <v>25</v>
      </c>
      <c r="F7559">
        <v>8.5</v>
      </c>
    </row>
    <row r="7560" spans="1:6" x14ac:dyDescent="0.3">
      <c r="A7560" t="s">
        <v>12817</v>
      </c>
      <c r="B7560" t="s">
        <v>12818</v>
      </c>
      <c r="C7560" t="s">
        <v>10809</v>
      </c>
      <c r="D7560">
        <v>99815163</v>
      </c>
      <c r="E7560">
        <v>4.53</v>
      </c>
      <c r="F7560">
        <v>7.84</v>
      </c>
    </row>
    <row r="7561" spans="1:6" x14ac:dyDescent="0.3">
      <c r="A7561" t="s">
        <v>12819</v>
      </c>
      <c r="B7561" t="s">
        <v>12820</v>
      </c>
      <c r="C7561" t="s">
        <v>3470</v>
      </c>
      <c r="D7561">
        <v>99855394</v>
      </c>
      <c r="E7561" t="s">
        <v>3814</v>
      </c>
      <c r="F7561">
        <v>8.9499999999999993</v>
      </c>
    </row>
    <row r="7562" spans="1:6" x14ac:dyDescent="0.3">
      <c r="A7562" t="s">
        <v>12821</v>
      </c>
      <c r="B7562" t="s">
        <v>12822</v>
      </c>
      <c r="C7562" t="s">
        <v>11113</v>
      </c>
      <c r="D7562">
        <v>99905276</v>
      </c>
      <c r="E7562">
        <v>6.24</v>
      </c>
      <c r="F7562">
        <v>9.17</v>
      </c>
    </row>
    <row r="7563" spans="1:6" x14ac:dyDescent="0.3">
      <c r="A7563" t="s">
        <v>12823</v>
      </c>
      <c r="B7563" t="s">
        <v>11317</v>
      </c>
      <c r="C7563" t="s">
        <v>7912</v>
      </c>
      <c r="D7563">
        <v>99922945</v>
      </c>
      <c r="E7563">
        <v>3.15</v>
      </c>
      <c r="F7563">
        <v>6.14</v>
      </c>
    </row>
    <row r="7564" spans="1:6" x14ac:dyDescent="0.3">
      <c r="A7564" t="s">
        <v>12824</v>
      </c>
      <c r="B7564" t="s">
        <v>12825</v>
      </c>
      <c r="C7564" t="s">
        <v>7116</v>
      </c>
      <c r="D7564">
        <v>99927952</v>
      </c>
      <c r="E7564" t="s">
        <v>3814</v>
      </c>
      <c r="F7564">
        <v>4.87</v>
      </c>
    </row>
    <row r="7565" spans="1:6" x14ac:dyDescent="0.3">
      <c r="A7565" t="s">
        <v>12826</v>
      </c>
      <c r="B7565" t="s">
        <v>5031</v>
      </c>
      <c r="C7565" t="s">
        <v>749</v>
      </c>
      <c r="D7565">
        <v>99932955</v>
      </c>
      <c r="E7565">
        <v>25</v>
      </c>
      <c r="F7565">
        <v>10</v>
      </c>
    </row>
    <row r="7566" spans="1:6" x14ac:dyDescent="0.3">
      <c r="A7566" t="s">
        <v>12827</v>
      </c>
      <c r="B7566" t="s">
        <v>12828</v>
      </c>
      <c r="C7566" t="s">
        <v>6017</v>
      </c>
      <c r="D7566">
        <v>99944490</v>
      </c>
      <c r="E7566" t="s">
        <v>3814</v>
      </c>
      <c r="F7566">
        <v>6.84</v>
      </c>
    </row>
    <row r="7567" spans="1:6" x14ac:dyDescent="0.3">
      <c r="A7567" t="s">
        <v>12829</v>
      </c>
      <c r="B7567" t="s">
        <v>12830</v>
      </c>
      <c r="C7567" t="s">
        <v>12831</v>
      </c>
      <c r="D7567">
        <v>99963072</v>
      </c>
      <c r="E7567" t="s">
        <v>3814</v>
      </c>
      <c r="F7567">
        <v>5</v>
      </c>
    </row>
    <row r="7568" spans="1:6" x14ac:dyDescent="0.3">
      <c r="A7568" t="s">
        <v>12832</v>
      </c>
      <c r="B7568" t="s">
        <v>12833</v>
      </c>
      <c r="C7568" t="s">
        <v>12834</v>
      </c>
      <c r="D7568">
        <v>99978783</v>
      </c>
      <c r="E7568" t="s">
        <v>3814</v>
      </c>
      <c r="F7568">
        <v>7.65</v>
      </c>
    </row>
    <row r="7569" spans="1:6" x14ac:dyDescent="0.3">
      <c r="A7569" t="s">
        <v>12835</v>
      </c>
      <c r="B7569" t="s">
        <v>6470</v>
      </c>
      <c r="C7569" t="s">
        <v>12836</v>
      </c>
      <c r="D7569">
        <v>99986674</v>
      </c>
      <c r="E7569">
        <v>22</v>
      </c>
      <c r="F7569">
        <v>8</v>
      </c>
    </row>
    <row r="7570" spans="1:6" x14ac:dyDescent="0.3">
      <c r="A7570" t="s">
        <v>12837</v>
      </c>
      <c r="B7570" t="s">
        <v>3144</v>
      </c>
      <c r="C7570" t="s">
        <v>2588</v>
      </c>
      <c r="D7570">
        <v>99992952</v>
      </c>
      <c r="E7570">
        <v>25.88</v>
      </c>
      <c r="F7570">
        <v>8.5</v>
      </c>
    </row>
    <row r="7571" spans="1:6" x14ac:dyDescent="0.3">
      <c r="A7571" t="s">
        <v>12838</v>
      </c>
      <c r="B7571" t="s">
        <v>8053</v>
      </c>
      <c r="C7571" t="s">
        <v>12839</v>
      </c>
      <c r="D7571">
        <v>100018738</v>
      </c>
      <c r="E7571">
        <v>3.16</v>
      </c>
      <c r="F7571">
        <v>6.9</v>
      </c>
    </row>
    <row r="7572" spans="1:6" x14ac:dyDescent="0.3">
      <c r="A7572" t="s">
        <v>12840</v>
      </c>
      <c r="B7572" t="s">
        <v>12841</v>
      </c>
      <c r="C7572" t="s">
        <v>12840</v>
      </c>
      <c r="D7572">
        <v>100020688</v>
      </c>
      <c r="E7572">
        <v>14.63</v>
      </c>
      <c r="F7572">
        <v>7.88</v>
      </c>
    </row>
    <row r="7573" spans="1:6" x14ac:dyDescent="0.3">
      <c r="A7573" t="s">
        <v>12842</v>
      </c>
      <c r="B7573" t="s">
        <v>12843</v>
      </c>
      <c r="C7573" t="s">
        <v>12844</v>
      </c>
      <c r="D7573">
        <v>100021616</v>
      </c>
      <c r="E7573">
        <v>5.58</v>
      </c>
      <c r="F7573">
        <v>7.89</v>
      </c>
    </row>
    <row r="7574" spans="1:6" x14ac:dyDescent="0.3">
      <c r="A7574" t="s">
        <v>12845</v>
      </c>
      <c r="B7574" t="s">
        <v>12846</v>
      </c>
      <c r="C7574" t="s">
        <v>12847</v>
      </c>
      <c r="D7574">
        <v>100031342</v>
      </c>
      <c r="E7574" t="s">
        <v>3814</v>
      </c>
      <c r="F7574">
        <v>6.09</v>
      </c>
    </row>
    <row r="7575" spans="1:6" x14ac:dyDescent="0.3">
      <c r="A7575" t="s">
        <v>12848</v>
      </c>
      <c r="B7575" t="s">
        <v>3329</v>
      </c>
      <c r="C7575" t="s">
        <v>12849</v>
      </c>
      <c r="D7575">
        <v>100032992</v>
      </c>
      <c r="E7575" t="s">
        <v>3814</v>
      </c>
      <c r="F7575">
        <v>4.59</v>
      </c>
    </row>
    <row r="7576" spans="1:6" x14ac:dyDescent="0.3">
      <c r="A7576" t="s">
        <v>4132</v>
      </c>
      <c r="B7576" t="s">
        <v>4184</v>
      </c>
      <c r="C7576" t="s">
        <v>12850</v>
      </c>
      <c r="D7576">
        <v>100038263</v>
      </c>
      <c r="E7576">
        <v>3.93</v>
      </c>
      <c r="F7576">
        <v>7.2</v>
      </c>
    </row>
    <row r="7577" spans="1:6" x14ac:dyDescent="0.3">
      <c r="A7577" t="s">
        <v>12851</v>
      </c>
      <c r="B7577" t="s">
        <v>12852</v>
      </c>
      <c r="C7577" t="s">
        <v>12853</v>
      </c>
      <c r="D7577">
        <v>100041614</v>
      </c>
      <c r="E7577" t="s">
        <v>3814</v>
      </c>
      <c r="F7577">
        <v>7.15</v>
      </c>
    </row>
    <row r="7578" spans="1:6" x14ac:dyDescent="0.3">
      <c r="A7578" t="s">
        <v>12854</v>
      </c>
      <c r="B7578" t="s">
        <v>11448</v>
      </c>
      <c r="C7578" t="s">
        <v>10457</v>
      </c>
      <c r="D7578">
        <v>100041767</v>
      </c>
      <c r="E7578">
        <v>20</v>
      </c>
      <c r="F7578">
        <v>7.95</v>
      </c>
    </row>
    <row r="7579" spans="1:6" x14ac:dyDescent="0.3">
      <c r="A7579" t="s">
        <v>12855</v>
      </c>
      <c r="B7579" t="s">
        <v>5901</v>
      </c>
      <c r="C7579" t="s">
        <v>12856</v>
      </c>
      <c r="D7579">
        <v>100045298</v>
      </c>
      <c r="E7579">
        <v>23.5</v>
      </c>
      <c r="F7579">
        <v>0</v>
      </c>
    </row>
    <row r="7580" spans="1:6" x14ac:dyDescent="0.3">
      <c r="A7580" t="s">
        <v>12857</v>
      </c>
      <c r="B7580" t="s">
        <v>12858</v>
      </c>
      <c r="C7580" t="s">
        <v>12859</v>
      </c>
      <c r="D7580">
        <v>100058118</v>
      </c>
      <c r="E7580" t="s">
        <v>3814</v>
      </c>
      <c r="F7580">
        <v>6.09</v>
      </c>
    </row>
    <row r="7581" spans="1:6" x14ac:dyDescent="0.3">
      <c r="A7581" t="s">
        <v>12860</v>
      </c>
      <c r="B7581" t="s">
        <v>12861</v>
      </c>
      <c r="C7581" t="s">
        <v>2089</v>
      </c>
      <c r="D7581">
        <v>100083590</v>
      </c>
      <c r="E7581">
        <v>26</v>
      </c>
      <c r="F7581">
        <v>8</v>
      </c>
    </row>
    <row r="7582" spans="1:6" x14ac:dyDescent="0.3">
      <c r="A7582" t="s">
        <v>12862</v>
      </c>
      <c r="B7582" t="s">
        <v>12863</v>
      </c>
      <c r="C7582" t="s">
        <v>2640</v>
      </c>
      <c r="D7582">
        <v>100090616</v>
      </c>
      <c r="E7582">
        <v>6.07</v>
      </c>
      <c r="F7582">
        <v>7</v>
      </c>
    </row>
    <row r="7583" spans="1:6" x14ac:dyDescent="0.3">
      <c r="A7583" t="s">
        <v>12864</v>
      </c>
      <c r="B7583" t="s">
        <v>2519</v>
      </c>
      <c r="C7583" t="s">
        <v>1142</v>
      </c>
      <c r="D7583">
        <v>100093312</v>
      </c>
      <c r="E7583" t="s">
        <v>3814</v>
      </c>
      <c r="F7583">
        <v>5.92</v>
      </c>
    </row>
    <row r="7584" spans="1:6" x14ac:dyDescent="0.3">
      <c r="A7584" t="s">
        <v>12865</v>
      </c>
      <c r="B7584" t="s">
        <v>7104</v>
      </c>
      <c r="C7584" t="s">
        <v>7132</v>
      </c>
      <c r="D7584">
        <v>100101360</v>
      </c>
      <c r="E7584">
        <v>14.71</v>
      </c>
      <c r="F7584">
        <v>6.18</v>
      </c>
    </row>
    <row r="7585" spans="1:6" x14ac:dyDescent="0.3">
      <c r="A7585" t="s">
        <v>12866</v>
      </c>
      <c r="B7585" t="s">
        <v>7907</v>
      </c>
      <c r="C7585" t="s">
        <v>12867</v>
      </c>
      <c r="D7585">
        <v>100117548</v>
      </c>
      <c r="E7585" t="s">
        <v>3814</v>
      </c>
      <c r="F7585">
        <v>4.7300000000000004</v>
      </c>
    </row>
    <row r="7586" spans="1:6" x14ac:dyDescent="0.3">
      <c r="A7586" t="s">
        <v>9342</v>
      </c>
      <c r="B7586" t="s">
        <v>11212</v>
      </c>
      <c r="C7586" t="s">
        <v>12868</v>
      </c>
      <c r="D7586">
        <v>100117857</v>
      </c>
      <c r="E7586">
        <v>10</v>
      </c>
      <c r="F7586">
        <v>6.4</v>
      </c>
    </row>
    <row r="7587" spans="1:6" x14ac:dyDescent="0.3">
      <c r="A7587" t="s">
        <v>12869</v>
      </c>
      <c r="B7587" t="s">
        <v>12870</v>
      </c>
      <c r="C7587" t="s">
        <v>1566</v>
      </c>
      <c r="D7587">
        <v>100124550</v>
      </c>
      <c r="E7587">
        <v>7.14</v>
      </c>
      <c r="F7587">
        <v>7.5</v>
      </c>
    </row>
    <row r="7588" spans="1:6" x14ac:dyDescent="0.3">
      <c r="A7588" t="s">
        <v>12871</v>
      </c>
      <c r="B7588" t="s">
        <v>10167</v>
      </c>
      <c r="C7588" t="s">
        <v>5596</v>
      </c>
      <c r="D7588">
        <v>100136846</v>
      </c>
      <c r="E7588">
        <v>3.63</v>
      </c>
      <c r="F7588">
        <v>7.43</v>
      </c>
    </row>
    <row r="7589" spans="1:6" x14ac:dyDescent="0.3">
      <c r="A7589" t="s">
        <v>12872</v>
      </c>
      <c r="B7589" t="s">
        <v>5654</v>
      </c>
      <c r="C7589" t="s">
        <v>9536</v>
      </c>
      <c r="D7589">
        <v>100140243</v>
      </c>
      <c r="E7589">
        <v>2.91</v>
      </c>
      <c r="F7589">
        <v>7.74</v>
      </c>
    </row>
    <row r="7590" spans="1:6" x14ac:dyDescent="0.3">
      <c r="A7590" t="s">
        <v>7348</v>
      </c>
      <c r="B7590" t="s">
        <v>12873</v>
      </c>
      <c r="C7590" t="s">
        <v>12874</v>
      </c>
      <c r="D7590">
        <v>100142048</v>
      </c>
      <c r="E7590">
        <v>7.79</v>
      </c>
      <c r="F7590">
        <v>8</v>
      </c>
    </row>
    <row r="7591" spans="1:6" x14ac:dyDescent="0.3">
      <c r="A7591" t="s">
        <v>12875</v>
      </c>
      <c r="B7591" t="s">
        <v>12876</v>
      </c>
      <c r="C7591" t="s">
        <v>12877</v>
      </c>
      <c r="D7591">
        <v>100158054</v>
      </c>
      <c r="E7591">
        <v>14.43</v>
      </c>
      <c r="F7591">
        <v>3.71</v>
      </c>
    </row>
    <row r="7592" spans="1:6" x14ac:dyDescent="0.3">
      <c r="A7592" t="s">
        <v>12878</v>
      </c>
      <c r="B7592" t="s">
        <v>12879</v>
      </c>
      <c r="C7592" t="s">
        <v>12880</v>
      </c>
      <c r="D7592">
        <v>100158240</v>
      </c>
      <c r="E7592" t="s">
        <v>3814</v>
      </c>
      <c r="F7592">
        <v>6.87</v>
      </c>
    </row>
    <row r="7593" spans="1:6" x14ac:dyDescent="0.3">
      <c r="A7593" t="s">
        <v>12881</v>
      </c>
      <c r="B7593" t="s">
        <v>12617</v>
      </c>
      <c r="C7593" t="s">
        <v>12882</v>
      </c>
      <c r="D7593">
        <v>100160642</v>
      </c>
      <c r="E7593" t="s">
        <v>3814</v>
      </c>
      <c r="F7593">
        <v>7.14</v>
      </c>
    </row>
    <row r="7594" spans="1:6" x14ac:dyDescent="0.3">
      <c r="A7594" t="s">
        <v>12883</v>
      </c>
      <c r="B7594" t="s">
        <v>8201</v>
      </c>
      <c r="C7594" t="s">
        <v>6982</v>
      </c>
      <c r="D7594">
        <v>100188497</v>
      </c>
      <c r="E7594">
        <v>17.940000000000001</v>
      </c>
      <c r="F7594">
        <v>6.43</v>
      </c>
    </row>
    <row r="7595" spans="1:6" x14ac:dyDescent="0.3">
      <c r="A7595" t="s">
        <v>12884</v>
      </c>
      <c r="B7595" t="s">
        <v>4019</v>
      </c>
      <c r="C7595" t="s">
        <v>1392</v>
      </c>
      <c r="D7595">
        <v>100213638</v>
      </c>
      <c r="E7595">
        <v>25</v>
      </c>
      <c r="F7595">
        <v>6</v>
      </c>
    </row>
    <row r="7596" spans="1:6" x14ac:dyDescent="0.3">
      <c r="A7596" t="s">
        <v>12885</v>
      </c>
      <c r="B7596" t="s">
        <v>12886</v>
      </c>
      <c r="C7596" t="s">
        <v>2781</v>
      </c>
      <c r="D7596">
        <v>100235949</v>
      </c>
      <c r="E7596" t="s">
        <v>3814</v>
      </c>
      <c r="F7596">
        <v>4.17</v>
      </c>
    </row>
    <row r="7597" spans="1:6" x14ac:dyDescent="0.3">
      <c r="A7597" t="s">
        <v>12887</v>
      </c>
      <c r="B7597" t="s">
        <v>8874</v>
      </c>
      <c r="C7597" t="s">
        <v>771</v>
      </c>
      <c r="D7597">
        <v>100237879</v>
      </c>
      <c r="E7597">
        <v>6.85</v>
      </c>
      <c r="F7597">
        <v>7.31</v>
      </c>
    </row>
    <row r="7598" spans="1:6" x14ac:dyDescent="0.3">
      <c r="A7598" t="s">
        <v>12888</v>
      </c>
      <c r="B7598" t="s">
        <v>12889</v>
      </c>
      <c r="C7598" t="s">
        <v>6739</v>
      </c>
      <c r="D7598">
        <v>100244772</v>
      </c>
      <c r="E7598" t="s">
        <v>3814</v>
      </c>
      <c r="F7598">
        <v>5.76</v>
      </c>
    </row>
    <row r="7599" spans="1:6" x14ac:dyDescent="0.3">
      <c r="A7599" t="s">
        <v>12890</v>
      </c>
      <c r="B7599" t="s">
        <v>12891</v>
      </c>
      <c r="C7599" t="s">
        <v>5772</v>
      </c>
      <c r="D7599">
        <v>100278416</v>
      </c>
      <c r="E7599" t="s">
        <v>3814</v>
      </c>
      <c r="F7599">
        <v>7.32</v>
      </c>
    </row>
    <row r="7600" spans="1:6" x14ac:dyDescent="0.3">
      <c r="A7600" t="s">
        <v>12892</v>
      </c>
      <c r="B7600" t="s">
        <v>12893</v>
      </c>
      <c r="C7600" t="s">
        <v>2481</v>
      </c>
      <c r="D7600">
        <v>100326609</v>
      </c>
      <c r="E7600">
        <v>3.25</v>
      </c>
      <c r="F7600">
        <v>8.2799999999999994</v>
      </c>
    </row>
    <row r="7601" spans="1:6" x14ac:dyDescent="0.3">
      <c r="A7601" t="s">
        <v>12894</v>
      </c>
      <c r="B7601" t="s">
        <v>1010</v>
      </c>
      <c r="C7601" t="s">
        <v>12895</v>
      </c>
      <c r="D7601">
        <v>100417573</v>
      </c>
      <c r="E7601">
        <v>6.65</v>
      </c>
      <c r="F7601">
        <v>6.72</v>
      </c>
    </row>
    <row r="7602" spans="1:6" x14ac:dyDescent="0.3">
      <c r="A7602" t="s">
        <v>12896</v>
      </c>
      <c r="B7602" t="s">
        <v>12645</v>
      </c>
      <c r="C7602" t="s">
        <v>12897</v>
      </c>
      <c r="D7602">
        <v>100421461</v>
      </c>
      <c r="E7602" t="s">
        <v>3814</v>
      </c>
      <c r="F7602">
        <v>6.45</v>
      </c>
    </row>
    <row r="7603" spans="1:6" x14ac:dyDescent="0.3">
      <c r="A7603" t="s">
        <v>12898</v>
      </c>
      <c r="B7603" t="s">
        <v>5730</v>
      </c>
      <c r="C7603" t="s">
        <v>12899</v>
      </c>
      <c r="D7603">
        <v>100424840</v>
      </c>
      <c r="E7603" t="s">
        <v>3814</v>
      </c>
      <c r="F7603">
        <v>7.7</v>
      </c>
    </row>
    <row r="7604" spans="1:6" x14ac:dyDescent="0.3">
      <c r="A7604" t="s">
        <v>12900</v>
      </c>
      <c r="B7604" t="s">
        <v>12901</v>
      </c>
      <c r="C7604" t="s">
        <v>12902</v>
      </c>
      <c r="D7604">
        <v>100474063</v>
      </c>
      <c r="E7604">
        <v>2.86</v>
      </c>
      <c r="F7604">
        <v>6.77</v>
      </c>
    </row>
    <row r="7605" spans="1:6" x14ac:dyDescent="0.3">
      <c r="A7605" t="s">
        <v>12903</v>
      </c>
      <c r="B7605" t="s">
        <v>12904</v>
      </c>
      <c r="C7605" t="s">
        <v>5581</v>
      </c>
      <c r="D7605">
        <v>100483402</v>
      </c>
      <c r="E7605" t="s">
        <v>3814</v>
      </c>
      <c r="F7605">
        <v>7.24</v>
      </c>
    </row>
    <row r="7606" spans="1:6" x14ac:dyDescent="0.3">
      <c r="A7606" t="s">
        <v>12905</v>
      </c>
      <c r="B7606" t="s">
        <v>5796</v>
      </c>
      <c r="C7606" t="s">
        <v>11753</v>
      </c>
      <c r="D7606">
        <v>100485888</v>
      </c>
      <c r="E7606">
        <v>20.98</v>
      </c>
      <c r="F7606">
        <v>8.77</v>
      </c>
    </row>
    <row r="7607" spans="1:6" x14ac:dyDescent="0.3">
      <c r="A7607" t="s">
        <v>12906</v>
      </c>
      <c r="B7607" t="s">
        <v>12661</v>
      </c>
      <c r="C7607" t="s">
        <v>12907</v>
      </c>
      <c r="D7607">
        <v>100486532</v>
      </c>
      <c r="E7607" t="s">
        <v>3814</v>
      </c>
      <c r="F7607">
        <v>8.6</v>
      </c>
    </row>
    <row r="7608" spans="1:6" x14ac:dyDescent="0.3">
      <c r="A7608" t="s">
        <v>12908</v>
      </c>
      <c r="B7608" t="s">
        <v>10160</v>
      </c>
      <c r="C7608" t="s">
        <v>12909</v>
      </c>
      <c r="D7608">
        <v>100486896</v>
      </c>
      <c r="E7608">
        <v>22.4</v>
      </c>
      <c r="F7608">
        <v>7</v>
      </c>
    </row>
    <row r="7609" spans="1:6" x14ac:dyDescent="0.3">
      <c r="A7609" t="s">
        <v>12910</v>
      </c>
      <c r="B7609" t="s">
        <v>12911</v>
      </c>
      <c r="C7609" t="s">
        <v>11831</v>
      </c>
      <c r="D7609">
        <v>100564150</v>
      </c>
      <c r="E7609">
        <v>3.92</v>
      </c>
      <c r="F7609">
        <v>7.71</v>
      </c>
    </row>
    <row r="7610" spans="1:6" x14ac:dyDescent="0.3">
      <c r="A7610" t="s">
        <v>12912</v>
      </c>
      <c r="B7610" t="s">
        <v>12913</v>
      </c>
      <c r="C7610" t="s">
        <v>12914</v>
      </c>
      <c r="D7610">
        <v>100571044</v>
      </c>
      <c r="E7610" t="s">
        <v>3814</v>
      </c>
      <c r="F7610">
        <v>6</v>
      </c>
    </row>
    <row r="7611" spans="1:6" x14ac:dyDescent="0.3">
      <c r="A7611" t="s">
        <v>12915</v>
      </c>
      <c r="B7611" t="s">
        <v>7320</v>
      </c>
      <c r="C7611" t="s">
        <v>12916</v>
      </c>
      <c r="D7611">
        <v>100576164</v>
      </c>
      <c r="E7611">
        <v>2.59</v>
      </c>
      <c r="F7611">
        <v>8.16</v>
      </c>
    </row>
    <row r="7612" spans="1:6" x14ac:dyDescent="0.3">
      <c r="A7612" t="s">
        <v>12917</v>
      </c>
      <c r="B7612" t="s">
        <v>12918</v>
      </c>
      <c r="C7612" t="s">
        <v>4241</v>
      </c>
      <c r="D7612">
        <v>100582930</v>
      </c>
      <c r="E7612">
        <v>17.399999999999999</v>
      </c>
      <c r="F7612">
        <v>6.86</v>
      </c>
    </row>
    <row r="7613" spans="1:6" x14ac:dyDescent="0.3">
      <c r="A7613" t="s">
        <v>12919</v>
      </c>
      <c r="B7613" t="s">
        <v>8417</v>
      </c>
      <c r="C7613" t="s">
        <v>11523</v>
      </c>
      <c r="D7613">
        <v>100618560</v>
      </c>
      <c r="E7613">
        <v>2.39</v>
      </c>
      <c r="F7613">
        <v>7.6</v>
      </c>
    </row>
    <row r="7614" spans="1:6" x14ac:dyDescent="0.3">
      <c r="A7614" t="s">
        <v>12920</v>
      </c>
      <c r="B7614" t="s">
        <v>12921</v>
      </c>
      <c r="C7614" t="s">
        <v>12922</v>
      </c>
      <c r="D7614">
        <v>100634702</v>
      </c>
      <c r="E7614" t="s">
        <v>3814</v>
      </c>
      <c r="F7614">
        <v>5.45</v>
      </c>
    </row>
    <row r="7615" spans="1:6" x14ac:dyDescent="0.3">
      <c r="A7615" t="s">
        <v>12923</v>
      </c>
      <c r="B7615" t="s">
        <v>8848</v>
      </c>
      <c r="C7615" t="s">
        <v>9868</v>
      </c>
      <c r="D7615">
        <v>100636462</v>
      </c>
      <c r="E7615">
        <v>8.75</v>
      </c>
      <c r="F7615">
        <v>6.25</v>
      </c>
    </row>
    <row r="7616" spans="1:6" x14ac:dyDescent="0.3">
      <c r="A7616" t="s">
        <v>12924</v>
      </c>
      <c r="B7616" t="s">
        <v>7882</v>
      </c>
      <c r="C7616" t="s">
        <v>25</v>
      </c>
      <c r="D7616">
        <v>100645222</v>
      </c>
      <c r="E7616">
        <v>2.44</v>
      </c>
      <c r="F7616">
        <v>6.99</v>
      </c>
    </row>
    <row r="7617" spans="1:6" x14ac:dyDescent="0.3">
      <c r="A7617" t="s">
        <v>12925</v>
      </c>
      <c r="B7617" t="s">
        <v>12926</v>
      </c>
      <c r="C7617" t="s">
        <v>6017</v>
      </c>
      <c r="D7617">
        <v>100647499</v>
      </c>
      <c r="E7617" t="s">
        <v>3814</v>
      </c>
      <c r="F7617">
        <v>6.74</v>
      </c>
    </row>
    <row r="7618" spans="1:6" x14ac:dyDescent="0.3">
      <c r="A7618" t="s">
        <v>12927</v>
      </c>
      <c r="B7618" t="s">
        <v>12928</v>
      </c>
      <c r="C7618" t="s">
        <v>12929</v>
      </c>
      <c r="D7618">
        <v>100698142</v>
      </c>
      <c r="E7618" t="s">
        <v>3814</v>
      </c>
      <c r="F7618">
        <v>4.93</v>
      </c>
    </row>
    <row r="7619" spans="1:6" x14ac:dyDescent="0.3">
      <c r="A7619" t="s">
        <v>12930</v>
      </c>
      <c r="B7619" t="s">
        <v>7044</v>
      </c>
      <c r="C7619" t="s">
        <v>11924</v>
      </c>
      <c r="D7619">
        <v>100701456</v>
      </c>
      <c r="E7619">
        <v>3.8</v>
      </c>
      <c r="F7619">
        <v>6.56</v>
      </c>
    </row>
    <row r="7620" spans="1:6" x14ac:dyDescent="0.3">
      <c r="A7620" t="s">
        <v>12931</v>
      </c>
      <c r="B7620" t="s">
        <v>12932</v>
      </c>
      <c r="C7620" t="s">
        <v>12933</v>
      </c>
      <c r="D7620">
        <v>100766265</v>
      </c>
      <c r="E7620" t="s">
        <v>3814</v>
      </c>
      <c r="F7620">
        <v>4.8600000000000003</v>
      </c>
    </row>
    <row r="7621" spans="1:6" x14ac:dyDescent="0.3">
      <c r="A7621" t="s">
        <v>12934</v>
      </c>
      <c r="B7621" t="s">
        <v>12935</v>
      </c>
      <c r="C7621" t="s">
        <v>12936</v>
      </c>
      <c r="D7621">
        <v>100782112</v>
      </c>
      <c r="E7621" t="s">
        <v>3814</v>
      </c>
      <c r="F7621">
        <v>6.22</v>
      </c>
    </row>
    <row r="7622" spans="1:6" x14ac:dyDescent="0.3">
      <c r="A7622" t="s">
        <v>10852</v>
      </c>
      <c r="B7622" t="s">
        <v>6189</v>
      </c>
      <c r="C7622" t="s">
        <v>11627</v>
      </c>
      <c r="D7622">
        <v>100826801</v>
      </c>
      <c r="E7622">
        <v>21.67</v>
      </c>
      <c r="F7622">
        <v>3.67</v>
      </c>
    </row>
    <row r="7623" spans="1:6" x14ac:dyDescent="0.3">
      <c r="A7623" t="s">
        <v>12937</v>
      </c>
      <c r="B7623" t="s">
        <v>12938</v>
      </c>
      <c r="C7623" t="s">
        <v>2293</v>
      </c>
      <c r="D7623">
        <v>100829235</v>
      </c>
      <c r="E7623">
        <v>2.37</v>
      </c>
      <c r="F7623">
        <v>7.28</v>
      </c>
    </row>
    <row r="7624" spans="1:6" x14ac:dyDescent="0.3">
      <c r="A7624" t="s">
        <v>12939</v>
      </c>
      <c r="B7624" t="s">
        <v>12940</v>
      </c>
      <c r="C7624" t="s">
        <v>2660</v>
      </c>
      <c r="D7624">
        <v>100841803</v>
      </c>
      <c r="E7624">
        <v>7.73</v>
      </c>
      <c r="F7624">
        <v>7.77</v>
      </c>
    </row>
    <row r="7625" spans="1:6" x14ac:dyDescent="0.3">
      <c r="A7625" t="s">
        <v>12941</v>
      </c>
      <c r="B7625" t="s">
        <v>12942</v>
      </c>
      <c r="C7625" t="s">
        <v>620</v>
      </c>
      <c r="D7625">
        <v>100883281</v>
      </c>
      <c r="E7625" t="s">
        <v>3814</v>
      </c>
      <c r="F7625">
        <v>7.89</v>
      </c>
    </row>
    <row r="7626" spans="1:6" x14ac:dyDescent="0.3">
      <c r="A7626" t="s">
        <v>12943</v>
      </c>
      <c r="B7626" t="s">
        <v>12944</v>
      </c>
      <c r="C7626" t="s">
        <v>7593</v>
      </c>
      <c r="D7626">
        <v>100890827</v>
      </c>
      <c r="E7626" t="s">
        <v>3814</v>
      </c>
      <c r="F7626">
        <v>6.84</v>
      </c>
    </row>
    <row r="7627" spans="1:6" x14ac:dyDescent="0.3">
      <c r="A7627" t="s">
        <v>12849</v>
      </c>
      <c r="B7627" t="s">
        <v>12945</v>
      </c>
      <c r="C7627" t="s">
        <v>12849</v>
      </c>
      <c r="D7627">
        <v>100901706</v>
      </c>
      <c r="E7627" t="s">
        <v>3814</v>
      </c>
      <c r="F7627">
        <v>6.11</v>
      </c>
    </row>
    <row r="7628" spans="1:6" x14ac:dyDescent="0.3">
      <c r="A7628" t="s">
        <v>12946</v>
      </c>
      <c r="B7628" t="s">
        <v>4686</v>
      </c>
      <c r="C7628" t="s">
        <v>2934</v>
      </c>
      <c r="D7628">
        <v>100917911</v>
      </c>
      <c r="E7628">
        <v>19.64</v>
      </c>
      <c r="F7628">
        <v>7.07</v>
      </c>
    </row>
    <row r="7629" spans="1:6" x14ac:dyDescent="0.3">
      <c r="A7629" t="s">
        <v>12947</v>
      </c>
      <c r="B7629" t="s">
        <v>12948</v>
      </c>
      <c r="C7629" t="s">
        <v>12949</v>
      </c>
      <c r="D7629">
        <v>100924127</v>
      </c>
      <c r="E7629" t="s">
        <v>3814</v>
      </c>
      <c r="F7629">
        <v>3.69</v>
      </c>
    </row>
    <row r="7630" spans="1:6" x14ac:dyDescent="0.3">
      <c r="A7630" t="s">
        <v>3023</v>
      </c>
      <c r="B7630" t="s">
        <v>12950</v>
      </c>
      <c r="C7630" t="s">
        <v>3023</v>
      </c>
      <c r="D7630">
        <v>100928960</v>
      </c>
      <c r="E7630">
        <v>3.23</v>
      </c>
      <c r="F7630">
        <v>7</v>
      </c>
    </row>
    <row r="7631" spans="1:6" x14ac:dyDescent="0.3">
      <c r="A7631" t="s">
        <v>12951</v>
      </c>
      <c r="B7631" t="s">
        <v>1853</v>
      </c>
      <c r="C7631" t="s">
        <v>12952</v>
      </c>
      <c r="D7631">
        <v>100929237</v>
      </c>
      <c r="E7631">
        <v>7.95</v>
      </c>
      <c r="F7631">
        <v>6.82</v>
      </c>
    </row>
    <row r="7632" spans="1:6" x14ac:dyDescent="0.3">
      <c r="A7632" t="s">
        <v>12953</v>
      </c>
      <c r="B7632" t="s">
        <v>12954</v>
      </c>
      <c r="C7632" t="s">
        <v>8490</v>
      </c>
      <c r="D7632">
        <v>100931101</v>
      </c>
      <c r="E7632">
        <v>27.5</v>
      </c>
      <c r="F7632">
        <v>5.5</v>
      </c>
    </row>
    <row r="7633" spans="1:6" x14ac:dyDescent="0.3">
      <c r="A7633" t="s">
        <v>12955</v>
      </c>
      <c r="B7633" t="s">
        <v>3512</v>
      </c>
      <c r="C7633" t="s">
        <v>12956</v>
      </c>
      <c r="D7633">
        <v>100933188</v>
      </c>
      <c r="E7633">
        <v>3.43</v>
      </c>
      <c r="F7633">
        <v>6.33</v>
      </c>
    </row>
    <row r="7634" spans="1:6" x14ac:dyDescent="0.3">
      <c r="A7634" t="s">
        <v>12957</v>
      </c>
      <c r="B7634" t="s">
        <v>5512</v>
      </c>
      <c r="C7634" t="s">
        <v>5000</v>
      </c>
      <c r="D7634">
        <v>100934847</v>
      </c>
      <c r="E7634">
        <v>6.83</v>
      </c>
      <c r="F7634">
        <v>7.24</v>
      </c>
    </row>
    <row r="7635" spans="1:6" x14ac:dyDescent="0.3">
      <c r="A7635" t="s">
        <v>12958</v>
      </c>
      <c r="B7635" t="s">
        <v>12959</v>
      </c>
      <c r="C7635" t="s">
        <v>7707</v>
      </c>
      <c r="D7635">
        <v>100937178</v>
      </c>
      <c r="E7635">
        <v>11.33</v>
      </c>
      <c r="F7635">
        <v>7.47</v>
      </c>
    </row>
    <row r="7636" spans="1:6" x14ac:dyDescent="0.3">
      <c r="A7636" t="s">
        <v>12960</v>
      </c>
      <c r="B7636" t="s">
        <v>12961</v>
      </c>
      <c r="C7636" t="s">
        <v>12962</v>
      </c>
      <c r="D7636">
        <v>100943310</v>
      </c>
      <c r="E7636" t="s">
        <v>3814</v>
      </c>
      <c r="F7636">
        <v>4.6399999999999997</v>
      </c>
    </row>
    <row r="7637" spans="1:6" x14ac:dyDescent="0.3">
      <c r="A7637" t="s">
        <v>12963</v>
      </c>
      <c r="B7637" t="s">
        <v>4787</v>
      </c>
      <c r="C7637" t="s">
        <v>12964</v>
      </c>
      <c r="D7637">
        <v>100979100</v>
      </c>
      <c r="E7637">
        <v>6.97</v>
      </c>
      <c r="F7637">
        <v>8.42</v>
      </c>
    </row>
    <row r="7638" spans="1:6" x14ac:dyDescent="0.3">
      <c r="A7638" t="s">
        <v>12965</v>
      </c>
      <c r="B7638" t="s">
        <v>11477</v>
      </c>
      <c r="C7638" t="s">
        <v>1967</v>
      </c>
      <c r="D7638">
        <v>100979172</v>
      </c>
      <c r="E7638" t="s">
        <v>3814</v>
      </c>
      <c r="F7638">
        <v>5.87</v>
      </c>
    </row>
    <row r="7639" spans="1:6" x14ac:dyDescent="0.3">
      <c r="A7639" t="s">
        <v>12966</v>
      </c>
      <c r="B7639" t="s">
        <v>12967</v>
      </c>
      <c r="C7639" t="s">
        <v>12968</v>
      </c>
      <c r="D7639">
        <v>101006887</v>
      </c>
      <c r="E7639">
        <v>2.85</v>
      </c>
      <c r="F7639">
        <v>7.16</v>
      </c>
    </row>
    <row r="7640" spans="1:6" x14ac:dyDescent="0.3">
      <c r="A7640" t="s">
        <v>12969</v>
      </c>
      <c r="B7640" t="s">
        <v>12970</v>
      </c>
      <c r="C7640" t="s">
        <v>2948</v>
      </c>
      <c r="D7640">
        <v>101053708</v>
      </c>
      <c r="E7640">
        <v>7.17</v>
      </c>
      <c r="F7640">
        <v>6.33</v>
      </c>
    </row>
    <row r="7641" spans="1:6" x14ac:dyDescent="0.3">
      <c r="A7641" t="s">
        <v>12971</v>
      </c>
      <c r="B7641" t="s">
        <v>12698</v>
      </c>
      <c r="C7641" t="s">
        <v>474</v>
      </c>
      <c r="D7641">
        <v>101068757</v>
      </c>
      <c r="E7641" t="s">
        <v>3814</v>
      </c>
      <c r="F7641">
        <v>6.79</v>
      </c>
    </row>
    <row r="7642" spans="1:6" x14ac:dyDescent="0.3">
      <c r="A7642" t="s">
        <v>12972</v>
      </c>
      <c r="B7642" t="s">
        <v>12973</v>
      </c>
      <c r="C7642" t="s">
        <v>12974</v>
      </c>
      <c r="D7642">
        <v>101087105</v>
      </c>
      <c r="E7642" t="s">
        <v>3814</v>
      </c>
      <c r="F7642">
        <v>6.27</v>
      </c>
    </row>
    <row r="7643" spans="1:6" x14ac:dyDescent="0.3">
      <c r="A7643" t="s">
        <v>12975</v>
      </c>
      <c r="B7643" t="s">
        <v>12879</v>
      </c>
      <c r="C7643" t="s">
        <v>9212</v>
      </c>
      <c r="D7643">
        <v>101116471</v>
      </c>
      <c r="E7643" t="s">
        <v>3814</v>
      </c>
      <c r="F7643">
        <v>7.75</v>
      </c>
    </row>
    <row r="7644" spans="1:6" x14ac:dyDescent="0.3">
      <c r="A7644" t="s">
        <v>12976</v>
      </c>
      <c r="B7644" t="s">
        <v>7907</v>
      </c>
      <c r="C7644" t="s">
        <v>12977</v>
      </c>
      <c r="D7644">
        <v>101147884</v>
      </c>
      <c r="E7644" t="s">
        <v>3814</v>
      </c>
      <c r="F7644">
        <v>4.46</v>
      </c>
    </row>
    <row r="7645" spans="1:6" x14ac:dyDescent="0.3">
      <c r="A7645" t="s">
        <v>12978</v>
      </c>
      <c r="B7645" t="s">
        <v>12979</v>
      </c>
      <c r="C7645" t="s">
        <v>11893</v>
      </c>
      <c r="D7645">
        <v>101192123</v>
      </c>
      <c r="E7645" t="s">
        <v>3814</v>
      </c>
      <c r="F7645">
        <v>2.86</v>
      </c>
    </row>
    <row r="7646" spans="1:6" x14ac:dyDescent="0.3">
      <c r="A7646" t="s">
        <v>12980</v>
      </c>
      <c r="B7646" t="s">
        <v>12981</v>
      </c>
      <c r="C7646" t="s">
        <v>3375</v>
      </c>
      <c r="D7646">
        <v>101263695</v>
      </c>
      <c r="E7646">
        <v>17</v>
      </c>
      <c r="F7646">
        <v>8.1300000000000008</v>
      </c>
    </row>
    <row r="7647" spans="1:6" x14ac:dyDescent="0.3">
      <c r="A7647" t="s">
        <v>12982</v>
      </c>
      <c r="B7647" t="s">
        <v>12057</v>
      </c>
      <c r="C7647" t="s">
        <v>3375</v>
      </c>
      <c r="D7647">
        <v>101288192</v>
      </c>
      <c r="E7647">
        <v>28.5</v>
      </c>
      <c r="F7647">
        <v>4.5</v>
      </c>
    </row>
    <row r="7648" spans="1:6" x14ac:dyDescent="0.3">
      <c r="A7648" t="s">
        <v>12983</v>
      </c>
      <c r="B7648" t="s">
        <v>11752</v>
      </c>
      <c r="C7648" t="s">
        <v>12984</v>
      </c>
      <c r="D7648">
        <v>101298431</v>
      </c>
      <c r="E7648" t="s">
        <v>3814</v>
      </c>
      <c r="F7648">
        <v>6.98</v>
      </c>
    </row>
    <row r="7649" spans="1:6" x14ac:dyDescent="0.3">
      <c r="A7649" t="s">
        <v>12985</v>
      </c>
      <c r="B7649" t="s">
        <v>12372</v>
      </c>
      <c r="C7649" t="s">
        <v>1165</v>
      </c>
      <c r="D7649">
        <v>101301462</v>
      </c>
      <c r="E7649">
        <v>19.75</v>
      </c>
      <c r="F7649">
        <v>5.08</v>
      </c>
    </row>
    <row r="7650" spans="1:6" x14ac:dyDescent="0.3">
      <c r="A7650" t="s">
        <v>12986</v>
      </c>
      <c r="B7650" t="s">
        <v>10327</v>
      </c>
      <c r="C7650" t="s">
        <v>3632</v>
      </c>
      <c r="D7650">
        <v>101304375</v>
      </c>
      <c r="E7650">
        <v>16.489999999999998</v>
      </c>
      <c r="F7650">
        <v>9.67</v>
      </c>
    </row>
    <row r="7651" spans="1:6" x14ac:dyDescent="0.3">
      <c r="A7651" t="s">
        <v>12987</v>
      </c>
      <c r="B7651" t="s">
        <v>11007</v>
      </c>
      <c r="C7651" t="s">
        <v>12988</v>
      </c>
      <c r="D7651">
        <v>101305905</v>
      </c>
      <c r="E7651">
        <v>4.1100000000000003</v>
      </c>
      <c r="F7651">
        <v>7.63</v>
      </c>
    </row>
    <row r="7652" spans="1:6" x14ac:dyDescent="0.3">
      <c r="A7652" t="s">
        <v>12989</v>
      </c>
      <c r="B7652" t="s">
        <v>11930</v>
      </c>
      <c r="C7652" t="s">
        <v>12990</v>
      </c>
      <c r="D7652">
        <v>101340172</v>
      </c>
      <c r="E7652" t="s">
        <v>3814</v>
      </c>
      <c r="F7652">
        <v>1.83</v>
      </c>
    </row>
    <row r="7653" spans="1:6" x14ac:dyDescent="0.3">
      <c r="A7653" t="s">
        <v>12991</v>
      </c>
      <c r="B7653" t="s">
        <v>3679</v>
      </c>
      <c r="C7653" t="s">
        <v>12992</v>
      </c>
      <c r="D7653">
        <v>101344975</v>
      </c>
      <c r="E7653">
        <v>11.97</v>
      </c>
      <c r="F7653">
        <v>7.9</v>
      </c>
    </row>
    <row r="7654" spans="1:6" x14ac:dyDescent="0.3">
      <c r="A7654" t="s">
        <v>12993</v>
      </c>
      <c r="B7654" t="s">
        <v>2519</v>
      </c>
      <c r="C7654" t="s">
        <v>12994</v>
      </c>
      <c r="D7654">
        <v>101391610</v>
      </c>
      <c r="E7654">
        <v>3.66</v>
      </c>
      <c r="F7654">
        <v>5.52</v>
      </c>
    </row>
    <row r="7655" spans="1:6" x14ac:dyDescent="0.3">
      <c r="A7655" t="s">
        <v>12995</v>
      </c>
      <c r="B7655" t="s">
        <v>12996</v>
      </c>
      <c r="C7655" t="s">
        <v>12997</v>
      </c>
      <c r="D7655">
        <v>101411032</v>
      </c>
      <c r="E7655">
        <v>8.26</v>
      </c>
      <c r="F7655">
        <v>5.77</v>
      </c>
    </row>
    <row r="7656" spans="1:6" x14ac:dyDescent="0.3">
      <c r="A7656" t="s">
        <v>12998</v>
      </c>
      <c r="B7656" t="s">
        <v>12999</v>
      </c>
      <c r="C7656" t="s">
        <v>12448</v>
      </c>
      <c r="D7656">
        <v>101414401</v>
      </c>
      <c r="E7656">
        <v>9</v>
      </c>
      <c r="F7656">
        <v>7.64</v>
      </c>
    </row>
    <row r="7657" spans="1:6" x14ac:dyDescent="0.3">
      <c r="A7657" t="s">
        <v>13000</v>
      </c>
      <c r="B7657" t="s">
        <v>7356</v>
      </c>
      <c r="C7657" t="s">
        <v>13001</v>
      </c>
      <c r="D7657">
        <v>101478916</v>
      </c>
      <c r="E7657">
        <v>22.28</v>
      </c>
      <c r="F7657">
        <v>8.6300000000000008</v>
      </c>
    </row>
    <row r="7658" spans="1:6" x14ac:dyDescent="0.3">
      <c r="A7658" t="s">
        <v>13002</v>
      </c>
      <c r="B7658" t="s">
        <v>11844</v>
      </c>
      <c r="C7658" t="s">
        <v>13003</v>
      </c>
      <c r="D7658">
        <v>101507402</v>
      </c>
      <c r="E7658">
        <v>3.35</v>
      </c>
      <c r="F7658">
        <v>7.16</v>
      </c>
    </row>
    <row r="7659" spans="1:6" x14ac:dyDescent="0.3">
      <c r="A7659" t="s">
        <v>13004</v>
      </c>
      <c r="B7659" t="s">
        <v>6980</v>
      </c>
      <c r="C7659" t="s">
        <v>1203</v>
      </c>
      <c r="D7659">
        <v>101533327</v>
      </c>
      <c r="E7659" t="s">
        <v>3814</v>
      </c>
      <c r="F7659">
        <v>5.33</v>
      </c>
    </row>
    <row r="7660" spans="1:6" x14ac:dyDescent="0.3">
      <c r="A7660" t="s">
        <v>13005</v>
      </c>
      <c r="B7660" t="s">
        <v>12617</v>
      </c>
      <c r="C7660" t="s">
        <v>12668</v>
      </c>
      <c r="D7660">
        <v>101619476</v>
      </c>
      <c r="E7660" t="s">
        <v>3814</v>
      </c>
      <c r="F7660">
        <v>6.68</v>
      </c>
    </row>
    <row r="7661" spans="1:6" x14ac:dyDescent="0.3">
      <c r="A7661" t="s">
        <v>13006</v>
      </c>
      <c r="B7661" t="s">
        <v>12116</v>
      </c>
      <c r="C7661" t="s">
        <v>13007</v>
      </c>
      <c r="D7661">
        <v>101621470</v>
      </c>
      <c r="E7661">
        <v>1.81</v>
      </c>
      <c r="F7661">
        <v>7.24</v>
      </c>
    </row>
    <row r="7662" spans="1:6" x14ac:dyDescent="0.3">
      <c r="A7662" t="s">
        <v>13008</v>
      </c>
      <c r="B7662" t="s">
        <v>10542</v>
      </c>
      <c r="C7662" t="s">
        <v>13009</v>
      </c>
      <c r="D7662">
        <v>101627419</v>
      </c>
      <c r="E7662">
        <v>6.01</v>
      </c>
      <c r="F7662">
        <v>6.87</v>
      </c>
    </row>
    <row r="7663" spans="1:6" x14ac:dyDescent="0.3">
      <c r="A7663" t="s">
        <v>13010</v>
      </c>
      <c r="B7663" t="s">
        <v>7422</v>
      </c>
      <c r="C7663" t="s">
        <v>5833</v>
      </c>
      <c r="D7663">
        <v>101627983</v>
      </c>
      <c r="E7663">
        <v>5.86</v>
      </c>
      <c r="F7663">
        <v>7.09</v>
      </c>
    </row>
    <row r="7664" spans="1:6" x14ac:dyDescent="0.3">
      <c r="A7664" t="s">
        <v>13011</v>
      </c>
      <c r="B7664" t="s">
        <v>12626</v>
      </c>
      <c r="C7664" t="s">
        <v>13012</v>
      </c>
      <c r="D7664">
        <v>101638321</v>
      </c>
      <c r="E7664" t="s">
        <v>3814</v>
      </c>
      <c r="F7664">
        <v>5.67</v>
      </c>
    </row>
    <row r="7665" spans="1:6" x14ac:dyDescent="0.3">
      <c r="A7665" t="s">
        <v>12737</v>
      </c>
      <c r="B7665" t="s">
        <v>13013</v>
      </c>
      <c r="C7665" t="s">
        <v>12737</v>
      </c>
      <c r="D7665">
        <v>101647486</v>
      </c>
      <c r="E7665" t="s">
        <v>3814</v>
      </c>
      <c r="F7665">
        <v>3.45</v>
      </c>
    </row>
    <row r="7666" spans="1:6" x14ac:dyDescent="0.3">
      <c r="A7666" t="s">
        <v>13014</v>
      </c>
      <c r="B7666" t="s">
        <v>13015</v>
      </c>
      <c r="C7666" t="s">
        <v>13016</v>
      </c>
      <c r="D7666">
        <v>101654635</v>
      </c>
      <c r="E7666" t="s">
        <v>3814</v>
      </c>
      <c r="F7666">
        <v>3.69</v>
      </c>
    </row>
    <row r="7667" spans="1:6" x14ac:dyDescent="0.3">
      <c r="A7667" t="s">
        <v>13017</v>
      </c>
      <c r="B7667" t="s">
        <v>13018</v>
      </c>
      <c r="C7667" t="s">
        <v>12109</v>
      </c>
      <c r="D7667">
        <v>101718083</v>
      </c>
      <c r="E7667">
        <v>4.3600000000000003</v>
      </c>
      <c r="F7667">
        <v>6.9</v>
      </c>
    </row>
    <row r="7668" spans="1:6" x14ac:dyDescent="0.3">
      <c r="A7668" t="s">
        <v>13019</v>
      </c>
      <c r="B7668" t="s">
        <v>13020</v>
      </c>
      <c r="C7668" t="s">
        <v>13021</v>
      </c>
      <c r="D7668">
        <v>101718473</v>
      </c>
      <c r="E7668">
        <v>7.4</v>
      </c>
      <c r="F7668">
        <v>8.67</v>
      </c>
    </row>
    <row r="7669" spans="1:6" x14ac:dyDescent="0.3">
      <c r="A7669" t="s">
        <v>13022</v>
      </c>
      <c r="B7669" t="s">
        <v>6396</v>
      </c>
      <c r="C7669" t="s">
        <v>3351</v>
      </c>
      <c r="D7669">
        <v>101719522</v>
      </c>
      <c r="E7669">
        <v>16.670000000000002</v>
      </c>
      <c r="F7669">
        <v>6.33</v>
      </c>
    </row>
    <row r="7670" spans="1:6" x14ac:dyDescent="0.3">
      <c r="A7670" t="s">
        <v>13023</v>
      </c>
      <c r="B7670" t="s">
        <v>8838</v>
      </c>
      <c r="C7670" t="s">
        <v>9951</v>
      </c>
      <c r="D7670">
        <v>101738402</v>
      </c>
      <c r="E7670">
        <v>5.56</v>
      </c>
      <c r="F7670">
        <v>8.0399999999999991</v>
      </c>
    </row>
    <row r="7671" spans="1:6" x14ac:dyDescent="0.3">
      <c r="A7671" t="s">
        <v>13024</v>
      </c>
      <c r="B7671" t="s">
        <v>13025</v>
      </c>
      <c r="C7671" t="s">
        <v>3844</v>
      </c>
      <c r="D7671">
        <v>101771075</v>
      </c>
      <c r="E7671">
        <v>6.95</v>
      </c>
      <c r="F7671">
        <v>7</v>
      </c>
    </row>
    <row r="7672" spans="1:6" x14ac:dyDescent="0.3">
      <c r="A7672" t="s">
        <v>13026</v>
      </c>
      <c r="B7672" t="s">
        <v>11838</v>
      </c>
      <c r="C7672" t="s">
        <v>1093</v>
      </c>
      <c r="D7672">
        <v>101778705</v>
      </c>
      <c r="E7672">
        <v>9.33</v>
      </c>
      <c r="F7672">
        <v>7.7</v>
      </c>
    </row>
    <row r="7673" spans="1:6" x14ac:dyDescent="0.3">
      <c r="A7673" t="s">
        <v>13027</v>
      </c>
      <c r="B7673" t="s">
        <v>13028</v>
      </c>
      <c r="C7673" t="s">
        <v>8727</v>
      </c>
      <c r="D7673">
        <v>101829294</v>
      </c>
      <c r="E7673">
        <v>3.15</v>
      </c>
      <c r="F7673">
        <v>5.16</v>
      </c>
    </row>
    <row r="7674" spans="1:6" x14ac:dyDescent="0.3">
      <c r="A7674" t="s">
        <v>13029</v>
      </c>
      <c r="B7674" t="s">
        <v>13030</v>
      </c>
      <c r="C7674" t="s">
        <v>13031</v>
      </c>
      <c r="D7674">
        <v>101849334</v>
      </c>
      <c r="E7674" t="s">
        <v>3814</v>
      </c>
      <c r="F7674">
        <v>5</v>
      </c>
    </row>
    <row r="7675" spans="1:6" x14ac:dyDescent="0.3">
      <c r="A7675" t="s">
        <v>13032</v>
      </c>
      <c r="B7675" t="s">
        <v>7836</v>
      </c>
      <c r="C7675" t="s">
        <v>13033</v>
      </c>
      <c r="D7675">
        <v>101868760</v>
      </c>
      <c r="E7675" t="s">
        <v>3814</v>
      </c>
      <c r="F7675">
        <v>4.1900000000000004</v>
      </c>
    </row>
    <row r="7676" spans="1:6" x14ac:dyDescent="0.3">
      <c r="A7676" t="s">
        <v>13034</v>
      </c>
      <c r="B7676" t="s">
        <v>8417</v>
      </c>
      <c r="C7676" t="s">
        <v>10643</v>
      </c>
      <c r="D7676">
        <v>101882354</v>
      </c>
      <c r="E7676">
        <v>1.17</v>
      </c>
      <c r="F7676">
        <v>7.35</v>
      </c>
    </row>
    <row r="7677" spans="1:6" x14ac:dyDescent="0.3">
      <c r="A7677" t="s">
        <v>13035</v>
      </c>
      <c r="B7677" t="s">
        <v>4246</v>
      </c>
      <c r="C7677" t="s">
        <v>13036</v>
      </c>
      <c r="D7677">
        <v>101899067</v>
      </c>
      <c r="E7677" t="s">
        <v>3814</v>
      </c>
      <c r="F7677">
        <v>7.24</v>
      </c>
    </row>
    <row r="7678" spans="1:6" x14ac:dyDescent="0.3">
      <c r="A7678" t="s">
        <v>13037</v>
      </c>
      <c r="B7678" t="s">
        <v>13038</v>
      </c>
      <c r="C7678" t="s">
        <v>13039</v>
      </c>
      <c r="D7678">
        <v>101919663</v>
      </c>
      <c r="E7678" t="s">
        <v>3814</v>
      </c>
      <c r="F7678">
        <v>8.33</v>
      </c>
    </row>
    <row r="7679" spans="1:6" x14ac:dyDescent="0.3">
      <c r="A7679" t="s">
        <v>13040</v>
      </c>
      <c r="B7679" t="s">
        <v>7624</v>
      </c>
      <c r="C7679" t="s">
        <v>13041</v>
      </c>
      <c r="D7679">
        <v>101924389</v>
      </c>
      <c r="E7679">
        <v>6.88</v>
      </c>
      <c r="F7679">
        <v>4.38</v>
      </c>
    </row>
    <row r="7680" spans="1:6" x14ac:dyDescent="0.3">
      <c r="A7680" t="s">
        <v>13042</v>
      </c>
      <c r="B7680" t="s">
        <v>13043</v>
      </c>
      <c r="C7680" t="s">
        <v>10339</v>
      </c>
      <c r="D7680">
        <v>101926022</v>
      </c>
      <c r="E7680" t="s">
        <v>3814</v>
      </c>
      <c r="F7680">
        <v>6.47</v>
      </c>
    </row>
    <row r="7681" spans="1:6" x14ac:dyDescent="0.3">
      <c r="A7681" t="s">
        <v>13044</v>
      </c>
      <c r="B7681" t="s">
        <v>13045</v>
      </c>
      <c r="C7681" t="s">
        <v>227</v>
      </c>
      <c r="D7681">
        <v>101938225</v>
      </c>
      <c r="E7681">
        <v>16.100000000000001</v>
      </c>
      <c r="F7681">
        <v>7.43</v>
      </c>
    </row>
    <row r="7682" spans="1:6" x14ac:dyDescent="0.3">
      <c r="A7682" t="s">
        <v>13046</v>
      </c>
      <c r="B7682" t="s">
        <v>13047</v>
      </c>
      <c r="C7682" t="s">
        <v>13048</v>
      </c>
      <c r="D7682">
        <v>101971358</v>
      </c>
      <c r="E7682" t="s">
        <v>3814</v>
      </c>
      <c r="F7682">
        <v>4.8600000000000003</v>
      </c>
    </row>
    <row r="7683" spans="1:6" x14ac:dyDescent="0.3">
      <c r="A7683" t="s">
        <v>13049</v>
      </c>
      <c r="B7683" t="s">
        <v>11410</v>
      </c>
      <c r="C7683" t="s">
        <v>956</v>
      </c>
      <c r="D7683">
        <v>101974873</v>
      </c>
      <c r="E7683">
        <v>3.96</v>
      </c>
      <c r="F7683">
        <v>7.68</v>
      </c>
    </row>
    <row r="7684" spans="1:6" x14ac:dyDescent="0.3">
      <c r="A7684" t="s">
        <v>13050</v>
      </c>
      <c r="B7684" t="s">
        <v>11047</v>
      </c>
      <c r="C7684" t="s">
        <v>13051</v>
      </c>
      <c r="D7684">
        <v>102010719</v>
      </c>
      <c r="E7684" t="s">
        <v>3814</v>
      </c>
      <c r="F7684">
        <v>4.8</v>
      </c>
    </row>
    <row r="7685" spans="1:6" x14ac:dyDescent="0.3">
      <c r="A7685" t="s">
        <v>13052</v>
      </c>
      <c r="B7685" t="s">
        <v>10594</v>
      </c>
      <c r="C7685" t="s">
        <v>13053</v>
      </c>
      <c r="D7685">
        <v>102010979</v>
      </c>
      <c r="E7685">
        <v>15.69</v>
      </c>
      <c r="F7685">
        <v>5.67</v>
      </c>
    </row>
    <row r="7686" spans="1:6" x14ac:dyDescent="0.3">
      <c r="A7686" t="s">
        <v>13054</v>
      </c>
      <c r="B7686" t="s">
        <v>7280</v>
      </c>
      <c r="C7686" t="s">
        <v>8167</v>
      </c>
      <c r="D7686">
        <v>102017741</v>
      </c>
      <c r="E7686">
        <v>21.5</v>
      </c>
      <c r="F7686">
        <v>7.05</v>
      </c>
    </row>
    <row r="7687" spans="1:6" x14ac:dyDescent="0.3">
      <c r="A7687" t="s">
        <v>13055</v>
      </c>
      <c r="B7687" t="s">
        <v>11317</v>
      </c>
      <c r="C7687" t="s">
        <v>6440</v>
      </c>
      <c r="D7687">
        <v>102027178</v>
      </c>
      <c r="E7687">
        <v>9.18</v>
      </c>
      <c r="F7687">
        <v>7.88</v>
      </c>
    </row>
    <row r="7688" spans="1:6" x14ac:dyDescent="0.3">
      <c r="A7688" t="s">
        <v>13056</v>
      </c>
      <c r="B7688" t="s">
        <v>11200</v>
      </c>
      <c r="C7688" t="s">
        <v>13057</v>
      </c>
      <c r="D7688">
        <v>102028867</v>
      </c>
      <c r="E7688">
        <v>3.82</v>
      </c>
      <c r="F7688">
        <v>7.15</v>
      </c>
    </row>
    <row r="7689" spans="1:6" x14ac:dyDescent="0.3">
      <c r="A7689" t="s">
        <v>13058</v>
      </c>
      <c r="B7689" t="s">
        <v>8089</v>
      </c>
      <c r="C7689" t="s">
        <v>6781</v>
      </c>
      <c r="D7689">
        <v>102063008</v>
      </c>
      <c r="E7689">
        <v>8.31</v>
      </c>
      <c r="F7689">
        <v>7.94</v>
      </c>
    </row>
    <row r="7690" spans="1:6" x14ac:dyDescent="0.3">
      <c r="A7690" t="s">
        <v>13059</v>
      </c>
      <c r="B7690" t="s">
        <v>13060</v>
      </c>
      <c r="C7690" t="s">
        <v>11608</v>
      </c>
      <c r="D7690">
        <v>102068117</v>
      </c>
      <c r="E7690">
        <v>3.67</v>
      </c>
      <c r="F7690">
        <v>6.27</v>
      </c>
    </row>
    <row r="7691" spans="1:6" x14ac:dyDescent="0.3">
      <c r="A7691" t="s">
        <v>13061</v>
      </c>
      <c r="B7691" t="s">
        <v>13062</v>
      </c>
      <c r="C7691" t="s">
        <v>9502</v>
      </c>
      <c r="D7691">
        <v>102099079</v>
      </c>
      <c r="E7691">
        <v>4.87</v>
      </c>
      <c r="F7691">
        <v>7.42</v>
      </c>
    </row>
    <row r="7692" spans="1:6" x14ac:dyDescent="0.3">
      <c r="A7692" t="s">
        <v>13063</v>
      </c>
      <c r="B7692" t="s">
        <v>12549</v>
      </c>
      <c r="C7692" t="s">
        <v>12550</v>
      </c>
      <c r="D7692">
        <v>102136783</v>
      </c>
      <c r="E7692" t="s">
        <v>3814</v>
      </c>
      <c r="F7692">
        <v>6.07</v>
      </c>
    </row>
    <row r="7693" spans="1:6" x14ac:dyDescent="0.3">
      <c r="A7693" t="s">
        <v>13064</v>
      </c>
      <c r="B7693" t="s">
        <v>11319</v>
      </c>
      <c r="C7693" t="s">
        <v>13065</v>
      </c>
      <c r="D7693">
        <v>102144924</v>
      </c>
      <c r="E7693">
        <v>31</v>
      </c>
      <c r="F7693">
        <v>0</v>
      </c>
    </row>
    <row r="7694" spans="1:6" x14ac:dyDescent="0.3">
      <c r="A7694" t="s">
        <v>13066</v>
      </c>
      <c r="B7694" t="s">
        <v>7545</v>
      </c>
      <c r="C7694" t="s">
        <v>1900</v>
      </c>
      <c r="D7694">
        <v>102204183</v>
      </c>
      <c r="E7694">
        <v>12.77</v>
      </c>
      <c r="F7694">
        <v>6.41</v>
      </c>
    </row>
    <row r="7695" spans="1:6" x14ac:dyDescent="0.3">
      <c r="A7695" t="s">
        <v>13067</v>
      </c>
      <c r="B7695" t="s">
        <v>6667</v>
      </c>
      <c r="C7695" t="s">
        <v>3578</v>
      </c>
      <c r="D7695">
        <v>102243781</v>
      </c>
      <c r="E7695" t="s">
        <v>3814</v>
      </c>
      <c r="F7695" t="s">
        <v>3814</v>
      </c>
    </row>
    <row r="7696" spans="1:6" x14ac:dyDescent="0.3">
      <c r="A7696" t="s">
        <v>13068</v>
      </c>
      <c r="B7696" t="s">
        <v>13069</v>
      </c>
      <c r="C7696" t="s">
        <v>3455</v>
      </c>
      <c r="D7696">
        <v>102246454</v>
      </c>
      <c r="E7696">
        <v>3.26</v>
      </c>
      <c r="F7696">
        <v>7.95</v>
      </c>
    </row>
    <row r="7697" spans="1:6" x14ac:dyDescent="0.3">
      <c r="A7697" t="s">
        <v>13070</v>
      </c>
      <c r="B7697" t="s">
        <v>11696</v>
      </c>
      <c r="C7697" t="s">
        <v>13070</v>
      </c>
      <c r="D7697">
        <v>102250755</v>
      </c>
      <c r="E7697" t="s">
        <v>3814</v>
      </c>
      <c r="F7697">
        <v>5.86</v>
      </c>
    </row>
    <row r="7698" spans="1:6" x14ac:dyDescent="0.3">
      <c r="A7698" t="s">
        <v>13071</v>
      </c>
      <c r="B7698" t="s">
        <v>13072</v>
      </c>
      <c r="C7698" t="s">
        <v>11054</v>
      </c>
      <c r="D7698">
        <v>102258190</v>
      </c>
      <c r="E7698">
        <v>5.47</v>
      </c>
      <c r="F7698">
        <v>6.21</v>
      </c>
    </row>
    <row r="7699" spans="1:6" x14ac:dyDescent="0.3">
      <c r="A7699" t="s">
        <v>13073</v>
      </c>
      <c r="B7699" t="s">
        <v>13074</v>
      </c>
      <c r="C7699" t="s">
        <v>893</v>
      </c>
      <c r="D7699">
        <v>102265892</v>
      </c>
      <c r="E7699">
        <v>17.920000000000002</v>
      </c>
      <c r="F7699">
        <v>7.5</v>
      </c>
    </row>
    <row r="7700" spans="1:6" x14ac:dyDescent="0.3">
      <c r="A7700" t="s">
        <v>13075</v>
      </c>
      <c r="B7700" t="s">
        <v>13076</v>
      </c>
      <c r="C7700" t="s">
        <v>12501</v>
      </c>
      <c r="D7700">
        <v>102278709</v>
      </c>
      <c r="E7700" t="s">
        <v>3814</v>
      </c>
      <c r="F7700">
        <v>5.45</v>
      </c>
    </row>
    <row r="7701" spans="1:6" x14ac:dyDescent="0.3">
      <c r="A7701" t="s">
        <v>13077</v>
      </c>
      <c r="B7701" t="s">
        <v>10951</v>
      </c>
      <c r="C7701" t="s">
        <v>13078</v>
      </c>
      <c r="D7701">
        <v>102284047</v>
      </c>
      <c r="E7701">
        <v>5.53</v>
      </c>
      <c r="F7701">
        <v>7.32</v>
      </c>
    </row>
    <row r="7702" spans="1:6" x14ac:dyDescent="0.3">
      <c r="A7702" t="s">
        <v>13079</v>
      </c>
      <c r="B7702" t="s">
        <v>3486</v>
      </c>
      <c r="C7702" t="s">
        <v>13080</v>
      </c>
      <c r="D7702">
        <v>102284462</v>
      </c>
      <c r="E7702">
        <v>12.38</v>
      </c>
      <c r="F7702">
        <v>6.86</v>
      </c>
    </row>
    <row r="7703" spans="1:6" x14ac:dyDescent="0.3">
      <c r="A7703" t="s">
        <v>13081</v>
      </c>
      <c r="B7703" t="s">
        <v>12372</v>
      </c>
      <c r="C7703" t="s">
        <v>10678</v>
      </c>
      <c r="D7703">
        <v>102310031</v>
      </c>
      <c r="E7703">
        <v>16.670000000000002</v>
      </c>
      <c r="F7703">
        <v>7.17</v>
      </c>
    </row>
    <row r="7704" spans="1:6" x14ac:dyDescent="0.3">
      <c r="A7704" t="s">
        <v>13082</v>
      </c>
      <c r="B7704" t="s">
        <v>13083</v>
      </c>
      <c r="C7704" t="s">
        <v>13082</v>
      </c>
      <c r="D7704">
        <v>102343047</v>
      </c>
      <c r="E7704">
        <v>3.99</v>
      </c>
      <c r="F7704">
        <v>7.12</v>
      </c>
    </row>
    <row r="7705" spans="1:6" x14ac:dyDescent="0.3">
      <c r="A7705" t="s">
        <v>13084</v>
      </c>
      <c r="B7705" t="s">
        <v>13083</v>
      </c>
      <c r="C7705" t="s">
        <v>4902</v>
      </c>
      <c r="D7705">
        <v>102343052</v>
      </c>
      <c r="E7705">
        <v>10.43</v>
      </c>
      <c r="F7705">
        <v>7.84</v>
      </c>
    </row>
    <row r="7706" spans="1:6" x14ac:dyDescent="0.3">
      <c r="A7706" t="s">
        <v>4334</v>
      </c>
      <c r="B7706" t="s">
        <v>10656</v>
      </c>
      <c r="C7706" t="s">
        <v>3867</v>
      </c>
      <c r="D7706">
        <v>102352215</v>
      </c>
      <c r="E7706">
        <v>20.83</v>
      </c>
      <c r="F7706">
        <v>7.04</v>
      </c>
    </row>
    <row r="7707" spans="1:6" x14ac:dyDescent="0.3">
      <c r="A7707" t="s">
        <v>13085</v>
      </c>
      <c r="B7707" t="s">
        <v>13086</v>
      </c>
      <c r="C7707" t="s">
        <v>2679</v>
      </c>
      <c r="D7707">
        <v>102385165</v>
      </c>
      <c r="E7707">
        <v>20.67</v>
      </c>
      <c r="F7707">
        <v>7.33</v>
      </c>
    </row>
    <row r="7708" spans="1:6" x14ac:dyDescent="0.3">
      <c r="A7708" t="s">
        <v>13087</v>
      </c>
      <c r="B7708" t="s">
        <v>12637</v>
      </c>
      <c r="C7708" t="s">
        <v>12964</v>
      </c>
      <c r="D7708">
        <v>102411039</v>
      </c>
      <c r="E7708">
        <v>3.48</v>
      </c>
      <c r="F7708">
        <v>6.53</v>
      </c>
    </row>
    <row r="7709" spans="1:6" x14ac:dyDescent="0.3">
      <c r="A7709" t="s">
        <v>13088</v>
      </c>
      <c r="B7709" t="s">
        <v>6630</v>
      </c>
      <c r="C7709" t="s">
        <v>13089</v>
      </c>
      <c r="D7709">
        <v>102419452</v>
      </c>
      <c r="E7709">
        <v>9.56</v>
      </c>
      <c r="F7709">
        <v>7.13</v>
      </c>
    </row>
    <row r="7710" spans="1:6" x14ac:dyDescent="0.3">
      <c r="A7710" t="s">
        <v>10962</v>
      </c>
      <c r="B7710" t="s">
        <v>1706</v>
      </c>
      <c r="C7710" t="s">
        <v>10962</v>
      </c>
      <c r="D7710">
        <v>102423819</v>
      </c>
      <c r="E7710">
        <v>3.05</v>
      </c>
      <c r="F7710">
        <v>7.16</v>
      </c>
    </row>
    <row r="7711" spans="1:6" x14ac:dyDescent="0.3">
      <c r="A7711" t="s">
        <v>13090</v>
      </c>
      <c r="B7711" t="s">
        <v>13091</v>
      </c>
      <c r="C7711" t="s">
        <v>13092</v>
      </c>
      <c r="D7711">
        <v>102431668</v>
      </c>
      <c r="E7711" t="s">
        <v>3814</v>
      </c>
      <c r="F7711">
        <v>6</v>
      </c>
    </row>
    <row r="7712" spans="1:6" x14ac:dyDescent="0.3">
      <c r="A7712" t="s">
        <v>13093</v>
      </c>
      <c r="B7712" t="s">
        <v>11351</v>
      </c>
      <c r="C7712" t="s">
        <v>13094</v>
      </c>
      <c r="D7712">
        <v>102464232</v>
      </c>
      <c r="E7712">
        <v>2.08</v>
      </c>
      <c r="F7712">
        <v>7.11</v>
      </c>
    </row>
    <row r="7713" spans="1:6" x14ac:dyDescent="0.3">
      <c r="A7713" t="s">
        <v>13095</v>
      </c>
      <c r="B7713" t="s">
        <v>13096</v>
      </c>
      <c r="C7713" t="s">
        <v>13097</v>
      </c>
      <c r="D7713">
        <v>102471270</v>
      </c>
      <c r="E7713">
        <v>15</v>
      </c>
      <c r="F7713">
        <v>5.5</v>
      </c>
    </row>
    <row r="7714" spans="1:6" x14ac:dyDescent="0.3">
      <c r="A7714" t="s">
        <v>13098</v>
      </c>
      <c r="B7714" t="s">
        <v>13099</v>
      </c>
      <c r="C7714" t="s">
        <v>13100</v>
      </c>
      <c r="D7714">
        <v>102477234</v>
      </c>
      <c r="E7714" t="s">
        <v>3814</v>
      </c>
      <c r="F7714">
        <v>5.86</v>
      </c>
    </row>
    <row r="7715" spans="1:6" x14ac:dyDescent="0.3">
      <c r="A7715" t="s">
        <v>13101</v>
      </c>
      <c r="B7715" t="s">
        <v>12443</v>
      </c>
      <c r="C7715" t="s">
        <v>13101</v>
      </c>
      <c r="D7715">
        <v>102515825</v>
      </c>
      <c r="E7715" t="s">
        <v>3814</v>
      </c>
      <c r="F7715">
        <v>7.11</v>
      </c>
    </row>
    <row r="7716" spans="1:6" x14ac:dyDescent="0.3">
      <c r="A7716" t="s">
        <v>13102</v>
      </c>
      <c r="B7716" t="s">
        <v>1122</v>
      </c>
      <c r="C7716" t="s">
        <v>2855</v>
      </c>
      <c r="D7716">
        <v>102520019</v>
      </c>
      <c r="E7716">
        <v>24</v>
      </c>
      <c r="F7716">
        <v>4</v>
      </c>
    </row>
    <row r="7717" spans="1:6" x14ac:dyDescent="0.3">
      <c r="A7717" t="s">
        <v>13103</v>
      </c>
      <c r="B7717" t="s">
        <v>13104</v>
      </c>
      <c r="C7717" t="s">
        <v>13105</v>
      </c>
      <c r="D7717">
        <v>102546298</v>
      </c>
      <c r="E7717" t="s">
        <v>3814</v>
      </c>
      <c r="F7717">
        <v>7.25</v>
      </c>
    </row>
    <row r="7718" spans="1:6" x14ac:dyDescent="0.3">
      <c r="A7718" t="s">
        <v>13106</v>
      </c>
      <c r="B7718" t="s">
        <v>13107</v>
      </c>
      <c r="C7718" t="s">
        <v>13108</v>
      </c>
      <c r="D7718">
        <v>102547564</v>
      </c>
      <c r="E7718" t="s">
        <v>3814</v>
      </c>
      <c r="F7718" t="s">
        <v>3814</v>
      </c>
    </row>
    <row r="7719" spans="1:6" x14ac:dyDescent="0.3">
      <c r="A7719" t="s">
        <v>13109</v>
      </c>
      <c r="B7719" t="s">
        <v>10535</v>
      </c>
      <c r="C7719" t="s">
        <v>13110</v>
      </c>
      <c r="D7719">
        <v>102551828</v>
      </c>
      <c r="E7719">
        <v>20.57</v>
      </c>
      <c r="F7719">
        <v>6.31</v>
      </c>
    </row>
    <row r="7720" spans="1:6" x14ac:dyDescent="0.3">
      <c r="A7720" t="s">
        <v>13111</v>
      </c>
      <c r="B7720" t="s">
        <v>5588</v>
      </c>
      <c r="C7720" t="s">
        <v>13111</v>
      </c>
      <c r="D7720">
        <v>102552606</v>
      </c>
      <c r="E7720">
        <v>9</v>
      </c>
      <c r="F7720">
        <v>8.17</v>
      </c>
    </row>
    <row r="7721" spans="1:6" x14ac:dyDescent="0.3">
      <c r="A7721" t="s">
        <v>13112</v>
      </c>
      <c r="B7721" t="s">
        <v>13113</v>
      </c>
      <c r="C7721" t="s">
        <v>2458</v>
      </c>
      <c r="D7721">
        <v>102554737</v>
      </c>
      <c r="E7721">
        <v>11.83</v>
      </c>
      <c r="F7721">
        <v>4.78</v>
      </c>
    </row>
    <row r="7722" spans="1:6" x14ac:dyDescent="0.3">
      <c r="A7722" t="s">
        <v>13114</v>
      </c>
      <c r="B7722" t="s">
        <v>12696</v>
      </c>
      <c r="C7722" t="s">
        <v>5833</v>
      </c>
      <c r="D7722">
        <v>102557379</v>
      </c>
      <c r="E7722" t="s">
        <v>3814</v>
      </c>
      <c r="F7722">
        <v>7.63</v>
      </c>
    </row>
    <row r="7723" spans="1:6" x14ac:dyDescent="0.3">
      <c r="A7723" t="s">
        <v>13115</v>
      </c>
      <c r="B7723" t="s">
        <v>4120</v>
      </c>
      <c r="C7723" t="s">
        <v>4964</v>
      </c>
      <c r="D7723">
        <v>102562296</v>
      </c>
      <c r="E7723">
        <v>21.36</v>
      </c>
      <c r="F7723">
        <v>8.14</v>
      </c>
    </row>
    <row r="7724" spans="1:6" x14ac:dyDescent="0.3">
      <c r="A7724" t="s">
        <v>13116</v>
      </c>
      <c r="B7724" t="s">
        <v>4208</v>
      </c>
      <c r="C7724" t="s">
        <v>13116</v>
      </c>
      <c r="D7724">
        <v>102566420</v>
      </c>
      <c r="E7724">
        <v>3.11</v>
      </c>
      <c r="F7724">
        <v>7.62</v>
      </c>
    </row>
    <row r="7725" spans="1:6" x14ac:dyDescent="0.3">
      <c r="A7725" t="s">
        <v>13117</v>
      </c>
      <c r="B7725" t="s">
        <v>10189</v>
      </c>
      <c r="C7725" t="s">
        <v>949</v>
      </c>
      <c r="D7725">
        <v>102571230</v>
      </c>
      <c r="E7725" t="s">
        <v>3814</v>
      </c>
      <c r="F7725">
        <v>8.59</v>
      </c>
    </row>
    <row r="7726" spans="1:6" x14ac:dyDescent="0.3">
      <c r="A7726" t="s">
        <v>13118</v>
      </c>
      <c r="B7726" t="s">
        <v>3274</v>
      </c>
      <c r="C7726" t="s">
        <v>13119</v>
      </c>
      <c r="D7726">
        <v>102609760</v>
      </c>
      <c r="E7726" t="s">
        <v>3814</v>
      </c>
      <c r="F7726">
        <v>5.82</v>
      </c>
    </row>
    <row r="7727" spans="1:6" x14ac:dyDescent="0.3">
      <c r="A7727" t="s">
        <v>13120</v>
      </c>
      <c r="B7727" t="s">
        <v>12631</v>
      </c>
      <c r="C7727" t="s">
        <v>13121</v>
      </c>
      <c r="D7727">
        <v>102682401</v>
      </c>
      <c r="E7727">
        <v>21.25</v>
      </c>
      <c r="F7727">
        <v>5.25</v>
      </c>
    </row>
    <row r="7728" spans="1:6" x14ac:dyDescent="0.3">
      <c r="A7728" t="s">
        <v>13122</v>
      </c>
      <c r="B7728" t="s">
        <v>13123</v>
      </c>
      <c r="C7728" t="s">
        <v>7593</v>
      </c>
      <c r="D7728">
        <v>102695949</v>
      </c>
      <c r="E7728">
        <v>2.97</v>
      </c>
      <c r="F7728">
        <v>7.19</v>
      </c>
    </row>
    <row r="7729" spans="1:6" x14ac:dyDescent="0.3">
      <c r="A7729" t="s">
        <v>13124</v>
      </c>
      <c r="B7729" t="s">
        <v>9071</v>
      </c>
      <c r="C7729" t="s">
        <v>9139</v>
      </c>
      <c r="D7729">
        <v>102712028</v>
      </c>
      <c r="E7729" t="s">
        <v>3814</v>
      </c>
      <c r="F7729" t="s">
        <v>3814</v>
      </c>
    </row>
    <row r="7730" spans="1:6" x14ac:dyDescent="0.3">
      <c r="A7730" t="s">
        <v>13125</v>
      </c>
      <c r="B7730" t="s">
        <v>13126</v>
      </c>
      <c r="C7730" t="s">
        <v>13127</v>
      </c>
      <c r="D7730">
        <v>102712977</v>
      </c>
      <c r="E7730" t="s">
        <v>3814</v>
      </c>
      <c r="F7730">
        <v>7.17</v>
      </c>
    </row>
    <row r="7731" spans="1:6" x14ac:dyDescent="0.3">
      <c r="A7731" t="s">
        <v>7777</v>
      </c>
      <c r="B7731" t="s">
        <v>13128</v>
      </c>
      <c r="C7731" t="s">
        <v>13129</v>
      </c>
      <c r="D7731">
        <v>102742526</v>
      </c>
      <c r="E7731">
        <v>15.63</v>
      </c>
      <c r="F7731">
        <v>6.44</v>
      </c>
    </row>
    <row r="7732" spans="1:6" x14ac:dyDescent="0.3">
      <c r="A7732" t="s">
        <v>13130</v>
      </c>
      <c r="B7732" t="s">
        <v>13131</v>
      </c>
      <c r="C7732" t="s">
        <v>13132</v>
      </c>
      <c r="D7732">
        <v>102769623</v>
      </c>
      <c r="E7732" t="s">
        <v>3814</v>
      </c>
      <c r="F7732">
        <v>7.29</v>
      </c>
    </row>
    <row r="7733" spans="1:6" x14ac:dyDescent="0.3">
      <c r="A7733" t="s">
        <v>13133</v>
      </c>
      <c r="B7733" t="s">
        <v>8838</v>
      </c>
      <c r="C7733" t="s">
        <v>8114</v>
      </c>
      <c r="D7733">
        <v>102798938</v>
      </c>
      <c r="E7733">
        <v>13.08</v>
      </c>
      <c r="F7733">
        <v>8.3800000000000008</v>
      </c>
    </row>
    <row r="7734" spans="1:6" x14ac:dyDescent="0.3">
      <c r="A7734" t="s">
        <v>13134</v>
      </c>
      <c r="B7734" t="s">
        <v>3715</v>
      </c>
      <c r="C7734" t="s">
        <v>13135</v>
      </c>
      <c r="D7734">
        <v>102800749</v>
      </c>
      <c r="E7734">
        <v>2.04</v>
      </c>
      <c r="F7734">
        <v>7.67</v>
      </c>
    </row>
    <row r="7735" spans="1:6" x14ac:dyDescent="0.3">
      <c r="A7735" t="s">
        <v>13136</v>
      </c>
      <c r="B7735" t="s">
        <v>13137</v>
      </c>
      <c r="C7735" t="s">
        <v>13138</v>
      </c>
      <c r="D7735">
        <v>102805772</v>
      </c>
      <c r="E7735" t="s">
        <v>3814</v>
      </c>
      <c r="F7735">
        <v>7.23</v>
      </c>
    </row>
    <row r="7736" spans="1:6" x14ac:dyDescent="0.3">
      <c r="A7736" t="s">
        <v>13139</v>
      </c>
      <c r="B7736" t="s">
        <v>8960</v>
      </c>
      <c r="C7736" t="s">
        <v>13140</v>
      </c>
      <c r="D7736">
        <v>102807047</v>
      </c>
      <c r="E7736">
        <v>24.63</v>
      </c>
      <c r="F7736">
        <v>7.88</v>
      </c>
    </row>
    <row r="7737" spans="1:6" x14ac:dyDescent="0.3">
      <c r="A7737" t="s">
        <v>13141</v>
      </c>
      <c r="B7737" t="s">
        <v>6002</v>
      </c>
      <c r="C7737" t="s">
        <v>8134</v>
      </c>
      <c r="D7737">
        <v>102814497</v>
      </c>
      <c r="E7737" t="s">
        <v>3814</v>
      </c>
      <c r="F7737">
        <v>7.02</v>
      </c>
    </row>
    <row r="7738" spans="1:6" x14ac:dyDescent="0.3">
      <c r="A7738" t="s">
        <v>13142</v>
      </c>
      <c r="B7738" t="s">
        <v>8808</v>
      </c>
      <c r="C7738" t="s">
        <v>7550</v>
      </c>
      <c r="D7738">
        <v>102824936</v>
      </c>
      <c r="E7738">
        <v>6.56</v>
      </c>
      <c r="F7738">
        <v>7.59</v>
      </c>
    </row>
    <row r="7739" spans="1:6" x14ac:dyDescent="0.3">
      <c r="A7739" t="s">
        <v>13143</v>
      </c>
      <c r="B7739" t="s">
        <v>2913</v>
      </c>
      <c r="C7739" t="s">
        <v>2224</v>
      </c>
      <c r="D7739">
        <v>102827964</v>
      </c>
      <c r="E7739">
        <v>5.75</v>
      </c>
      <c r="F7739">
        <v>7.73</v>
      </c>
    </row>
    <row r="7740" spans="1:6" x14ac:dyDescent="0.3">
      <c r="A7740" t="s">
        <v>13144</v>
      </c>
      <c r="B7740" t="s">
        <v>4479</v>
      </c>
      <c r="C7740" t="s">
        <v>13145</v>
      </c>
      <c r="D7740">
        <v>102832287</v>
      </c>
      <c r="E7740" t="s">
        <v>3814</v>
      </c>
      <c r="F7740">
        <v>4.63</v>
      </c>
    </row>
    <row r="7741" spans="1:6" x14ac:dyDescent="0.3">
      <c r="A7741" t="s">
        <v>13146</v>
      </c>
      <c r="B7741" t="s">
        <v>7261</v>
      </c>
      <c r="C7741" t="s">
        <v>13147</v>
      </c>
      <c r="D7741">
        <v>102837084</v>
      </c>
      <c r="E7741" t="s">
        <v>3814</v>
      </c>
      <c r="F7741">
        <v>6.08</v>
      </c>
    </row>
    <row r="7742" spans="1:6" x14ac:dyDescent="0.3">
      <c r="A7742" t="s">
        <v>2074</v>
      </c>
      <c r="B7742" t="s">
        <v>8984</v>
      </c>
      <c r="C7742" t="s">
        <v>10399</v>
      </c>
      <c r="D7742">
        <v>102898797</v>
      </c>
      <c r="E7742">
        <v>20.350000000000001</v>
      </c>
      <c r="F7742">
        <v>5.27</v>
      </c>
    </row>
    <row r="7743" spans="1:6" x14ac:dyDescent="0.3">
      <c r="A7743" t="s">
        <v>13148</v>
      </c>
      <c r="B7743" t="s">
        <v>12181</v>
      </c>
      <c r="C7743" t="s">
        <v>6534</v>
      </c>
      <c r="D7743">
        <v>102916255</v>
      </c>
      <c r="E7743">
        <v>3.77</v>
      </c>
      <c r="F7743">
        <v>8.15</v>
      </c>
    </row>
    <row r="7744" spans="1:6" x14ac:dyDescent="0.3">
      <c r="A7744" t="s">
        <v>8166</v>
      </c>
      <c r="B7744" t="s">
        <v>13149</v>
      </c>
      <c r="C7744" t="s">
        <v>13150</v>
      </c>
      <c r="D7744">
        <v>102935585</v>
      </c>
      <c r="E7744">
        <v>19</v>
      </c>
      <c r="F7744">
        <v>3.6</v>
      </c>
    </row>
    <row r="7745" spans="1:6" x14ac:dyDescent="0.3">
      <c r="A7745" t="s">
        <v>13151</v>
      </c>
      <c r="B7745" t="s">
        <v>13152</v>
      </c>
      <c r="C7745" t="s">
        <v>13153</v>
      </c>
      <c r="D7745">
        <v>102958669</v>
      </c>
      <c r="E7745">
        <v>3.51</v>
      </c>
      <c r="F7745">
        <v>6.89</v>
      </c>
    </row>
    <row r="7746" spans="1:6" x14ac:dyDescent="0.3">
      <c r="A7746" t="s">
        <v>13154</v>
      </c>
      <c r="B7746" t="s">
        <v>13155</v>
      </c>
      <c r="C7746" t="s">
        <v>10000</v>
      </c>
      <c r="D7746">
        <v>102967682</v>
      </c>
      <c r="E7746">
        <v>1.69</v>
      </c>
      <c r="F7746">
        <v>7.3</v>
      </c>
    </row>
    <row r="7747" spans="1:6" x14ac:dyDescent="0.3">
      <c r="A7747" t="s">
        <v>13156</v>
      </c>
      <c r="B7747" t="s">
        <v>13157</v>
      </c>
      <c r="C7747" t="s">
        <v>13158</v>
      </c>
      <c r="D7747">
        <v>103000561</v>
      </c>
      <c r="E7747">
        <v>24</v>
      </c>
      <c r="F7747">
        <v>0</v>
      </c>
    </row>
    <row r="7748" spans="1:6" x14ac:dyDescent="0.3">
      <c r="A7748" t="s">
        <v>13159</v>
      </c>
      <c r="B7748" t="s">
        <v>13160</v>
      </c>
      <c r="C7748">
        <v>322</v>
      </c>
      <c r="D7748">
        <v>103005006</v>
      </c>
      <c r="E7748">
        <v>19</v>
      </c>
      <c r="F7748">
        <v>9</v>
      </c>
    </row>
    <row r="7749" spans="1:6" x14ac:dyDescent="0.3">
      <c r="A7749" t="s">
        <v>13161</v>
      </c>
      <c r="B7749" t="s">
        <v>8119</v>
      </c>
      <c r="C7749" t="s">
        <v>2958</v>
      </c>
      <c r="D7749">
        <v>103011058</v>
      </c>
      <c r="E7749">
        <v>4.2</v>
      </c>
      <c r="F7749">
        <v>6.2</v>
      </c>
    </row>
    <row r="7750" spans="1:6" x14ac:dyDescent="0.3">
      <c r="A7750" t="s">
        <v>10683</v>
      </c>
      <c r="B7750" t="s">
        <v>13162</v>
      </c>
      <c r="C7750" t="s">
        <v>1188</v>
      </c>
      <c r="D7750">
        <v>103011600</v>
      </c>
      <c r="E7750">
        <v>25.25</v>
      </c>
      <c r="F7750">
        <v>8</v>
      </c>
    </row>
    <row r="7751" spans="1:6" x14ac:dyDescent="0.3">
      <c r="A7751" t="s">
        <v>13163</v>
      </c>
      <c r="B7751" t="s">
        <v>12761</v>
      </c>
      <c r="C7751" t="s">
        <v>13164</v>
      </c>
      <c r="D7751">
        <v>103032383</v>
      </c>
      <c r="E7751">
        <v>4.22</v>
      </c>
      <c r="F7751">
        <v>7.75</v>
      </c>
    </row>
    <row r="7752" spans="1:6" x14ac:dyDescent="0.3">
      <c r="A7752" t="s">
        <v>13165</v>
      </c>
      <c r="B7752" t="s">
        <v>13166</v>
      </c>
      <c r="C7752" t="s">
        <v>3130</v>
      </c>
      <c r="D7752">
        <v>103035376</v>
      </c>
      <c r="E7752" t="s">
        <v>3814</v>
      </c>
      <c r="F7752" t="s">
        <v>3814</v>
      </c>
    </row>
    <row r="7753" spans="1:6" x14ac:dyDescent="0.3">
      <c r="A7753" t="s">
        <v>13167</v>
      </c>
      <c r="B7753" t="s">
        <v>13168</v>
      </c>
      <c r="C7753" t="s">
        <v>11249</v>
      </c>
      <c r="D7753">
        <v>103062165</v>
      </c>
      <c r="E7753">
        <v>29</v>
      </c>
      <c r="F7753">
        <v>2</v>
      </c>
    </row>
    <row r="7754" spans="1:6" x14ac:dyDescent="0.3">
      <c r="A7754" t="s">
        <v>13169</v>
      </c>
      <c r="B7754" t="s">
        <v>13170</v>
      </c>
      <c r="C7754" t="s">
        <v>13171</v>
      </c>
      <c r="D7754">
        <v>103065307</v>
      </c>
      <c r="E7754" t="s">
        <v>3814</v>
      </c>
      <c r="F7754">
        <v>6.64</v>
      </c>
    </row>
    <row r="7755" spans="1:6" x14ac:dyDescent="0.3">
      <c r="A7755" t="s">
        <v>13172</v>
      </c>
      <c r="B7755" t="s">
        <v>9742</v>
      </c>
      <c r="C7755" t="s">
        <v>916</v>
      </c>
      <c r="D7755">
        <v>103142470</v>
      </c>
      <c r="E7755">
        <v>3.31</v>
      </c>
      <c r="F7755">
        <v>6.58</v>
      </c>
    </row>
    <row r="7756" spans="1:6" x14ac:dyDescent="0.3">
      <c r="A7756" t="s">
        <v>13173</v>
      </c>
      <c r="B7756" t="s">
        <v>8984</v>
      </c>
      <c r="C7756" t="s">
        <v>13174</v>
      </c>
      <c r="D7756">
        <v>103144990</v>
      </c>
      <c r="E7756" t="s">
        <v>3814</v>
      </c>
      <c r="F7756">
        <v>7.13</v>
      </c>
    </row>
    <row r="7757" spans="1:6" x14ac:dyDescent="0.3">
      <c r="A7757" t="s">
        <v>13175</v>
      </c>
      <c r="B7757" t="s">
        <v>13176</v>
      </c>
      <c r="C7757" t="s">
        <v>9244</v>
      </c>
      <c r="D7757">
        <v>103174078</v>
      </c>
      <c r="E7757">
        <v>3.21</v>
      </c>
      <c r="F7757">
        <v>6.63</v>
      </c>
    </row>
    <row r="7758" spans="1:6" x14ac:dyDescent="0.3">
      <c r="A7758" t="s">
        <v>13177</v>
      </c>
      <c r="B7758" t="s">
        <v>7413</v>
      </c>
      <c r="C7758" t="s">
        <v>977</v>
      </c>
      <c r="D7758">
        <v>103198598</v>
      </c>
      <c r="E7758">
        <v>16.600000000000001</v>
      </c>
      <c r="F7758">
        <v>6.82</v>
      </c>
    </row>
    <row r="7759" spans="1:6" x14ac:dyDescent="0.3">
      <c r="A7759" t="s">
        <v>13178</v>
      </c>
      <c r="B7759" t="s">
        <v>10839</v>
      </c>
      <c r="C7759" t="s">
        <v>10370</v>
      </c>
      <c r="D7759">
        <v>103221461</v>
      </c>
      <c r="E7759">
        <v>2.86</v>
      </c>
      <c r="F7759">
        <v>7.58</v>
      </c>
    </row>
    <row r="7760" spans="1:6" x14ac:dyDescent="0.3">
      <c r="A7760" t="s">
        <v>13179</v>
      </c>
      <c r="B7760" t="s">
        <v>13180</v>
      </c>
      <c r="C7760" t="s">
        <v>2436</v>
      </c>
      <c r="D7760">
        <v>103237477</v>
      </c>
      <c r="E7760">
        <v>3.71</v>
      </c>
      <c r="F7760">
        <v>7</v>
      </c>
    </row>
    <row r="7761" spans="1:6" x14ac:dyDescent="0.3">
      <c r="A7761" t="s">
        <v>13181</v>
      </c>
      <c r="B7761" t="s">
        <v>13182</v>
      </c>
      <c r="C7761" t="s">
        <v>13183</v>
      </c>
      <c r="D7761">
        <v>103252065</v>
      </c>
      <c r="E7761">
        <v>14.06</v>
      </c>
      <c r="F7761">
        <v>8.18</v>
      </c>
    </row>
    <row r="7762" spans="1:6" x14ac:dyDescent="0.3">
      <c r="A7762" t="s">
        <v>13184</v>
      </c>
      <c r="B7762" t="s">
        <v>13185</v>
      </c>
      <c r="C7762" t="s">
        <v>11968</v>
      </c>
      <c r="D7762">
        <v>103274888</v>
      </c>
      <c r="E7762">
        <v>19</v>
      </c>
      <c r="F7762">
        <v>7.38</v>
      </c>
    </row>
    <row r="7763" spans="1:6" x14ac:dyDescent="0.3">
      <c r="A7763" t="s">
        <v>13186</v>
      </c>
      <c r="B7763" t="s">
        <v>12913</v>
      </c>
      <c r="C7763" t="s">
        <v>10809</v>
      </c>
      <c r="D7763">
        <v>103346085</v>
      </c>
      <c r="E7763" t="s">
        <v>3814</v>
      </c>
      <c r="F7763">
        <v>6.92</v>
      </c>
    </row>
    <row r="7764" spans="1:6" x14ac:dyDescent="0.3">
      <c r="A7764" t="s">
        <v>1268</v>
      </c>
      <c r="B7764" t="s">
        <v>10009</v>
      </c>
      <c r="C7764" t="s">
        <v>1689</v>
      </c>
      <c r="D7764">
        <v>103350344</v>
      </c>
      <c r="E7764">
        <v>7.78</v>
      </c>
      <c r="F7764">
        <v>8.3699999999999992</v>
      </c>
    </row>
    <row r="7765" spans="1:6" x14ac:dyDescent="0.3">
      <c r="A7765" t="s">
        <v>13187</v>
      </c>
      <c r="B7765" t="s">
        <v>8340</v>
      </c>
      <c r="C7765" t="s">
        <v>13188</v>
      </c>
      <c r="D7765">
        <v>103367139</v>
      </c>
      <c r="E7765" t="s">
        <v>3814</v>
      </c>
      <c r="F7765">
        <v>6.52</v>
      </c>
    </row>
    <row r="7766" spans="1:6" x14ac:dyDescent="0.3">
      <c r="A7766" t="s">
        <v>13189</v>
      </c>
      <c r="B7766" t="s">
        <v>11425</v>
      </c>
      <c r="C7766" t="s">
        <v>121</v>
      </c>
      <c r="D7766">
        <v>103373693</v>
      </c>
      <c r="E7766" t="s">
        <v>3814</v>
      </c>
      <c r="F7766" t="s">
        <v>3814</v>
      </c>
    </row>
    <row r="7767" spans="1:6" x14ac:dyDescent="0.3">
      <c r="A7767" t="s">
        <v>13190</v>
      </c>
      <c r="B7767" t="s">
        <v>13191</v>
      </c>
      <c r="C7767" t="s">
        <v>10192</v>
      </c>
      <c r="D7767">
        <v>103400317</v>
      </c>
      <c r="E7767">
        <v>1.57</v>
      </c>
      <c r="F7767">
        <v>8.06</v>
      </c>
    </row>
    <row r="7768" spans="1:6" x14ac:dyDescent="0.3">
      <c r="A7768" t="s">
        <v>13192</v>
      </c>
      <c r="B7768" t="s">
        <v>4392</v>
      </c>
      <c r="C7768" t="s">
        <v>13193</v>
      </c>
      <c r="D7768">
        <v>103411024</v>
      </c>
      <c r="E7768">
        <v>21.33</v>
      </c>
      <c r="F7768">
        <v>7.8</v>
      </c>
    </row>
    <row r="7769" spans="1:6" x14ac:dyDescent="0.3">
      <c r="A7769" t="s">
        <v>13194</v>
      </c>
      <c r="B7769" t="s">
        <v>12645</v>
      </c>
      <c r="C7769" t="s">
        <v>13195</v>
      </c>
      <c r="D7769">
        <v>103430142</v>
      </c>
      <c r="E7769" t="s">
        <v>3814</v>
      </c>
      <c r="F7769">
        <v>6.72</v>
      </c>
    </row>
    <row r="7770" spans="1:6" x14ac:dyDescent="0.3">
      <c r="A7770" t="s">
        <v>13196</v>
      </c>
      <c r="B7770" t="s">
        <v>12552</v>
      </c>
      <c r="C7770" t="s">
        <v>13197</v>
      </c>
      <c r="D7770">
        <v>103485219</v>
      </c>
      <c r="E7770">
        <v>11.6</v>
      </c>
      <c r="F7770">
        <v>7.8</v>
      </c>
    </row>
    <row r="7771" spans="1:6" x14ac:dyDescent="0.3">
      <c r="A7771" t="s">
        <v>13198</v>
      </c>
      <c r="B7771" t="s">
        <v>13199</v>
      </c>
      <c r="C7771" t="s">
        <v>10881</v>
      </c>
      <c r="D7771">
        <v>103498148</v>
      </c>
      <c r="E7771">
        <v>11.7</v>
      </c>
      <c r="F7771">
        <v>7.52</v>
      </c>
    </row>
    <row r="7772" spans="1:6" x14ac:dyDescent="0.3">
      <c r="A7772" t="s">
        <v>13200</v>
      </c>
      <c r="B7772" t="s">
        <v>13201</v>
      </c>
      <c r="C7772" t="s">
        <v>13202</v>
      </c>
      <c r="D7772">
        <v>103505221</v>
      </c>
      <c r="E7772">
        <v>10.75</v>
      </c>
      <c r="F7772">
        <v>7.35</v>
      </c>
    </row>
    <row r="7773" spans="1:6" x14ac:dyDescent="0.3">
      <c r="A7773" t="s">
        <v>13203</v>
      </c>
      <c r="B7773" t="s">
        <v>6650</v>
      </c>
      <c r="C7773" t="s">
        <v>13204</v>
      </c>
      <c r="D7773">
        <v>103537789</v>
      </c>
      <c r="E7773">
        <v>10.62</v>
      </c>
      <c r="F7773">
        <v>9.08</v>
      </c>
    </row>
    <row r="7774" spans="1:6" x14ac:dyDescent="0.3">
      <c r="A7774" t="s">
        <v>13205</v>
      </c>
      <c r="B7774" t="s">
        <v>9071</v>
      </c>
      <c r="C7774" t="s">
        <v>2071</v>
      </c>
      <c r="D7774">
        <v>103557663</v>
      </c>
      <c r="E7774">
        <v>2.6</v>
      </c>
      <c r="F7774">
        <v>7.63</v>
      </c>
    </row>
    <row r="7775" spans="1:6" x14ac:dyDescent="0.3">
      <c r="A7775" t="s">
        <v>13206</v>
      </c>
      <c r="B7775" t="s">
        <v>13207</v>
      </c>
      <c r="C7775" t="s">
        <v>13208</v>
      </c>
      <c r="D7775">
        <v>103570961</v>
      </c>
      <c r="E7775" t="s">
        <v>3814</v>
      </c>
      <c r="F7775">
        <v>5.88</v>
      </c>
    </row>
    <row r="7776" spans="1:6" x14ac:dyDescent="0.3">
      <c r="A7776" t="s">
        <v>13209</v>
      </c>
      <c r="B7776" t="s">
        <v>13210</v>
      </c>
      <c r="C7776" t="s">
        <v>13211</v>
      </c>
      <c r="D7776">
        <v>103574402</v>
      </c>
      <c r="E7776">
        <v>2.71</v>
      </c>
      <c r="F7776">
        <v>6.16</v>
      </c>
    </row>
    <row r="7777" spans="1:6" x14ac:dyDescent="0.3">
      <c r="A7777" t="s">
        <v>13212</v>
      </c>
      <c r="B7777" t="s">
        <v>13213</v>
      </c>
      <c r="C7777" t="s">
        <v>2112</v>
      </c>
      <c r="D7777">
        <v>103579800</v>
      </c>
      <c r="E7777" t="s">
        <v>3814</v>
      </c>
      <c r="F7777">
        <v>6.32</v>
      </c>
    </row>
    <row r="7778" spans="1:6" x14ac:dyDescent="0.3">
      <c r="A7778" t="s">
        <v>13214</v>
      </c>
      <c r="B7778" t="s">
        <v>9752</v>
      </c>
      <c r="C7778" t="s">
        <v>13215</v>
      </c>
      <c r="D7778">
        <v>103600492</v>
      </c>
      <c r="E7778">
        <v>13.16</v>
      </c>
      <c r="F7778">
        <v>6.91</v>
      </c>
    </row>
    <row r="7779" spans="1:6" x14ac:dyDescent="0.3">
      <c r="A7779" t="s">
        <v>13216</v>
      </c>
      <c r="B7779" t="s">
        <v>6473</v>
      </c>
      <c r="C7779" t="s">
        <v>13217</v>
      </c>
      <c r="D7779">
        <v>103602186</v>
      </c>
      <c r="E7779">
        <v>12.45</v>
      </c>
      <c r="F7779">
        <v>7.35</v>
      </c>
    </row>
    <row r="7780" spans="1:6" x14ac:dyDescent="0.3">
      <c r="A7780" t="s">
        <v>13218</v>
      </c>
      <c r="B7780" t="s">
        <v>277</v>
      </c>
      <c r="C7780" t="s">
        <v>13219</v>
      </c>
      <c r="D7780">
        <v>103647687</v>
      </c>
      <c r="E7780" t="s">
        <v>3814</v>
      </c>
      <c r="F7780">
        <v>5.4</v>
      </c>
    </row>
    <row r="7781" spans="1:6" x14ac:dyDescent="0.3">
      <c r="A7781" t="s">
        <v>13220</v>
      </c>
      <c r="B7781" t="s">
        <v>13221</v>
      </c>
      <c r="C7781" t="s">
        <v>13222</v>
      </c>
      <c r="D7781">
        <v>103658739</v>
      </c>
      <c r="E7781">
        <v>5.2</v>
      </c>
      <c r="F7781">
        <v>5.54</v>
      </c>
    </row>
    <row r="7782" spans="1:6" x14ac:dyDescent="0.3">
      <c r="A7782" t="s">
        <v>13223</v>
      </c>
      <c r="B7782" t="s">
        <v>9311</v>
      </c>
      <c r="C7782" t="s">
        <v>6260</v>
      </c>
      <c r="D7782">
        <v>103684806</v>
      </c>
      <c r="E7782">
        <v>2.29</v>
      </c>
      <c r="F7782">
        <v>7</v>
      </c>
    </row>
    <row r="7783" spans="1:6" x14ac:dyDescent="0.3">
      <c r="A7783" t="s">
        <v>13224</v>
      </c>
      <c r="B7783" t="s">
        <v>3255</v>
      </c>
      <c r="C7783" t="s">
        <v>13225</v>
      </c>
      <c r="D7783">
        <v>103736188</v>
      </c>
      <c r="E7783" t="s">
        <v>3814</v>
      </c>
      <c r="F7783">
        <v>5.83</v>
      </c>
    </row>
    <row r="7784" spans="1:6" x14ac:dyDescent="0.3">
      <c r="A7784" t="s">
        <v>13226</v>
      </c>
      <c r="B7784" t="s">
        <v>13227</v>
      </c>
      <c r="C7784" t="s">
        <v>9167</v>
      </c>
      <c r="D7784">
        <v>103748335</v>
      </c>
      <c r="E7784">
        <v>23</v>
      </c>
      <c r="F7784">
        <v>10</v>
      </c>
    </row>
    <row r="7785" spans="1:6" x14ac:dyDescent="0.3">
      <c r="A7785" t="s">
        <v>13228</v>
      </c>
      <c r="B7785" t="s">
        <v>13229</v>
      </c>
      <c r="C7785" t="s">
        <v>13230</v>
      </c>
      <c r="D7785">
        <v>103773969</v>
      </c>
      <c r="E7785">
        <v>2.56</v>
      </c>
      <c r="F7785">
        <v>7.91</v>
      </c>
    </row>
    <row r="7786" spans="1:6" x14ac:dyDescent="0.3">
      <c r="A7786" t="s">
        <v>13231</v>
      </c>
      <c r="B7786" t="s">
        <v>13232</v>
      </c>
      <c r="C7786" t="s">
        <v>7116</v>
      </c>
      <c r="D7786">
        <v>103783069</v>
      </c>
      <c r="E7786" t="s">
        <v>3814</v>
      </c>
      <c r="F7786">
        <v>8.77</v>
      </c>
    </row>
    <row r="7787" spans="1:6" x14ac:dyDescent="0.3">
      <c r="A7787" t="s">
        <v>13233</v>
      </c>
      <c r="B7787" t="s">
        <v>13234</v>
      </c>
      <c r="C7787" t="s">
        <v>9433</v>
      </c>
      <c r="D7787">
        <v>103785337</v>
      </c>
      <c r="E7787">
        <v>16.100000000000001</v>
      </c>
      <c r="F7787">
        <v>6.92</v>
      </c>
    </row>
    <row r="7788" spans="1:6" x14ac:dyDescent="0.3">
      <c r="A7788" t="s">
        <v>13235</v>
      </c>
      <c r="B7788" t="s">
        <v>11263</v>
      </c>
      <c r="C7788" t="s">
        <v>13236</v>
      </c>
      <c r="D7788">
        <v>103841470</v>
      </c>
      <c r="E7788">
        <v>5.9</v>
      </c>
      <c r="F7788">
        <v>7.4</v>
      </c>
    </row>
    <row r="7789" spans="1:6" x14ac:dyDescent="0.3">
      <c r="A7789" t="s">
        <v>13237</v>
      </c>
      <c r="B7789" t="s">
        <v>4432</v>
      </c>
      <c r="C7789" t="s">
        <v>3910</v>
      </c>
      <c r="D7789">
        <v>103925676</v>
      </c>
      <c r="E7789" t="s">
        <v>3814</v>
      </c>
      <c r="F7789" t="s">
        <v>3814</v>
      </c>
    </row>
    <row r="7790" spans="1:6" x14ac:dyDescent="0.3">
      <c r="A7790" t="s">
        <v>13238</v>
      </c>
      <c r="B7790" t="s">
        <v>9991</v>
      </c>
      <c r="C7790" t="s">
        <v>13239</v>
      </c>
      <c r="D7790">
        <v>103937110</v>
      </c>
      <c r="E7790">
        <v>2.6</v>
      </c>
      <c r="F7790">
        <v>8.35</v>
      </c>
    </row>
    <row r="7791" spans="1:6" x14ac:dyDescent="0.3">
      <c r="A7791" t="s">
        <v>13240</v>
      </c>
      <c r="B7791" t="s">
        <v>13241</v>
      </c>
      <c r="C7791" t="s">
        <v>10528</v>
      </c>
      <c r="D7791">
        <v>103937771</v>
      </c>
      <c r="E7791">
        <v>3.49</v>
      </c>
      <c r="F7791">
        <v>5.63</v>
      </c>
    </row>
    <row r="7792" spans="1:6" x14ac:dyDescent="0.3">
      <c r="A7792" t="s">
        <v>13242</v>
      </c>
      <c r="B7792" t="s">
        <v>8047</v>
      </c>
      <c r="C7792" t="s">
        <v>13243</v>
      </c>
      <c r="D7792">
        <v>103947139</v>
      </c>
      <c r="E7792" t="s">
        <v>3814</v>
      </c>
      <c r="F7792" t="s">
        <v>3814</v>
      </c>
    </row>
    <row r="7793" spans="1:6" x14ac:dyDescent="0.3">
      <c r="A7793" t="s">
        <v>13244</v>
      </c>
      <c r="B7793" t="s">
        <v>13245</v>
      </c>
      <c r="C7793" t="s">
        <v>8204</v>
      </c>
      <c r="D7793">
        <v>103953282</v>
      </c>
      <c r="E7793">
        <v>21.42</v>
      </c>
      <c r="F7793">
        <v>5.36</v>
      </c>
    </row>
    <row r="7794" spans="1:6" x14ac:dyDescent="0.3">
      <c r="A7794" t="s">
        <v>13246</v>
      </c>
      <c r="B7794" t="s">
        <v>7169</v>
      </c>
      <c r="C7794" t="s">
        <v>13247</v>
      </c>
      <c r="D7794">
        <v>103958190</v>
      </c>
      <c r="E7794">
        <v>11</v>
      </c>
      <c r="F7794">
        <v>6.4</v>
      </c>
    </row>
    <row r="7795" spans="1:6" x14ac:dyDescent="0.3">
      <c r="A7795" t="s">
        <v>13248</v>
      </c>
      <c r="B7795" t="s">
        <v>13249</v>
      </c>
      <c r="C7795" t="s">
        <v>13250</v>
      </c>
      <c r="D7795">
        <v>103979456</v>
      </c>
      <c r="E7795">
        <v>3.78</v>
      </c>
      <c r="F7795">
        <v>7.47</v>
      </c>
    </row>
    <row r="7796" spans="1:6" x14ac:dyDescent="0.3">
      <c r="A7796" t="s">
        <v>13251</v>
      </c>
      <c r="B7796" t="s">
        <v>12500</v>
      </c>
      <c r="C7796" t="s">
        <v>7550</v>
      </c>
      <c r="D7796">
        <v>103989914</v>
      </c>
      <c r="E7796" t="s">
        <v>3814</v>
      </c>
      <c r="F7796">
        <v>6.2</v>
      </c>
    </row>
    <row r="7797" spans="1:6" x14ac:dyDescent="0.3">
      <c r="A7797" t="s">
        <v>13252</v>
      </c>
      <c r="B7797" t="s">
        <v>13253</v>
      </c>
      <c r="C7797" t="s">
        <v>7004</v>
      </c>
      <c r="D7797">
        <v>103998262</v>
      </c>
      <c r="E7797" t="s">
        <v>3814</v>
      </c>
      <c r="F7797">
        <v>6.64</v>
      </c>
    </row>
    <row r="7798" spans="1:6" x14ac:dyDescent="0.3">
      <c r="A7798" t="s">
        <v>13254</v>
      </c>
      <c r="B7798" t="s">
        <v>13255</v>
      </c>
      <c r="C7798" t="s">
        <v>9882</v>
      </c>
      <c r="D7798">
        <v>104003332</v>
      </c>
      <c r="E7798">
        <v>6.5</v>
      </c>
      <c r="F7798">
        <v>7</v>
      </c>
    </row>
    <row r="7799" spans="1:6" x14ac:dyDescent="0.3">
      <c r="A7799" t="s">
        <v>13256</v>
      </c>
      <c r="B7799" t="s">
        <v>12617</v>
      </c>
      <c r="C7799" t="s">
        <v>9436</v>
      </c>
      <c r="D7799">
        <v>104007123</v>
      </c>
      <c r="E7799" t="s">
        <v>3814</v>
      </c>
      <c r="F7799">
        <v>6</v>
      </c>
    </row>
    <row r="7800" spans="1:6" x14ac:dyDescent="0.3">
      <c r="A7800" t="s">
        <v>13257</v>
      </c>
      <c r="B7800" t="s">
        <v>7858</v>
      </c>
      <c r="C7800" t="s">
        <v>13258</v>
      </c>
      <c r="D7800">
        <v>104027821</v>
      </c>
      <c r="E7800">
        <v>29</v>
      </c>
      <c r="F7800">
        <v>5.67</v>
      </c>
    </row>
    <row r="7801" spans="1:6" x14ac:dyDescent="0.3">
      <c r="A7801" t="s">
        <v>13259</v>
      </c>
      <c r="B7801" t="s">
        <v>13260</v>
      </c>
      <c r="C7801" t="s">
        <v>13261</v>
      </c>
      <c r="D7801">
        <v>104031134</v>
      </c>
      <c r="E7801" t="s">
        <v>3814</v>
      </c>
      <c r="F7801">
        <v>4</v>
      </c>
    </row>
    <row r="7802" spans="1:6" x14ac:dyDescent="0.3">
      <c r="A7802" t="s">
        <v>2777</v>
      </c>
      <c r="B7802" t="s">
        <v>6031</v>
      </c>
      <c r="C7802" t="s">
        <v>13262</v>
      </c>
      <c r="D7802">
        <v>104042182</v>
      </c>
      <c r="E7802" t="s">
        <v>3814</v>
      </c>
      <c r="F7802">
        <v>7.8</v>
      </c>
    </row>
    <row r="7803" spans="1:6" x14ac:dyDescent="0.3">
      <c r="A7803" t="s">
        <v>13263</v>
      </c>
      <c r="B7803" t="s">
        <v>13264</v>
      </c>
      <c r="C7803" t="s">
        <v>10643</v>
      </c>
      <c r="D7803">
        <v>104042485</v>
      </c>
      <c r="E7803">
        <v>4.6500000000000004</v>
      </c>
      <c r="F7803">
        <v>6.74</v>
      </c>
    </row>
    <row r="7804" spans="1:6" x14ac:dyDescent="0.3">
      <c r="A7804" t="s">
        <v>13265</v>
      </c>
      <c r="B7804" t="s">
        <v>13266</v>
      </c>
      <c r="C7804" t="s">
        <v>10016</v>
      </c>
      <c r="D7804">
        <v>104046497</v>
      </c>
      <c r="E7804">
        <v>3.11</v>
      </c>
      <c r="F7804">
        <v>6.37</v>
      </c>
    </row>
    <row r="7805" spans="1:6" x14ac:dyDescent="0.3">
      <c r="A7805" t="s">
        <v>13267</v>
      </c>
      <c r="B7805" t="s">
        <v>13268</v>
      </c>
      <c r="C7805" t="s">
        <v>13269</v>
      </c>
      <c r="D7805">
        <v>104049200</v>
      </c>
      <c r="E7805" t="s">
        <v>3814</v>
      </c>
      <c r="F7805">
        <v>8.25</v>
      </c>
    </row>
    <row r="7806" spans="1:6" x14ac:dyDescent="0.3">
      <c r="A7806" t="s">
        <v>13270</v>
      </c>
      <c r="B7806" t="s">
        <v>13271</v>
      </c>
      <c r="C7806" t="s">
        <v>5489</v>
      </c>
      <c r="D7806">
        <v>104066192</v>
      </c>
      <c r="E7806">
        <v>4.25</v>
      </c>
      <c r="F7806">
        <v>6.62</v>
      </c>
    </row>
    <row r="7807" spans="1:6" x14ac:dyDescent="0.3">
      <c r="A7807" t="s">
        <v>13272</v>
      </c>
      <c r="B7807" t="s">
        <v>13273</v>
      </c>
      <c r="C7807" t="s">
        <v>13274</v>
      </c>
      <c r="D7807">
        <v>104087362</v>
      </c>
      <c r="E7807" t="s">
        <v>3814</v>
      </c>
      <c r="F7807">
        <v>6.82</v>
      </c>
    </row>
    <row r="7808" spans="1:6" x14ac:dyDescent="0.3">
      <c r="A7808" t="s">
        <v>13275</v>
      </c>
      <c r="B7808" t="s">
        <v>3692</v>
      </c>
      <c r="C7808" t="s">
        <v>12388</v>
      </c>
      <c r="D7808">
        <v>104088300</v>
      </c>
      <c r="E7808">
        <v>9.33</v>
      </c>
      <c r="F7808">
        <v>6.1</v>
      </c>
    </row>
    <row r="7809" spans="1:6" x14ac:dyDescent="0.3">
      <c r="A7809" t="s">
        <v>13276</v>
      </c>
      <c r="B7809" t="s">
        <v>12753</v>
      </c>
      <c r="C7809" t="s">
        <v>13277</v>
      </c>
      <c r="D7809">
        <v>104100767</v>
      </c>
      <c r="E7809" t="s">
        <v>3814</v>
      </c>
      <c r="F7809">
        <v>4.33</v>
      </c>
    </row>
    <row r="7810" spans="1:6" x14ac:dyDescent="0.3">
      <c r="A7810" t="s">
        <v>13278</v>
      </c>
      <c r="B7810" t="s">
        <v>13279</v>
      </c>
      <c r="C7810" t="s">
        <v>13280</v>
      </c>
      <c r="D7810">
        <v>104112097</v>
      </c>
      <c r="E7810">
        <v>2.17</v>
      </c>
      <c r="F7810">
        <v>7.67</v>
      </c>
    </row>
    <row r="7811" spans="1:6" x14ac:dyDescent="0.3">
      <c r="A7811" t="s">
        <v>13281</v>
      </c>
      <c r="B7811" t="s">
        <v>13282</v>
      </c>
      <c r="C7811" t="s">
        <v>12070</v>
      </c>
      <c r="D7811">
        <v>104126688</v>
      </c>
      <c r="E7811">
        <v>3.41</v>
      </c>
      <c r="F7811">
        <v>7.43</v>
      </c>
    </row>
    <row r="7812" spans="1:6" x14ac:dyDescent="0.3">
      <c r="A7812" t="s">
        <v>13283</v>
      </c>
      <c r="B7812" t="s">
        <v>13284</v>
      </c>
      <c r="C7812" t="s">
        <v>13285</v>
      </c>
      <c r="D7812">
        <v>104131396</v>
      </c>
      <c r="E7812" t="s">
        <v>3814</v>
      </c>
      <c r="F7812" t="s">
        <v>3814</v>
      </c>
    </row>
    <row r="7813" spans="1:6" x14ac:dyDescent="0.3">
      <c r="A7813" t="s">
        <v>3937</v>
      </c>
      <c r="B7813" t="s">
        <v>13286</v>
      </c>
      <c r="C7813" t="s">
        <v>13287</v>
      </c>
      <c r="D7813">
        <v>104138684</v>
      </c>
      <c r="E7813">
        <v>6.23</v>
      </c>
      <c r="F7813">
        <v>7.6</v>
      </c>
    </row>
    <row r="7814" spans="1:6" x14ac:dyDescent="0.3">
      <c r="A7814" t="s">
        <v>13288</v>
      </c>
      <c r="B7814" t="s">
        <v>3627</v>
      </c>
      <c r="C7814" t="s">
        <v>13289</v>
      </c>
      <c r="D7814">
        <v>104151099</v>
      </c>
      <c r="E7814">
        <v>4.51</v>
      </c>
      <c r="F7814">
        <v>7.48</v>
      </c>
    </row>
    <row r="7815" spans="1:6" x14ac:dyDescent="0.3">
      <c r="A7815" t="s">
        <v>13290</v>
      </c>
      <c r="B7815" t="s">
        <v>3255</v>
      </c>
      <c r="C7815" t="s">
        <v>2463</v>
      </c>
      <c r="D7815">
        <v>104153719</v>
      </c>
      <c r="E7815" t="s">
        <v>3814</v>
      </c>
      <c r="F7815">
        <v>9</v>
      </c>
    </row>
    <row r="7816" spans="1:6" x14ac:dyDescent="0.3">
      <c r="A7816" t="s">
        <v>13291</v>
      </c>
      <c r="B7816" t="s">
        <v>13292</v>
      </c>
      <c r="C7816" t="s">
        <v>7090</v>
      </c>
      <c r="D7816">
        <v>104164716</v>
      </c>
      <c r="E7816">
        <v>10.71</v>
      </c>
      <c r="F7816">
        <v>6.4</v>
      </c>
    </row>
    <row r="7817" spans="1:6" x14ac:dyDescent="0.3">
      <c r="A7817" t="s">
        <v>13293</v>
      </c>
      <c r="B7817" t="s">
        <v>13294</v>
      </c>
      <c r="C7817" t="s">
        <v>799</v>
      </c>
      <c r="D7817">
        <v>104172646</v>
      </c>
      <c r="E7817">
        <v>7.08</v>
      </c>
      <c r="F7817">
        <v>6.5</v>
      </c>
    </row>
    <row r="7818" spans="1:6" x14ac:dyDescent="0.3">
      <c r="A7818" t="s">
        <v>13295</v>
      </c>
      <c r="B7818" t="s">
        <v>4911</v>
      </c>
      <c r="C7818" t="s">
        <v>12015</v>
      </c>
      <c r="D7818">
        <v>104184451</v>
      </c>
      <c r="E7818">
        <v>2.0099999999999998</v>
      </c>
      <c r="F7818">
        <v>6.45</v>
      </c>
    </row>
    <row r="7819" spans="1:6" x14ac:dyDescent="0.3">
      <c r="A7819" t="s">
        <v>13296</v>
      </c>
      <c r="B7819" t="s">
        <v>13297</v>
      </c>
      <c r="C7819" t="s">
        <v>13298</v>
      </c>
      <c r="D7819">
        <v>104187415</v>
      </c>
      <c r="E7819" t="s">
        <v>3814</v>
      </c>
      <c r="F7819">
        <v>4.78</v>
      </c>
    </row>
    <row r="7820" spans="1:6" x14ac:dyDescent="0.3">
      <c r="A7820" t="s">
        <v>13299</v>
      </c>
      <c r="B7820" t="s">
        <v>13300</v>
      </c>
      <c r="C7820" t="s">
        <v>13301</v>
      </c>
      <c r="D7820">
        <v>104203558</v>
      </c>
      <c r="E7820">
        <v>2.4</v>
      </c>
      <c r="F7820">
        <v>8.42</v>
      </c>
    </row>
    <row r="7821" spans="1:6" x14ac:dyDescent="0.3">
      <c r="A7821" t="s">
        <v>13302</v>
      </c>
      <c r="B7821" t="s">
        <v>13303</v>
      </c>
      <c r="C7821" t="s">
        <v>5450</v>
      </c>
      <c r="D7821">
        <v>104228688</v>
      </c>
      <c r="E7821">
        <v>2.16</v>
      </c>
      <c r="F7821">
        <v>7.8</v>
      </c>
    </row>
    <row r="7822" spans="1:6" x14ac:dyDescent="0.3">
      <c r="A7822" t="s">
        <v>1630</v>
      </c>
      <c r="B7822" t="s">
        <v>6871</v>
      </c>
      <c r="C7822" t="s">
        <v>1389</v>
      </c>
      <c r="D7822">
        <v>104236312</v>
      </c>
      <c r="E7822">
        <v>24</v>
      </c>
      <c r="F7822">
        <v>10</v>
      </c>
    </row>
    <row r="7823" spans="1:6" x14ac:dyDescent="0.3">
      <c r="A7823" t="s">
        <v>11731</v>
      </c>
      <c r="B7823" t="s">
        <v>13304</v>
      </c>
      <c r="C7823" t="s">
        <v>11731</v>
      </c>
      <c r="D7823">
        <v>104237346</v>
      </c>
      <c r="E7823">
        <v>22.25</v>
      </c>
      <c r="F7823">
        <v>7.25</v>
      </c>
    </row>
    <row r="7824" spans="1:6" x14ac:dyDescent="0.3">
      <c r="A7824" t="s">
        <v>2558</v>
      </c>
      <c r="B7824" t="s">
        <v>13305</v>
      </c>
      <c r="C7824" t="s">
        <v>2429</v>
      </c>
      <c r="D7824">
        <v>104291150</v>
      </c>
      <c r="E7824">
        <v>2.04</v>
      </c>
      <c r="F7824">
        <v>7.14</v>
      </c>
    </row>
    <row r="7825" spans="1:6" x14ac:dyDescent="0.3">
      <c r="A7825" t="s">
        <v>13259</v>
      </c>
      <c r="B7825" t="s">
        <v>11128</v>
      </c>
      <c r="C7825" t="s">
        <v>13306</v>
      </c>
      <c r="D7825">
        <v>104312538</v>
      </c>
      <c r="E7825">
        <v>6.2</v>
      </c>
      <c r="F7825">
        <v>7.45</v>
      </c>
    </row>
    <row r="7826" spans="1:6" x14ac:dyDescent="0.3">
      <c r="A7826" t="s">
        <v>13307</v>
      </c>
      <c r="B7826" t="s">
        <v>7649</v>
      </c>
      <c r="C7826" t="s">
        <v>13308</v>
      </c>
      <c r="D7826">
        <v>104328176</v>
      </c>
      <c r="E7826" t="s">
        <v>3814</v>
      </c>
      <c r="F7826">
        <v>6.52</v>
      </c>
    </row>
    <row r="7827" spans="1:6" x14ac:dyDescent="0.3">
      <c r="A7827" t="s">
        <v>13309</v>
      </c>
      <c r="B7827" t="s">
        <v>13310</v>
      </c>
      <c r="C7827" t="s">
        <v>13311</v>
      </c>
      <c r="D7827">
        <v>104336808</v>
      </c>
      <c r="E7827">
        <v>23</v>
      </c>
      <c r="F7827">
        <v>4.33</v>
      </c>
    </row>
    <row r="7828" spans="1:6" x14ac:dyDescent="0.3">
      <c r="A7828" t="s">
        <v>13312</v>
      </c>
      <c r="B7828" t="s">
        <v>11988</v>
      </c>
      <c r="C7828" t="s">
        <v>4103</v>
      </c>
      <c r="D7828">
        <v>104338596</v>
      </c>
      <c r="E7828">
        <v>24</v>
      </c>
      <c r="F7828">
        <v>7</v>
      </c>
    </row>
    <row r="7829" spans="1:6" x14ac:dyDescent="0.3">
      <c r="A7829" t="s">
        <v>12070</v>
      </c>
      <c r="B7829" t="s">
        <v>13313</v>
      </c>
      <c r="C7829" t="s">
        <v>12070</v>
      </c>
      <c r="D7829">
        <v>104391226</v>
      </c>
      <c r="E7829">
        <v>17.36</v>
      </c>
      <c r="F7829">
        <v>7.64</v>
      </c>
    </row>
    <row r="7830" spans="1:6" x14ac:dyDescent="0.3">
      <c r="A7830" t="s">
        <v>13314</v>
      </c>
      <c r="B7830" t="s">
        <v>13315</v>
      </c>
      <c r="C7830" t="s">
        <v>13316</v>
      </c>
      <c r="D7830">
        <v>104399662</v>
      </c>
      <c r="E7830" t="s">
        <v>3814</v>
      </c>
      <c r="F7830">
        <v>6.42</v>
      </c>
    </row>
    <row r="7831" spans="1:6" x14ac:dyDescent="0.3">
      <c r="A7831" t="s">
        <v>13317</v>
      </c>
      <c r="B7831" t="s">
        <v>6226</v>
      </c>
      <c r="C7831" t="s">
        <v>13318</v>
      </c>
      <c r="D7831">
        <v>104408239</v>
      </c>
      <c r="E7831">
        <v>16.329999999999998</v>
      </c>
      <c r="F7831">
        <v>6.33</v>
      </c>
    </row>
    <row r="7832" spans="1:6" x14ac:dyDescent="0.3">
      <c r="A7832" t="s">
        <v>13319</v>
      </c>
      <c r="B7832" t="s">
        <v>9772</v>
      </c>
      <c r="C7832" t="s">
        <v>11656</v>
      </c>
      <c r="D7832">
        <v>104409280</v>
      </c>
      <c r="E7832" t="s">
        <v>3814</v>
      </c>
      <c r="F7832" t="s">
        <v>3814</v>
      </c>
    </row>
    <row r="7833" spans="1:6" x14ac:dyDescent="0.3">
      <c r="A7833" t="s">
        <v>13320</v>
      </c>
      <c r="B7833" t="s">
        <v>12626</v>
      </c>
      <c r="C7833" t="s">
        <v>13321</v>
      </c>
      <c r="D7833">
        <v>104416362</v>
      </c>
      <c r="E7833" t="s">
        <v>3814</v>
      </c>
      <c r="F7833">
        <v>6.35</v>
      </c>
    </row>
    <row r="7834" spans="1:6" x14ac:dyDescent="0.3">
      <c r="A7834" t="s">
        <v>13322</v>
      </c>
      <c r="B7834" t="s">
        <v>12879</v>
      </c>
      <c r="C7834" t="s">
        <v>13323</v>
      </c>
      <c r="D7834">
        <v>104432918</v>
      </c>
      <c r="E7834" t="s">
        <v>3814</v>
      </c>
      <c r="F7834">
        <v>8.5399999999999991</v>
      </c>
    </row>
    <row r="7835" spans="1:6" x14ac:dyDescent="0.3">
      <c r="A7835" t="s">
        <v>13324</v>
      </c>
      <c r="B7835" t="s">
        <v>3422</v>
      </c>
      <c r="C7835" t="s">
        <v>13325</v>
      </c>
      <c r="D7835">
        <v>104444534</v>
      </c>
      <c r="E7835">
        <v>22.33</v>
      </c>
      <c r="F7835">
        <v>6.17</v>
      </c>
    </row>
    <row r="7836" spans="1:6" x14ac:dyDescent="0.3">
      <c r="A7836" t="s">
        <v>13326</v>
      </c>
      <c r="B7836" t="s">
        <v>10240</v>
      </c>
      <c r="C7836" t="s">
        <v>13327</v>
      </c>
      <c r="D7836">
        <v>104464785</v>
      </c>
      <c r="E7836">
        <v>33</v>
      </c>
      <c r="F7836">
        <v>8</v>
      </c>
    </row>
    <row r="7837" spans="1:6" x14ac:dyDescent="0.3">
      <c r="A7837" t="s">
        <v>13328</v>
      </c>
      <c r="B7837" t="s">
        <v>6226</v>
      </c>
      <c r="C7837" t="s">
        <v>13329</v>
      </c>
      <c r="D7837">
        <v>104483826</v>
      </c>
      <c r="E7837">
        <v>9.82</v>
      </c>
      <c r="F7837">
        <v>6.28</v>
      </c>
    </row>
    <row r="7838" spans="1:6" x14ac:dyDescent="0.3">
      <c r="A7838" t="s">
        <v>13330</v>
      </c>
      <c r="B7838" t="s">
        <v>13331</v>
      </c>
      <c r="C7838" t="s">
        <v>12501</v>
      </c>
      <c r="D7838">
        <v>104516982</v>
      </c>
      <c r="E7838" t="s">
        <v>3814</v>
      </c>
      <c r="F7838">
        <v>4.2</v>
      </c>
    </row>
    <row r="7839" spans="1:6" x14ac:dyDescent="0.3">
      <c r="A7839" t="s">
        <v>13332</v>
      </c>
      <c r="B7839" t="s">
        <v>9663</v>
      </c>
      <c r="C7839" t="s">
        <v>13333</v>
      </c>
      <c r="D7839">
        <v>104529377</v>
      </c>
      <c r="E7839">
        <v>20.059999999999999</v>
      </c>
      <c r="F7839">
        <v>6.74</v>
      </c>
    </row>
    <row r="7840" spans="1:6" x14ac:dyDescent="0.3">
      <c r="A7840" t="s">
        <v>13334</v>
      </c>
      <c r="B7840" t="s">
        <v>10839</v>
      </c>
      <c r="C7840" t="s">
        <v>13335</v>
      </c>
      <c r="D7840">
        <v>104545592</v>
      </c>
      <c r="E7840">
        <v>2.29</v>
      </c>
      <c r="F7840">
        <v>7.98</v>
      </c>
    </row>
    <row r="7841" spans="1:6" x14ac:dyDescent="0.3">
      <c r="A7841" t="s">
        <v>13336</v>
      </c>
      <c r="B7841" t="s">
        <v>13337</v>
      </c>
      <c r="C7841" t="s">
        <v>4268</v>
      </c>
      <c r="D7841">
        <v>104555993</v>
      </c>
      <c r="E7841">
        <v>2.2999999999999998</v>
      </c>
      <c r="F7841">
        <v>7.19</v>
      </c>
    </row>
    <row r="7842" spans="1:6" x14ac:dyDescent="0.3">
      <c r="A7842" t="s">
        <v>13338</v>
      </c>
      <c r="B7842" t="s">
        <v>13339</v>
      </c>
      <c r="C7842" t="s">
        <v>2965</v>
      </c>
      <c r="D7842">
        <v>104581795</v>
      </c>
      <c r="E7842" t="s">
        <v>3814</v>
      </c>
      <c r="F7842">
        <v>7.17</v>
      </c>
    </row>
    <row r="7843" spans="1:6" x14ac:dyDescent="0.3">
      <c r="A7843" t="s">
        <v>13340</v>
      </c>
      <c r="B7843" t="s">
        <v>7007</v>
      </c>
      <c r="C7843" t="s">
        <v>9868</v>
      </c>
      <c r="D7843">
        <v>104593236</v>
      </c>
      <c r="E7843">
        <v>8</v>
      </c>
      <c r="F7843">
        <v>6.05</v>
      </c>
    </row>
    <row r="7844" spans="1:6" x14ac:dyDescent="0.3">
      <c r="A7844" t="s">
        <v>13341</v>
      </c>
      <c r="B7844" t="s">
        <v>13342</v>
      </c>
      <c r="C7844" t="s">
        <v>13343</v>
      </c>
      <c r="D7844">
        <v>104600902</v>
      </c>
      <c r="E7844">
        <v>15.55</v>
      </c>
      <c r="F7844">
        <v>6.6</v>
      </c>
    </row>
    <row r="7845" spans="1:6" x14ac:dyDescent="0.3">
      <c r="A7845" t="s">
        <v>13344</v>
      </c>
      <c r="B7845" t="s">
        <v>6262</v>
      </c>
      <c r="C7845" t="s">
        <v>13345</v>
      </c>
      <c r="D7845">
        <v>104619741</v>
      </c>
      <c r="E7845">
        <v>22.75</v>
      </c>
      <c r="F7845">
        <v>5.27</v>
      </c>
    </row>
    <row r="7846" spans="1:6" x14ac:dyDescent="0.3">
      <c r="A7846" t="s">
        <v>13346</v>
      </c>
      <c r="B7846" t="s">
        <v>13347</v>
      </c>
      <c r="C7846" t="s">
        <v>13348</v>
      </c>
      <c r="D7846">
        <v>104625669</v>
      </c>
      <c r="E7846">
        <v>5.75</v>
      </c>
      <c r="F7846">
        <v>6</v>
      </c>
    </row>
    <row r="7847" spans="1:6" x14ac:dyDescent="0.3">
      <c r="A7847" t="s">
        <v>13349</v>
      </c>
      <c r="B7847" t="s">
        <v>9717</v>
      </c>
      <c r="C7847" t="s">
        <v>13350</v>
      </c>
      <c r="D7847">
        <v>104630898</v>
      </c>
      <c r="E7847">
        <v>6.22</v>
      </c>
      <c r="F7847">
        <v>7.17</v>
      </c>
    </row>
    <row r="7848" spans="1:6" x14ac:dyDescent="0.3">
      <c r="A7848" t="s">
        <v>13351</v>
      </c>
      <c r="B7848" t="s">
        <v>8846</v>
      </c>
      <c r="C7848" t="s">
        <v>13352</v>
      </c>
      <c r="D7848">
        <v>104660020</v>
      </c>
      <c r="E7848">
        <v>7.17</v>
      </c>
      <c r="F7848">
        <v>8.08</v>
      </c>
    </row>
    <row r="7849" spans="1:6" x14ac:dyDescent="0.3">
      <c r="A7849" t="s">
        <v>13353</v>
      </c>
      <c r="B7849" t="s">
        <v>11980</v>
      </c>
      <c r="C7849" t="s">
        <v>13354</v>
      </c>
      <c r="D7849">
        <v>104665661</v>
      </c>
      <c r="E7849">
        <v>2.82</v>
      </c>
      <c r="F7849">
        <v>7.64</v>
      </c>
    </row>
    <row r="7850" spans="1:6" x14ac:dyDescent="0.3">
      <c r="A7850" t="s">
        <v>13355</v>
      </c>
      <c r="B7850" t="s">
        <v>3274</v>
      </c>
      <c r="C7850" t="s">
        <v>797</v>
      </c>
      <c r="D7850">
        <v>104672501</v>
      </c>
      <c r="E7850" t="s">
        <v>3814</v>
      </c>
      <c r="F7850" t="s">
        <v>3814</v>
      </c>
    </row>
    <row r="7851" spans="1:6" x14ac:dyDescent="0.3">
      <c r="A7851" t="s">
        <v>13356</v>
      </c>
      <c r="B7851" t="s">
        <v>7501</v>
      </c>
      <c r="C7851" t="s">
        <v>13357</v>
      </c>
      <c r="D7851">
        <v>104699028</v>
      </c>
      <c r="E7851">
        <v>5.44</v>
      </c>
      <c r="F7851">
        <v>7.23</v>
      </c>
    </row>
    <row r="7852" spans="1:6" x14ac:dyDescent="0.3">
      <c r="A7852" t="s">
        <v>13358</v>
      </c>
      <c r="B7852" t="s">
        <v>13030</v>
      </c>
      <c r="C7852" t="s">
        <v>13359</v>
      </c>
      <c r="D7852">
        <v>104720747</v>
      </c>
      <c r="E7852" t="s">
        <v>3814</v>
      </c>
      <c r="F7852">
        <v>8.83</v>
      </c>
    </row>
    <row r="7853" spans="1:6" x14ac:dyDescent="0.3">
      <c r="A7853" t="s">
        <v>13360</v>
      </c>
      <c r="B7853" t="s">
        <v>6119</v>
      </c>
      <c r="C7853" t="s">
        <v>13361</v>
      </c>
      <c r="D7853">
        <v>104739733</v>
      </c>
      <c r="E7853">
        <v>1.93</v>
      </c>
      <c r="F7853">
        <v>8.59</v>
      </c>
    </row>
    <row r="7854" spans="1:6" x14ac:dyDescent="0.3">
      <c r="A7854" t="s">
        <v>13362</v>
      </c>
      <c r="B7854" t="s">
        <v>8326</v>
      </c>
      <c r="C7854" t="s">
        <v>13363</v>
      </c>
      <c r="D7854">
        <v>104740620</v>
      </c>
      <c r="E7854" t="s">
        <v>3814</v>
      </c>
      <c r="F7854">
        <v>6.36</v>
      </c>
    </row>
    <row r="7855" spans="1:6" x14ac:dyDescent="0.3">
      <c r="A7855" t="s">
        <v>13364</v>
      </c>
      <c r="B7855" t="s">
        <v>11934</v>
      </c>
      <c r="C7855" t="s">
        <v>969</v>
      </c>
      <c r="D7855">
        <v>104748225</v>
      </c>
      <c r="E7855">
        <v>1.58</v>
      </c>
      <c r="F7855">
        <v>8.14</v>
      </c>
    </row>
    <row r="7856" spans="1:6" x14ac:dyDescent="0.3">
      <c r="A7856" t="s">
        <v>13365</v>
      </c>
      <c r="B7856" t="s">
        <v>10459</v>
      </c>
      <c r="C7856" t="s">
        <v>13366</v>
      </c>
      <c r="D7856">
        <v>104758825</v>
      </c>
      <c r="E7856">
        <v>2.15</v>
      </c>
      <c r="F7856">
        <v>7.94</v>
      </c>
    </row>
    <row r="7857" spans="1:6" x14ac:dyDescent="0.3">
      <c r="A7857" t="s">
        <v>13367</v>
      </c>
      <c r="B7857" t="s">
        <v>13368</v>
      </c>
      <c r="C7857" t="s">
        <v>7357</v>
      </c>
      <c r="D7857">
        <v>104759938</v>
      </c>
      <c r="E7857" t="s">
        <v>3814</v>
      </c>
      <c r="F7857">
        <v>5.58</v>
      </c>
    </row>
    <row r="7858" spans="1:6" x14ac:dyDescent="0.3">
      <c r="A7858" t="s">
        <v>13369</v>
      </c>
      <c r="B7858" t="s">
        <v>13370</v>
      </c>
      <c r="C7858" t="s">
        <v>5481</v>
      </c>
      <c r="D7858">
        <v>104766972</v>
      </c>
      <c r="E7858">
        <v>2.2799999999999998</v>
      </c>
      <c r="F7858">
        <v>7.7</v>
      </c>
    </row>
    <row r="7859" spans="1:6" x14ac:dyDescent="0.3">
      <c r="A7859" t="s">
        <v>13371</v>
      </c>
      <c r="B7859" t="s">
        <v>7604</v>
      </c>
      <c r="C7859" t="s">
        <v>2860</v>
      </c>
      <c r="D7859">
        <v>104773431</v>
      </c>
      <c r="E7859">
        <v>4.6100000000000003</v>
      </c>
      <c r="F7859">
        <v>7.83</v>
      </c>
    </row>
    <row r="7860" spans="1:6" x14ac:dyDescent="0.3">
      <c r="A7860" t="s">
        <v>13372</v>
      </c>
      <c r="B7860" t="s">
        <v>13373</v>
      </c>
      <c r="C7860" t="s">
        <v>13374</v>
      </c>
      <c r="D7860">
        <v>104813439</v>
      </c>
      <c r="E7860" t="s">
        <v>3814</v>
      </c>
      <c r="F7860">
        <v>5.64</v>
      </c>
    </row>
    <row r="7861" spans="1:6" x14ac:dyDescent="0.3">
      <c r="A7861" t="s">
        <v>13375</v>
      </c>
      <c r="B7861" t="s">
        <v>13376</v>
      </c>
      <c r="C7861" t="s">
        <v>5291</v>
      </c>
      <c r="D7861">
        <v>104814119</v>
      </c>
      <c r="E7861">
        <v>11.84</v>
      </c>
      <c r="F7861">
        <v>7.18</v>
      </c>
    </row>
    <row r="7862" spans="1:6" x14ac:dyDescent="0.3">
      <c r="A7862" t="s">
        <v>13377</v>
      </c>
      <c r="B7862" t="s">
        <v>10823</v>
      </c>
      <c r="C7862" t="s">
        <v>13289</v>
      </c>
      <c r="D7862">
        <v>104823103</v>
      </c>
      <c r="E7862">
        <v>2.1</v>
      </c>
      <c r="F7862">
        <v>7.1</v>
      </c>
    </row>
    <row r="7863" spans="1:6" x14ac:dyDescent="0.3">
      <c r="A7863" t="s">
        <v>13378</v>
      </c>
      <c r="B7863" t="s">
        <v>10885</v>
      </c>
      <c r="C7863" t="s">
        <v>13379</v>
      </c>
      <c r="D7863">
        <v>104838200</v>
      </c>
      <c r="E7863" t="s">
        <v>3814</v>
      </c>
      <c r="F7863">
        <v>7.48</v>
      </c>
    </row>
    <row r="7864" spans="1:6" x14ac:dyDescent="0.3">
      <c r="A7864" t="s">
        <v>13380</v>
      </c>
      <c r="B7864" t="s">
        <v>13381</v>
      </c>
      <c r="C7864" t="s">
        <v>13382</v>
      </c>
      <c r="D7864">
        <v>104845304</v>
      </c>
      <c r="E7864">
        <v>10.199999999999999</v>
      </c>
      <c r="F7864">
        <v>6.4</v>
      </c>
    </row>
    <row r="7865" spans="1:6" x14ac:dyDescent="0.3">
      <c r="A7865" t="s">
        <v>13383</v>
      </c>
      <c r="B7865" t="s">
        <v>6262</v>
      </c>
      <c r="C7865" t="s">
        <v>13384</v>
      </c>
      <c r="D7865">
        <v>104847865</v>
      </c>
      <c r="E7865">
        <v>4.7699999999999996</v>
      </c>
      <c r="F7865">
        <v>8</v>
      </c>
    </row>
    <row r="7866" spans="1:6" x14ac:dyDescent="0.3">
      <c r="A7866" t="s">
        <v>13385</v>
      </c>
      <c r="B7866" t="s">
        <v>13386</v>
      </c>
      <c r="C7866" t="s">
        <v>13387</v>
      </c>
      <c r="D7866">
        <v>104862749</v>
      </c>
      <c r="E7866">
        <v>4.3099999999999996</v>
      </c>
      <c r="F7866">
        <v>7.46</v>
      </c>
    </row>
    <row r="7867" spans="1:6" x14ac:dyDescent="0.3">
      <c r="A7867" t="s">
        <v>13388</v>
      </c>
      <c r="B7867" t="s">
        <v>12626</v>
      </c>
      <c r="C7867" t="s">
        <v>13389</v>
      </c>
      <c r="D7867">
        <v>104864302</v>
      </c>
      <c r="E7867" t="s">
        <v>3814</v>
      </c>
      <c r="F7867">
        <v>6.39</v>
      </c>
    </row>
    <row r="7868" spans="1:6" x14ac:dyDescent="0.3">
      <c r="A7868" t="s">
        <v>1838</v>
      </c>
      <c r="B7868" t="s">
        <v>5696</v>
      </c>
      <c r="C7868" t="s">
        <v>1352</v>
      </c>
      <c r="D7868">
        <v>104895221</v>
      </c>
      <c r="E7868">
        <v>20</v>
      </c>
      <c r="F7868">
        <v>5</v>
      </c>
    </row>
    <row r="7869" spans="1:6" x14ac:dyDescent="0.3">
      <c r="A7869" t="s">
        <v>13390</v>
      </c>
      <c r="B7869" t="s">
        <v>7130</v>
      </c>
      <c r="C7869" t="s">
        <v>11020</v>
      </c>
      <c r="D7869">
        <v>104904791</v>
      </c>
      <c r="E7869">
        <v>2.15</v>
      </c>
      <c r="F7869">
        <v>6.02</v>
      </c>
    </row>
    <row r="7870" spans="1:6" x14ac:dyDescent="0.3">
      <c r="A7870" t="s">
        <v>13391</v>
      </c>
      <c r="B7870" t="s">
        <v>13392</v>
      </c>
      <c r="C7870" t="s">
        <v>10966</v>
      </c>
      <c r="D7870">
        <v>104925702</v>
      </c>
      <c r="E7870">
        <v>13.96</v>
      </c>
      <c r="F7870">
        <v>7.04</v>
      </c>
    </row>
    <row r="7871" spans="1:6" x14ac:dyDescent="0.3">
      <c r="A7871" t="s">
        <v>13393</v>
      </c>
      <c r="B7871" t="s">
        <v>4026</v>
      </c>
      <c r="C7871" t="s">
        <v>3253</v>
      </c>
      <c r="D7871">
        <v>104929284</v>
      </c>
      <c r="E7871">
        <v>2.42</v>
      </c>
      <c r="F7871">
        <v>7.5</v>
      </c>
    </row>
    <row r="7872" spans="1:6" x14ac:dyDescent="0.3">
      <c r="A7872" t="s">
        <v>13394</v>
      </c>
      <c r="B7872" t="s">
        <v>8417</v>
      </c>
      <c r="C7872" t="s">
        <v>11852</v>
      </c>
      <c r="D7872">
        <v>104939118</v>
      </c>
      <c r="E7872">
        <v>3.6</v>
      </c>
      <c r="F7872">
        <v>7.59</v>
      </c>
    </row>
    <row r="7873" spans="1:6" x14ac:dyDescent="0.3">
      <c r="A7873" t="s">
        <v>13395</v>
      </c>
      <c r="B7873" t="s">
        <v>13396</v>
      </c>
      <c r="C7873" t="s">
        <v>12895</v>
      </c>
      <c r="D7873">
        <v>104957364</v>
      </c>
      <c r="E7873" t="s">
        <v>3814</v>
      </c>
      <c r="F7873">
        <v>8.75</v>
      </c>
    </row>
    <row r="7874" spans="1:6" x14ac:dyDescent="0.3">
      <c r="A7874" t="s">
        <v>13397</v>
      </c>
      <c r="B7874" t="s">
        <v>13398</v>
      </c>
      <c r="C7874" t="s">
        <v>13399</v>
      </c>
      <c r="D7874">
        <v>104968496</v>
      </c>
      <c r="E7874">
        <v>10.87</v>
      </c>
      <c r="F7874">
        <v>7.27</v>
      </c>
    </row>
    <row r="7875" spans="1:6" x14ac:dyDescent="0.3">
      <c r="A7875" t="s">
        <v>13400</v>
      </c>
      <c r="B7875" t="s">
        <v>13401</v>
      </c>
      <c r="C7875" t="s">
        <v>13402</v>
      </c>
      <c r="D7875">
        <v>104972587</v>
      </c>
      <c r="E7875" t="s">
        <v>3814</v>
      </c>
      <c r="F7875">
        <v>6.1</v>
      </c>
    </row>
    <row r="7876" spans="1:6" x14ac:dyDescent="0.3">
      <c r="A7876" t="s">
        <v>13403</v>
      </c>
      <c r="B7876" t="s">
        <v>11279</v>
      </c>
      <c r="C7876" t="s">
        <v>13404</v>
      </c>
      <c r="D7876">
        <v>104978334</v>
      </c>
      <c r="E7876">
        <v>19</v>
      </c>
      <c r="F7876">
        <v>7.25</v>
      </c>
    </row>
    <row r="7877" spans="1:6" x14ac:dyDescent="0.3">
      <c r="A7877" t="s">
        <v>13405</v>
      </c>
      <c r="B7877" t="s">
        <v>9264</v>
      </c>
      <c r="C7877" t="s">
        <v>6352</v>
      </c>
      <c r="D7877">
        <v>104996242</v>
      </c>
      <c r="E7877">
        <v>11.26</v>
      </c>
      <c r="F7877">
        <v>6.94</v>
      </c>
    </row>
    <row r="7878" spans="1:6" x14ac:dyDescent="0.3">
      <c r="A7878" t="s">
        <v>13406</v>
      </c>
      <c r="B7878" t="s">
        <v>13407</v>
      </c>
      <c r="C7878" t="s">
        <v>13408</v>
      </c>
      <c r="D7878">
        <v>105005297</v>
      </c>
      <c r="E7878">
        <v>6.96</v>
      </c>
      <c r="F7878">
        <v>7.42</v>
      </c>
    </row>
    <row r="7879" spans="1:6" x14ac:dyDescent="0.3">
      <c r="A7879" t="s">
        <v>13409</v>
      </c>
      <c r="B7879" t="s">
        <v>5031</v>
      </c>
      <c r="C7879" t="s">
        <v>3649</v>
      </c>
      <c r="D7879">
        <v>105018739</v>
      </c>
      <c r="E7879">
        <v>22.75</v>
      </c>
      <c r="F7879">
        <v>8</v>
      </c>
    </row>
    <row r="7880" spans="1:6" x14ac:dyDescent="0.3">
      <c r="A7880" t="s">
        <v>13410</v>
      </c>
      <c r="B7880" t="s">
        <v>13411</v>
      </c>
      <c r="C7880" t="s">
        <v>13412</v>
      </c>
      <c r="D7880">
        <v>105022862</v>
      </c>
      <c r="E7880" t="s">
        <v>3814</v>
      </c>
      <c r="F7880">
        <v>5.75</v>
      </c>
    </row>
    <row r="7881" spans="1:6" x14ac:dyDescent="0.3">
      <c r="A7881" t="s">
        <v>13413</v>
      </c>
      <c r="B7881" t="s">
        <v>9692</v>
      </c>
      <c r="C7881" t="s">
        <v>3551</v>
      </c>
      <c r="D7881">
        <v>105031888</v>
      </c>
      <c r="E7881">
        <v>14.8</v>
      </c>
      <c r="F7881">
        <v>8.57</v>
      </c>
    </row>
    <row r="7882" spans="1:6" x14ac:dyDescent="0.3">
      <c r="A7882" t="s">
        <v>13414</v>
      </c>
      <c r="B7882" t="s">
        <v>13415</v>
      </c>
      <c r="C7882" t="s">
        <v>9695</v>
      </c>
      <c r="D7882">
        <v>105083825</v>
      </c>
      <c r="E7882" t="s">
        <v>3814</v>
      </c>
      <c r="F7882">
        <v>6.37</v>
      </c>
    </row>
    <row r="7883" spans="1:6" x14ac:dyDescent="0.3">
      <c r="A7883" t="s">
        <v>13416</v>
      </c>
      <c r="B7883" t="s">
        <v>12120</v>
      </c>
      <c r="C7883" t="s">
        <v>13417</v>
      </c>
      <c r="D7883">
        <v>105095161</v>
      </c>
      <c r="E7883">
        <v>21</v>
      </c>
      <c r="F7883">
        <v>7.74</v>
      </c>
    </row>
    <row r="7884" spans="1:6" x14ac:dyDescent="0.3">
      <c r="A7884" t="s">
        <v>13418</v>
      </c>
      <c r="B7884" t="s">
        <v>6600</v>
      </c>
      <c r="C7884" t="s">
        <v>13419</v>
      </c>
      <c r="D7884">
        <v>105098696</v>
      </c>
      <c r="E7884" t="s">
        <v>3814</v>
      </c>
      <c r="F7884">
        <v>7.99</v>
      </c>
    </row>
    <row r="7885" spans="1:6" x14ac:dyDescent="0.3">
      <c r="A7885" t="s">
        <v>13420</v>
      </c>
      <c r="B7885" t="s">
        <v>9788</v>
      </c>
      <c r="C7885" t="s">
        <v>9729</v>
      </c>
      <c r="D7885">
        <v>105114233</v>
      </c>
      <c r="E7885">
        <v>21</v>
      </c>
      <c r="F7885">
        <v>5</v>
      </c>
    </row>
    <row r="7886" spans="1:6" x14ac:dyDescent="0.3">
      <c r="A7886" t="s">
        <v>13421</v>
      </c>
      <c r="B7886" t="s">
        <v>13386</v>
      </c>
      <c r="C7886" t="s">
        <v>11061</v>
      </c>
      <c r="D7886">
        <v>105119326</v>
      </c>
      <c r="E7886">
        <v>1.99</v>
      </c>
      <c r="F7886">
        <v>7.48</v>
      </c>
    </row>
    <row r="7887" spans="1:6" x14ac:dyDescent="0.3">
      <c r="A7887" t="s">
        <v>13422</v>
      </c>
      <c r="B7887" t="s">
        <v>13245</v>
      </c>
      <c r="C7887" t="s">
        <v>3839</v>
      </c>
      <c r="D7887">
        <v>105146320</v>
      </c>
      <c r="E7887">
        <v>16.63</v>
      </c>
      <c r="F7887">
        <v>8.08</v>
      </c>
    </row>
    <row r="7888" spans="1:6" x14ac:dyDescent="0.3">
      <c r="A7888" t="s">
        <v>13423</v>
      </c>
      <c r="B7888" t="s">
        <v>12012</v>
      </c>
      <c r="C7888" t="s">
        <v>6985</v>
      </c>
      <c r="D7888">
        <v>105147102</v>
      </c>
      <c r="E7888">
        <v>2.92</v>
      </c>
      <c r="F7888">
        <v>7.33</v>
      </c>
    </row>
    <row r="7889" spans="1:6" x14ac:dyDescent="0.3">
      <c r="A7889" t="s">
        <v>13424</v>
      </c>
      <c r="B7889" t="s">
        <v>3238</v>
      </c>
      <c r="C7889" t="s">
        <v>882</v>
      </c>
      <c r="D7889">
        <v>105153123</v>
      </c>
      <c r="E7889">
        <v>2.2000000000000002</v>
      </c>
      <c r="F7889">
        <v>7.17</v>
      </c>
    </row>
    <row r="7890" spans="1:6" x14ac:dyDescent="0.3">
      <c r="A7890" t="s">
        <v>13425</v>
      </c>
      <c r="B7890" t="s">
        <v>13426</v>
      </c>
      <c r="C7890" t="s">
        <v>3351</v>
      </c>
      <c r="D7890">
        <v>105154148</v>
      </c>
      <c r="E7890" t="s">
        <v>3814</v>
      </c>
      <c r="F7890">
        <v>6</v>
      </c>
    </row>
    <row r="7891" spans="1:6" x14ac:dyDescent="0.3">
      <c r="A7891" t="s">
        <v>13427</v>
      </c>
      <c r="B7891" t="s">
        <v>8838</v>
      </c>
      <c r="C7891" t="s">
        <v>7632</v>
      </c>
      <c r="D7891">
        <v>105182952</v>
      </c>
      <c r="E7891">
        <v>1.8</v>
      </c>
      <c r="F7891">
        <v>7.45</v>
      </c>
    </row>
    <row r="7892" spans="1:6" x14ac:dyDescent="0.3">
      <c r="A7892" t="s">
        <v>13428</v>
      </c>
      <c r="B7892" t="s">
        <v>13429</v>
      </c>
      <c r="C7892" t="s">
        <v>13430</v>
      </c>
      <c r="D7892">
        <v>105189665</v>
      </c>
      <c r="E7892">
        <v>23.67</v>
      </c>
      <c r="F7892">
        <v>5.67</v>
      </c>
    </row>
    <row r="7893" spans="1:6" x14ac:dyDescent="0.3">
      <c r="A7893" t="s">
        <v>13431</v>
      </c>
      <c r="B7893" t="s">
        <v>13432</v>
      </c>
      <c r="C7893" t="s">
        <v>13433</v>
      </c>
      <c r="D7893">
        <v>105192015</v>
      </c>
      <c r="E7893" t="s">
        <v>3814</v>
      </c>
      <c r="F7893">
        <v>7.13</v>
      </c>
    </row>
    <row r="7894" spans="1:6" x14ac:dyDescent="0.3">
      <c r="A7894" t="s">
        <v>13434</v>
      </c>
      <c r="B7894" t="s">
        <v>13435</v>
      </c>
      <c r="C7894" t="s">
        <v>3470</v>
      </c>
      <c r="D7894">
        <v>105201469</v>
      </c>
      <c r="E7894">
        <v>3.67</v>
      </c>
      <c r="F7894">
        <v>7.09</v>
      </c>
    </row>
    <row r="7895" spans="1:6" x14ac:dyDescent="0.3">
      <c r="A7895" t="s">
        <v>13436</v>
      </c>
      <c r="B7895" t="s">
        <v>10888</v>
      </c>
      <c r="C7895" t="s">
        <v>5780</v>
      </c>
      <c r="D7895">
        <v>105214287</v>
      </c>
      <c r="E7895">
        <v>7.1</v>
      </c>
      <c r="F7895">
        <v>7.36</v>
      </c>
    </row>
    <row r="7896" spans="1:6" x14ac:dyDescent="0.3">
      <c r="A7896" t="s">
        <v>13437</v>
      </c>
      <c r="B7896" t="s">
        <v>9423</v>
      </c>
      <c r="C7896" t="s">
        <v>5121</v>
      </c>
      <c r="D7896">
        <v>105219294</v>
      </c>
      <c r="E7896">
        <v>20.3</v>
      </c>
      <c r="F7896">
        <v>6</v>
      </c>
    </row>
    <row r="7897" spans="1:6" x14ac:dyDescent="0.3">
      <c r="A7897" t="s">
        <v>8170</v>
      </c>
      <c r="B7897" t="s">
        <v>13438</v>
      </c>
      <c r="C7897" t="e">
        <f>-Miami Hotline- Vol.3</f>
        <v>#NAME?</v>
      </c>
      <c r="D7897">
        <v>105231248</v>
      </c>
      <c r="E7897">
        <v>6.54</v>
      </c>
      <c r="F7897">
        <v>9.19</v>
      </c>
    </row>
    <row r="7898" spans="1:6" x14ac:dyDescent="0.3">
      <c r="A7898" t="s">
        <v>13439</v>
      </c>
      <c r="B7898" t="s">
        <v>9884</v>
      </c>
      <c r="C7898" t="s">
        <v>8276</v>
      </c>
      <c r="D7898">
        <v>105250080</v>
      </c>
      <c r="E7898">
        <v>5.34</v>
      </c>
      <c r="F7898">
        <v>5</v>
      </c>
    </row>
    <row r="7899" spans="1:6" x14ac:dyDescent="0.3">
      <c r="A7899" t="s">
        <v>13440</v>
      </c>
      <c r="B7899" t="s">
        <v>8479</v>
      </c>
      <c r="C7899" t="s">
        <v>13441</v>
      </c>
      <c r="D7899">
        <v>105263180</v>
      </c>
      <c r="E7899">
        <v>9.32</v>
      </c>
      <c r="F7899">
        <v>8.67</v>
      </c>
    </row>
    <row r="7900" spans="1:6" x14ac:dyDescent="0.3">
      <c r="A7900" t="s">
        <v>13442</v>
      </c>
      <c r="B7900" t="s">
        <v>13443</v>
      </c>
      <c r="C7900" t="s">
        <v>1843</v>
      </c>
      <c r="D7900">
        <v>105281590</v>
      </c>
      <c r="E7900">
        <v>16.71</v>
      </c>
      <c r="F7900">
        <v>7.86</v>
      </c>
    </row>
    <row r="7901" spans="1:6" x14ac:dyDescent="0.3">
      <c r="A7901" t="s">
        <v>13444</v>
      </c>
      <c r="B7901" t="s">
        <v>13445</v>
      </c>
      <c r="C7901" t="s">
        <v>2961</v>
      </c>
      <c r="D7901">
        <v>105284880</v>
      </c>
      <c r="E7901">
        <v>9.67</v>
      </c>
      <c r="F7901">
        <v>6.29</v>
      </c>
    </row>
    <row r="7902" spans="1:6" x14ac:dyDescent="0.3">
      <c r="A7902" t="s">
        <v>13446</v>
      </c>
      <c r="B7902" t="s">
        <v>5031</v>
      </c>
      <c r="C7902" t="s">
        <v>23</v>
      </c>
      <c r="D7902">
        <v>105290756</v>
      </c>
      <c r="E7902">
        <v>21.64</v>
      </c>
      <c r="F7902">
        <v>5.63</v>
      </c>
    </row>
    <row r="7903" spans="1:6" x14ac:dyDescent="0.3">
      <c r="A7903" t="s">
        <v>13447</v>
      </c>
      <c r="B7903" t="s">
        <v>1706</v>
      </c>
      <c r="C7903" t="s">
        <v>13448</v>
      </c>
      <c r="D7903">
        <v>105299008</v>
      </c>
      <c r="E7903" t="s">
        <v>3814</v>
      </c>
      <c r="F7903">
        <v>9.5</v>
      </c>
    </row>
    <row r="7904" spans="1:6" x14ac:dyDescent="0.3">
      <c r="A7904" t="s">
        <v>13449</v>
      </c>
      <c r="B7904" t="s">
        <v>10965</v>
      </c>
      <c r="C7904" t="s">
        <v>13450</v>
      </c>
      <c r="D7904">
        <v>105325610</v>
      </c>
      <c r="E7904">
        <v>2.14</v>
      </c>
      <c r="F7904">
        <v>7.75</v>
      </c>
    </row>
    <row r="7905" spans="1:6" x14ac:dyDescent="0.3">
      <c r="A7905" t="s">
        <v>13451</v>
      </c>
      <c r="B7905" t="s">
        <v>13452</v>
      </c>
      <c r="C7905" t="s">
        <v>7299</v>
      </c>
      <c r="D7905">
        <v>105330253</v>
      </c>
      <c r="E7905">
        <v>10</v>
      </c>
      <c r="F7905">
        <v>7.64</v>
      </c>
    </row>
    <row r="7906" spans="1:6" x14ac:dyDescent="0.3">
      <c r="A7906" t="s">
        <v>13453</v>
      </c>
      <c r="B7906" t="s">
        <v>9135</v>
      </c>
      <c r="C7906" t="s">
        <v>5849</v>
      </c>
      <c r="D7906">
        <v>105345862</v>
      </c>
      <c r="E7906">
        <v>6.98</v>
      </c>
      <c r="F7906">
        <v>6.68</v>
      </c>
    </row>
    <row r="7907" spans="1:6" x14ac:dyDescent="0.3">
      <c r="A7907" t="s">
        <v>13454</v>
      </c>
      <c r="B7907" t="s">
        <v>6226</v>
      </c>
      <c r="C7907" t="s">
        <v>3141</v>
      </c>
      <c r="D7907">
        <v>105382136</v>
      </c>
      <c r="E7907" t="s">
        <v>3814</v>
      </c>
      <c r="F7907">
        <v>4.16</v>
      </c>
    </row>
    <row r="7908" spans="1:6" x14ac:dyDescent="0.3">
      <c r="A7908" t="s">
        <v>13455</v>
      </c>
      <c r="B7908" t="s">
        <v>12461</v>
      </c>
      <c r="C7908" t="s">
        <v>13456</v>
      </c>
      <c r="D7908">
        <v>105383537</v>
      </c>
      <c r="E7908">
        <v>3.25</v>
      </c>
      <c r="F7908">
        <v>6.77</v>
      </c>
    </row>
    <row r="7909" spans="1:6" x14ac:dyDescent="0.3">
      <c r="A7909" t="s">
        <v>13457</v>
      </c>
      <c r="B7909" t="s">
        <v>13458</v>
      </c>
      <c r="C7909" t="s">
        <v>13459</v>
      </c>
      <c r="D7909">
        <v>105394274</v>
      </c>
      <c r="E7909">
        <v>10.75</v>
      </c>
      <c r="F7909">
        <v>7.75</v>
      </c>
    </row>
    <row r="7910" spans="1:6" x14ac:dyDescent="0.3">
      <c r="A7910" t="s">
        <v>13460</v>
      </c>
      <c r="B7910" t="s">
        <v>8838</v>
      </c>
      <c r="C7910" t="s">
        <v>10370</v>
      </c>
      <c r="D7910">
        <v>105409034</v>
      </c>
      <c r="E7910">
        <v>21</v>
      </c>
      <c r="F7910">
        <v>6.33</v>
      </c>
    </row>
    <row r="7911" spans="1:6" x14ac:dyDescent="0.3">
      <c r="A7911" t="s">
        <v>13461</v>
      </c>
      <c r="B7911" t="s">
        <v>13462</v>
      </c>
      <c r="C7911" t="s">
        <v>12410</v>
      </c>
      <c r="D7911">
        <v>105429183</v>
      </c>
      <c r="E7911">
        <v>3.35</v>
      </c>
      <c r="F7911">
        <v>7.67</v>
      </c>
    </row>
    <row r="7912" spans="1:6" x14ac:dyDescent="0.3">
      <c r="A7912" t="s">
        <v>13463</v>
      </c>
      <c r="B7912" t="s">
        <v>13464</v>
      </c>
      <c r="C7912" t="s">
        <v>13465</v>
      </c>
      <c r="D7912">
        <v>105440787</v>
      </c>
      <c r="E7912">
        <v>3.8</v>
      </c>
      <c r="F7912">
        <v>7.07</v>
      </c>
    </row>
    <row r="7913" spans="1:6" x14ac:dyDescent="0.3">
      <c r="A7913" t="s">
        <v>13466</v>
      </c>
      <c r="B7913" t="s">
        <v>13429</v>
      </c>
      <c r="C7913" t="s">
        <v>13467</v>
      </c>
      <c r="D7913">
        <v>105448036</v>
      </c>
      <c r="E7913">
        <v>9.84</v>
      </c>
      <c r="F7913">
        <v>8.08</v>
      </c>
    </row>
    <row r="7914" spans="1:6" x14ac:dyDescent="0.3">
      <c r="A7914" t="s">
        <v>13468</v>
      </c>
      <c r="B7914" t="s">
        <v>13469</v>
      </c>
      <c r="C7914" t="s">
        <v>956</v>
      </c>
      <c r="D7914">
        <v>105453159</v>
      </c>
      <c r="E7914">
        <v>3.64</v>
      </c>
      <c r="F7914">
        <v>8.2799999999999994</v>
      </c>
    </row>
    <row r="7915" spans="1:6" x14ac:dyDescent="0.3">
      <c r="A7915" t="s">
        <v>13470</v>
      </c>
      <c r="B7915" t="s">
        <v>12767</v>
      </c>
      <c r="C7915" t="s">
        <v>13471</v>
      </c>
      <c r="D7915">
        <v>105482895</v>
      </c>
      <c r="E7915" t="s">
        <v>3814</v>
      </c>
      <c r="F7915">
        <v>6.91</v>
      </c>
    </row>
    <row r="7916" spans="1:6" x14ac:dyDescent="0.3">
      <c r="A7916" t="s">
        <v>13472</v>
      </c>
      <c r="B7916" t="s">
        <v>6887</v>
      </c>
      <c r="C7916" t="s">
        <v>13473</v>
      </c>
      <c r="D7916">
        <v>105524765</v>
      </c>
      <c r="E7916">
        <v>2.7</v>
      </c>
      <c r="F7916">
        <v>6.3</v>
      </c>
    </row>
    <row r="7917" spans="1:6" x14ac:dyDescent="0.3">
      <c r="A7917" t="s">
        <v>13474</v>
      </c>
      <c r="B7917" t="s">
        <v>12524</v>
      </c>
      <c r="C7917" t="s">
        <v>13465</v>
      </c>
      <c r="D7917">
        <v>105528721</v>
      </c>
      <c r="E7917">
        <v>2.3199999999999998</v>
      </c>
      <c r="F7917">
        <v>7.63</v>
      </c>
    </row>
    <row r="7918" spans="1:6" x14ac:dyDescent="0.3">
      <c r="A7918" t="s">
        <v>13475</v>
      </c>
      <c r="B7918" t="s">
        <v>13476</v>
      </c>
      <c r="C7918" t="s">
        <v>12561</v>
      </c>
      <c r="D7918">
        <v>105549257</v>
      </c>
      <c r="E7918" t="s">
        <v>3814</v>
      </c>
      <c r="F7918">
        <v>1.5</v>
      </c>
    </row>
    <row r="7919" spans="1:6" x14ac:dyDescent="0.3">
      <c r="A7919" t="s">
        <v>13477</v>
      </c>
      <c r="B7919" t="s">
        <v>4913</v>
      </c>
      <c r="C7919" t="s">
        <v>5811</v>
      </c>
      <c r="D7919">
        <v>105561488</v>
      </c>
      <c r="E7919">
        <v>9.1999999999999993</v>
      </c>
      <c r="F7919">
        <v>7</v>
      </c>
    </row>
    <row r="7920" spans="1:6" x14ac:dyDescent="0.3">
      <c r="A7920" t="s">
        <v>13478</v>
      </c>
      <c r="B7920" t="s">
        <v>13030</v>
      </c>
      <c r="C7920" t="s">
        <v>13479</v>
      </c>
      <c r="D7920">
        <v>105567157</v>
      </c>
      <c r="E7920" t="s">
        <v>3814</v>
      </c>
      <c r="F7920">
        <v>10</v>
      </c>
    </row>
    <row r="7921" spans="1:6" x14ac:dyDescent="0.3">
      <c r="A7921" t="s">
        <v>13480</v>
      </c>
      <c r="B7921" t="s">
        <v>12506</v>
      </c>
      <c r="C7921" t="s">
        <v>3470</v>
      </c>
      <c r="D7921">
        <v>105574174</v>
      </c>
      <c r="E7921" t="s">
        <v>3814</v>
      </c>
      <c r="F7921">
        <v>7.42</v>
      </c>
    </row>
    <row r="7922" spans="1:6" x14ac:dyDescent="0.3">
      <c r="A7922" t="s">
        <v>13481</v>
      </c>
      <c r="B7922" t="s">
        <v>5407</v>
      </c>
      <c r="C7922" t="s">
        <v>13482</v>
      </c>
      <c r="D7922">
        <v>105593215</v>
      </c>
      <c r="E7922">
        <v>34</v>
      </c>
      <c r="F7922">
        <v>2</v>
      </c>
    </row>
    <row r="7923" spans="1:6" x14ac:dyDescent="0.3">
      <c r="A7923" t="s">
        <v>13483</v>
      </c>
      <c r="B7923" t="s">
        <v>1576</v>
      </c>
      <c r="C7923" t="s">
        <v>11720</v>
      </c>
      <c r="D7923">
        <v>105608796</v>
      </c>
      <c r="E7923" t="s">
        <v>3814</v>
      </c>
      <c r="F7923">
        <v>6.68</v>
      </c>
    </row>
    <row r="7924" spans="1:6" x14ac:dyDescent="0.3">
      <c r="A7924" t="s">
        <v>13484</v>
      </c>
      <c r="B7924" t="s">
        <v>13485</v>
      </c>
      <c r="C7924" t="s">
        <v>4033</v>
      </c>
      <c r="D7924">
        <v>105608980</v>
      </c>
      <c r="E7924" t="s">
        <v>3814</v>
      </c>
      <c r="F7924">
        <v>7.45</v>
      </c>
    </row>
    <row r="7925" spans="1:6" x14ac:dyDescent="0.3">
      <c r="A7925" t="s">
        <v>13486</v>
      </c>
      <c r="B7925" t="s">
        <v>13487</v>
      </c>
      <c r="C7925" t="s">
        <v>3351</v>
      </c>
      <c r="D7925">
        <v>105609694</v>
      </c>
      <c r="E7925">
        <v>21.5</v>
      </c>
      <c r="F7925">
        <v>7.75</v>
      </c>
    </row>
    <row r="7926" spans="1:6" x14ac:dyDescent="0.3">
      <c r="A7926" t="s">
        <v>13488</v>
      </c>
      <c r="B7926" t="s">
        <v>10084</v>
      </c>
      <c r="C7926" t="s">
        <v>1573</v>
      </c>
      <c r="D7926">
        <v>105625871</v>
      </c>
      <c r="E7926" t="s">
        <v>3814</v>
      </c>
      <c r="F7926" t="s">
        <v>3814</v>
      </c>
    </row>
    <row r="7927" spans="1:6" x14ac:dyDescent="0.3">
      <c r="A7927" t="s">
        <v>13489</v>
      </c>
      <c r="B7927" t="s">
        <v>13490</v>
      </c>
      <c r="C7927" t="s">
        <v>13491</v>
      </c>
      <c r="D7927">
        <v>105627215</v>
      </c>
      <c r="E7927">
        <v>21</v>
      </c>
      <c r="F7927">
        <v>8</v>
      </c>
    </row>
    <row r="7928" spans="1:6" x14ac:dyDescent="0.3">
      <c r="A7928" t="s">
        <v>13492</v>
      </c>
      <c r="B7928" t="s">
        <v>13493</v>
      </c>
      <c r="C7928" t="s">
        <v>845</v>
      </c>
      <c r="D7928">
        <v>105640254</v>
      </c>
      <c r="E7928">
        <v>22.67</v>
      </c>
      <c r="F7928">
        <v>6.33</v>
      </c>
    </row>
    <row r="7929" spans="1:6" x14ac:dyDescent="0.3">
      <c r="A7929" t="s">
        <v>13494</v>
      </c>
      <c r="B7929" t="s">
        <v>10802</v>
      </c>
      <c r="C7929" t="s">
        <v>11124</v>
      </c>
      <c r="D7929">
        <v>105645745</v>
      </c>
      <c r="E7929">
        <v>8.35</v>
      </c>
      <c r="F7929">
        <v>8.9</v>
      </c>
    </row>
    <row r="7930" spans="1:6" x14ac:dyDescent="0.3">
      <c r="A7930" t="s">
        <v>13495</v>
      </c>
      <c r="B7930" t="s">
        <v>5238</v>
      </c>
      <c r="C7930" t="s">
        <v>89</v>
      </c>
      <c r="D7930">
        <v>105659187</v>
      </c>
      <c r="E7930">
        <v>4.8</v>
      </c>
      <c r="F7930">
        <v>6.4</v>
      </c>
    </row>
    <row r="7931" spans="1:6" x14ac:dyDescent="0.3">
      <c r="A7931" t="s">
        <v>13496</v>
      </c>
      <c r="B7931" t="s">
        <v>13497</v>
      </c>
      <c r="C7931" t="s">
        <v>6072</v>
      </c>
      <c r="D7931">
        <v>105690190</v>
      </c>
      <c r="E7931">
        <v>16.2</v>
      </c>
      <c r="F7931">
        <v>7.8</v>
      </c>
    </row>
    <row r="7932" spans="1:6" x14ac:dyDescent="0.3">
      <c r="A7932" t="s">
        <v>13498</v>
      </c>
      <c r="B7932" t="s">
        <v>8417</v>
      </c>
      <c r="C7932" t="s">
        <v>5849</v>
      </c>
      <c r="D7932">
        <v>105692501</v>
      </c>
      <c r="E7932">
        <v>2.02</v>
      </c>
      <c r="F7932">
        <v>7.48</v>
      </c>
    </row>
    <row r="7933" spans="1:6" x14ac:dyDescent="0.3">
      <c r="A7933" t="s">
        <v>13499</v>
      </c>
      <c r="B7933" t="s">
        <v>13268</v>
      </c>
      <c r="C7933" t="s">
        <v>3126</v>
      </c>
      <c r="D7933">
        <v>105724358</v>
      </c>
      <c r="E7933" t="s">
        <v>3814</v>
      </c>
      <c r="F7933">
        <v>7</v>
      </c>
    </row>
    <row r="7934" spans="1:6" x14ac:dyDescent="0.3">
      <c r="A7934" t="s">
        <v>13500</v>
      </c>
      <c r="B7934" t="s">
        <v>13501</v>
      </c>
      <c r="C7934" t="s">
        <v>11020</v>
      </c>
      <c r="D7934">
        <v>105733680</v>
      </c>
      <c r="E7934">
        <v>1.25</v>
      </c>
      <c r="F7934">
        <v>7.21</v>
      </c>
    </row>
    <row r="7935" spans="1:6" x14ac:dyDescent="0.3">
      <c r="A7935" t="s">
        <v>13502</v>
      </c>
      <c r="B7935" t="s">
        <v>13386</v>
      </c>
      <c r="C7935" t="s">
        <v>7111</v>
      </c>
      <c r="D7935">
        <v>105741958</v>
      </c>
      <c r="E7935">
        <v>18.75</v>
      </c>
      <c r="F7935">
        <v>6.5</v>
      </c>
    </row>
    <row r="7936" spans="1:6" x14ac:dyDescent="0.3">
      <c r="A7936" t="s">
        <v>13503</v>
      </c>
      <c r="B7936" t="s">
        <v>12032</v>
      </c>
      <c r="C7936" t="s">
        <v>13504</v>
      </c>
      <c r="D7936">
        <v>105746019</v>
      </c>
      <c r="E7936">
        <v>2.61</v>
      </c>
      <c r="F7936">
        <v>6.29</v>
      </c>
    </row>
    <row r="7937" spans="1:6" x14ac:dyDescent="0.3">
      <c r="A7937" t="s">
        <v>13505</v>
      </c>
      <c r="B7937" t="s">
        <v>12970</v>
      </c>
      <c r="C7937" t="s">
        <v>5841</v>
      </c>
      <c r="D7937">
        <v>105746944</v>
      </c>
      <c r="E7937">
        <v>12.5</v>
      </c>
      <c r="F7937">
        <v>7.33</v>
      </c>
    </row>
    <row r="7938" spans="1:6" x14ac:dyDescent="0.3">
      <c r="A7938" t="s">
        <v>13506</v>
      </c>
      <c r="B7938" t="s">
        <v>13507</v>
      </c>
      <c r="C7938" t="s">
        <v>13508</v>
      </c>
      <c r="D7938">
        <v>105748155</v>
      </c>
      <c r="E7938">
        <v>34</v>
      </c>
      <c r="F7938">
        <v>1</v>
      </c>
    </row>
    <row r="7939" spans="1:6" x14ac:dyDescent="0.3">
      <c r="A7939" t="s">
        <v>13509</v>
      </c>
      <c r="B7939" t="s">
        <v>7629</v>
      </c>
      <c r="C7939" t="s">
        <v>7967</v>
      </c>
      <c r="D7939">
        <v>105759997</v>
      </c>
      <c r="E7939" t="s">
        <v>3814</v>
      </c>
      <c r="F7939">
        <v>3.2</v>
      </c>
    </row>
    <row r="7940" spans="1:6" x14ac:dyDescent="0.3">
      <c r="A7940" t="s">
        <v>13510</v>
      </c>
      <c r="B7940" t="s">
        <v>5763</v>
      </c>
      <c r="C7940" t="s">
        <v>13511</v>
      </c>
      <c r="D7940">
        <v>105795078</v>
      </c>
      <c r="E7940">
        <v>1.04</v>
      </c>
      <c r="F7940">
        <v>7.4</v>
      </c>
    </row>
    <row r="7941" spans="1:6" x14ac:dyDescent="0.3">
      <c r="A7941" t="s">
        <v>13512</v>
      </c>
      <c r="B7941" t="s">
        <v>13513</v>
      </c>
      <c r="C7941" t="s">
        <v>13287</v>
      </c>
      <c r="D7941">
        <v>105797326</v>
      </c>
      <c r="E7941">
        <v>5.56</v>
      </c>
      <c r="F7941">
        <v>6.25</v>
      </c>
    </row>
    <row r="7942" spans="1:6" x14ac:dyDescent="0.3">
      <c r="A7942" t="s">
        <v>13514</v>
      </c>
      <c r="B7942" t="s">
        <v>13515</v>
      </c>
      <c r="C7942" t="s">
        <v>13516</v>
      </c>
      <c r="D7942">
        <v>105818208</v>
      </c>
      <c r="E7942">
        <v>15.51</v>
      </c>
      <c r="F7942">
        <v>9.08</v>
      </c>
    </row>
    <row r="7943" spans="1:6" x14ac:dyDescent="0.3">
      <c r="A7943" t="s">
        <v>13517</v>
      </c>
      <c r="B7943" t="s">
        <v>6667</v>
      </c>
      <c r="C7943" t="s">
        <v>1205</v>
      </c>
      <c r="D7943">
        <v>105834559</v>
      </c>
      <c r="E7943">
        <v>21</v>
      </c>
      <c r="F7943">
        <v>8</v>
      </c>
    </row>
    <row r="7944" spans="1:6" x14ac:dyDescent="0.3">
      <c r="A7944" t="s">
        <v>13518</v>
      </c>
      <c r="B7944" t="s">
        <v>10951</v>
      </c>
      <c r="C7944" t="s">
        <v>13519</v>
      </c>
      <c r="D7944">
        <v>105835775</v>
      </c>
      <c r="E7944">
        <v>13.09</v>
      </c>
      <c r="F7944">
        <v>9.5500000000000007</v>
      </c>
    </row>
    <row r="7945" spans="1:6" x14ac:dyDescent="0.3">
      <c r="A7945" t="s">
        <v>13520</v>
      </c>
      <c r="B7945" t="s">
        <v>13398</v>
      </c>
      <c r="C7945" t="s">
        <v>13521</v>
      </c>
      <c r="D7945">
        <v>105838611</v>
      </c>
      <c r="E7945">
        <v>11.45</v>
      </c>
      <c r="F7945">
        <v>8.5500000000000007</v>
      </c>
    </row>
    <row r="7946" spans="1:6" x14ac:dyDescent="0.3">
      <c r="A7946" t="s">
        <v>13522</v>
      </c>
      <c r="B7946" t="s">
        <v>3212</v>
      </c>
      <c r="C7946" t="s">
        <v>20</v>
      </c>
      <c r="D7946">
        <v>105850197</v>
      </c>
      <c r="E7946">
        <v>13.65</v>
      </c>
      <c r="F7946">
        <v>7.82</v>
      </c>
    </row>
    <row r="7947" spans="1:6" x14ac:dyDescent="0.3">
      <c r="A7947" t="s">
        <v>13523</v>
      </c>
      <c r="B7947" t="s">
        <v>13524</v>
      </c>
      <c r="C7947" t="s">
        <v>13525</v>
      </c>
      <c r="D7947">
        <v>105853793</v>
      </c>
      <c r="E7947">
        <v>2.88</v>
      </c>
      <c r="F7947">
        <v>7</v>
      </c>
    </row>
    <row r="7948" spans="1:6" x14ac:dyDescent="0.3">
      <c r="A7948" t="s">
        <v>13526</v>
      </c>
      <c r="B7948" t="s">
        <v>2519</v>
      </c>
      <c r="C7948" t="s">
        <v>13527</v>
      </c>
      <c r="D7948">
        <v>105879252</v>
      </c>
      <c r="E7948">
        <v>3.55</v>
      </c>
      <c r="F7948">
        <v>6.52</v>
      </c>
    </row>
    <row r="7949" spans="1:6" x14ac:dyDescent="0.3">
      <c r="A7949" t="s">
        <v>13528</v>
      </c>
      <c r="B7949" t="s">
        <v>9780</v>
      </c>
      <c r="C7949" t="s">
        <v>13529</v>
      </c>
      <c r="D7949">
        <v>105881227</v>
      </c>
      <c r="E7949">
        <v>5.45</v>
      </c>
      <c r="F7949">
        <v>6</v>
      </c>
    </row>
    <row r="7950" spans="1:6" x14ac:dyDescent="0.3">
      <c r="A7950" t="s">
        <v>13530</v>
      </c>
      <c r="B7950" t="s">
        <v>8984</v>
      </c>
      <c r="C7950" t="s">
        <v>13531</v>
      </c>
      <c r="D7950">
        <v>105884231</v>
      </c>
      <c r="E7950">
        <v>21.75</v>
      </c>
      <c r="F7950">
        <v>6.25</v>
      </c>
    </row>
    <row r="7951" spans="1:6" x14ac:dyDescent="0.3">
      <c r="A7951" t="s">
        <v>13532</v>
      </c>
      <c r="B7951" t="s">
        <v>13533</v>
      </c>
      <c r="C7951" t="s">
        <v>11805</v>
      </c>
      <c r="D7951">
        <v>105920590</v>
      </c>
      <c r="E7951">
        <v>13.74</v>
      </c>
      <c r="F7951">
        <v>8.8699999999999992</v>
      </c>
    </row>
    <row r="7952" spans="1:6" x14ac:dyDescent="0.3">
      <c r="A7952" t="s">
        <v>13534</v>
      </c>
      <c r="B7952" t="s">
        <v>13170</v>
      </c>
      <c r="C7952" t="s">
        <v>13535</v>
      </c>
      <c r="D7952">
        <v>105945506</v>
      </c>
      <c r="E7952">
        <v>10.81</v>
      </c>
      <c r="F7952">
        <v>8.08</v>
      </c>
    </row>
    <row r="7953" spans="1:6" x14ac:dyDescent="0.3">
      <c r="A7953" t="s">
        <v>13536</v>
      </c>
      <c r="B7953" t="s">
        <v>13537</v>
      </c>
      <c r="C7953" t="s">
        <v>13538</v>
      </c>
      <c r="D7953">
        <v>105945985</v>
      </c>
      <c r="E7953">
        <v>24</v>
      </c>
      <c r="F7953">
        <v>5</v>
      </c>
    </row>
    <row r="7954" spans="1:6" x14ac:dyDescent="0.3">
      <c r="A7954" t="s">
        <v>13539</v>
      </c>
      <c r="B7954" t="s">
        <v>8376</v>
      </c>
      <c r="C7954" t="s">
        <v>7606</v>
      </c>
      <c r="D7954">
        <v>105946232</v>
      </c>
      <c r="E7954">
        <v>2.85</v>
      </c>
      <c r="F7954">
        <v>7.21</v>
      </c>
    </row>
    <row r="7955" spans="1:6" x14ac:dyDescent="0.3">
      <c r="A7955" t="s">
        <v>13540</v>
      </c>
      <c r="B7955" t="s">
        <v>12777</v>
      </c>
      <c r="C7955" t="s">
        <v>13541</v>
      </c>
      <c r="D7955">
        <v>105955600</v>
      </c>
      <c r="E7955" t="s">
        <v>3814</v>
      </c>
      <c r="F7955">
        <v>6.47</v>
      </c>
    </row>
    <row r="7956" spans="1:6" x14ac:dyDescent="0.3">
      <c r="A7956" t="s">
        <v>13542</v>
      </c>
      <c r="B7956" t="s">
        <v>13543</v>
      </c>
      <c r="C7956" t="s">
        <v>4808</v>
      </c>
      <c r="D7956">
        <v>105959690</v>
      </c>
      <c r="E7956">
        <v>3.16</v>
      </c>
      <c r="F7956">
        <v>6.82</v>
      </c>
    </row>
    <row r="7957" spans="1:6" x14ac:dyDescent="0.3">
      <c r="A7957" t="s">
        <v>13544</v>
      </c>
      <c r="B7957" t="s">
        <v>3166</v>
      </c>
      <c r="C7957" t="s">
        <v>13545</v>
      </c>
      <c r="D7957">
        <v>105978905</v>
      </c>
      <c r="E7957">
        <v>1.64</v>
      </c>
      <c r="F7957">
        <v>6.6</v>
      </c>
    </row>
    <row r="7958" spans="1:6" x14ac:dyDescent="0.3">
      <c r="A7958" t="s">
        <v>13546</v>
      </c>
      <c r="B7958" t="s">
        <v>12506</v>
      </c>
      <c r="C7958" t="s">
        <v>4003</v>
      </c>
      <c r="D7958">
        <v>105980262</v>
      </c>
      <c r="E7958" t="s">
        <v>3814</v>
      </c>
      <c r="F7958">
        <v>7.55</v>
      </c>
    </row>
    <row r="7959" spans="1:6" x14ac:dyDescent="0.3">
      <c r="A7959" t="s">
        <v>13547</v>
      </c>
      <c r="B7959" t="s">
        <v>12696</v>
      </c>
      <c r="C7959" t="s">
        <v>13548</v>
      </c>
      <c r="D7959">
        <v>106020627</v>
      </c>
      <c r="E7959" t="s">
        <v>3814</v>
      </c>
      <c r="F7959">
        <v>7.5</v>
      </c>
    </row>
    <row r="7960" spans="1:6" x14ac:dyDescent="0.3">
      <c r="A7960" t="s">
        <v>13549</v>
      </c>
      <c r="B7960" t="s">
        <v>7152</v>
      </c>
      <c r="C7960" t="s">
        <v>13550</v>
      </c>
      <c r="D7960">
        <v>106023127</v>
      </c>
      <c r="E7960" t="s">
        <v>3814</v>
      </c>
      <c r="F7960">
        <v>7.07</v>
      </c>
    </row>
    <row r="7961" spans="1:6" x14ac:dyDescent="0.3">
      <c r="A7961" t="s">
        <v>13551</v>
      </c>
      <c r="B7961" t="s">
        <v>13552</v>
      </c>
      <c r="C7961" t="s">
        <v>7570</v>
      </c>
      <c r="D7961">
        <v>106031478</v>
      </c>
      <c r="E7961">
        <v>3.46</v>
      </c>
      <c r="F7961">
        <v>7</v>
      </c>
    </row>
    <row r="7962" spans="1:6" x14ac:dyDescent="0.3">
      <c r="A7962" t="s">
        <v>13553</v>
      </c>
      <c r="B7962" t="s">
        <v>13554</v>
      </c>
      <c r="C7962" t="s">
        <v>13553</v>
      </c>
      <c r="D7962">
        <v>106042187</v>
      </c>
      <c r="E7962">
        <v>10.64</v>
      </c>
      <c r="F7962">
        <v>7.83</v>
      </c>
    </row>
    <row r="7963" spans="1:6" x14ac:dyDescent="0.3">
      <c r="A7963" t="s">
        <v>13555</v>
      </c>
      <c r="B7963" t="s">
        <v>13556</v>
      </c>
      <c r="C7963" t="s">
        <v>4247</v>
      </c>
      <c r="D7963">
        <v>106067439</v>
      </c>
      <c r="E7963">
        <v>3.58</v>
      </c>
      <c r="F7963">
        <v>6.17</v>
      </c>
    </row>
    <row r="7964" spans="1:6" x14ac:dyDescent="0.3">
      <c r="A7964" t="s">
        <v>13557</v>
      </c>
      <c r="B7964" t="s">
        <v>4561</v>
      </c>
      <c r="C7964" t="s">
        <v>13558</v>
      </c>
      <c r="D7964">
        <v>106074128</v>
      </c>
      <c r="E7964">
        <v>22</v>
      </c>
      <c r="F7964">
        <v>7</v>
      </c>
    </row>
    <row r="7965" spans="1:6" x14ac:dyDescent="0.3">
      <c r="A7965" t="s">
        <v>13559</v>
      </c>
      <c r="B7965" t="s">
        <v>6980</v>
      </c>
      <c r="C7965" t="s">
        <v>13560</v>
      </c>
      <c r="D7965">
        <v>106089726</v>
      </c>
      <c r="E7965" t="s">
        <v>3814</v>
      </c>
      <c r="F7965">
        <v>9.14</v>
      </c>
    </row>
    <row r="7966" spans="1:6" x14ac:dyDescent="0.3">
      <c r="A7966" t="s">
        <v>13561</v>
      </c>
      <c r="B7966" t="s">
        <v>12767</v>
      </c>
      <c r="C7966" t="s">
        <v>13562</v>
      </c>
      <c r="D7966">
        <v>106091477</v>
      </c>
      <c r="E7966">
        <v>1.68</v>
      </c>
      <c r="F7966">
        <v>7.94</v>
      </c>
    </row>
    <row r="7967" spans="1:6" x14ac:dyDescent="0.3">
      <c r="A7967" t="s">
        <v>13563</v>
      </c>
      <c r="B7967" t="s">
        <v>12818</v>
      </c>
      <c r="C7967" t="s">
        <v>13564</v>
      </c>
      <c r="D7967">
        <v>106106338</v>
      </c>
      <c r="E7967" t="s">
        <v>3814</v>
      </c>
      <c r="F7967">
        <v>5.63</v>
      </c>
    </row>
    <row r="7968" spans="1:6" x14ac:dyDescent="0.3">
      <c r="A7968" t="s">
        <v>13565</v>
      </c>
      <c r="B7968" t="s">
        <v>13566</v>
      </c>
      <c r="C7968" t="s">
        <v>13567</v>
      </c>
      <c r="D7968">
        <v>106109523</v>
      </c>
      <c r="E7968">
        <v>3.79</v>
      </c>
      <c r="F7968">
        <v>6.95</v>
      </c>
    </row>
    <row r="7969" spans="1:6" x14ac:dyDescent="0.3">
      <c r="A7969" t="s">
        <v>13568</v>
      </c>
      <c r="B7969" t="s">
        <v>12942</v>
      </c>
      <c r="C7969" t="s">
        <v>227</v>
      </c>
      <c r="D7969">
        <v>106109673</v>
      </c>
      <c r="E7969">
        <v>15.82</v>
      </c>
      <c r="F7969">
        <v>7.73</v>
      </c>
    </row>
    <row r="7970" spans="1:6" x14ac:dyDescent="0.3">
      <c r="A7970" t="s">
        <v>13569</v>
      </c>
      <c r="B7970" t="s">
        <v>8397</v>
      </c>
      <c r="C7970" t="s">
        <v>6783</v>
      </c>
      <c r="D7970">
        <v>106118967</v>
      </c>
      <c r="E7970">
        <v>14.76</v>
      </c>
      <c r="F7970">
        <v>8.52</v>
      </c>
    </row>
    <row r="7971" spans="1:6" x14ac:dyDescent="0.3">
      <c r="A7971" t="s">
        <v>13570</v>
      </c>
      <c r="B7971" t="s">
        <v>10954</v>
      </c>
      <c r="C7971" t="s">
        <v>13491</v>
      </c>
      <c r="D7971">
        <v>106121138</v>
      </c>
      <c r="E7971">
        <v>2.68</v>
      </c>
      <c r="F7971">
        <v>6.81</v>
      </c>
    </row>
    <row r="7972" spans="1:6" x14ac:dyDescent="0.3">
      <c r="A7972" t="s">
        <v>13571</v>
      </c>
      <c r="B7972" t="s">
        <v>13572</v>
      </c>
      <c r="C7972" t="s">
        <v>5334</v>
      </c>
      <c r="D7972">
        <v>106136331</v>
      </c>
      <c r="E7972">
        <v>22.67</v>
      </c>
      <c r="F7972">
        <v>5.33</v>
      </c>
    </row>
    <row r="7973" spans="1:6" x14ac:dyDescent="0.3">
      <c r="A7973" t="s">
        <v>13573</v>
      </c>
      <c r="B7973" t="s">
        <v>8215</v>
      </c>
      <c r="C7973" t="s">
        <v>13574</v>
      </c>
      <c r="D7973">
        <v>106171395</v>
      </c>
      <c r="E7973">
        <v>16.12</v>
      </c>
      <c r="F7973">
        <v>9.24</v>
      </c>
    </row>
    <row r="7974" spans="1:6" x14ac:dyDescent="0.3">
      <c r="A7974" t="s">
        <v>13575</v>
      </c>
      <c r="B7974" t="s">
        <v>13576</v>
      </c>
      <c r="C7974" t="s">
        <v>13577</v>
      </c>
      <c r="D7974">
        <v>106185386</v>
      </c>
      <c r="E7974" t="s">
        <v>3814</v>
      </c>
      <c r="F7974">
        <v>6.2</v>
      </c>
    </row>
    <row r="7975" spans="1:6" x14ac:dyDescent="0.3">
      <c r="A7975" t="s">
        <v>13578</v>
      </c>
      <c r="B7975" t="s">
        <v>13579</v>
      </c>
      <c r="C7975" t="s">
        <v>2481</v>
      </c>
      <c r="D7975">
        <v>106190708</v>
      </c>
      <c r="E7975">
        <v>27</v>
      </c>
      <c r="F7975">
        <v>2.67</v>
      </c>
    </row>
    <row r="7976" spans="1:6" x14ac:dyDescent="0.3">
      <c r="A7976" t="s">
        <v>13580</v>
      </c>
      <c r="B7976" t="s">
        <v>4100</v>
      </c>
      <c r="C7976" t="s">
        <v>13580</v>
      </c>
      <c r="D7976">
        <v>106219235</v>
      </c>
      <c r="E7976">
        <v>1.23</v>
      </c>
      <c r="F7976">
        <v>7.37</v>
      </c>
    </row>
    <row r="7977" spans="1:6" x14ac:dyDescent="0.3">
      <c r="A7977" t="s">
        <v>13581</v>
      </c>
      <c r="B7977" t="s">
        <v>13485</v>
      </c>
      <c r="C7977" t="s">
        <v>7231</v>
      </c>
      <c r="D7977">
        <v>106226014</v>
      </c>
      <c r="E7977" t="s">
        <v>3814</v>
      </c>
      <c r="F7977">
        <v>7.11</v>
      </c>
    </row>
    <row r="7978" spans="1:6" x14ac:dyDescent="0.3">
      <c r="A7978" t="s">
        <v>13582</v>
      </c>
      <c r="B7978" t="s">
        <v>13583</v>
      </c>
      <c r="C7978" t="s">
        <v>2079</v>
      </c>
      <c r="D7978">
        <v>106235334</v>
      </c>
      <c r="E7978">
        <v>9.42</v>
      </c>
      <c r="F7978">
        <v>6.2</v>
      </c>
    </row>
    <row r="7979" spans="1:6" x14ac:dyDescent="0.3">
      <c r="A7979" t="s">
        <v>13584</v>
      </c>
      <c r="B7979" t="s">
        <v>9956</v>
      </c>
      <c r="C7979" t="s">
        <v>13584</v>
      </c>
      <c r="D7979">
        <v>106237301</v>
      </c>
      <c r="E7979">
        <v>11</v>
      </c>
      <c r="F7979">
        <v>7.4</v>
      </c>
    </row>
    <row r="7980" spans="1:6" x14ac:dyDescent="0.3">
      <c r="A7980" t="s">
        <v>13585</v>
      </c>
      <c r="B7980" t="s">
        <v>13297</v>
      </c>
      <c r="C7980" t="s">
        <v>12748</v>
      </c>
      <c r="D7980">
        <v>106248320</v>
      </c>
      <c r="E7980" t="s">
        <v>3814</v>
      </c>
      <c r="F7980">
        <v>5.47</v>
      </c>
    </row>
    <row r="7981" spans="1:6" x14ac:dyDescent="0.3">
      <c r="A7981" t="s">
        <v>13586</v>
      </c>
      <c r="B7981" t="s">
        <v>13587</v>
      </c>
      <c r="C7981" t="s">
        <v>6017</v>
      </c>
      <c r="D7981">
        <v>106267807</v>
      </c>
      <c r="E7981">
        <v>7</v>
      </c>
      <c r="F7981">
        <v>5.6</v>
      </c>
    </row>
    <row r="7982" spans="1:6" x14ac:dyDescent="0.3">
      <c r="A7982" t="s">
        <v>13588</v>
      </c>
      <c r="B7982" t="s">
        <v>13589</v>
      </c>
      <c r="C7982" t="s">
        <v>4892</v>
      </c>
      <c r="D7982">
        <v>106270622</v>
      </c>
      <c r="E7982" t="s">
        <v>3814</v>
      </c>
      <c r="F7982">
        <v>6.53</v>
      </c>
    </row>
    <row r="7983" spans="1:6" x14ac:dyDescent="0.3">
      <c r="A7983" t="s">
        <v>13590</v>
      </c>
      <c r="B7983" t="s">
        <v>13210</v>
      </c>
      <c r="C7983" t="s">
        <v>3455</v>
      </c>
      <c r="D7983">
        <v>106277566</v>
      </c>
      <c r="E7983">
        <v>1.94</v>
      </c>
      <c r="F7983">
        <v>7.36</v>
      </c>
    </row>
    <row r="7984" spans="1:6" x14ac:dyDescent="0.3">
      <c r="A7984" t="s">
        <v>13591</v>
      </c>
      <c r="B7984" t="s">
        <v>13592</v>
      </c>
      <c r="C7984" t="s">
        <v>9424</v>
      </c>
      <c r="D7984">
        <v>106332358</v>
      </c>
      <c r="E7984">
        <v>2.7</v>
      </c>
      <c r="F7984">
        <v>6.27</v>
      </c>
    </row>
    <row r="7985" spans="1:6" x14ac:dyDescent="0.3">
      <c r="A7985" t="s">
        <v>13593</v>
      </c>
      <c r="B7985" t="s">
        <v>9483</v>
      </c>
      <c r="C7985" t="s">
        <v>9627</v>
      </c>
      <c r="D7985">
        <v>106340745</v>
      </c>
      <c r="E7985">
        <v>11.49</v>
      </c>
      <c r="F7985">
        <v>6.31</v>
      </c>
    </row>
    <row r="7986" spans="1:6" x14ac:dyDescent="0.3">
      <c r="A7986" t="s">
        <v>13594</v>
      </c>
      <c r="B7986" t="s">
        <v>13595</v>
      </c>
      <c r="C7986" t="s">
        <v>13596</v>
      </c>
      <c r="D7986">
        <v>106342854</v>
      </c>
      <c r="E7986" t="s">
        <v>3814</v>
      </c>
      <c r="F7986">
        <v>6.94</v>
      </c>
    </row>
    <row r="7987" spans="1:6" x14ac:dyDescent="0.3">
      <c r="A7987" t="s">
        <v>13597</v>
      </c>
      <c r="B7987" t="s">
        <v>9550</v>
      </c>
      <c r="C7987" t="s">
        <v>13598</v>
      </c>
      <c r="D7987">
        <v>106362836</v>
      </c>
      <c r="E7987" t="s">
        <v>3814</v>
      </c>
      <c r="F7987" t="s">
        <v>3814</v>
      </c>
    </row>
    <row r="7988" spans="1:6" x14ac:dyDescent="0.3">
      <c r="A7988" t="s">
        <v>13599</v>
      </c>
      <c r="B7988" t="s">
        <v>13600</v>
      </c>
      <c r="C7988" t="s">
        <v>836</v>
      </c>
      <c r="D7988">
        <v>106374501</v>
      </c>
      <c r="E7988">
        <v>4.09</v>
      </c>
      <c r="F7988">
        <v>7</v>
      </c>
    </row>
    <row r="7989" spans="1:6" x14ac:dyDescent="0.3">
      <c r="A7989" t="s">
        <v>13601</v>
      </c>
      <c r="B7989" t="s">
        <v>13602</v>
      </c>
      <c r="C7989" t="s">
        <v>2051</v>
      </c>
      <c r="D7989">
        <v>106380074</v>
      </c>
      <c r="E7989" t="s">
        <v>3814</v>
      </c>
      <c r="F7989">
        <v>6.23</v>
      </c>
    </row>
    <row r="7990" spans="1:6" x14ac:dyDescent="0.3">
      <c r="A7990" t="s">
        <v>13603</v>
      </c>
      <c r="B7990" t="s">
        <v>13604</v>
      </c>
      <c r="C7990" t="s">
        <v>12579</v>
      </c>
      <c r="D7990">
        <v>106427169</v>
      </c>
      <c r="E7990" t="s">
        <v>3814</v>
      </c>
      <c r="F7990">
        <v>3</v>
      </c>
    </row>
    <row r="7991" spans="1:6" x14ac:dyDescent="0.3">
      <c r="A7991" t="s">
        <v>13605</v>
      </c>
      <c r="B7991" t="s">
        <v>13606</v>
      </c>
      <c r="C7991" t="s">
        <v>9918</v>
      </c>
      <c r="D7991">
        <v>106432861</v>
      </c>
      <c r="E7991" t="s">
        <v>3814</v>
      </c>
      <c r="F7991">
        <v>5.59</v>
      </c>
    </row>
    <row r="7992" spans="1:6" x14ac:dyDescent="0.3">
      <c r="A7992" t="s">
        <v>13607</v>
      </c>
      <c r="B7992" t="s">
        <v>11725</v>
      </c>
      <c r="C7992" t="s">
        <v>12128</v>
      </c>
      <c r="D7992">
        <v>106435153</v>
      </c>
      <c r="E7992">
        <v>7.77</v>
      </c>
      <c r="F7992">
        <v>6.75</v>
      </c>
    </row>
    <row r="7993" spans="1:6" x14ac:dyDescent="0.3">
      <c r="A7993" t="s">
        <v>13608</v>
      </c>
      <c r="B7993" t="s">
        <v>13609</v>
      </c>
      <c r="C7993" t="s">
        <v>13610</v>
      </c>
      <c r="D7993">
        <v>106457965</v>
      </c>
      <c r="E7993">
        <v>2.5099999999999998</v>
      </c>
      <c r="F7993">
        <v>7.87</v>
      </c>
    </row>
    <row r="7994" spans="1:6" x14ac:dyDescent="0.3">
      <c r="A7994" t="s">
        <v>13611</v>
      </c>
      <c r="B7994" t="s">
        <v>13612</v>
      </c>
      <c r="C7994" t="s">
        <v>13613</v>
      </c>
      <c r="D7994">
        <v>106467839</v>
      </c>
      <c r="E7994">
        <v>5.0599999999999996</v>
      </c>
      <c r="F7994">
        <v>7.57</v>
      </c>
    </row>
    <row r="7995" spans="1:6" x14ac:dyDescent="0.3">
      <c r="A7995" t="s">
        <v>13614</v>
      </c>
      <c r="B7995" t="s">
        <v>13615</v>
      </c>
      <c r="C7995" t="s">
        <v>13616</v>
      </c>
      <c r="D7995">
        <v>106470044</v>
      </c>
      <c r="E7995">
        <v>3.9</v>
      </c>
      <c r="F7995">
        <v>6.25</v>
      </c>
    </row>
    <row r="7996" spans="1:6" x14ac:dyDescent="0.3">
      <c r="A7996" t="s">
        <v>13617</v>
      </c>
      <c r="B7996" t="s">
        <v>13168</v>
      </c>
      <c r="C7996" t="s">
        <v>13618</v>
      </c>
      <c r="D7996">
        <v>106481162</v>
      </c>
      <c r="E7996">
        <v>28.5</v>
      </c>
      <c r="F7996">
        <v>4.5</v>
      </c>
    </row>
    <row r="7997" spans="1:6" x14ac:dyDescent="0.3">
      <c r="A7997" t="s">
        <v>13619</v>
      </c>
      <c r="B7997" t="s">
        <v>10494</v>
      </c>
      <c r="C7997" t="s">
        <v>13620</v>
      </c>
      <c r="D7997">
        <v>106492067</v>
      </c>
      <c r="E7997">
        <v>9.0500000000000007</v>
      </c>
      <c r="F7997">
        <v>8</v>
      </c>
    </row>
    <row r="7998" spans="1:6" x14ac:dyDescent="0.3">
      <c r="A7998" t="s">
        <v>13621</v>
      </c>
      <c r="B7998" t="s">
        <v>10649</v>
      </c>
      <c r="C7998" t="s">
        <v>13622</v>
      </c>
      <c r="D7998">
        <v>106496150</v>
      </c>
      <c r="E7998">
        <v>2.94</v>
      </c>
      <c r="F7998">
        <v>6.77</v>
      </c>
    </row>
    <row r="7999" spans="1:6" x14ac:dyDescent="0.3">
      <c r="A7999" t="s">
        <v>13623</v>
      </c>
      <c r="B7999" t="s">
        <v>13126</v>
      </c>
      <c r="C7999" t="s">
        <v>13624</v>
      </c>
      <c r="D7999">
        <v>106496293</v>
      </c>
      <c r="E7999" t="s">
        <v>3814</v>
      </c>
      <c r="F7999">
        <v>7.85</v>
      </c>
    </row>
    <row r="8000" spans="1:6" x14ac:dyDescent="0.3">
      <c r="A8000" t="s">
        <v>13625</v>
      </c>
      <c r="B8000" t="s">
        <v>13149</v>
      </c>
      <c r="C8000" t="s">
        <v>13626</v>
      </c>
      <c r="D8000">
        <v>106508870</v>
      </c>
      <c r="E8000">
        <v>21</v>
      </c>
      <c r="F8000">
        <v>4</v>
      </c>
    </row>
    <row r="8001" spans="1:6" x14ac:dyDescent="0.3">
      <c r="A8001" t="s">
        <v>13627</v>
      </c>
      <c r="B8001" t="s">
        <v>8029</v>
      </c>
      <c r="C8001" t="s">
        <v>13628</v>
      </c>
      <c r="D8001">
        <v>106509446</v>
      </c>
      <c r="E8001">
        <v>3.2</v>
      </c>
      <c r="F8001">
        <v>6.66</v>
      </c>
    </row>
    <row r="8002" spans="1:6" x14ac:dyDescent="0.3">
      <c r="A8002" t="s">
        <v>13629</v>
      </c>
      <c r="B8002" t="s">
        <v>4787</v>
      </c>
      <c r="C8002" t="s">
        <v>13630</v>
      </c>
      <c r="D8002">
        <v>106517747</v>
      </c>
      <c r="E8002">
        <v>2.94</v>
      </c>
      <c r="F8002">
        <v>7.9</v>
      </c>
    </row>
    <row r="8003" spans="1:6" x14ac:dyDescent="0.3">
      <c r="A8003" t="s">
        <v>13631</v>
      </c>
      <c r="B8003" t="s">
        <v>7037</v>
      </c>
      <c r="C8003" t="s">
        <v>13632</v>
      </c>
      <c r="D8003">
        <v>106522770</v>
      </c>
      <c r="E8003">
        <v>33</v>
      </c>
      <c r="F8003">
        <v>5</v>
      </c>
    </row>
    <row r="8004" spans="1:6" x14ac:dyDescent="0.3">
      <c r="A8004" t="s">
        <v>9001</v>
      </c>
      <c r="B8004" t="s">
        <v>12979</v>
      </c>
      <c r="C8004" t="s">
        <v>13298</v>
      </c>
      <c r="D8004">
        <v>106553434</v>
      </c>
      <c r="E8004" t="s">
        <v>3814</v>
      </c>
      <c r="F8004">
        <v>6.04</v>
      </c>
    </row>
    <row r="8005" spans="1:6" x14ac:dyDescent="0.3">
      <c r="A8005" t="s">
        <v>13633</v>
      </c>
      <c r="B8005" t="s">
        <v>5399</v>
      </c>
      <c r="C8005" t="s">
        <v>13634</v>
      </c>
      <c r="D8005">
        <v>106562277</v>
      </c>
      <c r="E8005">
        <v>9.4600000000000009</v>
      </c>
      <c r="F8005">
        <v>5.46</v>
      </c>
    </row>
    <row r="8006" spans="1:6" x14ac:dyDescent="0.3">
      <c r="A8006" t="s">
        <v>13635</v>
      </c>
      <c r="B8006" t="s">
        <v>13636</v>
      </c>
      <c r="C8006" t="s">
        <v>13637</v>
      </c>
      <c r="D8006">
        <v>106566598</v>
      </c>
      <c r="E8006">
        <v>2</v>
      </c>
      <c r="F8006">
        <v>6.5</v>
      </c>
    </row>
    <row r="8007" spans="1:6" x14ac:dyDescent="0.3">
      <c r="A8007" t="s">
        <v>13638</v>
      </c>
      <c r="B8007" t="s">
        <v>9788</v>
      </c>
      <c r="C8007" t="s">
        <v>13639</v>
      </c>
      <c r="D8007">
        <v>106577106</v>
      </c>
      <c r="E8007">
        <v>12.56</v>
      </c>
      <c r="F8007">
        <v>8.3800000000000008</v>
      </c>
    </row>
    <row r="8008" spans="1:6" x14ac:dyDescent="0.3">
      <c r="A8008" t="s">
        <v>13640</v>
      </c>
      <c r="B8008" t="s">
        <v>8029</v>
      </c>
      <c r="C8008" t="s">
        <v>13641</v>
      </c>
      <c r="D8008">
        <v>106588541</v>
      </c>
      <c r="E8008">
        <v>22.33</v>
      </c>
      <c r="F8008">
        <v>6</v>
      </c>
    </row>
    <row r="8009" spans="1:6" x14ac:dyDescent="0.3">
      <c r="A8009" t="s">
        <v>13642</v>
      </c>
      <c r="B8009" t="s">
        <v>9048</v>
      </c>
      <c r="C8009" t="s">
        <v>992</v>
      </c>
      <c r="D8009">
        <v>106606111</v>
      </c>
      <c r="E8009">
        <v>7.79</v>
      </c>
      <c r="F8009">
        <v>6.76</v>
      </c>
    </row>
    <row r="8010" spans="1:6" x14ac:dyDescent="0.3">
      <c r="A8010" t="s">
        <v>13643</v>
      </c>
      <c r="B8010" t="s">
        <v>13644</v>
      </c>
      <c r="C8010" t="s">
        <v>13645</v>
      </c>
      <c r="D8010">
        <v>106634527</v>
      </c>
      <c r="E8010">
        <v>3.18</v>
      </c>
      <c r="F8010">
        <v>6.91</v>
      </c>
    </row>
    <row r="8011" spans="1:6" x14ac:dyDescent="0.3">
      <c r="A8011" t="s">
        <v>13646</v>
      </c>
      <c r="B8011" t="s">
        <v>8457</v>
      </c>
      <c r="C8011" t="s">
        <v>1062</v>
      </c>
      <c r="D8011">
        <v>106696944</v>
      </c>
      <c r="E8011">
        <v>4.5999999999999996</v>
      </c>
      <c r="F8011">
        <v>7.53</v>
      </c>
    </row>
    <row r="8012" spans="1:6" x14ac:dyDescent="0.3">
      <c r="A8012" t="s">
        <v>13647</v>
      </c>
      <c r="B8012" t="s">
        <v>13648</v>
      </c>
      <c r="C8012" t="s">
        <v>3126</v>
      </c>
      <c r="D8012">
        <v>106704098</v>
      </c>
      <c r="E8012">
        <v>19</v>
      </c>
      <c r="F8012">
        <v>7.71</v>
      </c>
    </row>
    <row r="8013" spans="1:6" x14ac:dyDescent="0.3">
      <c r="A8013" t="s">
        <v>13649</v>
      </c>
      <c r="B8013" t="s">
        <v>13650</v>
      </c>
      <c r="C8013" t="s">
        <v>13649</v>
      </c>
      <c r="D8013">
        <v>106715667</v>
      </c>
      <c r="E8013">
        <v>15.9</v>
      </c>
      <c r="F8013">
        <v>8.4</v>
      </c>
    </row>
    <row r="8014" spans="1:6" x14ac:dyDescent="0.3">
      <c r="A8014" t="s">
        <v>13651</v>
      </c>
      <c r="B8014" t="s">
        <v>13652</v>
      </c>
      <c r="C8014" t="s">
        <v>13653</v>
      </c>
      <c r="D8014">
        <v>106727452</v>
      </c>
      <c r="E8014">
        <v>10.72</v>
      </c>
      <c r="F8014">
        <v>8.7799999999999994</v>
      </c>
    </row>
    <row r="8015" spans="1:6" x14ac:dyDescent="0.3">
      <c r="A8015" t="s">
        <v>13654</v>
      </c>
      <c r="B8015" t="s">
        <v>12777</v>
      </c>
      <c r="C8015" t="s">
        <v>10146</v>
      </c>
      <c r="D8015">
        <v>106734219</v>
      </c>
      <c r="E8015" t="s">
        <v>3814</v>
      </c>
      <c r="F8015">
        <v>7.17</v>
      </c>
    </row>
    <row r="8016" spans="1:6" x14ac:dyDescent="0.3">
      <c r="A8016" t="s">
        <v>13655</v>
      </c>
      <c r="B8016" t="s">
        <v>8730</v>
      </c>
      <c r="C8016" t="s">
        <v>13656</v>
      </c>
      <c r="D8016">
        <v>106737668</v>
      </c>
      <c r="E8016">
        <v>25.57</v>
      </c>
      <c r="F8016">
        <v>9.86</v>
      </c>
    </row>
    <row r="8017" spans="1:6" x14ac:dyDescent="0.3">
      <c r="A8017" t="s">
        <v>13657</v>
      </c>
      <c r="B8017" t="s">
        <v>13658</v>
      </c>
      <c r="C8017" t="s">
        <v>7132</v>
      </c>
      <c r="D8017">
        <v>106767751</v>
      </c>
      <c r="E8017" t="s">
        <v>3814</v>
      </c>
      <c r="F8017">
        <v>7.29</v>
      </c>
    </row>
    <row r="8018" spans="1:6" x14ac:dyDescent="0.3">
      <c r="A8018" t="s">
        <v>13659</v>
      </c>
      <c r="B8018" t="s">
        <v>11903</v>
      </c>
      <c r="C8018" t="s">
        <v>7226</v>
      </c>
      <c r="D8018">
        <v>106793032</v>
      </c>
      <c r="E8018">
        <v>10.5</v>
      </c>
      <c r="F8018">
        <v>7</v>
      </c>
    </row>
    <row r="8019" spans="1:6" x14ac:dyDescent="0.3">
      <c r="A8019" t="s">
        <v>13660</v>
      </c>
      <c r="B8019" t="s">
        <v>13279</v>
      </c>
      <c r="C8019" t="s">
        <v>13661</v>
      </c>
      <c r="D8019">
        <v>106812418</v>
      </c>
      <c r="E8019" t="s">
        <v>3814</v>
      </c>
      <c r="F8019">
        <v>6.35</v>
      </c>
    </row>
    <row r="8020" spans="1:6" x14ac:dyDescent="0.3">
      <c r="A8020" t="s">
        <v>13662</v>
      </c>
      <c r="B8020" t="s">
        <v>11410</v>
      </c>
      <c r="C8020" t="s">
        <v>2323</v>
      </c>
      <c r="D8020">
        <v>106816210</v>
      </c>
      <c r="E8020">
        <v>9.58</v>
      </c>
      <c r="F8020">
        <v>8.26</v>
      </c>
    </row>
    <row r="8021" spans="1:6" x14ac:dyDescent="0.3">
      <c r="A8021" t="s">
        <v>13663</v>
      </c>
      <c r="B8021" t="s">
        <v>7649</v>
      </c>
      <c r="C8021" t="e">
        <f>-ganon95- Bit.trip Part2- CORE</f>
        <v>#NAME?</v>
      </c>
      <c r="D8021">
        <v>106866157</v>
      </c>
      <c r="E8021" t="s">
        <v>3814</v>
      </c>
      <c r="F8021">
        <v>8.7799999999999994</v>
      </c>
    </row>
    <row r="8022" spans="1:6" x14ac:dyDescent="0.3">
      <c r="A8022" t="s">
        <v>13664</v>
      </c>
      <c r="B8022" t="s">
        <v>13665</v>
      </c>
      <c r="C8022" t="s">
        <v>13666</v>
      </c>
      <c r="D8022">
        <v>106883994</v>
      </c>
      <c r="E8022">
        <v>14.04</v>
      </c>
      <c r="F8022">
        <v>8.75</v>
      </c>
    </row>
    <row r="8023" spans="1:6" x14ac:dyDescent="0.3">
      <c r="A8023" t="s">
        <v>13667</v>
      </c>
      <c r="B8023" t="s">
        <v>9752</v>
      </c>
      <c r="C8023" t="s">
        <v>4663</v>
      </c>
      <c r="D8023">
        <v>106937411</v>
      </c>
      <c r="E8023">
        <v>16.61</v>
      </c>
      <c r="F8023">
        <v>7.21</v>
      </c>
    </row>
    <row r="8024" spans="1:6" x14ac:dyDescent="0.3">
      <c r="A8024" t="s">
        <v>13668</v>
      </c>
      <c r="B8024" t="s">
        <v>13669</v>
      </c>
      <c r="C8024" t="s">
        <v>11789</v>
      </c>
      <c r="D8024">
        <v>106942629</v>
      </c>
      <c r="E8024">
        <v>3.62</v>
      </c>
      <c r="F8024">
        <v>7.41</v>
      </c>
    </row>
    <row r="8025" spans="1:6" x14ac:dyDescent="0.3">
      <c r="A8025" t="s">
        <v>13670</v>
      </c>
      <c r="B8025" t="s">
        <v>7782</v>
      </c>
      <c r="C8025" t="s">
        <v>13671</v>
      </c>
      <c r="D8025">
        <v>106945900</v>
      </c>
      <c r="E8025">
        <v>23.5</v>
      </c>
      <c r="F8025">
        <v>9.5</v>
      </c>
    </row>
    <row r="8026" spans="1:6" x14ac:dyDescent="0.3">
      <c r="A8026" t="s">
        <v>6067</v>
      </c>
      <c r="B8026" t="s">
        <v>8417</v>
      </c>
      <c r="C8026" t="s">
        <v>13672</v>
      </c>
      <c r="D8026">
        <v>106962299</v>
      </c>
      <c r="E8026">
        <v>2.27</v>
      </c>
      <c r="F8026">
        <v>7.3</v>
      </c>
    </row>
    <row r="8027" spans="1:6" x14ac:dyDescent="0.3">
      <c r="A8027" t="s">
        <v>13673</v>
      </c>
      <c r="B8027" t="s">
        <v>9105</v>
      </c>
      <c r="C8027" t="s">
        <v>25</v>
      </c>
      <c r="D8027">
        <v>106975884</v>
      </c>
      <c r="E8027">
        <v>12.76</v>
      </c>
      <c r="F8027">
        <v>7.6</v>
      </c>
    </row>
    <row r="8028" spans="1:6" x14ac:dyDescent="0.3">
      <c r="A8028" t="s">
        <v>13674</v>
      </c>
      <c r="B8028" t="s">
        <v>13675</v>
      </c>
      <c r="C8028" t="s">
        <v>4281</v>
      </c>
      <c r="D8028">
        <v>106977741</v>
      </c>
      <c r="E8028">
        <v>12.09</v>
      </c>
      <c r="F8028">
        <v>8.5500000000000007</v>
      </c>
    </row>
    <row r="8029" spans="1:6" x14ac:dyDescent="0.3">
      <c r="A8029" t="s">
        <v>13676</v>
      </c>
      <c r="B8029" t="s">
        <v>13677</v>
      </c>
      <c r="C8029" t="s">
        <v>13678</v>
      </c>
      <c r="D8029">
        <v>106983029</v>
      </c>
      <c r="E8029" t="s">
        <v>3814</v>
      </c>
      <c r="F8029">
        <v>7.48</v>
      </c>
    </row>
    <row r="8030" spans="1:6" x14ac:dyDescent="0.3">
      <c r="A8030" t="s">
        <v>13679</v>
      </c>
      <c r="B8030" t="s">
        <v>13680</v>
      </c>
      <c r="C8030" t="s">
        <v>13681</v>
      </c>
      <c r="D8030">
        <v>106986284</v>
      </c>
      <c r="E8030">
        <v>3.51</v>
      </c>
      <c r="F8030">
        <v>6.81</v>
      </c>
    </row>
    <row r="8031" spans="1:6" x14ac:dyDescent="0.3">
      <c r="A8031" t="s">
        <v>13682</v>
      </c>
      <c r="B8031" t="s">
        <v>13683</v>
      </c>
      <c r="C8031" t="s">
        <v>6699</v>
      </c>
      <c r="D8031">
        <v>107020156</v>
      </c>
      <c r="E8031">
        <v>8.73</v>
      </c>
      <c r="F8031">
        <v>7.55</v>
      </c>
    </row>
    <row r="8032" spans="1:6" x14ac:dyDescent="0.3">
      <c r="A8032" t="s">
        <v>13684</v>
      </c>
      <c r="B8032" t="s">
        <v>10586</v>
      </c>
      <c r="C8032" t="s">
        <v>13321</v>
      </c>
      <c r="D8032">
        <v>107028394</v>
      </c>
      <c r="E8032">
        <v>12.83</v>
      </c>
      <c r="F8032">
        <v>7.62</v>
      </c>
    </row>
    <row r="8033" spans="1:6" x14ac:dyDescent="0.3">
      <c r="A8033" t="s">
        <v>5247</v>
      </c>
      <c r="B8033" t="s">
        <v>12617</v>
      </c>
      <c r="C8033" t="s">
        <v>12547</v>
      </c>
      <c r="D8033">
        <v>107034871</v>
      </c>
      <c r="E8033" t="s">
        <v>3814</v>
      </c>
      <c r="F8033">
        <v>6</v>
      </c>
    </row>
    <row r="8034" spans="1:6" x14ac:dyDescent="0.3">
      <c r="A8034" t="s">
        <v>13685</v>
      </c>
      <c r="B8034" t="s">
        <v>5698</v>
      </c>
      <c r="C8034" t="s">
        <v>13686</v>
      </c>
      <c r="D8034">
        <v>107052022</v>
      </c>
      <c r="E8034" t="s">
        <v>3814</v>
      </c>
      <c r="F8034">
        <v>6.2</v>
      </c>
    </row>
    <row r="8035" spans="1:6" x14ac:dyDescent="0.3">
      <c r="A8035" t="s">
        <v>13687</v>
      </c>
      <c r="B8035" t="s">
        <v>13210</v>
      </c>
      <c r="C8035" t="s">
        <v>5849</v>
      </c>
      <c r="D8035">
        <v>107084431</v>
      </c>
      <c r="E8035">
        <v>2.1800000000000002</v>
      </c>
      <c r="F8035">
        <v>7.17</v>
      </c>
    </row>
    <row r="8036" spans="1:6" x14ac:dyDescent="0.3">
      <c r="A8036" t="s">
        <v>11606</v>
      </c>
      <c r="B8036" t="s">
        <v>13688</v>
      </c>
      <c r="C8036" t="s">
        <v>11606</v>
      </c>
      <c r="D8036">
        <v>107097585</v>
      </c>
      <c r="E8036">
        <v>11.69</v>
      </c>
      <c r="F8036">
        <v>7.9</v>
      </c>
    </row>
    <row r="8037" spans="1:6" x14ac:dyDescent="0.3">
      <c r="A8037" t="s">
        <v>13689</v>
      </c>
      <c r="B8037" t="s">
        <v>808</v>
      </c>
      <c r="C8037" t="s">
        <v>13690</v>
      </c>
      <c r="D8037">
        <v>107100184</v>
      </c>
      <c r="E8037">
        <v>24.5</v>
      </c>
      <c r="F8037">
        <v>5.25</v>
      </c>
    </row>
    <row r="8038" spans="1:6" x14ac:dyDescent="0.3">
      <c r="A8038" t="s">
        <v>13691</v>
      </c>
      <c r="B8038" t="s">
        <v>13692</v>
      </c>
      <c r="C8038" t="s">
        <v>13693</v>
      </c>
      <c r="D8038">
        <v>107102548</v>
      </c>
      <c r="E8038">
        <v>6.11</v>
      </c>
      <c r="F8038">
        <v>7.22</v>
      </c>
    </row>
    <row r="8039" spans="1:6" x14ac:dyDescent="0.3">
      <c r="A8039" t="s">
        <v>13694</v>
      </c>
      <c r="B8039" t="s">
        <v>13695</v>
      </c>
      <c r="C8039" t="s">
        <v>3158</v>
      </c>
      <c r="D8039">
        <v>107127916</v>
      </c>
      <c r="E8039">
        <v>15.11</v>
      </c>
      <c r="F8039">
        <v>6.83</v>
      </c>
    </row>
    <row r="8040" spans="1:6" x14ac:dyDescent="0.3">
      <c r="A8040" t="s">
        <v>13696</v>
      </c>
      <c r="B8040" t="s">
        <v>3827</v>
      </c>
      <c r="C8040" t="s">
        <v>13697</v>
      </c>
      <c r="D8040">
        <v>107150803</v>
      </c>
      <c r="E8040">
        <v>20.36</v>
      </c>
      <c r="F8040">
        <v>8.36</v>
      </c>
    </row>
    <row r="8041" spans="1:6" x14ac:dyDescent="0.3">
      <c r="A8041" t="s">
        <v>13698</v>
      </c>
      <c r="B8041" t="s">
        <v>11838</v>
      </c>
      <c r="C8041" t="s">
        <v>1269</v>
      </c>
      <c r="D8041">
        <v>107157637</v>
      </c>
      <c r="E8041">
        <v>16.16</v>
      </c>
      <c r="F8041">
        <v>8.1</v>
      </c>
    </row>
    <row r="8042" spans="1:6" x14ac:dyDescent="0.3">
      <c r="A8042" t="s">
        <v>13699</v>
      </c>
      <c r="B8042" t="s">
        <v>8846</v>
      </c>
      <c r="C8042" t="s">
        <v>13700</v>
      </c>
      <c r="D8042">
        <v>107179776</v>
      </c>
      <c r="E8042">
        <v>3.62</v>
      </c>
      <c r="F8042">
        <v>7.8</v>
      </c>
    </row>
    <row r="8043" spans="1:6" x14ac:dyDescent="0.3">
      <c r="A8043" t="s">
        <v>13701</v>
      </c>
      <c r="B8043" t="s">
        <v>13702</v>
      </c>
      <c r="C8043" t="s">
        <v>12577</v>
      </c>
      <c r="D8043">
        <v>107185244</v>
      </c>
      <c r="E8043" t="s">
        <v>3814</v>
      </c>
      <c r="F8043">
        <v>6.64</v>
      </c>
    </row>
    <row r="8044" spans="1:6" x14ac:dyDescent="0.3">
      <c r="A8044" t="s">
        <v>13703</v>
      </c>
      <c r="B8044" t="s">
        <v>8641</v>
      </c>
      <c r="C8044" t="s">
        <v>13704</v>
      </c>
      <c r="D8044">
        <v>107190357</v>
      </c>
      <c r="E8044" t="s">
        <v>3814</v>
      </c>
      <c r="F8044">
        <v>6.4</v>
      </c>
    </row>
    <row r="8045" spans="1:6" x14ac:dyDescent="0.3">
      <c r="A8045" t="s">
        <v>13705</v>
      </c>
      <c r="B8045" t="s">
        <v>8236</v>
      </c>
      <c r="C8045" t="s">
        <v>2332</v>
      </c>
      <c r="D8045">
        <v>107214821</v>
      </c>
      <c r="E8045">
        <v>5.08</v>
      </c>
      <c r="F8045">
        <v>7.21</v>
      </c>
    </row>
    <row r="8046" spans="1:6" x14ac:dyDescent="0.3">
      <c r="A8046" t="s">
        <v>13706</v>
      </c>
      <c r="B8046" t="s">
        <v>10189</v>
      </c>
      <c r="C8046" t="s">
        <v>13707</v>
      </c>
      <c r="D8046">
        <v>107221860</v>
      </c>
      <c r="E8046">
        <v>2.2599999999999998</v>
      </c>
      <c r="F8046">
        <v>8.2899999999999991</v>
      </c>
    </row>
    <row r="8047" spans="1:6" x14ac:dyDescent="0.3">
      <c r="A8047" t="s">
        <v>13708</v>
      </c>
      <c r="B8047" t="s">
        <v>7025</v>
      </c>
      <c r="C8047" t="s">
        <v>13709</v>
      </c>
      <c r="D8047">
        <v>107226949</v>
      </c>
      <c r="E8047">
        <v>27</v>
      </c>
      <c r="F8047">
        <v>9</v>
      </c>
    </row>
    <row r="8048" spans="1:6" x14ac:dyDescent="0.3">
      <c r="A8048" t="s">
        <v>13710</v>
      </c>
      <c r="B8048" t="s">
        <v>12243</v>
      </c>
      <c r="C8048" t="s">
        <v>2337</v>
      </c>
      <c r="D8048">
        <v>107238250</v>
      </c>
      <c r="E8048">
        <v>34</v>
      </c>
      <c r="F8048">
        <v>8.5</v>
      </c>
    </row>
    <row r="8049" spans="1:6" x14ac:dyDescent="0.3">
      <c r="A8049" t="s">
        <v>13711</v>
      </c>
      <c r="B8049" t="s">
        <v>13297</v>
      </c>
      <c r="C8049" t="s">
        <v>12267</v>
      </c>
      <c r="D8049">
        <v>107245123</v>
      </c>
      <c r="E8049" t="s">
        <v>3814</v>
      </c>
      <c r="F8049">
        <v>7.47</v>
      </c>
    </row>
    <row r="8050" spans="1:6" x14ac:dyDescent="0.3">
      <c r="A8050" t="s">
        <v>13712</v>
      </c>
      <c r="B8050" t="s">
        <v>13713</v>
      </c>
      <c r="C8050" t="s">
        <v>2690</v>
      </c>
      <c r="D8050">
        <v>107276781</v>
      </c>
      <c r="E8050">
        <v>16.170000000000002</v>
      </c>
      <c r="F8050">
        <v>8.16</v>
      </c>
    </row>
    <row r="8051" spans="1:6" x14ac:dyDescent="0.3">
      <c r="A8051" t="s">
        <v>11052</v>
      </c>
      <c r="B8051" t="s">
        <v>10240</v>
      </c>
      <c r="C8051" t="s">
        <v>8204</v>
      </c>
      <c r="D8051">
        <v>107281415</v>
      </c>
      <c r="E8051">
        <v>20.22</v>
      </c>
      <c r="F8051">
        <v>8.57</v>
      </c>
    </row>
    <row r="8052" spans="1:6" x14ac:dyDescent="0.3">
      <c r="A8052" t="s">
        <v>13714</v>
      </c>
      <c r="B8052" t="s">
        <v>13715</v>
      </c>
      <c r="C8052" t="s">
        <v>9394</v>
      </c>
      <c r="D8052">
        <v>107299600</v>
      </c>
      <c r="E8052" t="s">
        <v>3814</v>
      </c>
      <c r="F8052" t="s">
        <v>3814</v>
      </c>
    </row>
    <row r="8053" spans="1:6" x14ac:dyDescent="0.3">
      <c r="A8053" t="s">
        <v>13716</v>
      </c>
      <c r="B8053" t="s">
        <v>11650</v>
      </c>
      <c r="C8053" t="s">
        <v>13717</v>
      </c>
      <c r="D8053">
        <v>107301273</v>
      </c>
      <c r="E8053">
        <v>4.57</v>
      </c>
      <c r="F8053">
        <v>7.5</v>
      </c>
    </row>
    <row r="8054" spans="1:6" x14ac:dyDescent="0.3">
      <c r="A8054" t="s">
        <v>2745</v>
      </c>
      <c r="B8054" t="s">
        <v>13718</v>
      </c>
      <c r="C8054" t="s">
        <v>10881</v>
      </c>
      <c r="D8054">
        <v>107341811</v>
      </c>
      <c r="E8054">
        <v>20.36</v>
      </c>
      <c r="F8054">
        <v>6.82</v>
      </c>
    </row>
    <row r="8055" spans="1:6" x14ac:dyDescent="0.3">
      <c r="A8055" t="s">
        <v>13719</v>
      </c>
      <c r="B8055" t="s">
        <v>13720</v>
      </c>
      <c r="C8055" t="s">
        <v>11893</v>
      </c>
      <c r="D8055">
        <v>107346796</v>
      </c>
      <c r="E8055" t="s">
        <v>3814</v>
      </c>
      <c r="F8055">
        <v>5.13</v>
      </c>
    </row>
    <row r="8056" spans="1:6" x14ac:dyDescent="0.3">
      <c r="A8056" t="s">
        <v>13721</v>
      </c>
      <c r="B8056" t="s">
        <v>13722</v>
      </c>
      <c r="C8056" t="s">
        <v>13723</v>
      </c>
      <c r="D8056">
        <v>107372046</v>
      </c>
      <c r="E8056">
        <v>3.94</v>
      </c>
      <c r="F8056">
        <v>7</v>
      </c>
    </row>
    <row r="8057" spans="1:6" x14ac:dyDescent="0.3">
      <c r="A8057" t="s">
        <v>13724</v>
      </c>
      <c r="B8057" t="s">
        <v>13583</v>
      </c>
      <c r="C8057" t="s">
        <v>4665</v>
      </c>
      <c r="D8057">
        <v>107412649</v>
      </c>
      <c r="E8057">
        <v>9.81</v>
      </c>
      <c r="F8057">
        <v>7.97</v>
      </c>
    </row>
    <row r="8058" spans="1:6" x14ac:dyDescent="0.3">
      <c r="A8058" t="s">
        <v>13725</v>
      </c>
      <c r="B8058" t="s">
        <v>13726</v>
      </c>
      <c r="C8058" t="s">
        <v>13727</v>
      </c>
      <c r="D8058">
        <v>107418375</v>
      </c>
      <c r="E8058" t="s">
        <v>3814</v>
      </c>
      <c r="F8058">
        <v>5.29</v>
      </c>
    </row>
    <row r="8059" spans="1:6" x14ac:dyDescent="0.3">
      <c r="A8059" t="s">
        <v>13728</v>
      </c>
      <c r="B8059" t="s">
        <v>13729</v>
      </c>
      <c r="C8059" t="s">
        <v>9770</v>
      </c>
      <c r="D8059">
        <v>107420706</v>
      </c>
      <c r="E8059" t="s">
        <v>3814</v>
      </c>
      <c r="F8059">
        <v>5.73</v>
      </c>
    </row>
    <row r="8060" spans="1:6" x14ac:dyDescent="0.3">
      <c r="A8060" t="s">
        <v>13730</v>
      </c>
      <c r="B8060" t="s">
        <v>13731</v>
      </c>
      <c r="C8060" t="s">
        <v>13732</v>
      </c>
      <c r="D8060">
        <v>107444859</v>
      </c>
      <c r="E8060">
        <v>7.37</v>
      </c>
      <c r="F8060">
        <v>8</v>
      </c>
    </row>
    <row r="8061" spans="1:6" x14ac:dyDescent="0.3">
      <c r="A8061" t="s">
        <v>13733</v>
      </c>
      <c r="B8061" t="s">
        <v>13734</v>
      </c>
      <c r="C8061" t="s">
        <v>13735</v>
      </c>
      <c r="D8061">
        <v>107488895</v>
      </c>
      <c r="E8061" t="s">
        <v>3814</v>
      </c>
      <c r="F8061">
        <v>5.21</v>
      </c>
    </row>
    <row r="8062" spans="1:6" x14ac:dyDescent="0.3">
      <c r="A8062" t="s">
        <v>13736</v>
      </c>
      <c r="B8062" t="s">
        <v>11295</v>
      </c>
      <c r="C8062" t="s">
        <v>13737</v>
      </c>
      <c r="D8062">
        <v>107501498</v>
      </c>
      <c r="E8062">
        <v>2.0499999999999998</v>
      </c>
      <c r="F8062">
        <v>7.45</v>
      </c>
    </row>
    <row r="8063" spans="1:6" x14ac:dyDescent="0.3">
      <c r="A8063" t="s">
        <v>13738</v>
      </c>
      <c r="B8063" t="s">
        <v>12617</v>
      </c>
      <c r="C8063" t="s">
        <v>7593</v>
      </c>
      <c r="D8063">
        <v>107511198</v>
      </c>
      <c r="E8063" t="s">
        <v>3814</v>
      </c>
      <c r="F8063">
        <v>6.17</v>
      </c>
    </row>
    <row r="8064" spans="1:6" x14ac:dyDescent="0.3">
      <c r="A8064" t="s">
        <v>13739</v>
      </c>
      <c r="B8064" t="s">
        <v>3746</v>
      </c>
      <c r="C8064" t="s">
        <v>2586</v>
      </c>
      <c r="D8064">
        <v>107516735</v>
      </c>
      <c r="E8064">
        <v>3.78</v>
      </c>
      <c r="F8064">
        <v>7.47</v>
      </c>
    </row>
    <row r="8065" spans="1:6" x14ac:dyDescent="0.3">
      <c r="A8065" t="s">
        <v>13740</v>
      </c>
      <c r="B8065" t="s">
        <v>12372</v>
      </c>
      <c r="C8065" t="s">
        <v>7491</v>
      </c>
      <c r="D8065">
        <v>107532864</v>
      </c>
      <c r="E8065">
        <v>19.5</v>
      </c>
      <c r="F8065">
        <v>4</v>
      </c>
    </row>
    <row r="8066" spans="1:6" x14ac:dyDescent="0.3">
      <c r="A8066" t="s">
        <v>13741</v>
      </c>
      <c r="B8066" t="s">
        <v>13113</v>
      </c>
      <c r="C8066" t="s">
        <v>4684</v>
      </c>
      <c r="D8066">
        <v>107537490</v>
      </c>
      <c r="E8066">
        <v>9.0399999999999991</v>
      </c>
      <c r="F8066">
        <v>6.65</v>
      </c>
    </row>
    <row r="8067" spans="1:6" x14ac:dyDescent="0.3">
      <c r="A8067" t="s">
        <v>13742</v>
      </c>
      <c r="B8067" t="s">
        <v>6226</v>
      </c>
      <c r="C8067" t="s">
        <v>13743</v>
      </c>
      <c r="D8067">
        <v>107539734</v>
      </c>
      <c r="E8067">
        <v>21</v>
      </c>
      <c r="F8067">
        <v>4.75</v>
      </c>
    </row>
    <row r="8068" spans="1:6" x14ac:dyDescent="0.3">
      <c r="A8068" t="s">
        <v>13744</v>
      </c>
      <c r="B8068" t="s">
        <v>13745</v>
      </c>
      <c r="C8068" t="s">
        <v>13746</v>
      </c>
      <c r="D8068">
        <v>107559914</v>
      </c>
      <c r="E8068" t="s">
        <v>3814</v>
      </c>
      <c r="F8068">
        <v>5.46</v>
      </c>
    </row>
    <row r="8069" spans="1:6" x14ac:dyDescent="0.3">
      <c r="A8069" t="s">
        <v>13747</v>
      </c>
      <c r="B8069" t="s">
        <v>6992</v>
      </c>
      <c r="C8069" t="s">
        <v>13748</v>
      </c>
      <c r="D8069">
        <v>107573310</v>
      </c>
      <c r="E8069">
        <v>3.93</v>
      </c>
      <c r="F8069">
        <v>7.42</v>
      </c>
    </row>
    <row r="8070" spans="1:6" x14ac:dyDescent="0.3">
      <c r="A8070" t="s">
        <v>13749</v>
      </c>
      <c r="B8070" t="s">
        <v>6398</v>
      </c>
      <c r="C8070" t="s">
        <v>5752</v>
      </c>
      <c r="D8070">
        <v>107577349</v>
      </c>
      <c r="E8070">
        <v>29</v>
      </c>
      <c r="F8070">
        <v>7</v>
      </c>
    </row>
    <row r="8071" spans="1:6" x14ac:dyDescent="0.3">
      <c r="A8071" t="s">
        <v>13750</v>
      </c>
      <c r="B8071" t="s">
        <v>7545</v>
      </c>
      <c r="C8071" t="s">
        <v>13751</v>
      </c>
      <c r="D8071">
        <v>107610867</v>
      </c>
      <c r="E8071">
        <v>3.25</v>
      </c>
      <c r="F8071">
        <v>5.23</v>
      </c>
    </row>
    <row r="8072" spans="1:6" x14ac:dyDescent="0.3">
      <c r="A8072" t="s">
        <v>13752</v>
      </c>
      <c r="B8072" t="s">
        <v>13753</v>
      </c>
      <c r="C8072" t="s">
        <v>13754</v>
      </c>
      <c r="D8072">
        <v>107629708</v>
      </c>
      <c r="E8072">
        <v>8.41</v>
      </c>
      <c r="F8072">
        <v>6.23</v>
      </c>
    </row>
    <row r="8073" spans="1:6" x14ac:dyDescent="0.3">
      <c r="A8073" t="s">
        <v>13755</v>
      </c>
      <c r="B8073" t="s">
        <v>13756</v>
      </c>
      <c r="C8073" t="s">
        <v>1098</v>
      </c>
      <c r="D8073">
        <v>107641215</v>
      </c>
      <c r="E8073">
        <v>21.67</v>
      </c>
      <c r="F8073">
        <v>6</v>
      </c>
    </row>
    <row r="8074" spans="1:6" x14ac:dyDescent="0.3">
      <c r="A8074" t="s">
        <v>13757</v>
      </c>
      <c r="B8074" t="s">
        <v>9684</v>
      </c>
      <c r="C8074" t="s">
        <v>13758</v>
      </c>
      <c r="D8074">
        <v>107653994</v>
      </c>
      <c r="E8074">
        <v>21.6</v>
      </c>
      <c r="F8074">
        <v>7.6</v>
      </c>
    </row>
    <row r="8075" spans="1:6" x14ac:dyDescent="0.3">
      <c r="A8075" t="s">
        <v>13759</v>
      </c>
      <c r="B8075" t="s">
        <v>8397</v>
      </c>
      <c r="C8075" t="s">
        <v>13760</v>
      </c>
      <c r="D8075">
        <v>107654138</v>
      </c>
      <c r="E8075">
        <v>2.0699999999999998</v>
      </c>
      <c r="F8075">
        <v>7.55</v>
      </c>
    </row>
    <row r="8076" spans="1:6" x14ac:dyDescent="0.3">
      <c r="A8076" t="s">
        <v>13761</v>
      </c>
      <c r="B8076" t="s">
        <v>13762</v>
      </c>
      <c r="C8076" t="s">
        <v>13763</v>
      </c>
      <c r="D8076">
        <v>107686478</v>
      </c>
      <c r="E8076">
        <v>10.11</v>
      </c>
      <c r="F8076">
        <v>6.89</v>
      </c>
    </row>
    <row r="8077" spans="1:6" x14ac:dyDescent="0.3">
      <c r="A8077" t="s">
        <v>13764</v>
      </c>
      <c r="B8077" t="s">
        <v>13765</v>
      </c>
      <c r="C8077" t="s">
        <v>7570</v>
      </c>
      <c r="D8077">
        <v>107698203</v>
      </c>
      <c r="E8077">
        <v>4.08</v>
      </c>
      <c r="F8077">
        <v>6.62</v>
      </c>
    </row>
    <row r="8078" spans="1:6" x14ac:dyDescent="0.3">
      <c r="A8078" t="s">
        <v>13766</v>
      </c>
      <c r="B8078" t="s">
        <v>10145</v>
      </c>
      <c r="C8078" t="s">
        <v>13767</v>
      </c>
      <c r="D8078">
        <v>107707455</v>
      </c>
      <c r="E8078" t="s">
        <v>3814</v>
      </c>
      <c r="F8078" t="s">
        <v>3814</v>
      </c>
    </row>
    <row r="8079" spans="1:6" x14ac:dyDescent="0.3">
      <c r="A8079" t="s">
        <v>13768</v>
      </c>
      <c r="B8079" t="s">
        <v>13769</v>
      </c>
      <c r="C8079" t="s">
        <v>13770</v>
      </c>
      <c r="D8079">
        <v>107732760</v>
      </c>
      <c r="E8079" t="s">
        <v>3814</v>
      </c>
      <c r="F8079">
        <v>7.09</v>
      </c>
    </row>
    <row r="8080" spans="1:6" x14ac:dyDescent="0.3">
      <c r="A8080" t="s">
        <v>13771</v>
      </c>
      <c r="B8080" t="s">
        <v>12639</v>
      </c>
      <c r="C8080" t="s">
        <v>13772</v>
      </c>
      <c r="D8080">
        <v>107733650</v>
      </c>
      <c r="E8080" t="s">
        <v>3814</v>
      </c>
      <c r="F8080">
        <v>5.33</v>
      </c>
    </row>
    <row r="8081" spans="1:6" x14ac:dyDescent="0.3">
      <c r="A8081" t="s">
        <v>13773</v>
      </c>
      <c r="B8081" t="s">
        <v>13774</v>
      </c>
      <c r="C8081" t="s">
        <v>2391</v>
      </c>
      <c r="D8081">
        <v>107741051</v>
      </c>
      <c r="E8081" t="s">
        <v>3814</v>
      </c>
      <c r="F8081" t="s">
        <v>3814</v>
      </c>
    </row>
    <row r="8082" spans="1:6" x14ac:dyDescent="0.3">
      <c r="A8082" t="s">
        <v>7253</v>
      </c>
      <c r="B8082" t="s">
        <v>13775</v>
      </c>
      <c r="C8082" t="s">
        <v>13776</v>
      </c>
      <c r="D8082">
        <v>107743292</v>
      </c>
      <c r="E8082" t="s">
        <v>3814</v>
      </c>
      <c r="F8082" t="s">
        <v>3814</v>
      </c>
    </row>
    <row r="8083" spans="1:6" x14ac:dyDescent="0.3">
      <c r="A8083" t="s">
        <v>13777</v>
      </c>
      <c r="B8083" t="s">
        <v>13778</v>
      </c>
      <c r="C8083" t="s">
        <v>13779</v>
      </c>
      <c r="D8083">
        <v>107750630</v>
      </c>
      <c r="E8083">
        <v>3</v>
      </c>
      <c r="F8083">
        <v>5.68</v>
      </c>
    </row>
    <row r="8084" spans="1:6" x14ac:dyDescent="0.3">
      <c r="A8084" t="s">
        <v>13780</v>
      </c>
      <c r="B8084" t="s">
        <v>4770</v>
      </c>
      <c r="C8084" t="s">
        <v>13781</v>
      </c>
      <c r="D8084">
        <v>107762010</v>
      </c>
      <c r="E8084">
        <v>3.12</v>
      </c>
      <c r="F8084">
        <v>7.72</v>
      </c>
    </row>
    <row r="8085" spans="1:6" x14ac:dyDescent="0.3">
      <c r="A8085" t="s">
        <v>13782</v>
      </c>
      <c r="B8085" t="s">
        <v>4913</v>
      </c>
      <c r="C8085" t="s">
        <v>1248</v>
      </c>
      <c r="D8085">
        <v>107764640</v>
      </c>
      <c r="E8085">
        <v>26</v>
      </c>
      <c r="F8085">
        <v>9</v>
      </c>
    </row>
    <row r="8086" spans="1:6" x14ac:dyDescent="0.3">
      <c r="A8086" t="s">
        <v>13783</v>
      </c>
      <c r="B8086" t="s">
        <v>10562</v>
      </c>
      <c r="C8086" t="s">
        <v>13784</v>
      </c>
      <c r="D8086">
        <v>107774727</v>
      </c>
      <c r="E8086">
        <v>11.16</v>
      </c>
      <c r="F8086">
        <v>8.39</v>
      </c>
    </row>
    <row r="8087" spans="1:6" x14ac:dyDescent="0.3">
      <c r="A8087" t="s">
        <v>13785</v>
      </c>
      <c r="B8087" t="s">
        <v>13786</v>
      </c>
      <c r="C8087" t="s">
        <v>13787</v>
      </c>
      <c r="D8087">
        <v>107786823</v>
      </c>
      <c r="E8087" t="s">
        <v>3814</v>
      </c>
      <c r="F8087">
        <v>6.39</v>
      </c>
    </row>
    <row r="8088" spans="1:6" x14ac:dyDescent="0.3">
      <c r="A8088" t="s">
        <v>13788</v>
      </c>
      <c r="B8088" t="s">
        <v>12830</v>
      </c>
      <c r="C8088" t="s">
        <v>13789</v>
      </c>
      <c r="D8088">
        <v>107791691</v>
      </c>
      <c r="E8088">
        <v>2.0299999999999998</v>
      </c>
      <c r="F8088">
        <v>7.52</v>
      </c>
    </row>
    <row r="8089" spans="1:6" x14ac:dyDescent="0.3">
      <c r="A8089" t="s">
        <v>13790</v>
      </c>
      <c r="B8089" t="s">
        <v>11438</v>
      </c>
      <c r="C8089" t="s">
        <v>13790</v>
      </c>
      <c r="D8089">
        <v>107805281</v>
      </c>
      <c r="E8089" t="s">
        <v>3814</v>
      </c>
      <c r="F8089" t="s">
        <v>3814</v>
      </c>
    </row>
    <row r="8090" spans="1:6" x14ac:dyDescent="0.3">
      <c r="A8090" t="s">
        <v>13791</v>
      </c>
      <c r="B8090" t="s">
        <v>13792</v>
      </c>
      <c r="C8090" t="s">
        <v>13793</v>
      </c>
      <c r="D8090">
        <v>107846011</v>
      </c>
      <c r="E8090" t="s">
        <v>3814</v>
      </c>
      <c r="F8090">
        <v>2.5</v>
      </c>
    </row>
    <row r="8091" spans="1:6" x14ac:dyDescent="0.3">
      <c r="A8091" t="s">
        <v>13794</v>
      </c>
      <c r="B8091" t="s">
        <v>13485</v>
      </c>
      <c r="C8091" t="s">
        <v>13709</v>
      </c>
      <c r="D8091">
        <v>107847446</v>
      </c>
      <c r="E8091" t="s">
        <v>3814</v>
      </c>
      <c r="F8091">
        <v>7.64</v>
      </c>
    </row>
    <row r="8092" spans="1:6" x14ac:dyDescent="0.3">
      <c r="A8092" t="s">
        <v>13795</v>
      </c>
      <c r="B8092" t="s">
        <v>13368</v>
      </c>
      <c r="C8092" t="s">
        <v>11267</v>
      </c>
      <c r="D8092">
        <v>107865975</v>
      </c>
      <c r="E8092" t="s">
        <v>3814</v>
      </c>
      <c r="F8092">
        <v>7.74</v>
      </c>
    </row>
    <row r="8093" spans="1:6" x14ac:dyDescent="0.3">
      <c r="A8093" t="s">
        <v>13796</v>
      </c>
      <c r="B8093" t="s">
        <v>5698</v>
      </c>
      <c r="C8093" t="s">
        <v>13797</v>
      </c>
      <c r="D8093">
        <v>107931293</v>
      </c>
      <c r="E8093" t="s">
        <v>3814</v>
      </c>
      <c r="F8093" t="s">
        <v>3814</v>
      </c>
    </row>
    <row r="8094" spans="1:6" x14ac:dyDescent="0.3">
      <c r="A8094" t="s">
        <v>13798</v>
      </c>
      <c r="B8094" t="s">
        <v>13799</v>
      </c>
      <c r="C8094" t="s">
        <v>13800</v>
      </c>
      <c r="D8094">
        <v>107931617</v>
      </c>
      <c r="E8094">
        <v>17.600000000000001</v>
      </c>
      <c r="F8094">
        <v>7.8</v>
      </c>
    </row>
    <row r="8095" spans="1:6" x14ac:dyDescent="0.3">
      <c r="A8095" t="s">
        <v>13801</v>
      </c>
      <c r="B8095" t="s">
        <v>13802</v>
      </c>
      <c r="C8095" t="s">
        <v>12964</v>
      </c>
      <c r="D8095">
        <v>107968177</v>
      </c>
      <c r="E8095">
        <v>5.38</v>
      </c>
      <c r="F8095">
        <v>8.1300000000000008</v>
      </c>
    </row>
    <row r="8096" spans="1:6" x14ac:dyDescent="0.3">
      <c r="A8096" t="s">
        <v>13803</v>
      </c>
      <c r="B8096" t="s">
        <v>13804</v>
      </c>
      <c r="C8096" t="s">
        <v>13805</v>
      </c>
      <c r="D8096">
        <v>107968410</v>
      </c>
      <c r="E8096">
        <v>1.1299999999999999</v>
      </c>
      <c r="F8096">
        <v>7.79</v>
      </c>
    </row>
    <row r="8097" spans="1:6" x14ac:dyDescent="0.3">
      <c r="A8097" t="s">
        <v>13806</v>
      </c>
      <c r="B8097" t="s">
        <v>13807</v>
      </c>
      <c r="C8097" t="s">
        <v>13808</v>
      </c>
      <c r="D8097">
        <v>107970384</v>
      </c>
      <c r="E8097">
        <v>13.82</v>
      </c>
      <c r="F8097">
        <v>6.45</v>
      </c>
    </row>
    <row r="8098" spans="1:6" x14ac:dyDescent="0.3">
      <c r="A8098" t="s">
        <v>13809</v>
      </c>
      <c r="B8098" t="s">
        <v>12645</v>
      </c>
      <c r="C8098" t="s">
        <v>4892</v>
      </c>
      <c r="D8098">
        <v>107985486</v>
      </c>
      <c r="E8098" t="s">
        <v>3814</v>
      </c>
      <c r="F8098">
        <v>7.36</v>
      </c>
    </row>
    <row r="8099" spans="1:6" x14ac:dyDescent="0.3">
      <c r="A8099" t="s">
        <v>13810</v>
      </c>
      <c r="B8099" t="s">
        <v>13811</v>
      </c>
      <c r="C8099" t="s">
        <v>6920</v>
      </c>
      <c r="D8099">
        <v>108008283</v>
      </c>
      <c r="E8099">
        <v>2.81</v>
      </c>
      <c r="F8099">
        <v>7.07</v>
      </c>
    </row>
    <row r="8100" spans="1:6" x14ac:dyDescent="0.3">
      <c r="A8100" t="s">
        <v>13812</v>
      </c>
      <c r="B8100" t="s">
        <v>11434</v>
      </c>
      <c r="C8100" t="s">
        <v>13345</v>
      </c>
      <c r="D8100">
        <v>108016996</v>
      </c>
      <c r="E8100">
        <v>21.39</v>
      </c>
      <c r="F8100">
        <v>6.4</v>
      </c>
    </row>
    <row r="8101" spans="1:6" x14ac:dyDescent="0.3">
      <c r="A8101" t="s">
        <v>13813</v>
      </c>
      <c r="B8101" t="s">
        <v>13814</v>
      </c>
      <c r="C8101" t="s">
        <v>5959</v>
      </c>
      <c r="D8101">
        <v>108020084</v>
      </c>
      <c r="E8101">
        <v>1.61</v>
      </c>
      <c r="F8101">
        <v>7.45</v>
      </c>
    </row>
    <row r="8102" spans="1:6" x14ac:dyDescent="0.3">
      <c r="A8102" t="s">
        <v>13815</v>
      </c>
      <c r="B8102" t="s">
        <v>13816</v>
      </c>
      <c r="C8102" t="s">
        <v>12895</v>
      </c>
      <c r="D8102">
        <v>108074135</v>
      </c>
      <c r="E8102">
        <v>6.11</v>
      </c>
      <c r="F8102">
        <v>6.95</v>
      </c>
    </row>
    <row r="8103" spans="1:6" x14ac:dyDescent="0.3">
      <c r="A8103" t="s">
        <v>13817</v>
      </c>
      <c r="B8103" t="s">
        <v>3746</v>
      </c>
      <c r="C8103" t="s">
        <v>13818</v>
      </c>
      <c r="D8103">
        <v>108076646</v>
      </c>
      <c r="E8103">
        <v>8.31</v>
      </c>
      <c r="F8103">
        <v>6.07</v>
      </c>
    </row>
    <row r="8104" spans="1:6" x14ac:dyDescent="0.3">
      <c r="A8104" t="s">
        <v>13819</v>
      </c>
      <c r="B8104" t="s">
        <v>8962</v>
      </c>
      <c r="C8104" t="s">
        <v>13820</v>
      </c>
      <c r="D8104">
        <v>108082068</v>
      </c>
      <c r="E8104">
        <v>13</v>
      </c>
      <c r="F8104">
        <v>8.75</v>
      </c>
    </row>
    <row r="8105" spans="1:6" x14ac:dyDescent="0.3">
      <c r="A8105" t="s">
        <v>13821</v>
      </c>
      <c r="B8105" t="s">
        <v>8065</v>
      </c>
      <c r="C8105" t="s">
        <v>3706</v>
      </c>
      <c r="D8105">
        <v>108096074</v>
      </c>
      <c r="E8105">
        <v>12.57</v>
      </c>
      <c r="F8105">
        <v>8</v>
      </c>
    </row>
    <row r="8106" spans="1:6" x14ac:dyDescent="0.3">
      <c r="A8106" t="s">
        <v>13822</v>
      </c>
      <c r="B8106" t="s">
        <v>10885</v>
      </c>
      <c r="C8106" t="s">
        <v>13823</v>
      </c>
      <c r="D8106">
        <v>108103482</v>
      </c>
      <c r="E8106" t="s">
        <v>3814</v>
      </c>
      <c r="F8106">
        <v>4.5999999999999996</v>
      </c>
    </row>
    <row r="8107" spans="1:6" x14ac:dyDescent="0.3">
      <c r="A8107" t="s">
        <v>13824</v>
      </c>
      <c r="B8107" t="s">
        <v>7629</v>
      </c>
      <c r="C8107" t="s">
        <v>2224</v>
      </c>
      <c r="D8107">
        <v>108126882</v>
      </c>
      <c r="E8107">
        <v>6.5</v>
      </c>
      <c r="F8107">
        <v>7.46</v>
      </c>
    </row>
    <row r="8108" spans="1:6" x14ac:dyDescent="0.3">
      <c r="A8108" t="s">
        <v>13825</v>
      </c>
      <c r="B8108" t="s">
        <v>13826</v>
      </c>
      <c r="C8108" t="s">
        <v>13827</v>
      </c>
      <c r="D8108">
        <v>108133536</v>
      </c>
      <c r="E8108">
        <v>4.1500000000000004</v>
      </c>
      <c r="F8108">
        <v>6.69</v>
      </c>
    </row>
    <row r="8109" spans="1:6" x14ac:dyDescent="0.3">
      <c r="A8109" t="s">
        <v>13828</v>
      </c>
      <c r="B8109" t="s">
        <v>7604</v>
      </c>
      <c r="C8109" t="s">
        <v>13829</v>
      </c>
      <c r="D8109">
        <v>108141323</v>
      </c>
      <c r="E8109">
        <v>33</v>
      </c>
      <c r="F8109">
        <v>9</v>
      </c>
    </row>
    <row r="8110" spans="1:6" x14ac:dyDescent="0.3">
      <c r="A8110" t="s">
        <v>13830</v>
      </c>
      <c r="B8110" t="s">
        <v>13831</v>
      </c>
      <c r="C8110" t="s">
        <v>7401</v>
      </c>
      <c r="D8110">
        <v>108147165</v>
      </c>
      <c r="E8110" t="s">
        <v>3814</v>
      </c>
      <c r="F8110">
        <v>7</v>
      </c>
    </row>
    <row r="8111" spans="1:6" x14ac:dyDescent="0.3">
      <c r="A8111" t="s">
        <v>13832</v>
      </c>
      <c r="B8111" t="s">
        <v>13833</v>
      </c>
      <c r="C8111" t="s">
        <v>13834</v>
      </c>
      <c r="D8111">
        <v>108163319</v>
      </c>
      <c r="E8111" t="s">
        <v>3814</v>
      </c>
      <c r="F8111">
        <v>5.7</v>
      </c>
    </row>
    <row r="8112" spans="1:6" x14ac:dyDescent="0.3">
      <c r="A8112" t="s">
        <v>13835</v>
      </c>
      <c r="B8112" t="s">
        <v>8029</v>
      </c>
      <c r="C8112" t="s">
        <v>13836</v>
      </c>
      <c r="D8112">
        <v>108163433</v>
      </c>
      <c r="E8112" t="s">
        <v>3814</v>
      </c>
      <c r="F8112">
        <v>5.62</v>
      </c>
    </row>
    <row r="8113" spans="1:6" x14ac:dyDescent="0.3">
      <c r="A8113" t="s">
        <v>13837</v>
      </c>
      <c r="B8113" t="s">
        <v>13838</v>
      </c>
      <c r="C8113" t="s">
        <v>8120</v>
      </c>
      <c r="D8113">
        <v>108166168</v>
      </c>
      <c r="E8113">
        <v>5.54</v>
      </c>
      <c r="F8113">
        <v>8</v>
      </c>
    </row>
    <row r="8114" spans="1:6" x14ac:dyDescent="0.3">
      <c r="A8114" t="s">
        <v>13839</v>
      </c>
      <c r="B8114" t="s">
        <v>4010</v>
      </c>
      <c r="C8114" t="s">
        <v>13840</v>
      </c>
      <c r="D8114">
        <v>108171786</v>
      </c>
      <c r="E8114">
        <v>5.46</v>
      </c>
      <c r="F8114">
        <v>6.75</v>
      </c>
    </row>
    <row r="8115" spans="1:6" x14ac:dyDescent="0.3">
      <c r="A8115" t="s">
        <v>13841</v>
      </c>
      <c r="B8115" t="s">
        <v>9071</v>
      </c>
      <c r="C8115" t="s">
        <v>5752</v>
      </c>
      <c r="D8115">
        <v>108182698</v>
      </c>
      <c r="E8115">
        <v>24</v>
      </c>
      <c r="F8115">
        <v>10</v>
      </c>
    </row>
    <row r="8116" spans="1:6" x14ac:dyDescent="0.3">
      <c r="A8116" t="s">
        <v>13842</v>
      </c>
      <c r="B8116" t="s">
        <v>13843</v>
      </c>
      <c r="C8116" t="s">
        <v>13844</v>
      </c>
      <c r="D8116">
        <v>108189800</v>
      </c>
      <c r="E8116" t="s">
        <v>3814</v>
      </c>
      <c r="F8116">
        <v>3.69</v>
      </c>
    </row>
    <row r="8117" spans="1:6" x14ac:dyDescent="0.3">
      <c r="A8117" t="s">
        <v>13845</v>
      </c>
      <c r="B8117" t="s">
        <v>12220</v>
      </c>
      <c r="C8117" t="s">
        <v>13846</v>
      </c>
      <c r="D8117">
        <v>108207051</v>
      </c>
      <c r="E8117">
        <v>15.75</v>
      </c>
      <c r="F8117">
        <v>7.57</v>
      </c>
    </row>
    <row r="8118" spans="1:6" x14ac:dyDescent="0.3">
      <c r="A8118" t="s">
        <v>13847</v>
      </c>
      <c r="B8118" t="s">
        <v>12372</v>
      </c>
      <c r="C8118" t="s">
        <v>13848</v>
      </c>
      <c r="D8118">
        <v>108212471</v>
      </c>
      <c r="E8118">
        <v>20.67</v>
      </c>
      <c r="F8118">
        <v>5</v>
      </c>
    </row>
    <row r="8119" spans="1:6" x14ac:dyDescent="0.3">
      <c r="A8119" t="s">
        <v>13849</v>
      </c>
      <c r="B8119" t="s">
        <v>13850</v>
      </c>
      <c r="C8119" t="s">
        <v>13851</v>
      </c>
      <c r="D8119">
        <v>108244187</v>
      </c>
      <c r="E8119">
        <v>2.0299999999999998</v>
      </c>
      <c r="F8119">
        <v>7.38</v>
      </c>
    </row>
    <row r="8120" spans="1:6" x14ac:dyDescent="0.3">
      <c r="A8120" t="s">
        <v>13852</v>
      </c>
      <c r="B8120" t="s">
        <v>13853</v>
      </c>
      <c r="C8120" t="s">
        <v>11593</v>
      </c>
      <c r="D8120">
        <v>108248280</v>
      </c>
      <c r="E8120" t="s">
        <v>3814</v>
      </c>
      <c r="F8120">
        <v>9.4</v>
      </c>
    </row>
    <row r="8121" spans="1:6" x14ac:dyDescent="0.3">
      <c r="A8121" t="s">
        <v>13854</v>
      </c>
      <c r="B8121" t="s">
        <v>5517</v>
      </c>
      <c r="C8121" t="s">
        <v>13855</v>
      </c>
      <c r="D8121">
        <v>108258721</v>
      </c>
      <c r="E8121">
        <v>2.89</v>
      </c>
      <c r="F8121">
        <v>7.58</v>
      </c>
    </row>
    <row r="8122" spans="1:6" x14ac:dyDescent="0.3">
      <c r="A8122" t="s">
        <v>13856</v>
      </c>
      <c r="B8122" t="s">
        <v>11141</v>
      </c>
      <c r="C8122" t="s">
        <v>13857</v>
      </c>
      <c r="D8122">
        <v>108267677</v>
      </c>
      <c r="E8122">
        <v>23</v>
      </c>
      <c r="F8122">
        <v>7</v>
      </c>
    </row>
    <row r="8123" spans="1:6" x14ac:dyDescent="0.3">
      <c r="A8123" t="s">
        <v>13858</v>
      </c>
      <c r="B8123" t="s">
        <v>12617</v>
      </c>
      <c r="C8123" t="s">
        <v>13859</v>
      </c>
      <c r="D8123">
        <v>108285526</v>
      </c>
      <c r="E8123" t="s">
        <v>3814</v>
      </c>
      <c r="F8123">
        <v>7.44</v>
      </c>
    </row>
    <row r="8124" spans="1:6" x14ac:dyDescent="0.3">
      <c r="A8124" t="s">
        <v>13860</v>
      </c>
      <c r="B8124" t="s">
        <v>13861</v>
      </c>
      <c r="C8124" t="s">
        <v>13862</v>
      </c>
      <c r="D8124">
        <v>108324571</v>
      </c>
      <c r="E8124" t="s">
        <v>3814</v>
      </c>
      <c r="F8124">
        <v>5.9</v>
      </c>
    </row>
    <row r="8125" spans="1:6" x14ac:dyDescent="0.3">
      <c r="A8125" t="s">
        <v>13863</v>
      </c>
      <c r="B8125" t="s">
        <v>9565</v>
      </c>
      <c r="C8125" t="s">
        <v>13864</v>
      </c>
      <c r="D8125">
        <v>108335211</v>
      </c>
      <c r="E8125">
        <v>20.67</v>
      </c>
      <c r="F8125">
        <v>8.33</v>
      </c>
    </row>
    <row r="8126" spans="1:6" x14ac:dyDescent="0.3">
      <c r="A8126" t="s">
        <v>13865</v>
      </c>
      <c r="B8126" t="s">
        <v>13866</v>
      </c>
      <c r="C8126" t="s">
        <v>315</v>
      </c>
      <c r="D8126">
        <v>108338683</v>
      </c>
      <c r="E8126" t="s">
        <v>3814</v>
      </c>
      <c r="F8126">
        <v>6</v>
      </c>
    </row>
    <row r="8127" spans="1:6" x14ac:dyDescent="0.3">
      <c r="A8127" t="s">
        <v>12737</v>
      </c>
      <c r="B8127" t="s">
        <v>13867</v>
      </c>
      <c r="C8127" t="s">
        <v>12737</v>
      </c>
      <c r="D8127">
        <v>108339930</v>
      </c>
      <c r="E8127" t="s">
        <v>3814</v>
      </c>
      <c r="F8127">
        <v>4.6900000000000004</v>
      </c>
    </row>
    <row r="8128" spans="1:6" x14ac:dyDescent="0.3">
      <c r="A8128" t="s">
        <v>13868</v>
      </c>
      <c r="B8128" t="s">
        <v>10073</v>
      </c>
      <c r="C8128" t="s">
        <v>1719</v>
      </c>
      <c r="D8128">
        <v>108362538</v>
      </c>
      <c r="E8128">
        <v>26</v>
      </c>
      <c r="F8128">
        <v>8.67</v>
      </c>
    </row>
    <row r="8129" spans="1:6" x14ac:dyDescent="0.3">
      <c r="A8129" t="s">
        <v>13869</v>
      </c>
      <c r="B8129" t="s">
        <v>13315</v>
      </c>
      <c r="C8129" t="s">
        <v>845</v>
      </c>
      <c r="D8129">
        <v>108372523</v>
      </c>
      <c r="E8129">
        <v>1.28</v>
      </c>
      <c r="F8129">
        <v>7.57</v>
      </c>
    </row>
    <row r="8130" spans="1:6" x14ac:dyDescent="0.3">
      <c r="A8130" t="s">
        <v>13870</v>
      </c>
      <c r="B8130" t="s">
        <v>7046</v>
      </c>
      <c r="C8130" t="s">
        <v>8941</v>
      </c>
      <c r="D8130">
        <v>108378056</v>
      </c>
      <c r="E8130">
        <v>21.5</v>
      </c>
      <c r="F8130">
        <v>9</v>
      </c>
    </row>
    <row r="8131" spans="1:6" x14ac:dyDescent="0.3">
      <c r="A8131" t="s">
        <v>13871</v>
      </c>
      <c r="B8131" t="s">
        <v>13872</v>
      </c>
      <c r="C8131" t="s">
        <v>8632</v>
      </c>
      <c r="D8131">
        <v>108403301</v>
      </c>
      <c r="E8131">
        <v>11.71</v>
      </c>
      <c r="F8131">
        <v>7.71</v>
      </c>
    </row>
    <row r="8132" spans="1:6" x14ac:dyDescent="0.3">
      <c r="A8132" t="s">
        <v>13873</v>
      </c>
      <c r="B8132" t="s">
        <v>13874</v>
      </c>
      <c r="C8132" t="s">
        <v>7328</v>
      </c>
      <c r="D8132">
        <v>108411071</v>
      </c>
      <c r="E8132">
        <v>7.06</v>
      </c>
      <c r="F8132">
        <v>7.59</v>
      </c>
    </row>
    <row r="8133" spans="1:6" x14ac:dyDescent="0.3">
      <c r="A8133" t="s">
        <v>13875</v>
      </c>
      <c r="B8133" t="s">
        <v>8665</v>
      </c>
      <c r="C8133" t="s">
        <v>63</v>
      </c>
      <c r="D8133">
        <v>108426292</v>
      </c>
      <c r="E8133">
        <v>29</v>
      </c>
      <c r="F8133">
        <v>9</v>
      </c>
    </row>
    <row r="8134" spans="1:6" x14ac:dyDescent="0.3">
      <c r="A8134" t="s">
        <v>13876</v>
      </c>
      <c r="B8134" t="s">
        <v>13877</v>
      </c>
      <c r="C8134" t="s">
        <v>13878</v>
      </c>
      <c r="D8134">
        <v>108434906</v>
      </c>
      <c r="E8134" t="s">
        <v>3814</v>
      </c>
      <c r="F8134">
        <v>6.33</v>
      </c>
    </row>
    <row r="8135" spans="1:6" x14ac:dyDescent="0.3">
      <c r="A8135" t="s">
        <v>13879</v>
      </c>
      <c r="B8135" t="s">
        <v>2612</v>
      </c>
      <c r="C8135" t="s">
        <v>13880</v>
      </c>
      <c r="D8135">
        <v>108440528</v>
      </c>
      <c r="E8135">
        <v>2.75</v>
      </c>
      <c r="F8135">
        <v>7.34</v>
      </c>
    </row>
    <row r="8136" spans="1:6" x14ac:dyDescent="0.3">
      <c r="A8136" t="s">
        <v>13881</v>
      </c>
      <c r="B8136" t="s">
        <v>13882</v>
      </c>
      <c r="C8136" t="s">
        <v>6342</v>
      </c>
      <c r="D8136">
        <v>108452738</v>
      </c>
      <c r="E8136">
        <v>2.41</v>
      </c>
      <c r="F8136">
        <v>7.03</v>
      </c>
    </row>
    <row r="8137" spans="1:6" x14ac:dyDescent="0.3">
      <c r="A8137" t="s">
        <v>13883</v>
      </c>
      <c r="B8137" t="s">
        <v>13884</v>
      </c>
      <c r="C8137" t="s">
        <v>13885</v>
      </c>
      <c r="D8137">
        <v>108459320</v>
      </c>
      <c r="E8137">
        <v>19.170000000000002</v>
      </c>
      <c r="F8137">
        <v>9.33</v>
      </c>
    </row>
    <row r="8138" spans="1:6" x14ac:dyDescent="0.3">
      <c r="A8138" t="s">
        <v>13886</v>
      </c>
      <c r="B8138" t="s">
        <v>1305</v>
      </c>
      <c r="C8138" t="s">
        <v>1101</v>
      </c>
      <c r="D8138">
        <v>108491167</v>
      </c>
      <c r="E8138">
        <v>3.48</v>
      </c>
      <c r="F8138">
        <v>7.9</v>
      </c>
    </row>
    <row r="8139" spans="1:6" x14ac:dyDescent="0.3">
      <c r="A8139" t="s">
        <v>13887</v>
      </c>
      <c r="B8139" t="s">
        <v>13888</v>
      </c>
      <c r="C8139" t="s">
        <v>4998</v>
      </c>
      <c r="D8139">
        <v>108492038</v>
      </c>
      <c r="E8139" t="s">
        <v>3814</v>
      </c>
      <c r="F8139">
        <v>7.05</v>
      </c>
    </row>
    <row r="8140" spans="1:6" x14ac:dyDescent="0.3">
      <c r="A8140" t="s">
        <v>13889</v>
      </c>
      <c r="B8140" t="s">
        <v>13201</v>
      </c>
      <c r="C8140" t="s">
        <v>13632</v>
      </c>
      <c r="D8140">
        <v>108501057</v>
      </c>
      <c r="E8140">
        <v>12.93</v>
      </c>
      <c r="F8140">
        <v>7.75</v>
      </c>
    </row>
    <row r="8141" spans="1:6" x14ac:dyDescent="0.3">
      <c r="A8141" t="s">
        <v>13890</v>
      </c>
      <c r="B8141" t="s">
        <v>13891</v>
      </c>
      <c r="C8141" t="s">
        <v>13892</v>
      </c>
      <c r="D8141">
        <v>108507992</v>
      </c>
      <c r="E8141">
        <v>9.44</v>
      </c>
      <c r="F8141">
        <v>7.58</v>
      </c>
    </row>
    <row r="8142" spans="1:6" x14ac:dyDescent="0.3">
      <c r="A8142" t="s">
        <v>13893</v>
      </c>
      <c r="B8142" t="s">
        <v>10918</v>
      </c>
      <c r="C8142" t="s">
        <v>1242</v>
      </c>
      <c r="D8142">
        <v>108514663</v>
      </c>
      <c r="E8142" t="s">
        <v>3814</v>
      </c>
      <c r="F8142" t="s">
        <v>3814</v>
      </c>
    </row>
    <row r="8143" spans="1:6" x14ac:dyDescent="0.3">
      <c r="A8143" t="s">
        <v>13894</v>
      </c>
      <c r="B8143" t="s">
        <v>12879</v>
      </c>
      <c r="C8143" t="s">
        <v>13895</v>
      </c>
      <c r="D8143">
        <v>108531198</v>
      </c>
      <c r="E8143" t="s">
        <v>3814</v>
      </c>
      <c r="F8143">
        <v>8.6999999999999993</v>
      </c>
    </row>
    <row r="8144" spans="1:6" x14ac:dyDescent="0.3">
      <c r="A8144" t="s">
        <v>13896</v>
      </c>
      <c r="B8144" t="s">
        <v>7422</v>
      </c>
      <c r="C8144" t="s">
        <v>13001</v>
      </c>
      <c r="D8144">
        <v>108548225</v>
      </c>
      <c r="E8144">
        <v>1.22</v>
      </c>
      <c r="F8144">
        <v>7.25</v>
      </c>
    </row>
    <row r="8145" spans="1:6" x14ac:dyDescent="0.3">
      <c r="A8145" t="s">
        <v>13897</v>
      </c>
      <c r="B8145" t="s">
        <v>13898</v>
      </c>
      <c r="C8145" t="s">
        <v>13899</v>
      </c>
      <c r="D8145">
        <v>108557635</v>
      </c>
      <c r="E8145" t="s">
        <v>3814</v>
      </c>
      <c r="F8145">
        <v>1.2</v>
      </c>
    </row>
    <row r="8146" spans="1:6" x14ac:dyDescent="0.3">
      <c r="A8146" t="s">
        <v>13900</v>
      </c>
      <c r="B8146" t="s">
        <v>7177</v>
      </c>
      <c r="C8146" t="s">
        <v>349</v>
      </c>
      <c r="D8146">
        <v>108558924</v>
      </c>
      <c r="E8146">
        <v>21.22</v>
      </c>
      <c r="F8146">
        <v>8.74</v>
      </c>
    </row>
    <row r="8147" spans="1:6" x14ac:dyDescent="0.3">
      <c r="A8147" t="s">
        <v>13901</v>
      </c>
      <c r="B8147" t="s">
        <v>7343</v>
      </c>
      <c r="C8147" t="s">
        <v>349</v>
      </c>
      <c r="D8147">
        <v>108570682</v>
      </c>
      <c r="E8147">
        <v>6.17</v>
      </c>
      <c r="F8147">
        <v>7.29</v>
      </c>
    </row>
    <row r="8148" spans="1:6" x14ac:dyDescent="0.3">
      <c r="A8148" t="s">
        <v>13902</v>
      </c>
      <c r="B8148" t="s">
        <v>13903</v>
      </c>
      <c r="C8148" t="s">
        <v>8301</v>
      </c>
      <c r="D8148">
        <v>108575698</v>
      </c>
      <c r="E8148" t="s">
        <v>3814</v>
      </c>
      <c r="F8148">
        <v>3.38</v>
      </c>
    </row>
    <row r="8149" spans="1:6" x14ac:dyDescent="0.3">
      <c r="A8149" t="s">
        <v>13904</v>
      </c>
      <c r="B8149" t="s">
        <v>13905</v>
      </c>
      <c r="C8149" t="s">
        <v>13906</v>
      </c>
      <c r="D8149">
        <v>108625010</v>
      </c>
      <c r="E8149">
        <v>16.13</v>
      </c>
      <c r="F8149">
        <v>8</v>
      </c>
    </row>
    <row r="8150" spans="1:6" x14ac:dyDescent="0.3">
      <c r="A8150" t="s">
        <v>13907</v>
      </c>
      <c r="B8150" t="s">
        <v>13908</v>
      </c>
      <c r="C8150" t="s">
        <v>2551</v>
      </c>
      <c r="D8150">
        <v>108626592</v>
      </c>
      <c r="E8150">
        <v>2.86</v>
      </c>
      <c r="F8150">
        <v>7.24</v>
      </c>
    </row>
    <row r="8151" spans="1:6" x14ac:dyDescent="0.3">
      <c r="A8151" t="s">
        <v>13909</v>
      </c>
      <c r="B8151" t="s">
        <v>13910</v>
      </c>
      <c r="C8151" t="s">
        <v>3728</v>
      </c>
      <c r="D8151">
        <v>108633124</v>
      </c>
      <c r="E8151">
        <v>18.079999999999998</v>
      </c>
      <c r="F8151">
        <v>8.33</v>
      </c>
    </row>
    <row r="8152" spans="1:6" x14ac:dyDescent="0.3">
      <c r="A8152" t="s">
        <v>3737</v>
      </c>
      <c r="B8152" t="s">
        <v>13911</v>
      </c>
      <c r="C8152" t="s">
        <v>6307</v>
      </c>
      <c r="D8152">
        <v>108633279</v>
      </c>
      <c r="E8152">
        <v>12.11</v>
      </c>
      <c r="F8152">
        <v>5.56</v>
      </c>
    </row>
    <row r="8153" spans="1:6" x14ac:dyDescent="0.3">
      <c r="A8153" t="s">
        <v>13912</v>
      </c>
      <c r="B8153" t="s">
        <v>13913</v>
      </c>
      <c r="C8153" t="s">
        <v>12737</v>
      </c>
      <c r="D8153">
        <v>108635670</v>
      </c>
      <c r="E8153">
        <v>9.65</v>
      </c>
      <c r="F8153">
        <v>8.1300000000000008</v>
      </c>
    </row>
    <row r="8154" spans="1:6" x14ac:dyDescent="0.3">
      <c r="A8154" t="s">
        <v>13914</v>
      </c>
      <c r="B8154" t="s">
        <v>13915</v>
      </c>
      <c r="C8154" t="s">
        <v>13916</v>
      </c>
      <c r="D8154">
        <v>108660873</v>
      </c>
      <c r="E8154">
        <v>8.91</v>
      </c>
      <c r="F8154">
        <v>8.07</v>
      </c>
    </row>
    <row r="8155" spans="1:6" x14ac:dyDescent="0.3">
      <c r="A8155" t="s">
        <v>13917</v>
      </c>
      <c r="B8155" t="s">
        <v>13918</v>
      </c>
      <c r="C8155" t="s">
        <v>13919</v>
      </c>
      <c r="D8155">
        <v>108663939</v>
      </c>
      <c r="E8155">
        <v>2.87</v>
      </c>
      <c r="F8155">
        <v>6.57</v>
      </c>
    </row>
    <row r="8156" spans="1:6" x14ac:dyDescent="0.3">
      <c r="A8156" t="s">
        <v>3919</v>
      </c>
      <c r="B8156" t="s">
        <v>5415</v>
      </c>
      <c r="C8156" t="s">
        <v>2690</v>
      </c>
      <c r="D8156">
        <v>108664680</v>
      </c>
      <c r="E8156">
        <v>20.67</v>
      </c>
      <c r="F8156">
        <v>6.71</v>
      </c>
    </row>
    <row r="8157" spans="1:6" x14ac:dyDescent="0.3">
      <c r="A8157" t="s">
        <v>13920</v>
      </c>
      <c r="B8157" t="s">
        <v>12891</v>
      </c>
      <c r="C8157" t="s">
        <v>12316</v>
      </c>
      <c r="D8157">
        <v>108672705</v>
      </c>
      <c r="E8157">
        <v>22</v>
      </c>
      <c r="F8157">
        <v>9.8000000000000007</v>
      </c>
    </row>
    <row r="8158" spans="1:6" x14ac:dyDescent="0.3">
      <c r="A8158" t="s">
        <v>13921</v>
      </c>
      <c r="B8158" t="s">
        <v>13609</v>
      </c>
      <c r="C8158" t="s">
        <v>13922</v>
      </c>
      <c r="D8158">
        <v>108676195</v>
      </c>
      <c r="E8158">
        <v>19.57</v>
      </c>
      <c r="F8158">
        <v>7.4</v>
      </c>
    </row>
    <row r="8159" spans="1:6" x14ac:dyDescent="0.3">
      <c r="A8159" t="s">
        <v>13923</v>
      </c>
      <c r="B8159" t="s">
        <v>13924</v>
      </c>
      <c r="C8159" t="s">
        <v>13925</v>
      </c>
      <c r="D8159">
        <v>108684447</v>
      </c>
      <c r="E8159" t="s">
        <v>3814</v>
      </c>
      <c r="F8159">
        <v>6.59</v>
      </c>
    </row>
    <row r="8160" spans="1:6" x14ac:dyDescent="0.3">
      <c r="A8160" t="s">
        <v>13926</v>
      </c>
      <c r="B8160" t="s">
        <v>13927</v>
      </c>
      <c r="C8160" t="s">
        <v>818</v>
      </c>
      <c r="D8160">
        <v>108689734</v>
      </c>
      <c r="E8160">
        <v>3.9</v>
      </c>
      <c r="F8160">
        <v>6.16</v>
      </c>
    </row>
    <row r="8161" spans="1:6" x14ac:dyDescent="0.3">
      <c r="A8161" t="s">
        <v>13928</v>
      </c>
      <c r="B8161" t="s">
        <v>11878</v>
      </c>
      <c r="C8161" t="s">
        <v>13929</v>
      </c>
      <c r="D8161">
        <v>108708033</v>
      </c>
      <c r="E8161" t="s">
        <v>3814</v>
      </c>
      <c r="F8161" t="s">
        <v>3814</v>
      </c>
    </row>
    <row r="8162" spans="1:6" x14ac:dyDescent="0.3">
      <c r="A8162" t="s">
        <v>13930</v>
      </c>
      <c r="B8162" t="s">
        <v>13931</v>
      </c>
      <c r="C8162" t="s">
        <v>836</v>
      </c>
      <c r="D8162">
        <v>108721760</v>
      </c>
      <c r="E8162">
        <v>3.23</v>
      </c>
      <c r="F8162">
        <v>7.11</v>
      </c>
    </row>
    <row r="8163" spans="1:6" x14ac:dyDescent="0.3">
      <c r="A8163" t="s">
        <v>13932</v>
      </c>
      <c r="B8163" t="s">
        <v>13933</v>
      </c>
      <c r="C8163" t="s">
        <v>13934</v>
      </c>
      <c r="D8163">
        <v>108734640</v>
      </c>
      <c r="E8163" t="s">
        <v>3814</v>
      </c>
      <c r="F8163">
        <v>8.06</v>
      </c>
    </row>
    <row r="8164" spans="1:6" x14ac:dyDescent="0.3">
      <c r="A8164" t="s">
        <v>13935</v>
      </c>
      <c r="B8164" t="s">
        <v>11179</v>
      </c>
      <c r="C8164" t="s">
        <v>13936</v>
      </c>
      <c r="D8164">
        <v>108748094</v>
      </c>
      <c r="E8164" t="s">
        <v>3814</v>
      </c>
      <c r="F8164">
        <v>5.66</v>
      </c>
    </row>
    <row r="8165" spans="1:6" x14ac:dyDescent="0.3">
      <c r="A8165" t="s">
        <v>13937</v>
      </c>
      <c r="B8165" t="s">
        <v>13396</v>
      </c>
      <c r="C8165" t="s">
        <v>13938</v>
      </c>
      <c r="D8165">
        <v>108760942</v>
      </c>
      <c r="E8165" t="s">
        <v>3814</v>
      </c>
      <c r="F8165">
        <v>6.85</v>
      </c>
    </row>
    <row r="8166" spans="1:6" x14ac:dyDescent="0.3">
      <c r="A8166" t="s">
        <v>13939</v>
      </c>
      <c r="B8166" t="s">
        <v>5031</v>
      </c>
      <c r="C8166" t="s">
        <v>13940</v>
      </c>
      <c r="D8166">
        <v>108773525</v>
      </c>
      <c r="E8166">
        <v>12.71</v>
      </c>
      <c r="F8166">
        <v>7.42</v>
      </c>
    </row>
    <row r="8167" spans="1:6" x14ac:dyDescent="0.3">
      <c r="A8167" t="s">
        <v>13941</v>
      </c>
      <c r="B8167" t="s">
        <v>13942</v>
      </c>
      <c r="C8167" t="s">
        <v>13943</v>
      </c>
      <c r="D8167">
        <v>108780316</v>
      </c>
      <c r="E8167">
        <v>14.29</v>
      </c>
      <c r="F8167">
        <v>5.67</v>
      </c>
    </row>
    <row r="8168" spans="1:6" x14ac:dyDescent="0.3">
      <c r="A8168" t="s">
        <v>13944</v>
      </c>
      <c r="B8168" t="s">
        <v>13368</v>
      </c>
      <c r="C8168" t="s">
        <v>12712</v>
      </c>
      <c r="D8168">
        <v>108781668</v>
      </c>
      <c r="E8168" t="s">
        <v>3814</v>
      </c>
      <c r="F8168">
        <v>5.48</v>
      </c>
    </row>
    <row r="8169" spans="1:6" x14ac:dyDescent="0.3">
      <c r="A8169" t="s">
        <v>13945</v>
      </c>
      <c r="B8169" t="s">
        <v>3800</v>
      </c>
      <c r="C8169" t="s">
        <v>8285</v>
      </c>
      <c r="D8169">
        <v>108803133</v>
      </c>
      <c r="E8169">
        <v>3.98</v>
      </c>
      <c r="F8169">
        <v>7.06</v>
      </c>
    </row>
    <row r="8170" spans="1:6" x14ac:dyDescent="0.3">
      <c r="A8170" t="s">
        <v>13946</v>
      </c>
      <c r="B8170" t="s">
        <v>12506</v>
      </c>
      <c r="C8170" t="s">
        <v>6432</v>
      </c>
      <c r="D8170">
        <v>108806542</v>
      </c>
      <c r="E8170" t="s">
        <v>3814</v>
      </c>
      <c r="F8170">
        <v>7.44</v>
      </c>
    </row>
    <row r="8171" spans="1:6" x14ac:dyDescent="0.3">
      <c r="A8171" t="s">
        <v>13947</v>
      </c>
      <c r="B8171" t="s">
        <v>13948</v>
      </c>
      <c r="C8171" t="s">
        <v>13949</v>
      </c>
      <c r="D8171">
        <v>108816554</v>
      </c>
      <c r="E8171">
        <v>5.21</v>
      </c>
      <c r="F8171">
        <v>7.1</v>
      </c>
    </row>
    <row r="8172" spans="1:6" x14ac:dyDescent="0.3">
      <c r="A8172" t="s">
        <v>13950</v>
      </c>
      <c r="B8172" t="s">
        <v>3746</v>
      </c>
      <c r="C8172" t="s">
        <v>7550</v>
      </c>
      <c r="D8172">
        <v>108819018</v>
      </c>
      <c r="E8172">
        <v>2.17</v>
      </c>
      <c r="F8172">
        <v>7.03</v>
      </c>
    </row>
    <row r="8173" spans="1:6" x14ac:dyDescent="0.3">
      <c r="A8173" t="s">
        <v>10970</v>
      </c>
      <c r="B8173" t="s">
        <v>8960</v>
      </c>
      <c r="C8173" t="s">
        <v>10971</v>
      </c>
      <c r="D8173">
        <v>108821040</v>
      </c>
      <c r="E8173" t="s">
        <v>3814</v>
      </c>
      <c r="F8173" t="s">
        <v>3814</v>
      </c>
    </row>
    <row r="8174" spans="1:6" x14ac:dyDescent="0.3">
      <c r="A8174" t="s">
        <v>13951</v>
      </c>
      <c r="B8174" t="s">
        <v>13952</v>
      </c>
      <c r="C8174" t="s">
        <v>13545</v>
      </c>
      <c r="D8174">
        <v>108822785</v>
      </c>
      <c r="E8174" t="s">
        <v>3814</v>
      </c>
      <c r="F8174">
        <v>6.94</v>
      </c>
    </row>
    <row r="8175" spans="1:6" x14ac:dyDescent="0.3">
      <c r="A8175" t="s">
        <v>13953</v>
      </c>
      <c r="B8175" t="s">
        <v>9788</v>
      </c>
      <c r="C8175" t="s">
        <v>13954</v>
      </c>
      <c r="D8175">
        <v>108852173</v>
      </c>
      <c r="E8175">
        <v>10.97</v>
      </c>
      <c r="F8175">
        <v>8.2200000000000006</v>
      </c>
    </row>
    <row r="8176" spans="1:6" x14ac:dyDescent="0.3">
      <c r="A8176" t="s">
        <v>13955</v>
      </c>
      <c r="B8176" t="s">
        <v>12435</v>
      </c>
      <c r="C8176" t="s">
        <v>4081</v>
      </c>
      <c r="D8176">
        <v>108857121</v>
      </c>
      <c r="E8176">
        <v>17.5</v>
      </c>
      <c r="F8176">
        <v>7.5</v>
      </c>
    </row>
    <row r="8177" spans="1:6" x14ac:dyDescent="0.3">
      <c r="A8177" t="s">
        <v>13956</v>
      </c>
      <c r="B8177" t="s">
        <v>13210</v>
      </c>
      <c r="C8177" t="s">
        <v>13957</v>
      </c>
      <c r="D8177">
        <v>108861000</v>
      </c>
      <c r="E8177">
        <v>1.27</v>
      </c>
      <c r="F8177">
        <v>7.18</v>
      </c>
    </row>
    <row r="8178" spans="1:6" x14ac:dyDescent="0.3">
      <c r="A8178" t="s">
        <v>13958</v>
      </c>
      <c r="B8178" t="s">
        <v>13959</v>
      </c>
      <c r="C8178" t="s">
        <v>13960</v>
      </c>
      <c r="D8178">
        <v>108865238</v>
      </c>
      <c r="E8178" t="s">
        <v>3814</v>
      </c>
      <c r="F8178">
        <v>7.67</v>
      </c>
    </row>
    <row r="8179" spans="1:6" x14ac:dyDescent="0.3">
      <c r="A8179" t="s">
        <v>13961</v>
      </c>
      <c r="B8179" t="s">
        <v>13962</v>
      </c>
      <c r="C8179" t="s">
        <v>3504</v>
      </c>
      <c r="D8179">
        <v>108868478</v>
      </c>
      <c r="E8179">
        <v>1.86</v>
      </c>
      <c r="F8179">
        <v>8.1</v>
      </c>
    </row>
    <row r="8180" spans="1:6" x14ac:dyDescent="0.3">
      <c r="A8180" t="s">
        <v>13963</v>
      </c>
      <c r="B8180" t="s">
        <v>12617</v>
      </c>
      <c r="C8180" t="s">
        <v>13964</v>
      </c>
      <c r="D8180">
        <v>108873747</v>
      </c>
      <c r="E8180" t="s">
        <v>3814</v>
      </c>
      <c r="F8180">
        <v>7.33</v>
      </c>
    </row>
    <row r="8181" spans="1:6" x14ac:dyDescent="0.3">
      <c r="A8181" t="s">
        <v>13965</v>
      </c>
      <c r="B8181" t="s">
        <v>5790</v>
      </c>
      <c r="C8181" t="s">
        <v>3952</v>
      </c>
      <c r="D8181">
        <v>108879915</v>
      </c>
      <c r="E8181">
        <v>1.04</v>
      </c>
      <c r="F8181">
        <v>7.53</v>
      </c>
    </row>
    <row r="8182" spans="1:6" x14ac:dyDescent="0.3">
      <c r="A8182" t="s">
        <v>13966</v>
      </c>
      <c r="B8182" t="s">
        <v>13967</v>
      </c>
      <c r="C8182" t="s">
        <v>7401</v>
      </c>
      <c r="D8182">
        <v>108885563</v>
      </c>
      <c r="E8182" t="s">
        <v>3814</v>
      </c>
      <c r="F8182">
        <v>5</v>
      </c>
    </row>
    <row r="8183" spans="1:6" x14ac:dyDescent="0.3">
      <c r="A8183" t="s">
        <v>13968</v>
      </c>
      <c r="B8183" t="s">
        <v>10802</v>
      </c>
      <c r="C8183" t="s">
        <v>13969</v>
      </c>
      <c r="D8183">
        <v>108962721</v>
      </c>
      <c r="E8183">
        <v>3.09</v>
      </c>
      <c r="F8183">
        <v>8.43</v>
      </c>
    </row>
    <row r="8184" spans="1:6" x14ac:dyDescent="0.3">
      <c r="A8184" t="s">
        <v>13970</v>
      </c>
      <c r="B8184" t="s">
        <v>6980</v>
      </c>
      <c r="C8184" t="s">
        <v>13971</v>
      </c>
      <c r="D8184">
        <v>108963146</v>
      </c>
      <c r="E8184">
        <v>24</v>
      </c>
      <c r="F8184">
        <v>9.4</v>
      </c>
    </row>
    <row r="8185" spans="1:6" x14ac:dyDescent="0.3">
      <c r="A8185" t="s">
        <v>13972</v>
      </c>
      <c r="B8185" t="s">
        <v>7582</v>
      </c>
      <c r="C8185" t="s">
        <v>13973</v>
      </c>
      <c r="D8185">
        <v>108963739</v>
      </c>
      <c r="E8185" t="s">
        <v>3814</v>
      </c>
      <c r="F8185">
        <v>5.67</v>
      </c>
    </row>
    <row r="8186" spans="1:6" x14ac:dyDescent="0.3">
      <c r="A8186" t="s">
        <v>13974</v>
      </c>
      <c r="B8186" t="s">
        <v>13975</v>
      </c>
      <c r="C8186" t="s">
        <v>13976</v>
      </c>
      <c r="D8186">
        <v>108971249</v>
      </c>
      <c r="E8186">
        <v>2.88</v>
      </c>
      <c r="F8186">
        <v>6.76</v>
      </c>
    </row>
    <row r="8187" spans="1:6" x14ac:dyDescent="0.3">
      <c r="A8187" t="s">
        <v>13977</v>
      </c>
      <c r="B8187" t="s">
        <v>2398</v>
      </c>
      <c r="C8187" t="s">
        <v>13978</v>
      </c>
      <c r="D8187">
        <v>108979249</v>
      </c>
      <c r="E8187" t="s">
        <v>3814</v>
      </c>
      <c r="F8187">
        <v>7</v>
      </c>
    </row>
    <row r="8188" spans="1:6" x14ac:dyDescent="0.3">
      <c r="A8188" t="s">
        <v>13979</v>
      </c>
      <c r="B8188" t="s">
        <v>13980</v>
      </c>
      <c r="C8188" t="s">
        <v>4186</v>
      </c>
      <c r="D8188">
        <v>109023941</v>
      </c>
      <c r="E8188" t="s">
        <v>3814</v>
      </c>
      <c r="F8188">
        <v>6.81</v>
      </c>
    </row>
    <row r="8189" spans="1:6" x14ac:dyDescent="0.3">
      <c r="A8189" t="s">
        <v>13981</v>
      </c>
      <c r="B8189" t="s">
        <v>13982</v>
      </c>
      <c r="C8189" t="s">
        <v>6117</v>
      </c>
      <c r="D8189">
        <v>109041362</v>
      </c>
      <c r="E8189">
        <v>4.3499999999999996</v>
      </c>
      <c r="F8189">
        <v>5.75</v>
      </c>
    </row>
    <row r="8190" spans="1:6" x14ac:dyDescent="0.3">
      <c r="A8190" t="s">
        <v>13983</v>
      </c>
      <c r="B8190" t="s">
        <v>9788</v>
      </c>
      <c r="C8190" t="s">
        <v>13984</v>
      </c>
      <c r="D8190">
        <v>109041968</v>
      </c>
      <c r="E8190">
        <v>4.0999999999999996</v>
      </c>
      <c r="F8190">
        <v>7.67</v>
      </c>
    </row>
    <row r="8191" spans="1:6" x14ac:dyDescent="0.3">
      <c r="A8191" t="s">
        <v>13985</v>
      </c>
      <c r="B8191" t="s">
        <v>5696</v>
      </c>
      <c r="C8191" t="s">
        <v>734</v>
      </c>
      <c r="D8191">
        <v>109050674</v>
      </c>
      <c r="E8191" t="s">
        <v>3814</v>
      </c>
      <c r="F8191" t="s">
        <v>3814</v>
      </c>
    </row>
    <row r="8192" spans="1:6" x14ac:dyDescent="0.3">
      <c r="A8192" t="s">
        <v>13986</v>
      </c>
      <c r="B8192" t="s">
        <v>12443</v>
      </c>
      <c r="C8192" t="s">
        <v>13987</v>
      </c>
      <c r="D8192">
        <v>109054383</v>
      </c>
      <c r="E8192">
        <v>2.69</v>
      </c>
      <c r="F8192">
        <v>7.81</v>
      </c>
    </row>
    <row r="8193" spans="1:6" x14ac:dyDescent="0.3">
      <c r="A8193" t="s">
        <v>13988</v>
      </c>
      <c r="B8193" t="s">
        <v>13989</v>
      </c>
      <c r="C8193" t="s">
        <v>13990</v>
      </c>
      <c r="D8193">
        <v>109073060</v>
      </c>
      <c r="E8193">
        <v>6.14</v>
      </c>
      <c r="F8193">
        <v>6.43</v>
      </c>
    </row>
    <row r="8194" spans="1:6" x14ac:dyDescent="0.3">
      <c r="A8194" t="s">
        <v>13991</v>
      </c>
      <c r="B8194" t="s">
        <v>4971</v>
      </c>
      <c r="C8194" t="s">
        <v>13992</v>
      </c>
      <c r="D8194">
        <v>109115531</v>
      </c>
      <c r="E8194">
        <v>1.38</v>
      </c>
      <c r="F8194">
        <v>7.49</v>
      </c>
    </row>
    <row r="8195" spans="1:6" x14ac:dyDescent="0.3">
      <c r="A8195" t="s">
        <v>5379</v>
      </c>
      <c r="B8195" t="s">
        <v>13993</v>
      </c>
      <c r="C8195" t="s">
        <v>5379</v>
      </c>
      <c r="D8195">
        <v>109124442</v>
      </c>
      <c r="E8195">
        <v>2.19</v>
      </c>
      <c r="F8195">
        <v>7.11</v>
      </c>
    </row>
    <row r="8196" spans="1:6" x14ac:dyDescent="0.3">
      <c r="A8196" t="s">
        <v>13994</v>
      </c>
      <c r="B8196" t="s">
        <v>12938</v>
      </c>
      <c r="C8196" t="s">
        <v>5450</v>
      </c>
      <c r="D8196">
        <v>109124708</v>
      </c>
      <c r="E8196">
        <v>4.9400000000000004</v>
      </c>
      <c r="F8196">
        <v>8.17</v>
      </c>
    </row>
    <row r="8197" spans="1:6" x14ac:dyDescent="0.3">
      <c r="A8197" t="s">
        <v>13995</v>
      </c>
      <c r="B8197" t="s">
        <v>13137</v>
      </c>
      <c r="C8197" t="s">
        <v>13996</v>
      </c>
      <c r="D8197">
        <v>109127442</v>
      </c>
      <c r="E8197" t="s">
        <v>3814</v>
      </c>
      <c r="F8197">
        <v>5.75</v>
      </c>
    </row>
    <row r="8198" spans="1:6" x14ac:dyDescent="0.3">
      <c r="A8198" t="s">
        <v>13997</v>
      </c>
      <c r="B8198" t="s">
        <v>3627</v>
      </c>
      <c r="C8198" t="s">
        <v>13998</v>
      </c>
      <c r="D8198">
        <v>109138917</v>
      </c>
      <c r="E8198">
        <v>2.78</v>
      </c>
      <c r="F8198">
        <v>7.26</v>
      </c>
    </row>
    <row r="8199" spans="1:6" x14ac:dyDescent="0.3">
      <c r="A8199" t="s">
        <v>13999</v>
      </c>
      <c r="B8199" t="s">
        <v>6366</v>
      </c>
      <c r="C8199" t="s">
        <v>12850</v>
      </c>
      <c r="D8199">
        <v>109162755</v>
      </c>
      <c r="E8199">
        <v>5.21</v>
      </c>
      <c r="F8199">
        <v>7.56</v>
      </c>
    </row>
    <row r="8200" spans="1:6" x14ac:dyDescent="0.3">
      <c r="A8200" t="s">
        <v>14000</v>
      </c>
      <c r="B8200" t="s">
        <v>5890</v>
      </c>
      <c r="C8200" t="s">
        <v>6</v>
      </c>
      <c r="D8200">
        <v>109185557</v>
      </c>
      <c r="E8200">
        <v>4.24</v>
      </c>
      <c r="F8200">
        <v>6.49</v>
      </c>
    </row>
    <row r="8201" spans="1:6" x14ac:dyDescent="0.3">
      <c r="A8201" t="s">
        <v>14001</v>
      </c>
      <c r="B8201" t="s">
        <v>13831</v>
      </c>
      <c r="C8201" t="s">
        <v>14002</v>
      </c>
      <c r="D8201">
        <v>109240199</v>
      </c>
      <c r="E8201" t="s">
        <v>3814</v>
      </c>
      <c r="F8201">
        <v>7.42</v>
      </c>
    </row>
    <row r="8202" spans="1:6" x14ac:dyDescent="0.3">
      <c r="A8202" t="s">
        <v>14003</v>
      </c>
      <c r="B8202" t="s">
        <v>14004</v>
      </c>
      <c r="C8202" t="s">
        <v>14005</v>
      </c>
      <c r="D8202">
        <v>109250631</v>
      </c>
      <c r="E8202" t="s">
        <v>3814</v>
      </c>
      <c r="F8202">
        <v>8</v>
      </c>
    </row>
    <row r="8203" spans="1:6" x14ac:dyDescent="0.3">
      <c r="A8203" t="s">
        <v>14006</v>
      </c>
      <c r="B8203" t="s">
        <v>12617</v>
      </c>
      <c r="C8203" t="s">
        <v>14007</v>
      </c>
      <c r="D8203">
        <v>109265529</v>
      </c>
      <c r="E8203" t="s">
        <v>3814</v>
      </c>
      <c r="F8203">
        <v>7.55</v>
      </c>
    </row>
    <row r="8204" spans="1:6" x14ac:dyDescent="0.3">
      <c r="A8204" t="s">
        <v>14008</v>
      </c>
      <c r="B8204" t="s">
        <v>3692</v>
      </c>
      <c r="C8204" t="s">
        <v>14009</v>
      </c>
      <c r="D8204">
        <v>109273874</v>
      </c>
      <c r="E8204">
        <v>4.87</v>
      </c>
      <c r="F8204">
        <v>6.12</v>
      </c>
    </row>
    <row r="8205" spans="1:6" x14ac:dyDescent="0.3">
      <c r="A8205" t="s">
        <v>14010</v>
      </c>
      <c r="B8205" t="s">
        <v>11306</v>
      </c>
      <c r="C8205" t="s">
        <v>9060</v>
      </c>
      <c r="D8205">
        <v>109274356</v>
      </c>
      <c r="E8205">
        <v>15.77</v>
      </c>
      <c r="F8205">
        <v>8.36</v>
      </c>
    </row>
    <row r="8206" spans="1:6" x14ac:dyDescent="0.3">
      <c r="A8206" t="s">
        <v>14011</v>
      </c>
      <c r="B8206" t="s">
        <v>14012</v>
      </c>
      <c r="C8206" t="s">
        <v>6224</v>
      </c>
      <c r="D8206">
        <v>109279547</v>
      </c>
      <c r="E8206">
        <v>11.43</v>
      </c>
      <c r="F8206">
        <v>7</v>
      </c>
    </row>
    <row r="8207" spans="1:6" x14ac:dyDescent="0.3">
      <c r="A8207" t="s">
        <v>14013</v>
      </c>
      <c r="B8207" t="s">
        <v>8397</v>
      </c>
      <c r="C8207" t="s">
        <v>13215</v>
      </c>
      <c r="D8207">
        <v>109281700</v>
      </c>
      <c r="E8207">
        <v>2.06</v>
      </c>
      <c r="F8207">
        <v>8.02</v>
      </c>
    </row>
    <row r="8208" spans="1:6" x14ac:dyDescent="0.3">
      <c r="A8208" t="s">
        <v>14014</v>
      </c>
      <c r="B8208" t="s">
        <v>14015</v>
      </c>
      <c r="C8208" t="s">
        <v>14016</v>
      </c>
      <c r="D8208">
        <v>109285167</v>
      </c>
      <c r="E8208">
        <v>1.72</v>
      </c>
      <c r="F8208">
        <v>7.64</v>
      </c>
    </row>
    <row r="8209" spans="1:6" x14ac:dyDescent="0.3">
      <c r="A8209" t="s">
        <v>14017</v>
      </c>
      <c r="B8209" t="s">
        <v>14018</v>
      </c>
      <c r="C8209" t="s">
        <v>11228</v>
      </c>
      <c r="D8209">
        <v>109304383</v>
      </c>
      <c r="E8209">
        <v>9.0500000000000007</v>
      </c>
      <c r="F8209">
        <v>8.6300000000000008</v>
      </c>
    </row>
    <row r="8210" spans="1:6" x14ac:dyDescent="0.3">
      <c r="A8210" t="s">
        <v>14019</v>
      </c>
      <c r="B8210" t="s">
        <v>14020</v>
      </c>
      <c r="C8210" t="s">
        <v>14021</v>
      </c>
      <c r="D8210">
        <v>109314619</v>
      </c>
      <c r="E8210">
        <v>3.45</v>
      </c>
      <c r="F8210">
        <v>8.35</v>
      </c>
    </row>
    <row r="8211" spans="1:6" x14ac:dyDescent="0.3">
      <c r="A8211" t="s">
        <v>14022</v>
      </c>
      <c r="B8211" t="s">
        <v>8326</v>
      </c>
      <c r="C8211" t="s">
        <v>14023</v>
      </c>
      <c r="D8211">
        <v>109318709</v>
      </c>
      <c r="E8211">
        <v>18</v>
      </c>
      <c r="F8211">
        <v>9.5</v>
      </c>
    </row>
    <row r="8212" spans="1:6" x14ac:dyDescent="0.3">
      <c r="A8212" t="s">
        <v>14024</v>
      </c>
      <c r="B8212" t="s">
        <v>14025</v>
      </c>
      <c r="C8212" t="s">
        <v>1411</v>
      </c>
      <c r="D8212">
        <v>109357972</v>
      </c>
      <c r="E8212">
        <v>8</v>
      </c>
      <c r="F8212">
        <v>8.4</v>
      </c>
    </row>
    <row r="8213" spans="1:6" x14ac:dyDescent="0.3">
      <c r="A8213" t="s">
        <v>14026</v>
      </c>
      <c r="B8213" t="s">
        <v>12626</v>
      </c>
      <c r="C8213" t="s">
        <v>14027</v>
      </c>
      <c r="D8213">
        <v>109365157</v>
      </c>
      <c r="E8213" t="s">
        <v>3814</v>
      </c>
      <c r="F8213">
        <v>7.48</v>
      </c>
    </row>
    <row r="8214" spans="1:6" x14ac:dyDescent="0.3">
      <c r="A8214" t="s">
        <v>14028</v>
      </c>
      <c r="B8214" t="s">
        <v>14029</v>
      </c>
      <c r="C8214" t="s">
        <v>14030</v>
      </c>
      <c r="D8214">
        <v>109375478</v>
      </c>
      <c r="E8214">
        <v>5.96</v>
      </c>
      <c r="F8214">
        <v>6.14</v>
      </c>
    </row>
    <row r="8215" spans="1:6" x14ac:dyDescent="0.3">
      <c r="A8215">
        <v>576</v>
      </c>
      <c r="B8215" t="s">
        <v>12999</v>
      </c>
      <c r="C8215" t="s">
        <v>2726</v>
      </c>
      <c r="D8215">
        <v>109404607</v>
      </c>
      <c r="E8215">
        <v>3.33</v>
      </c>
      <c r="F8215">
        <v>6.35</v>
      </c>
    </row>
    <row r="8216" spans="1:6" x14ac:dyDescent="0.3">
      <c r="A8216" t="s">
        <v>14031</v>
      </c>
      <c r="B8216" t="s">
        <v>14032</v>
      </c>
      <c r="C8216" t="s">
        <v>12781</v>
      </c>
      <c r="D8216">
        <v>109411209</v>
      </c>
      <c r="E8216">
        <v>4.84</v>
      </c>
      <c r="F8216">
        <v>7.1</v>
      </c>
    </row>
    <row r="8217" spans="1:6" x14ac:dyDescent="0.3">
      <c r="A8217" t="s">
        <v>14033</v>
      </c>
      <c r="B8217" t="s">
        <v>4335</v>
      </c>
      <c r="C8217" t="s">
        <v>14034</v>
      </c>
      <c r="D8217">
        <v>109415868</v>
      </c>
      <c r="E8217">
        <v>1.91</v>
      </c>
      <c r="F8217">
        <v>6.59</v>
      </c>
    </row>
    <row r="8218" spans="1:6" x14ac:dyDescent="0.3">
      <c r="A8218" t="s">
        <v>14035</v>
      </c>
      <c r="B8218" t="s">
        <v>14036</v>
      </c>
      <c r="C8218" t="s">
        <v>14037</v>
      </c>
      <c r="D8218">
        <v>109425965</v>
      </c>
      <c r="E8218" t="s">
        <v>3814</v>
      </c>
      <c r="F8218">
        <v>6.37</v>
      </c>
    </row>
    <row r="8219" spans="1:6" x14ac:dyDescent="0.3">
      <c r="A8219" t="s">
        <v>14038</v>
      </c>
      <c r="B8219" t="s">
        <v>14039</v>
      </c>
      <c r="C8219" t="s">
        <v>6927</v>
      </c>
      <c r="D8219">
        <v>109426451</v>
      </c>
      <c r="E8219" t="s">
        <v>3814</v>
      </c>
      <c r="F8219">
        <v>5.94</v>
      </c>
    </row>
    <row r="8220" spans="1:6" x14ac:dyDescent="0.3">
      <c r="A8220" t="s">
        <v>14040</v>
      </c>
      <c r="B8220" t="s">
        <v>12761</v>
      </c>
      <c r="C8220" t="s">
        <v>14041</v>
      </c>
      <c r="D8220">
        <v>109432148</v>
      </c>
      <c r="E8220">
        <v>1.29</v>
      </c>
      <c r="F8220">
        <v>8.11</v>
      </c>
    </row>
    <row r="8221" spans="1:6" x14ac:dyDescent="0.3">
      <c r="A8221" t="s">
        <v>14042</v>
      </c>
      <c r="B8221" t="s">
        <v>13931</v>
      </c>
      <c r="C8221" t="s">
        <v>14043</v>
      </c>
      <c r="D8221">
        <v>109432948</v>
      </c>
      <c r="E8221" t="s">
        <v>3814</v>
      </c>
      <c r="F8221">
        <v>6.51</v>
      </c>
    </row>
    <row r="8222" spans="1:6" x14ac:dyDescent="0.3">
      <c r="A8222" t="s">
        <v>14044</v>
      </c>
      <c r="B8222" t="s">
        <v>12142</v>
      </c>
      <c r="C8222" t="s">
        <v>7840</v>
      </c>
      <c r="D8222">
        <v>109439644</v>
      </c>
      <c r="E8222" t="s">
        <v>3814</v>
      </c>
      <c r="F8222" t="s">
        <v>3814</v>
      </c>
    </row>
    <row r="8223" spans="1:6" x14ac:dyDescent="0.3">
      <c r="A8223" t="s">
        <v>14045</v>
      </c>
      <c r="B8223" t="s">
        <v>14046</v>
      </c>
      <c r="C8223" t="s">
        <v>173</v>
      </c>
      <c r="D8223">
        <v>109447394</v>
      </c>
      <c r="E8223">
        <v>32</v>
      </c>
      <c r="F8223">
        <v>0</v>
      </c>
    </row>
    <row r="8224" spans="1:6" x14ac:dyDescent="0.3">
      <c r="A8224" t="s">
        <v>9589</v>
      </c>
      <c r="B8224" t="s">
        <v>9621</v>
      </c>
      <c r="C8224" t="s">
        <v>6503</v>
      </c>
      <c r="D8224">
        <v>109469265</v>
      </c>
      <c r="E8224" t="s">
        <v>3814</v>
      </c>
      <c r="F8224">
        <v>5.24</v>
      </c>
    </row>
    <row r="8225" spans="1:6" x14ac:dyDescent="0.3">
      <c r="A8225" t="s">
        <v>3871</v>
      </c>
      <c r="B8225" t="s">
        <v>7523</v>
      </c>
      <c r="C8225" t="s">
        <v>2310</v>
      </c>
      <c r="D8225">
        <v>109474738</v>
      </c>
      <c r="E8225">
        <v>8.42</v>
      </c>
      <c r="F8225">
        <v>8.0399999999999991</v>
      </c>
    </row>
    <row r="8226" spans="1:6" x14ac:dyDescent="0.3">
      <c r="A8226" t="s">
        <v>14047</v>
      </c>
      <c r="B8226" t="s">
        <v>14048</v>
      </c>
      <c r="C8226" t="s">
        <v>14049</v>
      </c>
      <c r="D8226">
        <v>109475706</v>
      </c>
      <c r="E8226">
        <v>2.78</v>
      </c>
      <c r="F8226">
        <v>6.22</v>
      </c>
    </row>
    <row r="8227" spans="1:6" x14ac:dyDescent="0.3">
      <c r="A8227" t="s">
        <v>14050</v>
      </c>
      <c r="B8227" t="s">
        <v>14051</v>
      </c>
      <c r="C8227" t="s">
        <v>14052</v>
      </c>
      <c r="D8227">
        <v>109477268</v>
      </c>
      <c r="E8227">
        <v>3.76</v>
      </c>
      <c r="F8227">
        <v>6.44</v>
      </c>
    </row>
    <row r="8228" spans="1:6" x14ac:dyDescent="0.3">
      <c r="A8228" t="s">
        <v>14053</v>
      </c>
      <c r="B8228" t="s">
        <v>14054</v>
      </c>
      <c r="C8228" t="s">
        <v>39</v>
      </c>
      <c r="D8228">
        <v>109484605</v>
      </c>
      <c r="E8228" t="s">
        <v>3814</v>
      </c>
      <c r="F8228">
        <v>7.83</v>
      </c>
    </row>
    <row r="8229" spans="1:6" x14ac:dyDescent="0.3">
      <c r="A8229" t="s">
        <v>14055</v>
      </c>
      <c r="B8229" t="s">
        <v>13931</v>
      </c>
      <c r="C8229" t="s">
        <v>2551</v>
      </c>
      <c r="D8229">
        <v>109496325</v>
      </c>
      <c r="E8229" t="s">
        <v>3814</v>
      </c>
      <c r="F8229">
        <v>7.1</v>
      </c>
    </row>
    <row r="8230" spans="1:6" x14ac:dyDescent="0.3">
      <c r="A8230" t="s">
        <v>14056</v>
      </c>
      <c r="B8230" t="s">
        <v>6887</v>
      </c>
      <c r="C8230" t="s">
        <v>14057</v>
      </c>
      <c r="D8230">
        <v>109507079</v>
      </c>
      <c r="E8230">
        <v>4.5999999999999996</v>
      </c>
      <c r="F8230">
        <v>8</v>
      </c>
    </row>
    <row r="8231" spans="1:6" x14ac:dyDescent="0.3">
      <c r="A8231" t="s">
        <v>14058</v>
      </c>
      <c r="B8231" t="s">
        <v>14059</v>
      </c>
      <c r="C8231" t="s">
        <v>14060</v>
      </c>
      <c r="D8231">
        <v>109508844</v>
      </c>
      <c r="E8231">
        <v>1.01</v>
      </c>
      <c r="F8231">
        <v>7.35</v>
      </c>
    </row>
    <row r="8232" spans="1:6" x14ac:dyDescent="0.3">
      <c r="A8232" t="s">
        <v>14061</v>
      </c>
      <c r="B8232" t="s">
        <v>10116</v>
      </c>
      <c r="C8232" t="s">
        <v>14062</v>
      </c>
      <c r="D8232">
        <v>109513812</v>
      </c>
      <c r="E8232">
        <v>20.329999999999998</v>
      </c>
      <c r="F8232">
        <v>10</v>
      </c>
    </row>
    <row r="8233" spans="1:6" x14ac:dyDescent="0.3">
      <c r="A8233" t="s">
        <v>14063</v>
      </c>
      <c r="B8233" t="s">
        <v>10649</v>
      </c>
      <c r="C8233" t="s">
        <v>14064</v>
      </c>
      <c r="D8233">
        <v>109521711</v>
      </c>
      <c r="E8233">
        <v>2.72</v>
      </c>
      <c r="F8233">
        <v>6.88</v>
      </c>
    </row>
    <row r="8234" spans="1:6" x14ac:dyDescent="0.3">
      <c r="A8234" t="s">
        <v>14065</v>
      </c>
      <c r="B8234" t="s">
        <v>14066</v>
      </c>
      <c r="C8234" t="s">
        <v>14067</v>
      </c>
      <c r="D8234">
        <v>109540067</v>
      </c>
      <c r="E8234">
        <v>20</v>
      </c>
      <c r="F8234">
        <v>4.25</v>
      </c>
    </row>
    <row r="8235" spans="1:6" x14ac:dyDescent="0.3">
      <c r="A8235" t="s">
        <v>14068</v>
      </c>
      <c r="B8235" t="s">
        <v>13507</v>
      </c>
      <c r="C8235" t="s">
        <v>14069</v>
      </c>
      <c r="D8235">
        <v>109554573</v>
      </c>
      <c r="E8235" t="s">
        <v>3814</v>
      </c>
      <c r="F8235">
        <v>6.87</v>
      </c>
    </row>
    <row r="8236" spans="1:6" x14ac:dyDescent="0.3">
      <c r="A8236" t="s">
        <v>14070</v>
      </c>
      <c r="B8236" t="s">
        <v>14071</v>
      </c>
      <c r="C8236" t="s">
        <v>14072</v>
      </c>
      <c r="D8236">
        <v>109558636</v>
      </c>
      <c r="E8236">
        <v>2.66</v>
      </c>
      <c r="F8236">
        <v>8.4</v>
      </c>
    </row>
    <row r="8237" spans="1:6" x14ac:dyDescent="0.3">
      <c r="A8237" t="s">
        <v>14073</v>
      </c>
      <c r="B8237" t="s">
        <v>9956</v>
      </c>
      <c r="C8237" t="s">
        <v>14074</v>
      </c>
      <c r="D8237">
        <v>109572516</v>
      </c>
      <c r="E8237">
        <v>7.13</v>
      </c>
      <c r="F8237">
        <v>7</v>
      </c>
    </row>
    <row r="8238" spans="1:6" x14ac:dyDescent="0.3">
      <c r="A8238" t="s">
        <v>14075</v>
      </c>
      <c r="B8238" t="s">
        <v>9621</v>
      </c>
      <c r="C8238" t="s">
        <v>5833</v>
      </c>
      <c r="D8238">
        <v>109580814</v>
      </c>
      <c r="E8238" t="s">
        <v>3814</v>
      </c>
      <c r="F8238">
        <v>7.1</v>
      </c>
    </row>
    <row r="8239" spans="1:6" x14ac:dyDescent="0.3">
      <c r="A8239" t="s">
        <v>14076</v>
      </c>
      <c r="B8239" t="s">
        <v>13485</v>
      </c>
      <c r="C8239" t="s">
        <v>3696</v>
      </c>
      <c r="D8239">
        <v>109589714</v>
      </c>
      <c r="E8239" t="s">
        <v>3814</v>
      </c>
      <c r="F8239">
        <v>7.23</v>
      </c>
    </row>
    <row r="8240" spans="1:6" x14ac:dyDescent="0.3">
      <c r="A8240" t="s">
        <v>14077</v>
      </c>
      <c r="B8240" t="s">
        <v>14078</v>
      </c>
      <c r="C8240" t="s">
        <v>14079</v>
      </c>
      <c r="D8240">
        <v>109600701</v>
      </c>
      <c r="E8240">
        <v>12.74</v>
      </c>
      <c r="F8240">
        <v>8.17</v>
      </c>
    </row>
    <row r="8241" spans="1:6" x14ac:dyDescent="0.3">
      <c r="A8241" t="s">
        <v>14080</v>
      </c>
      <c r="B8241" t="s">
        <v>13609</v>
      </c>
      <c r="C8241" t="s">
        <v>5780</v>
      </c>
      <c r="D8241">
        <v>109633102</v>
      </c>
      <c r="E8241">
        <v>4.17</v>
      </c>
      <c r="F8241">
        <v>7.36</v>
      </c>
    </row>
    <row r="8242" spans="1:6" x14ac:dyDescent="0.3">
      <c r="A8242" t="s">
        <v>14081</v>
      </c>
      <c r="B8242" t="s">
        <v>9621</v>
      </c>
      <c r="C8242" t="s">
        <v>3852</v>
      </c>
      <c r="D8242">
        <v>109637164</v>
      </c>
      <c r="E8242" t="s">
        <v>3814</v>
      </c>
      <c r="F8242">
        <v>6.8</v>
      </c>
    </row>
    <row r="8243" spans="1:6" x14ac:dyDescent="0.3">
      <c r="A8243" t="s">
        <v>14082</v>
      </c>
      <c r="B8243" t="s">
        <v>13695</v>
      </c>
      <c r="C8243" t="s">
        <v>6193</v>
      </c>
      <c r="D8243">
        <v>109637861</v>
      </c>
      <c r="E8243">
        <v>21</v>
      </c>
      <c r="F8243">
        <v>9.27</v>
      </c>
    </row>
    <row r="8244" spans="1:6" x14ac:dyDescent="0.3">
      <c r="A8244" t="s">
        <v>14083</v>
      </c>
      <c r="B8244" t="s">
        <v>14084</v>
      </c>
      <c r="C8244" t="s">
        <v>14085</v>
      </c>
      <c r="D8244">
        <v>109670049</v>
      </c>
      <c r="E8244">
        <v>20.329999999999998</v>
      </c>
      <c r="F8244">
        <v>3</v>
      </c>
    </row>
    <row r="8245" spans="1:6" x14ac:dyDescent="0.3">
      <c r="A8245" t="s">
        <v>14086</v>
      </c>
      <c r="B8245" t="s">
        <v>12349</v>
      </c>
      <c r="C8245" t="s">
        <v>956</v>
      </c>
      <c r="D8245">
        <v>109678194</v>
      </c>
      <c r="E8245">
        <v>14.2</v>
      </c>
      <c r="F8245">
        <v>7.88</v>
      </c>
    </row>
    <row r="8246" spans="1:6" x14ac:dyDescent="0.3">
      <c r="A8246" t="s">
        <v>14087</v>
      </c>
      <c r="B8246" t="s">
        <v>14088</v>
      </c>
      <c r="C8246" t="s">
        <v>13805</v>
      </c>
      <c r="D8246">
        <v>109679428</v>
      </c>
      <c r="E8246">
        <v>9.4</v>
      </c>
      <c r="F8246">
        <v>5.61</v>
      </c>
    </row>
    <row r="8247" spans="1:6" x14ac:dyDescent="0.3">
      <c r="A8247" t="s">
        <v>14089</v>
      </c>
      <c r="B8247" t="s">
        <v>10885</v>
      </c>
      <c r="C8247" t="s">
        <v>14090</v>
      </c>
      <c r="D8247">
        <v>109683406</v>
      </c>
      <c r="E8247" t="s">
        <v>3814</v>
      </c>
      <c r="F8247">
        <v>6.24</v>
      </c>
    </row>
    <row r="8248" spans="1:6" x14ac:dyDescent="0.3">
      <c r="A8248" t="s">
        <v>14091</v>
      </c>
      <c r="B8248" t="s">
        <v>14092</v>
      </c>
      <c r="C8248" t="s">
        <v>2480</v>
      </c>
      <c r="D8248">
        <v>109684735</v>
      </c>
      <c r="E8248">
        <v>9.36</v>
      </c>
      <c r="F8248">
        <v>7.27</v>
      </c>
    </row>
    <row r="8249" spans="1:6" x14ac:dyDescent="0.3">
      <c r="A8249" t="s">
        <v>14093</v>
      </c>
      <c r="B8249" t="s">
        <v>13931</v>
      </c>
      <c r="C8249" t="s">
        <v>14094</v>
      </c>
      <c r="D8249">
        <v>109686671</v>
      </c>
      <c r="E8249">
        <v>2.37</v>
      </c>
      <c r="F8249">
        <v>6.97</v>
      </c>
    </row>
    <row r="8250" spans="1:6" x14ac:dyDescent="0.3">
      <c r="A8250" t="s">
        <v>14095</v>
      </c>
      <c r="B8250" t="s">
        <v>9621</v>
      </c>
      <c r="C8250" t="s">
        <v>14096</v>
      </c>
      <c r="D8250">
        <v>109714625</v>
      </c>
      <c r="E8250" t="s">
        <v>3814</v>
      </c>
      <c r="F8250">
        <v>7.6</v>
      </c>
    </row>
    <row r="8251" spans="1:6" x14ac:dyDescent="0.3">
      <c r="A8251" t="s">
        <v>14097</v>
      </c>
      <c r="B8251" t="s">
        <v>12506</v>
      </c>
      <c r="C8251" t="s">
        <v>12438</v>
      </c>
      <c r="D8251">
        <v>109715319</v>
      </c>
      <c r="E8251" t="s">
        <v>3814</v>
      </c>
      <c r="F8251">
        <v>7.97</v>
      </c>
    </row>
    <row r="8252" spans="1:6" x14ac:dyDescent="0.3">
      <c r="A8252" t="s">
        <v>14098</v>
      </c>
      <c r="B8252" t="s">
        <v>14099</v>
      </c>
      <c r="C8252" t="s">
        <v>25</v>
      </c>
      <c r="D8252">
        <v>109723901</v>
      </c>
      <c r="E8252" t="s">
        <v>3814</v>
      </c>
      <c r="F8252">
        <v>5.71</v>
      </c>
    </row>
    <row r="8253" spans="1:6" x14ac:dyDescent="0.3">
      <c r="A8253" t="s">
        <v>14100</v>
      </c>
      <c r="B8253" t="s">
        <v>9071</v>
      </c>
      <c r="C8253" t="s">
        <v>14101</v>
      </c>
      <c r="D8253">
        <v>109730342</v>
      </c>
      <c r="E8253">
        <v>19.79</v>
      </c>
      <c r="F8253">
        <v>7.63</v>
      </c>
    </row>
    <row r="8254" spans="1:6" x14ac:dyDescent="0.3">
      <c r="A8254" t="s">
        <v>14102</v>
      </c>
      <c r="B8254" t="s">
        <v>13485</v>
      </c>
      <c r="C8254" t="s">
        <v>13225</v>
      </c>
      <c r="D8254">
        <v>109748007</v>
      </c>
      <c r="E8254" t="s">
        <v>3814</v>
      </c>
      <c r="F8254">
        <v>6.89</v>
      </c>
    </row>
    <row r="8255" spans="1:6" x14ac:dyDescent="0.3">
      <c r="A8255" t="s">
        <v>14103</v>
      </c>
      <c r="B8255" t="s">
        <v>7261</v>
      </c>
      <c r="C8255" t="s">
        <v>9436</v>
      </c>
      <c r="D8255">
        <v>109780665</v>
      </c>
      <c r="E8255" t="s">
        <v>3814</v>
      </c>
      <c r="F8255" t="s">
        <v>3814</v>
      </c>
    </row>
    <row r="8256" spans="1:6" x14ac:dyDescent="0.3">
      <c r="A8256" t="s">
        <v>14104</v>
      </c>
      <c r="B8256" t="s">
        <v>14105</v>
      </c>
      <c r="C8256" t="s">
        <v>10647</v>
      </c>
      <c r="D8256">
        <v>109786377</v>
      </c>
      <c r="E8256" t="s">
        <v>3814</v>
      </c>
      <c r="F8256">
        <v>4.8899999999999997</v>
      </c>
    </row>
    <row r="8257" spans="1:6" x14ac:dyDescent="0.3">
      <c r="A8257" t="s">
        <v>14106</v>
      </c>
      <c r="B8257" t="s">
        <v>7189</v>
      </c>
      <c r="C8257" t="s">
        <v>13760</v>
      </c>
      <c r="D8257">
        <v>109787420</v>
      </c>
      <c r="E8257">
        <v>4.3</v>
      </c>
      <c r="F8257">
        <v>7.56</v>
      </c>
    </row>
    <row r="8258" spans="1:6" x14ac:dyDescent="0.3">
      <c r="A8258" t="s">
        <v>14107</v>
      </c>
      <c r="B8258" t="s">
        <v>7044</v>
      </c>
      <c r="C8258" t="s">
        <v>13616</v>
      </c>
      <c r="D8258">
        <v>109794208</v>
      </c>
      <c r="E8258">
        <v>1.24</v>
      </c>
      <c r="F8258">
        <v>7.77</v>
      </c>
    </row>
    <row r="8259" spans="1:6" x14ac:dyDescent="0.3">
      <c r="A8259" t="s">
        <v>14108</v>
      </c>
      <c r="B8259" t="s">
        <v>11133</v>
      </c>
      <c r="C8259" t="s">
        <v>14108</v>
      </c>
      <c r="D8259">
        <v>109796810</v>
      </c>
      <c r="E8259">
        <v>10.11</v>
      </c>
      <c r="F8259">
        <v>8.2100000000000009</v>
      </c>
    </row>
    <row r="8260" spans="1:6" x14ac:dyDescent="0.3">
      <c r="A8260" t="s">
        <v>14109</v>
      </c>
      <c r="B8260" t="s">
        <v>14110</v>
      </c>
      <c r="C8260" t="s">
        <v>14111</v>
      </c>
      <c r="D8260">
        <v>109797826</v>
      </c>
      <c r="E8260" t="s">
        <v>3814</v>
      </c>
      <c r="F8260">
        <v>7.25</v>
      </c>
    </row>
    <row r="8261" spans="1:6" x14ac:dyDescent="0.3">
      <c r="A8261" t="s">
        <v>14112</v>
      </c>
      <c r="B8261" t="s">
        <v>14113</v>
      </c>
      <c r="C8261" t="s">
        <v>2089</v>
      </c>
      <c r="D8261">
        <v>109801494</v>
      </c>
      <c r="E8261">
        <v>17</v>
      </c>
      <c r="F8261">
        <v>7.43</v>
      </c>
    </row>
    <row r="8262" spans="1:6" x14ac:dyDescent="0.3">
      <c r="A8262" t="s">
        <v>14114</v>
      </c>
      <c r="B8262" t="s">
        <v>14115</v>
      </c>
      <c r="C8262" t="s">
        <v>14116</v>
      </c>
      <c r="D8262">
        <v>109818146</v>
      </c>
      <c r="E8262" t="s">
        <v>3814</v>
      </c>
      <c r="F8262">
        <v>6.95</v>
      </c>
    </row>
    <row r="8263" spans="1:6" x14ac:dyDescent="0.3">
      <c r="A8263" t="s">
        <v>14117</v>
      </c>
      <c r="B8263" t="s">
        <v>12506</v>
      </c>
      <c r="C8263" t="s">
        <v>3696</v>
      </c>
      <c r="D8263">
        <v>109819376</v>
      </c>
      <c r="E8263" t="s">
        <v>3814</v>
      </c>
      <c r="F8263">
        <v>8.1199999999999992</v>
      </c>
    </row>
    <row r="8264" spans="1:6" x14ac:dyDescent="0.3">
      <c r="A8264" t="s">
        <v>14118</v>
      </c>
      <c r="B8264" t="s">
        <v>14119</v>
      </c>
      <c r="C8264" t="s">
        <v>14120</v>
      </c>
      <c r="D8264">
        <v>109836278</v>
      </c>
      <c r="E8264">
        <v>7.93</v>
      </c>
      <c r="F8264">
        <v>8</v>
      </c>
    </row>
    <row r="8265" spans="1:6" x14ac:dyDescent="0.3">
      <c r="A8265" t="s">
        <v>14121</v>
      </c>
      <c r="B8265" t="s">
        <v>14122</v>
      </c>
      <c r="C8265" t="s">
        <v>14123</v>
      </c>
      <c r="D8265">
        <v>109846069</v>
      </c>
      <c r="E8265" t="s">
        <v>3814</v>
      </c>
      <c r="F8265">
        <v>6.32</v>
      </c>
    </row>
    <row r="8266" spans="1:6" x14ac:dyDescent="0.3">
      <c r="A8266" t="s">
        <v>14124</v>
      </c>
      <c r="B8266" t="s">
        <v>2199</v>
      </c>
      <c r="C8266" t="s">
        <v>14125</v>
      </c>
      <c r="D8266">
        <v>109850015</v>
      </c>
      <c r="E8266">
        <v>14.23</v>
      </c>
      <c r="F8266">
        <v>6.82</v>
      </c>
    </row>
    <row r="8267" spans="1:6" x14ac:dyDescent="0.3">
      <c r="A8267" t="s">
        <v>14126</v>
      </c>
      <c r="B8267" t="s">
        <v>11887</v>
      </c>
      <c r="C8267" t="s">
        <v>14127</v>
      </c>
      <c r="D8267">
        <v>109851469</v>
      </c>
      <c r="E8267" t="s">
        <v>3814</v>
      </c>
      <c r="F8267">
        <v>5.82</v>
      </c>
    </row>
    <row r="8268" spans="1:6" x14ac:dyDescent="0.3">
      <c r="A8268" t="s">
        <v>14128</v>
      </c>
      <c r="B8268" t="s">
        <v>7436</v>
      </c>
      <c r="C8268" t="s">
        <v>14129</v>
      </c>
      <c r="D8268">
        <v>109877068</v>
      </c>
      <c r="E8268">
        <v>22.5</v>
      </c>
      <c r="F8268">
        <v>8.8000000000000007</v>
      </c>
    </row>
    <row r="8269" spans="1:6" x14ac:dyDescent="0.3">
      <c r="A8269" t="s">
        <v>14130</v>
      </c>
      <c r="B8269" t="s">
        <v>10656</v>
      </c>
      <c r="C8269" t="s">
        <v>5356</v>
      </c>
      <c r="D8269">
        <v>109890133</v>
      </c>
      <c r="E8269" t="s">
        <v>3814</v>
      </c>
      <c r="F8269" t="s">
        <v>3814</v>
      </c>
    </row>
    <row r="8270" spans="1:6" x14ac:dyDescent="0.3">
      <c r="A8270" t="s">
        <v>14131</v>
      </c>
      <c r="B8270" t="s">
        <v>9621</v>
      </c>
      <c r="C8270" t="s">
        <v>7132</v>
      </c>
      <c r="D8270">
        <v>109908097</v>
      </c>
      <c r="E8270" t="s">
        <v>3814</v>
      </c>
      <c r="F8270">
        <v>7.24</v>
      </c>
    </row>
    <row r="8271" spans="1:6" x14ac:dyDescent="0.3">
      <c r="A8271" t="s">
        <v>14132</v>
      </c>
      <c r="B8271" t="s">
        <v>8457</v>
      </c>
      <c r="C8271" t="s">
        <v>1764</v>
      </c>
      <c r="D8271">
        <v>109916698</v>
      </c>
      <c r="E8271">
        <v>7.27</v>
      </c>
      <c r="F8271">
        <v>7.37</v>
      </c>
    </row>
    <row r="8272" spans="1:6" x14ac:dyDescent="0.3">
      <c r="A8272" t="s">
        <v>14133</v>
      </c>
      <c r="B8272" t="s">
        <v>9465</v>
      </c>
      <c r="C8272" t="s">
        <v>14134</v>
      </c>
      <c r="D8272">
        <v>109919512</v>
      </c>
      <c r="E8272">
        <v>5.71</v>
      </c>
      <c r="F8272">
        <v>7.71</v>
      </c>
    </row>
    <row r="8273" spans="1:6" x14ac:dyDescent="0.3">
      <c r="A8273" t="s">
        <v>14135</v>
      </c>
      <c r="B8273" t="s">
        <v>13268</v>
      </c>
      <c r="C8273" t="s">
        <v>14136</v>
      </c>
      <c r="D8273">
        <v>109930878</v>
      </c>
      <c r="E8273" t="s">
        <v>3814</v>
      </c>
      <c r="F8273">
        <v>7.67</v>
      </c>
    </row>
    <row r="8274" spans="1:6" x14ac:dyDescent="0.3">
      <c r="A8274" t="s">
        <v>14137</v>
      </c>
      <c r="B8274" t="s">
        <v>4546</v>
      </c>
      <c r="C8274" t="s">
        <v>14137</v>
      </c>
      <c r="D8274">
        <v>109947627</v>
      </c>
      <c r="E8274">
        <v>34</v>
      </c>
      <c r="F8274">
        <v>7</v>
      </c>
    </row>
    <row r="8275" spans="1:6" x14ac:dyDescent="0.3">
      <c r="A8275" t="s">
        <v>14138</v>
      </c>
      <c r="B8275" t="s">
        <v>14139</v>
      </c>
      <c r="C8275" t="s">
        <v>14140</v>
      </c>
      <c r="D8275">
        <v>109957894</v>
      </c>
      <c r="E8275">
        <v>4.1100000000000003</v>
      </c>
      <c r="F8275">
        <v>5.89</v>
      </c>
    </row>
    <row r="8276" spans="1:6" x14ac:dyDescent="0.3">
      <c r="A8276" t="s">
        <v>14141</v>
      </c>
      <c r="B8276" t="s">
        <v>9621</v>
      </c>
      <c r="C8276" t="s">
        <v>7660</v>
      </c>
      <c r="D8276">
        <v>109959063</v>
      </c>
      <c r="E8276" t="s">
        <v>3814</v>
      </c>
      <c r="F8276">
        <v>6.22</v>
      </c>
    </row>
    <row r="8277" spans="1:6" x14ac:dyDescent="0.3">
      <c r="A8277" t="s">
        <v>14142</v>
      </c>
      <c r="B8277" t="s">
        <v>14143</v>
      </c>
      <c r="C8277" t="s">
        <v>14144</v>
      </c>
      <c r="D8277">
        <v>109975284</v>
      </c>
      <c r="E8277" t="s">
        <v>3814</v>
      </c>
      <c r="F8277">
        <v>5.56</v>
      </c>
    </row>
    <row r="8278" spans="1:6" x14ac:dyDescent="0.3">
      <c r="A8278" t="s">
        <v>14145</v>
      </c>
      <c r="B8278" t="s">
        <v>14146</v>
      </c>
      <c r="C8278" t="s">
        <v>14147</v>
      </c>
      <c r="D8278">
        <v>109978039</v>
      </c>
      <c r="E8278">
        <v>19</v>
      </c>
      <c r="F8278">
        <v>8.58</v>
      </c>
    </row>
    <row r="8279" spans="1:6" x14ac:dyDescent="0.3">
      <c r="A8279" t="s">
        <v>14148</v>
      </c>
      <c r="B8279" t="s">
        <v>14149</v>
      </c>
      <c r="C8279" t="s">
        <v>3867</v>
      </c>
      <c r="D8279">
        <v>109984653</v>
      </c>
      <c r="E8279">
        <v>4.6900000000000004</v>
      </c>
      <c r="F8279">
        <v>7</v>
      </c>
    </row>
    <row r="8280" spans="1:6" x14ac:dyDescent="0.3">
      <c r="A8280" t="s">
        <v>14150</v>
      </c>
      <c r="B8280" t="s">
        <v>12617</v>
      </c>
      <c r="C8280" t="s">
        <v>14151</v>
      </c>
      <c r="D8280">
        <v>109991882</v>
      </c>
      <c r="E8280" t="s">
        <v>3814</v>
      </c>
      <c r="F8280">
        <v>7.38</v>
      </c>
    </row>
    <row r="8281" spans="1:6" x14ac:dyDescent="0.3">
      <c r="A8281" t="s">
        <v>14152</v>
      </c>
      <c r="B8281" t="s">
        <v>11164</v>
      </c>
      <c r="C8281" t="s">
        <v>14153</v>
      </c>
      <c r="D8281">
        <v>110026775</v>
      </c>
      <c r="E8281" t="s">
        <v>3814</v>
      </c>
      <c r="F8281">
        <v>5.64</v>
      </c>
    </row>
    <row r="8282" spans="1:6" x14ac:dyDescent="0.3">
      <c r="A8282" t="s">
        <v>1183</v>
      </c>
      <c r="B8282" t="s">
        <v>14154</v>
      </c>
      <c r="C8282" t="s">
        <v>1183</v>
      </c>
      <c r="D8282">
        <v>110027124</v>
      </c>
      <c r="E8282">
        <v>20.59</v>
      </c>
      <c r="F8282">
        <v>7.67</v>
      </c>
    </row>
    <row r="8283" spans="1:6" x14ac:dyDescent="0.3">
      <c r="A8283" t="s">
        <v>14155</v>
      </c>
      <c r="B8283" t="s">
        <v>4911</v>
      </c>
      <c r="C8283" t="s">
        <v>14156</v>
      </c>
      <c r="D8283">
        <v>110066355</v>
      </c>
      <c r="E8283">
        <v>15.83</v>
      </c>
      <c r="F8283">
        <v>7.7</v>
      </c>
    </row>
    <row r="8284" spans="1:6" x14ac:dyDescent="0.3">
      <c r="A8284" t="s">
        <v>14157</v>
      </c>
      <c r="B8284" t="s">
        <v>4690</v>
      </c>
      <c r="C8284" t="s">
        <v>11083</v>
      </c>
      <c r="D8284">
        <v>110094424</v>
      </c>
      <c r="E8284">
        <v>4</v>
      </c>
      <c r="F8284">
        <v>6.91</v>
      </c>
    </row>
    <row r="8285" spans="1:6" x14ac:dyDescent="0.3">
      <c r="A8285" t="s">
        <v>14158</v>
      </c>
      <c r="B8285" t="s">
        <v>9621</v>
      </c>
      <c r="C8285" t="s">
        <v>9693</v>
      </c>
      <c r="D8285">
        <v>110099292</v>
      </c>
      <c r="E8285" t="s">
        <v>3814</v>
      </c>
      <c r="F8285">
        <v>5.9</v>
      </c>
    </row>
    <row r="8286" spans="1:6" x14ac:dyDescent="0.3">
      <c r="A8286" t="s">
        <v>14159</v>
      </c>
      <c r="B8286" t="s">
        <v>14160</v>
      </c>
      <c r="C8286" t="s">
        <v>14161</v>
      </c>
      <c r="D8286">
        <v>110102065</v>
      </c>
      <c r="E8286" t="s">
        <v>3814</v>
      </c>
      <c r="F8286">
        <v>5.46</v>
      </c>
    </row>
    <row r="8287" spans="1:6" x14ac:dyDescent="0.3">
      <c r="A8287" t="s">
        <v>14162</v>
      </c>
      <c r="B8287" t="s">
        <v>10954</v>
      </c>
      <c r="C8287" t="s">
        <v>14163</v>
      </c>
      <c r="D8287">
        <v>110148863</v>
      </c>
      <c r="E8287">
        <v>1.91</v>
      </c>
      <c r="F8287">
        <v>8.24</v>
      </c>
    </row>
    <row r="8288" spans="1:6" x14ac:dyDescent="0.3">
      <c r="A8288" t="s">
        <v>14164</v>
      </c>
      <c r="B8288" t="s">
        <v>13913</v>
      </c>
      <c r="C8288" t="s">
        <v>349</v>
      </c>
      <c r="D8288">
        <v>110158754</v>
      </c>
      <c r="E8288">
        <v>8.83</v>
      </c>
      <c r="F8288">
        <v>8.15</v>
      </c>
    </row>
    <row r="8289" spans="1:6" x14ac:dyDescent="0.3">
      <c r="A8289" t="s">
        <v>14165</v>
      </c>
      <c r="B8289" t="s">
        <v>14166</v>
      </c>
      <c r="C8289" t="s">
        <v>14167</v>
      </c>
      <c r="D8289">
        <v>110172318</v>
      </c>
      <c r="E8289" t="s">
        <v>3814</v>
      </c>
      <c r="F8289">
        <v>6.86</v>
      </c>
    </row>
    <row r="8290" spans="1:6" x14ac:dyDescent="0.3">
      <c r="A8290" t="s">
        <v>14168</v>
      </c>
      <c r="B8290" t="s">
        <v>8906</v>
      </c>
      <c r="C8290" t="s">
        <v>14169</v>
      </c>
      <c r="D8290">
        <v>110194902</v>
      </c>
      <c r="E8290">
        <v>20.67</v>
      </c>
      <c r="F8290">
        <v>6.5</v>
      </c>
    </row>
    <row r="8291" spans="1:6" x14ac:dyDescent="0.3">
      <c r="A8291" t="s">
        <v>14170</v>
      </c>
      <c r="B8291" t="s">
        <v>9361</v>
      </c>
      <c r="C8291" t="s">
        <v>1269</v>
      </c>
      <c r="D8291">
        <v>110195652</v>
      </c>
      <c r="E8291">
        <v>2.65</v>
      </c>
      <c r="F8291">
        <v>7.12</v>
      </c>
    </row>
    <row r="8292" spans="1:6" x14ac:dyDescent="0.3">
      <c r="A8292" t="s">
        <v>14171</v>
      </c>
      <c r="B8292" t="s">
        <v>2490</v>
      </c>
      <c r="C8292" t="s">
        <v>1598</v>
      </c>
      <c r="D8292">
        <v>110223538</v>
      </c>
      <c r="E8292">
        <v>11.83</v>
      </c>
      <c r="F8292">
        <v>9.1999999999999993</v>
      </c>
    </row>
    <row r="8293" spans="1:6" x14ac:dyDescent="0.3">
      <c r="A8293" t="s">
        <v>14172</v>
      </c>
      <c r="B8293" t="s">
        <v>13245</v>
      </c>
      <c r="C8293" t="s">
        <v>1764</v>
      </c>
      <c r="D8293">
        <v>110227780</v>
      </c>
      <c r="E8293">
        <v>25.17</v>
      </c>
      <c r="F8293">
        <v>9.17</v>
      </c>
    </row>
    <row r="8294" spans="1:6" x14ac:dyDescent="0.3">
      <c r="A8294" t="s">
        <v>14173</v>
      </c>
      <c r="B8294" t="s">
        <v>14174</v>
      </c>
      <c r="C8294" t="s">
        <v>3286</v>
      </c>
      <c r="D8294">
        <v>110233055</v>
      </c>
      <c r="E8294">
        <v>24</v>
      </c>
      <c r="F8294">
        <v>10</v>
      </c>
    </row>
    <row r="8295" spans="1:6" x14ac:dyDescent="0.3">
      <c r="A8295" t="s">
        <v>14175</v>
      </c>
      <c r="B8295" t="s">
        <v>8124</v>
      </c>
      <c r="C8295" t="s">
        <v>14176</v>
      </c>
      <c r="D8295">
        <v>110233248</v>
      </c>
      <c r="E8295">
        <v>10.75</v>
      </c>
      <c r="F8295">
        <v>7</v>
      </c>
    </row>
    <row r="8296" spans="1:6" x14ac:dyDescent="0.3">
      <c r="A8296" t="s">
        <v>14177</v>
      </c>
      <c r="B8296" t="s">
        <v>14178</v>
      </c>
      <c r="C8296" t="s">
        <v>14002</v>
      </c>
      <c r="D8296">
        <v>110239220</v>
      </c>
      <c r="E8296" t="s">
        <v>3814</v>
      </c>
      <c r="F8296">
        <v>6.85</v>
      </c>
    </row>
    <row r="8297" spans="1:6" x14ac:dyDescent="0.3">
      <c r="A8297" t="s">
        <v>6939</v>
      </c>
      <c r="B8297" t="s">
        <v>14179</v>
      </c>
      <c r="C8297" t="s">
        <v>7541</v>
      </c>
      <c r="D8297">
        <v>110255190</v>
      </c>
      <c r="E8297" t="s">
        <v>3814</v>
      </c>
      <c r="F8297">
        <v>7.2</v>
      </c>
    </row>
    <row r="8298" spans="1:6" x14ac:dyDescent="0.3">
      <c r="A8298" t="s">
        <v>14180</v>
      </c>
      <c r="B8298" t="s">
        <v>12476</v>
      </c>
      <c r="C8298" t="s">
        <v>14181</v>
      </c>
      <c r="D8298">
        <v>110274321</v>
      </c>
      <c r="E8298" t="s">
        <v>3814</v>
      </c>
      <c r="F8298">
        <v>6.58</v>
      </c>
    </row>
    <row r="8299" spans="1:6" x14ac:dyDescent="0.3">
      <c r="A8299" t="s">
        <v>14182</v>
      </c>
      <c r="B8299" t="s">
        <v>14183</v>
      </c>
      <c r="C8299" t="s">
        <v>14184</v>
      </c>
      <c r="D8299">
        <v>110281366</v>
      </c>
      <c r="E8299">
        <v>3.4</v>
      </c>
      <c r="F8299">
        <v>6.58</v>
      </c>
    </row>
    <row r="8300" spans="1:6" x14ac:dyDescent="0.3">
      <c r="A8300" t="s">
        <v>14185</v>
      </c>
      <c r="B8300" t="s">
        <v>9455</v>
      </c>
      <c r="C8300" t="s">
        <v>14185</v>
      </c>
      <c r="D8300">
        <v>110281988</v>
      </c>
      <c r="E8300">
        <v>1.95</v>
      </c>
      <c r="F8300">
        <v>7.2</v>
      </c>
    </row>
    <row r="8301" spans="1:6" x14ac:dyDescent="0.3">
      <c r="A8301" t="s">
        <v>14186</v>
      </c>
      <c r="B8301" t="s">
        <v>12626</v>
      </c>
      <c r="C8301" t="s">
        <v>14187</v>
      </c>
      <c r="D8301">
        <v>110290111</v>
      </c>
      <c r="E8301" t="s">
        <v>3814</v>
      </c>
      <c r="F8301">
        <v>7.04</v>
      </c>
    </row>
    <row r="8302" spans="1:6" x14ac:dyDescent="0.3">
      <c r="A8302" t="s">
        <v>14188</v>
      </c>
      <c r="B8302" t="s">
        <v>13396</v>
      </c>
      <c r="C8302" t="s">
        <v>14189</v>
      </c>
      <c r="D8302">
        <v>110304227</v>
      </c>
      <c r="E8302" t="s">
        <v>3814</v>
      </c>
      <c r="F8302">
        <v>7.38</v>
      </c>
    </row>
    <row r="8303" spans="1:6" x14ac:dyDescent="0.3">
      <c r="A8303" t="s">
        <v>14190</v>
      </c>
      <c r="B8303" t="s">
        <v>13908</v>
      </c>
      <c r="C8303" t="s">
        <v>7866</v>
      </c>
      <c r="D8303">
        <v>110337885</v>
      </c>
      <c r="E8303">
        <v>2.97</v>
      </c>
      <c r="F8303">
        <v>7.97</v>
      </c>
    </row>
    <row r="8304" spans="1:6" x14ac:dyDescent="0.3">
      <c r="A8304" t="s">
        <v>14191</v>
      </c>
      <c r="B8304" t="s">
        <v>14192</v>
      </c>
      <c r="C8304" t="s">
        <v>14193</v>
      </c>
      <c r="D8304">
        <v>110340739</v>
      </c>
      <c r="E8304">
        <v>1.8</v>
      </c>
      <c r="F8304">
        <v>7.97</v>
      </c>
    </row>
    <row r="8305" spans="1:6" x14ac:dyDescent="0.3">
      <c r="A8305" t="s">
        <v>14194</v>
      </c>
      <c r="B8305" t="s">
        <v>14195</v>
      </c>
      <c r="C8305" t="s">
        <v>14196</v>
      </c>
      <c r="D8305">
        <v>110357966</v>
      </c>
      <c r="E8305" t="s">
        <v>3814</v>
      </c>
      <c r="F8305">
        <v>7</v>
      </c>
    </row>
    <row r="8306" spans="1:6" x14ac:dyDescent="0.3">
      <c r="A8306" t="s">
        <v>14197</v>
      </c>
      <c r="B8306" t="s">
        <v>13485</v>
      </c>
      <c r="C8306" t="s">
        <v>14198</v>
      </c>
      <c r="D8306">
        <v>110360378</v>
      </c>
      <c r="E8306" t="s">
        <v>3814</v>
      </c>
      <c r="F8306">
        <v>8.0299999999999994</v>
      </c>
    </row>
    <row r="8307" spans="1:6" x14ac:dyDescent="0.3">
      <c r="A8307" t="s">
        <v>14199</v>
      </c>
      <c r="B8307" t="s">
        <v>14200</v>
      </c>
      <c r="C8307" t="s">
        <v>14201</v>
      </c>
      <c r="D8307">
        <v>110385355</v>
      </c>
      <c r="E8307" t="s">
        <v>3814</v>
      </c>
      <c r="F8307">
        <v>7.62</v>
      </c>
    </row>
    <row r="8308" spans="1:6" x14ac:dyDescent="0.3">
      <c r="A8308" t="s">
        <v>14202</v>
      </c>
      <c r="B8308" t="s">
        <v>13720</v>
      </c>
      <c r="C8308" t="s">
        <v>12618</v>
      </c>
      <c r="D8308">
        <v>110387692</v>
      </c>
      <c r="E8308" t="s">
        <v>3814</v>
      </c>
      <c r="F8308">
        <v>6.69</v>
      </c>
    </row>
    <row r="8309" spans="1:6" x14ac:dyDescent="0.3">
      <c r="A8309" t="s">
        <v>1880</v>
      </c>
      <c r="B8309" t="s">
        <v>14203</v>
      </c>
      <c r="C8309" t="s">
        <v>175</v>
      </c>
      <c r="D8309">
        <v>110395624</v>
      </c>
      <c r="E8309">
        <v>4.1900000000000004</v>
      </c>
      <c r="F8309">
        <v>8.6999999999999993</v>
      </c>
    </row>
    <row r="8310" spans="1:6" x14ac:dyDescent="0.3">
      <c r="A8310" t="s">
        <v>14204</v>
      </c>
      <c r="B8310" t="s">
        <v>13831</v>
      </c>
      <c r="C8310" t="s">
        <v>14205</v>
      </c>
      <c r="D8310">
        <v>110418122</v>
      </c>
      <c r="E8310" t="s">
        <v>3814</v>
      </c>
      <c r="F8310">
        <v>6.97</v>
      </c>
    </row>
    <row r="8311" spans="1:6" x14ac:dyDescent="0.3">
      <c r="A8311" t="s">
        <v>14206</v>
      </c>
      <c r="B8311" t="s">
        <v>14207</v>
      </c>
      <c r="C8311" t="s">
        <v>4624</v>
      </c>
      <c r="D8311">
        <v>110449191</v>
      </c>
      <c r="E8311">
        <v>12</v>
      </c>
      <c r="F8311">
        <v>7.25</v>
      </c>
    </row>
    <row r="8312" spans="1:6" x14ac:dyDescent="0.3">
      <c r="A8312" t="s">
        <v>14208</v>
      </c>
      <c r="B8312" t="s">
        <v>14209</v>
      </c>
      <c r="C8312" t="s">
        <v>1103</v>
      </c>
      <c r="D8312">
        <v>110453667</v>
      </c>
      <c r="E8312" t="s">
        <v>3814</v>
      </c>
      <c r="F8312" t="s">
        <v>3814</v>
      </c>
    </row>
    <row r="8313" spans="1:6" x14ac:dyDescent="0.3">
      <c r="A8313" t="s">
        <v>14210</v>
      </c>
      <c r="B8313" t="s">
        <v>14211</v>
      </c>
      <c r="C8313" t="s">
        <v>14212</v>
      </c>
      <c r="D8313">
        <v>110473393</v>
      </c>
      <c r="E8313">
        <v>3.71</v>
      </c>
      <c r="F8313">
        <v>7.22</v>
      </c>
    </row>
    <row r="8314" spans="1:6" x14ac:dyDescent="0.3">
      <c r="A8314" t="s">
        <v>14213</v>
      </c>
      <c r="B8314" t="s">
        <v>12506</v>
      </c>
      <c r="C8314" t="s">
        <v>14214</v>
      </c>
      <c r="D8314">
        <v>110474797</v>
      </c>
      <c r="E8314" t="s">
        <v>3814</v>
      </c>
      <c r="F8314">
        <v>6.14</v>
      </c>
    </row>
    <row r="8315" spans="1:6" x14ac:dyDescent="0.3">
      <c r="A8315" t="s">
        <v>14215</v>
      </c>
      <c r="B8315" t="s">
        <v>7129</v>
      </c>
      <c r="C8315" t="s">
        <v>14216</v>
      </c>
      <c r="D8315">
        <v>110479533</v>
      </c>
      <c r="E8315">
        <v>21.15</v>
      </c>
      <c r="F8315">
        <v>8</v>
      </c>
    </row>
    <row r="8316" spans="1:6" x14ac:dyDescent="0.3">
      <c r="A8316" t="s">
        <v>14217</v>
      </c>
      <c r="B8316" t="s">
        <v>13931</v>
      </c>
      <c r="C8316" t="s">
        <v>14218</v>
      </c>
      <c r="D8316">
        <v>110480253</v>
      </c>
      <c r="E8316">
        <v>4</v>
      </c>
      <c r="F8316">
        <v>7.9</v>
      </c>
    </row>
    <row r="8317" spans="1:6" x14ac:dyDescent="0.3">
      <c r="A8317" t="s">
        <v>14219</v>
      </c>
      <c r="B8317" t="s">
        <v>609</v>
      </c>
      <c r="C8317" t="s">
        <v>3583</v>
      </c>
      <c r="D8317">
        <v>110500920</v>
      </c>
      <c r="E8317" t="s">
        <v>3814</v>
      </c>
      <c r="F8317" t="s">
        <v>3814</v>
      </c>
    </row>
    <row r="8318" spans="1:6" x14ac:dyDescent="0.3">
      <c r="A8318" t="s">
        <v>14220</v>
      </c>
      <c r="B8318" t="s">
        <v>5538</v>
      </c>
      <c r="C8318" t="s">
        <v>13127</v>
      </c>
      <c r="D8318">
        <v>110512282</v>
      </c>
      <c r="E8318" t="s">
        <v>3814</v>
      </c>
      <c r="F8318">
        <v>6.77</v>
      </c>
    </row>
    <row r="8319" spans="1:6" x14ac:dyDescent="0.3">
      <c r="A8319" t="s">
        <v>14221</v>
      </c>
      <c r="B8319" t="s">
        <v>14222</v>
      </c>
      <c r="C8319" t="s">
        <v>8519</v>
      </c>
      <c r="D8319">
        <v>110530016</v>
      </c>
      <c r="E8319" t="s">
        <v>3814</v>
      </c>
      <c r="F8319">
        <v>7.97</v>
      </c>
    </row>
    <row r="8320" spans="1:6" x14ac:dyDescent="0.3">
      <c r="A8320" t="s">
        <v>2855</v>
      </c>
      <c r="B8320" t="s">
        <v>14223</v>
      </c>
      <c r="C8320" t="s">
        <v>14224</v>
      </c>
      <c r="D8320">
        <v>110530731</v>
      </c>
      <c r="E8320" t="s">
        <v>3814</v>
      </c>
      <c r="F8320">
        <v>6.71</v>
      </c>
    </row>
    <row r="8321" spans="1:6" x14ac:dyDescent="0.3">
      <c r="A8321" t="s">
        <v>14225</v>
      </c>
      <c r="B8321" t="s">
        <v>14226</v>
      </c>
      <c r="C8321" t="s">
        <v>7446</v>
      </c>
      <c r="D8321">
        <v>110534770</v>
      </c>
      <c r="E8321">
        <v>9.3800000000000008</v>
      </c>
      <c r="F8321">
        <v>6.77</v>
      </c>
    </row>
    <row r="8322" spans="1:6" x14ac:dyDescent="0.3">
      <c r="A8322" t="s">
        <v>14227</v>
      </c>
      <c r="B8322" t="s">
        <v>7604</v>
      </c>
      <c r="C8322" t="s">
        <v>14228</v>
      </c>
      <c r="D8322">
        <v>110535166</v>
      </c>
      <c r="E8322">
        <v>5.29</v>
      </c>
      <c r="F8322">
        <v>8.56</v>
      </c>
    </row>
    <row r="8323" spans="1:6" x14ac:dyDescent="0.3">
      <c r="A8323" t="s">
        <v>14229</v>
      </c>
      <c r="B8323" t="s">
        <v>7670</v>
      </c>
      <c r="C8323" t="s">
        <v>14230</v>
      </c>
      <c r="D8323">
        <v>110535854</v>
      </c>
      <c r="E8323">
        <v>2.19</v>
      </c>
      <c r="F8323">
        <v>7.66</v>
      </c>
    </row>
    <row r="8324" spans="1:6" x14ac:dyDescent="0.3">
      <c r="A8324" t="s">
        <v>14231</v>
      </c>
      <c r="B8324" t="s">
        <v>13524</v>
      </c>
      <c r="C8324" t="s">
        <v>13193</v>
      </c>
      <c r="D8324">
        <v>110537950</v>
      </c>
      <c r="E8324">
        <v>1.9</v>
      </c>
      <c r="F8324">
        <v>6.53</v>
      </c>
    </row>
    <row r="8325" spans="1:6" x14ac:dyDescent="0.3">
      <c r="A8325" t="s">
        <v>14232</v>
      </c>
      <c r="B8325" t="s">
        <v>13025</v>
      </c>
      <c r="C8325" t="s">
        <v>4155</v>
      </c>
      <c r="D8325">
        <v>110546944</v>
      </c>
      <c r="E8325" t="s">
        <v>3814</v>
      </c>
      <c r="F8325">
        <v>6.82</v>
      </c>
    </row>
    <row r="8326" spans="1:6" x14ac:dyDescent="0.3">
      <c r="A8326" t="s">
        <v>14233</v>
      </c>
      <c r="B8326" t="s">
        <v>11991</v>
      </c>
      <c r="C8326" t="s">
        <v>2558</v>
      </c>
      <c r="D8326">
        <v>110568344</v>
      </c>
      <c r="E8326">
        <v>1.95</v>
      </c>
      <c r="F8326">
        <v>7.77</v>
      </c>
    </row>
    <row r="8327" spans="1:6" x14ac:dyDescent="0.3">
      <c r="A8327" t="s">
        <v>14234</v>
      </c>
      <c r="B8327" t="s">
        <v>12524</v>
      </c>
      <c r="C8327" t="s">
        <v>14235</v>
      </c>
      <c r="D8327">
        <v>110576455</v>
      </c>
      <c r="E8327" t="s">
        <v>3814</v>
      </c>
      <c r="F8327">
        <v>5.56</v>
      </c>
    </row>
    <row r="8328" spans="1:6" x14ac:dyDescent="0.3">
      <c r="A8328" t="s">
        <v>14236</v>
      </c>
      <c r="B8328" t="s">
        <v>14237</v>
      </c>
      <c r="C8328" t="s">
        <v>14236</v>
      </c>
      <c r="D8328">
        <v>110594994</v>
      </c>
      <c r="E8328">
        <v>10.25</v>
      </c>
      <c r="F8328">
        <v>8.3800000000000008</v>
      </c>
    </row>
    <row r="8329" spans="1:6" x14ac:dyDescent="0.3">
      <c r="A8329" t="s">
        <v>14238</v>
      </c>
      <c r="B8329" t="s">
        <v>10395</v>
      </c>
      <c r="C8329" t="s">
        <v>4931</v>
      </c>
      <c r="D8329">
        <v>110607651</v>
      </c>
      <c r="E8329">
        <v>2.85</v>
      </c>
      <c r="F8329">
        <v>8</v>
      </c>
    </row>
    <row r="8330" spans="1:6" x14ac:dyDescent="0.3">
      <c r="A8330" t="s">
        <v>14239</v>
      </c>
      <c r="B8330" t="s">
        <v>12913</v>
      </c>
      <c r="C8330" t="s">
        <v>14240</v>
      </c>
      <c r="D8330">
        <v>110608761</v>
      </c>
      <c r="E8330" t="s">
        <v>3814</v>
      </c>
      <c r="F8330">
        <v>3.2</v>
      </c>
    </row>
    <row r="8331" spans="1:6" x14ac:dyDescent="0.3">
      <c r="A8331" t="s">
        <v>14241</v>
      </c>
      <c r="B8331" t="s">
        <v>4787</v>
      </c>
      <c r="C8331" t="s">
        <v>14242</v>
      </c>
      <c r="D8331">
        <v>110610038</v>
      </c>
      <c r="E8331">
        <v>2.27</v>
      </c>
      <c r="F8331">
        <v>7.65</v>
      </c>
    </row>
    <row r="8332" spans="1:6" x14ac:dyDescent="0.3">
      <c r="A8332" t="s">
        <v>14243</v>
      </c>
      <c r="B8332" t="s">
        <v>6220</v>
      </c>
      <c r="C8332" t="s">
        <v>1004</v>
      </c>
      <c r="D8332">
        <v>110613015</v>
      </c>
      <c r="E8332">
        <v>12.14</v>
      </c>
      <c r="F8332">
        <v>7.71</v>
      </c>
    </row>
    <row r="8333" spans="1:6" x14ac:dyDescent="0.3">
      <c r="A8333" t="s">
        <v>14244</v>
      </c>
      <c r="B8333" t="s">
        <v>14245</v>
      </c>
      <c r="C8333" t="s">
        <v>39</v>
      </c>
      <c r="D8333">
        <v>110625662</v>
      </c>
      <c r="E8333" t="s">
        <v>3814</v>
      </c>
      <c r="F8333">
        <v>5.47</v>
      </c>
    </row>
    <row r="8334" spans="1:6" x14ac:dyDescent="0.3">
      <c r="A8334" t="s">
        <v>14246</v>
      </c>
      <c r="B8334" t="s">
        <v>5075</v>
      </c>
      <c r="C8334" t="s">
        <v>12448</v>
      </c>
      <c r="D8334">
        <v>110635552</v>
      </c>
      <c r="E8334">
        <v>2.0499999999999998</v>
      </c>
      <c r="F8334">
        <v>7.24</v>
      </c>
    </row>
    <row r="8335" spans="1:6" x14ac:dyDescent="0.3">
      <c r="A8335" t="s">
        <v>14247</v>
      </c>
      <c r="B8335" t="s">
        <v>3041</v>
      </c>
      <c r="C8335" t="s">
        <v>14248</v>
      </c>
      <c r="D8335">
        <v>110638716</v>
      </c>
      <c r="E8335">
        <v>3.31</v>
      </c>
      <c r="F8335">
        <v>6.26</v>
      </c>
    </row>
    <row r="8336" spans="1:6" x14ac:dyDescent="0.3">
      <c r="A8336" t="s">
        <v>14249</v>
      </c>
      <c r="B8336" t="s">
        <v>2101</v>
      </c>
      <c r="C8336" t="s">
        <v>771</v>
      </c>
      <c r="D8336">
        <v>110642358</v>
      </c>
      <c r="E8336" t="s">
        <v>3814</v>
      </c>
      <c r="F8336">
        <v>6.75</v>
      </c>
    </row>
    <row r="8337" spans="1:6" x14ac:dyDescent="0.3">
      <c r="A8337" t="s">
        <v>14250</v>
      </c>
      <c r="B8337" t="s">
        <v>13373</v>
      </c>
      <c r="C8337" t="s">
        <v>14251</v>
      </c>
      <c r="D8337">
        <v>110649372</v>
      </c>
      <c r="E8337" t="s">
        <v>3814</v>
      </c>
      <c r="F8337">
        <v>7.52</v>
      </c>
    </row>
    <row r="8338" spans="1:6" x14ac:dyDescent="0.3">
      <c r="A8338" t="s">
        <v>14252</v>
      </c>
      <c r="B8338" t="s">
        <v>10850</v>
      </c>
      <c r="C8338" t="s">
        <v>14253</v>
      </c>
      <c r="D8338">
        <v>110653463</v>
      </c>
      <c r="E8338">
        <v>15.92</v>
      </c>
      <c r="F8338">
        <v>9.1</v>
      </c>
    </row>
    <row r="8339" spans="1:6" x14ac:dyDescent="0.3">
      <c r="A8339" t="s">
        <v>14254</v>
      </c>
      <c r="B8339" t="s">
        <v>13669</v>
      </c>
      <c r="C8339" t="s">
        <v>14255</v>
      </c>
      <c r="D8339">
        <v>110656438</v>
      </c>
      <c r="E8339" t="s">
        <v>3814</v>
      </c>
      <c r="F8339">
        <v>4.5999999999999996</v>
      </c>
    </row>
    <row r="8340" spans="1:6" x14ac:dyDescent="0.3">
      <c r="A8340" t="s">
        <v>14256</v>
      </c>
      <c r="B8340" t="s">
        <v>14257</v>
      </c>
      <c r="C8340" t="s">
        <v>14258</v>
      </c>
      <c r="D8340">
        <v>110673306</v>
      </c>
      <c r="E8340">
        <v>11.67</v>
      </c>
      <c r="F8340">
        <v>3.67</v>
      </c>
    </row>
    <row r="8341" spans="1:6" x14ac:dyDescent="0.3">
      <c r="A8341" t="s">
        <v>14259</v>
      </c>
      <c r="B8341" t="s">
        <v>14260</v>
      </c>
      <c r="C8341" t="s">
        <v>14261</v>
      </c>
      <c r="D8341">
        <v>110677454</v>
      </c>
      <c r="E8341" t="s">
        <v>3814</v>
      </c>
      <c r="F8341">
        <v>6.09</v>
      </c>
    </row>
    <row r="8342" spans="1:6" x14ac:dyDescent="0.3">
      <c r="A8342" t="s">
        <v>14262</v>
      </c>
      <c r="B8342" t="s">
        <v>3238</v>
      </c>
      <c r="C8342" t="s">
        <v>13990</v>
      </c>
      <c r="D8342">
        <v>110681124</v>
      </c>
      <c r="E8342">
        <v>2.09</v>
      </c>
      <c r="F8342">
        <v>7.69</v>
      </c>
    </row>
    <row r="8343" spans="1:6" x14ac:dyDescent="0.3">
      <c r="A8343" t="s">
        <v>14263</v>
      </c>
      <c r="B8343" t="s">
        <v>10823</v>
      </c>
      <c r="C8343" t="s">
        <v>13779</v>
      </c>
      <c r="D8343">
        <v>110682623</v>
      </c>
      <c r="E8343">
        <v>1</v>
      </c>
      <c r="F8343">
        <v>7.45</v>
      </c>
    </row>
    <row r="8344" spans="1:6" x14ac:dyDescent="0.3">
      <c r="A8344" t="s">
        <v>14264</v>
      </c>
      <c r="B8344" t="s">
        <v>11941</v>
      </c>
      <c r="C8344" t="s">
        <v>14264</v>
      </c>
      <c r="D8344">
        <v>110690127</v>
      </c>
      <c r="E8344">
        <v>27</v>
      </c>
      <c r="F8344">
        <v>10</v>
      </c>
    </row>
    <row r="8345" spans="1:6" x14ac:dyDescent="0.3">
      <c r="A8345" t="s">
        <v>14265</v>
      </c>
      <c r="B8345" t="s">
        <v>13155</v>
      </c>
      <c r="C8345" t="s">
        <v>14266</v>
      </c>
      <c r="D8345">
        <v>110692295</v>
      </c>
      <c r="E8345">
        <v>1.2</v>
      </c>
      <c r="F8345">
        <v>7.41</v>
      </c>
    </row>
    <row r="8346" spans="1:6" x14ac:dyDescent="0.3">
      <c r="A8346" t="s">
        <v>14267</v>
      </c>
      <c r="B8346" t="s">
        <v>2976</v>
      </c>
      <c r="C8346" t="s">
        <v>14268</v>
      </c>
      <c r="D8346">
        <v>110692530</v>
      </c>
      <c r="E8346">
        <v>3.03</v>
      </c>
      <c r="F8346">
        <v>7.02</v>
      </c>
    </row>
    <row r="8347" spans="1:6" x14ac:dyDescent="0.3">
      <c r="A8347" t="s">
        <v>14269</v>
      </c>
      <c r="B8347" t="s">
        <v>12383</v>
      </c>
      <c r="C8347" t="s">
        <v>14193</v>
      </c>
      <c r="D8347">
        <v>110695801</v>
      </c>
      <c r="E8347">
        <v>1.76</v>
      </c>
      <c r="F8347">
        <v>8.6</v>
      </c>
    </row>
    <row r="8348" spans="1:6" x14ac:dyDescent="0.3">
      <c r="A8348" t="s">
        <v>2601</v>
      </c>
      <c r="B8348" t="s">
        <v>14270</v>
      </c>
      <c r="C8348" t="s">
        <v>2601</v>
      </c>
      <c r="D8348">
        <v>110701210</v>
      </c>
      <c r="E8348">
        <v>6.01</v>
      </c>
      <c r="F8348">
        <v>7.15</v>
      </c>
    </row>
    <row r="8349" spans="1:6" x14ac:dyDescent="0.3">
      <c r="A8349" t="s">
        <v>14271</v>
      </c>
      <c r="B8349" t="s">
        <v>12024</v>
      </c>
      <c r="C8349" t="s">
        <v>2739</v>
      </c>
      <c r="D8349">
        <v>110711884</v>
      </c>
      <c r="E8349">
        <v>15.72</v>
      </c>
      <c r="F8349">
        <v>7.59</v>
      </c>
    </row>
    <row r="8350" spans="1:6" x14ac:dyDescent="0.3">
      <c r="A8350" t="s">
        <v>14272</v>
      </c>
      <c r="B8350" t="s">
        <v>12722</v>
      </c>
      <c r="C8350" t="s">
        <v>14273</v>
      </c>
      <c r="D8350">
        <v>110720876</v>
      </c>
      <c r="E8350" t="s">
        <v>3814</v>
      </c>
      <c r="F8350">
        <v>3</v>
      </c>
    </row>
    <row r="8351" spans="1:6" x14ac:dyDescent="0.3">
      <c r="A8351" t="s">
        <v>14274</v>
      </c>
      <c r="B8351" t="s">
        <v>14275</v>
      </c>
      <c r="C8351" t="s">
        <v>14276</v>
      </c>
      <c r="D8351">
        <v>110730247</v>
      </c>
      <c r="E8351">
        <v>2.94</v>
      </c>
      <c r="F8351">
        <v>7.97</v>
      </c>
    </row>
    <row r="8352" spans="1:6" x14ac:dyDescent="0.3">
      <c r="A8352" t="s">
        <v>6067</v>
      </c>
      <c r="B8352" t="s">
        <v>9858</v>
      </c>
      <c r="C8352" t="s">
        <v>14277</v>
      </c>
      <c r="D8352">
        <v>110732600</v>
      </c>
      <c r="E8352">
        <v>5.22</v>
      </c>
      <c r="F8352">
        <v>7.89</v>
      </c>
    </row>
    <row r="8353" spans="1:6" x14ac:dyDescent="0.3">
      <c r="A8353" t="s">
        <v>14278</v>
      </c>
      <c r="B8353" t="s">
        <v>11503</v>
      </c>
      <c r="C8353" t="s">
        <v>14279</v>
      </c>
      <c r="D8353">
        <v>110737713</v>
      </c>
      <c r="E8353">
        <v>1.22</v>
      </c>
      <c r="F8353">
        <v>7.15</v>
      </c>
    </row>
    <row r="8354" spans="1:6" x14ac:dyDescent="0.3">
      <c r="A8354" t="s">
        <v>14280</v>
      </c>
      <c r="B8354" t="s">
        <v>14281</v>
      </c>
      <c r="C8354" t="s">
        <v>5389</v>
      </c>
      <c r="D8354">
        <v>110748436</v>
      </c>
      <c r="E8354">
        <v>5.7</v>
      </c>
      <c r="F8354">
        <v>5.5</v>
      </c>
    </row>
    <row r="8355" spans="1:6" x14ac:dyDescent="0.3">
      <c r="A8355" t="s">
        <v>14282</v>
      </c>
      <c r="B8355" t="s">
        <v>14283</v>
      </c>
      <c r="C8355" t="s">
        <v>2434</v>
      </c>
      <c r="D8355">
        <v>110751932</v>
      </c>
      <c r="E8355" t="s">
        <v>3814</v>
      </c>
      <c r="F8355">
        <v>6.67</v>
      </c>
    </row>
    <row r="8356" spans="1:6" x14ac:dyDescent="0.3">
      <c r="A8356" t="s">
        <v>14284</v>
      </c>
      <c r="B8356" t="s">
        <v>7494</v>
      </c>
      <c r="C8356" t="s">
        <v>14284</v>
      </c>
      <c r="D8356">
        <v>110754617</v>
      </c>
      <c r="E8356">
        <v>1.1200000000000001</v>
      </c>
      <c r="F8356">
        <v>6.77</v>
      </c>
    </row>
    <row r="8357" spans="1:6" x14ac:dyDescent="0.3">
      <c r="A8357" t="s">
        <v>14285</v>
      </c>
      <c r="B8357" t="s">
        <v>14286</v>
      </c>
      <c r="C8357" t="s">
        <v>4940</v>
      </c>
      <c r="D8357">
        <v>110754744</v>
      </c>
      <c r="E8357">
        <v>5.23</v>
      </c>
      <c r="F8357">
        <v>7</v>
      </c>
    </row>
    <row r="8358" spans="1:6" x14ac:dyDescent="0.3">
      <c r="A8358" t="s">
        <v>14287</v>
      </c>
      <c r="B8358" t="s">
        <v>11051</v>
      </c>
      <c r="C8358" t="s">
        <v>14268</v>
      </c>
      <c r="D8358">
        <v>110757494</v>
      </c>
      <c r="E8358">
        <v>8.24</v>
      </c>
      <c r="F8358">
        <v>6.55</v>
      </c>
    </row>
    <row r="8359" spans="1:6" x14ac:dyDescent="0.3">
      <c r="A8359" t="s">
        <v>2558</v>
      </c>
      <c r="B8359" t="s">
        <v>11404</v>
      </c>
      <c r="C8359" t="s">
        <v>2558</v>
      </c>
      <c r="D8359">
        <v>110766317</v>
      </c>
      <c r="E8359">
        <v>2.75</v>
      </c>
      <c r="F8359">
        <v>7.33</v>
      </c>
    </row>
    <row r="8360" spans="1:6" x14ac:dyDescent="0.3">
      <c r="A8360" t="s">
        <v>11899</v>
      </c>
      <c r="B8360" t="s">
        <v>14288</v>
      </c>
      <c r="C8360" t="s">
        <v>395</v>
      </c>
      <c r="D8360">
        <v>110767504</v>
      </c>
      <c r="E8360">
        <v>2.09</v>
      </c>
      <c r="F8360">
        <v>7.67</v>
      </c>
    </row>
    <row r="8361" spans="1:6" x14ac:dyDescent="0.3">
      <c r="A8361" t="s">
        <v>14289</v>
      </c>
      <c r="B8361" t="s">
        <v>14290</v>
      </c>
      <c r="C8361" t="s">
        <v>14291</v>
      </c>
      <c r="D8361">
        <v>110768292</v>
      </c>
      <c r="E8361">
        <v>6.92</v>
      </c>
      <c r="F8361">
        <v>7.57</v>
      </c>
    </row>
    <row r="8362" spans="1:6" x14ac:dyDescent="0.3">
      <c r="A8362" t="s">
        <v>14292</v>
      </c>
      <c r="B8362" t="s">
        <v>14293</v>
      </c>
      <c r="C8362" t="s">
        <v>6927</v>
      </c>
      <c r="D8362">
        <v>110769048</v>
      </c>
      <c r="E8362">
        <v>2.95</v>
      </c>
      <c r="F8362">
        <v>8.25</v>
      </c>
    </row>
    <row r="8363" spans="1:6" x14ac:dyDescent="0.3">
      <c r="A8363" t="s">
        <v>14294</v>
      </c>
      <c r="B8363" t="s">
        <v>14295</v>
      </c>
      <c r="C8363" t="s">
        <v>121</v>
      </c>
      <c r="D8363">
        <v>110769422</v>
      </c>
      <c r="E8363">
        <v>26.5</v>
      </c>
      <c r="F8363">
        <v>8.5</v>
      </c>
    </row>
    <row r="8364" spans="1:6" x14ac:dyDescent="0.3">
      <c r="A8364" t="s">
        <v>14296</v>
      </c>
      <c r="B8364" t="s">
        <v>12453</v>
      </c>
      <c r="C8364" t="s">
        <v>14296</v>
      </c>
      <c r="D8364">
        <v>110769678</v>
      </c>
      <c r="E8364">
        <v>4.0199999999999996</v>
      </c>
      <c r="F8364">
        <v>5.48</v>
      </c>
    </row>
    <row r="8365" spans="1:6" x14ac:dyDescent="0.3">
      <c r="A8365" t="s">
        <v>14297</v>
      </c>
      <c r="B8365" t="s">
        <v>7907</v>
      </c>
      <c r="C8365" t="s">
        <v>11913</v>
      </c>
      <c r="D8365">
        <v>110769842</v>
      </c>
      <c r="E8365" t="s">
        <v>3814</v>
      </c>
      <c r="F8365" t="s">
        <v>3814</v>
      </c>
    </row>
    <row r="8366" spans="1:6" x14ac:dyDescent="0.3">
      <c r="A8366" t="s">
        <v>14298</v>
      </c>
      <c r="B8366" t="s">
        <v>2199</v>
      </c>
      <c r="C8366" t="s">
        <v>14299</v>
      </c>
      <c r="D8366">
        <v>110772842</v>
      </c>
      <c r="E8366">
        <v>2.73</v>
      </c>
      <c r="F8366">
        <v>7.45</v>
      </c>
    </row>
    <row r="8367" spans="1:6" x14ac:dyDescent="0.3">
      <c r="A8367" t="s">
        <v>14300</v>
      </c>
      <c r="B8367" t="s">
        <v>8508</v>
      </c>
      <c r="C8367" t="s">
        <v>13940</v>
      </c>
      <c r="D8367">
        <v>110772949</v>
      </c>
      <c r="E8367">
        <v>3.94</v>
      </c>
      <c r="F8367">
        <v>7</v>
      </c>
    </row>
    <row r="8368" spans="1:6" x14ac:dyDescent="0.3">
      <c r="A8368" t="s">
        <v>14301</v>
      </c>
      <c r="B8368" t="s">
        <v>10542</v>
      </c>
      <c r="C8368" t="s">
        <v>14228</v>
      </c>
      <c r="D8368">
        <v>110773161</v>
      </c>
      <c r="E8368">
        <v>1.82</v>
      </c>
      <c r="F8368">
        <v>7.76</v>
      </c>
    </row>
    <row r="8369" spans="1:6" x14ac:dyDescent="0.3">
      <c r="A8369" t="s">
        <v>14302</v>
      </c>
      <c r="B8369" t="s">
        <v>14303</v>
      </c>
      <c r="C8369" t="s">
        <v>14304</v>
      </c>
      <c r="D8369">
        <v>110773554</v>
      </c>
      <c r="E8369">
        <v>5.58</v>
      </c>
      <c r="F8369">
        <v>6.93</v>
      </c>
    </row>
    <row r="8370" spans="1:6" x14ac:dyDescent="0.3">
      <c r="A8370" t="s">
        <v>14305</v>
      </c>
      <c r="B8370" t="s">
        <v>9844</v>
      </c>
      <c r="C8370" t="s">
        <v>13940</v>
      </c>
      <c r="D8370">
        <v>110774001</v>
      </c>
      <c r="E8370">
        <v>3.94</v>
      </c>
      <c r="F8370">
        <v>8.69</v>
      </c>
    </row>
    <row r="8371" spans="1:6" x14ac:dyDescent="0.3">
      <c r="A8371" t="s">
        <v>14306</v>
      </c>
      <c r="B8371" t="s">
        <v>14307</v>
      </c>
      <c r="C8371" t="s">
        <v>395</v>
      </c>
      <c r="D8371">
        <v>110774310</v>
      </c>
      <c r="E8371">
        <v>2.27</v>
      </c>
      <c r="F8371">
        <v>7.3</v>
      </c>
    </row>
    <row r="8372" spans="1:6" x14ac:dyDescent="0.3">
      <c r="A8372" t="s">
        <v>14308</v>
      </c>
      <c r="B8372" t="s">
        <v>8986</v>
      </c>
      <c r="C8372" t="s">
        <v>14309</v>
      </c>
      <c r="D8372">
        <v>110774330</v>
      </c>
      <c r="E8372">
        <v>6.31</v>
      </c>
      <c r="F8372">
        <v>7.45</v>
      </c>
    </row>
    <row r="8373" spans="1:6" x14ac:dyDescent="0.3">
      <c r="A8373" t="s">
        <v>14310</v>
      </c>
      <c r="B8373" t="s">
        <v>14311</v>
      </c>
      <c r="C8373" t="s">
        <v>14312</v>
      </c>
      <c r="D8373">
        <v>110790559</v>
      </c>
      <c r="E8373">
        <v>8.6199999999999992</v>
      </c>
      <c r="F8373">
        <v>6.47</v>
      </c>
    </row>
    <row r="8374" spans="1:6" x14ac:dyDescent="0.3">
      <c r="A8374" t="s">
        <v>14313</v>
      </c>
      <c r="B8374" t="s">
        <v>14314</v>
      </c>
      <c r="C8374" t="s">
        <v>14315</v>
      </c>
      <c r="D8374">
        <v>110791301</v>
      </c>
      <c r="E8374">
        <v>5.0999999999999996</v>
      </c>
      <c r="F8374">
        <v>5.8</v>
      </c>
    </row>
    <row r="8375" spans="1:6" x14ac:dyDescent="0.3">
      <c r="A8375" t="s">
        <v>14316</v>
      </c>
      <c r="B8375" t="s">
        <v>14317</v>
      </c>
      <c r="C8375" t="s">
        <v>14318</v>
      </c>
      <c r="D8375">
        <v>110795044</v>
      </c>
      <c r="E8375">
        <v>3.85</v>
      </c>
      <c r="F8375">
        <v>7.77</v>
      </c>
    </row>
    <row r="8376" spans="1:6" x14ac:dyDescent="0.3">
      <c r="A8376" t="s">
        <v>14319</v>
      </c>
      <c r="B8376" t="s">
        <v>14320</v>
      </c>
      <c r="C8376" t="s">
        <v>12438</v>
      </c>
      <c r="D8376">
        <v>110796574</v>
      </c>
      <c r="E8376" t="s">
        <v>3814</v>
      </c>
      <c r="F8376">
        <v>6.58</v>
      </c>
    </row>
    <row r="8377" spans="1:6" x14ac:dyDescent="0.3">
      <c r="A8377" t="s">
        <v>14321</v>
      </c>
      <c r="B8377" t="s">
        <v>14322</v>
      </c>
      <c r="C8377" t="s">
        <v>14323</v>
      </c>
      <c r="D8377">
        <v>110812956</v>
      </c>
      <c r="E8377">
        <v>21</v>
      </c>
      <c r="F8377">
        <v>9</v>
      </c>
    </row>
    <row r="8378" spans="1:6" x14ac:dyDescent="0.3">
      <c r="A8378" t="s">
        <v>14324</v>
      </c>
      <c r="B8378" t="s">
        <v>14325</v>
      </c>
      <c r="C8378" t="s">
        <v>3854</v>
      </c>
      <c r="D8378">
        <v>110815379</v>
      </c>
      <c r="E8378" t="s">
        <v>3814</v>
      </c>
      <c r="F8378" t="s">
        <v>3814</v>
      </c>
    </row>
    <row r="8379" spans="1:6" x14ac:dyDescent="0.3">
      <c r="A8379" t="s">
        <v>14326</v>
      </c>
      <c r="B8379" t="s">
        <v>4019</v>
      </c>
      <c r="C8379" t="s">
        <v>14327</v>
      </c>
      <c r="D8379">
        <v>110816181</v>
      </c>
      <c r="E8379" t="s">
        <v>3814</v>
      </c>
      <c r="F8379" t="s">
        <v>3814</v>
      </c>
    </row>
    <row r="8380" spans="1:6" x14ac:dyDescent="0.3">
      <c r="A8380" t="s">
        <v>14328</v>
      </c>
      <c r="B8380" t="s">
        <v>12617</v>
      </c>
      <c r="C8380" t="s">
        <v>12510</v>
      </c>
      <c r="D8380">
        <v>110816814</v>
      </c>
      <c r="E8380" t="s">
        <v>3814</v>
      </c>
      <c r="F8380">
        <v>7.57</v>
      </c>
    </row>
    <row r="8381" spans="1:6" x14ac:dyDescent="0.3">
      <c r="A8381" t="s">
        <v>14329</v>
      </c>
      <c r="B8381" t="s">
        <v>12787</v>
      </c>
      <c r="C8381" t="s">
        <v>14330</v>
      </c>
      <c r="D8381">
        <v>110824940</v>
      </c>
      <c r="E8381" t="s">
        <v>3814</v>
      </c>
      <c r="F8381">
        <v>7.11</v>
      </c>
    </row>
    <row r="8382" spans="1:6" x14ac:dyDescent="0.3">
      <c r="A8382" t="s">
        <v>14331</v>
      </c>
      <c r="B8382" t="s">
        <v>13769</v>
      </c>
      <c r="C8382" t="s">
        <v>14332</v>
      </c>
      <c r="D8382">
        <v>110828388</v>
      </c>
      <c r="E8382" t="s">
        <v>3814</v>
      </c>
      <c r="F8382">
        <v>6.11</v>
      </c>
    </row>
    <row r="8383" spans="1:6" x14ac:dyDescent="0.3">
      <c r="A8383" t="s">
        <v>14333</v>
      </c>
      <c r="B8383" t="s">
        <v>14334</v>
      </c>
      <c r="C8383" t="s">
        <v>3728</v>
      </c>
      <c r="D8383">
        <v>110840681</v>
      </c>
      <c r="E8383">
        <v>14.82</v>
      </c>
      <c r="F8383">
        <v>7.65</v>
      </c>
    </row>
    <row r="8384" spans="1:6" x14ac:dyDescent="0.3">
      <c r="A8384" t="s">
        <v>14335</v>
      </c>
      <c r="B8384" t="s">
        <v>14004</v>
      </c>
      <c r="C8384" t="s">
        <v>14336</v>
      </c>
      <c r="D8384">
        <v>110841298</v>
      </c>
      <c r="E8384" t="s">
        <v>3814</v>
      </c>
      <c r="F8384">
        <v>4.1399999999999997</v>
      </c>
    </row>
    <row r="8385" spans="1:6" x14ac:dyDescent="0.3">
      <c r="A8385" t="s">
        <v>14337</v>
      </c>
      <c r="B8385" t="s">
        <v>10802</v>
      </c>
      <c r="C8385" t="s">
        <v>14338</v>
      </c>
      <c r="D8385">
        <v>110843215</v>
      </c>
      <c r="E8385">
        <v>2.98</v>
      </c>
      <c r="F8385">
        <v>8.17</v>
      </c>
    </row>
    <row r="8386" spans="1:6" x14ac:dyDescent="0.3">
      <c r="A8386" t="s">
        <v>14339</v>
      </c>
      <c r="B8386" t="s">
        <v>6226</v>
      </c>
      <c r="C8386" t="s">
        <v>14340</v>
      </c>
      <c r="D8386">
        <v>110854157</v>
      </c>
      <c r="E8386">
        <v>1.74</v>
      </c>
      <c r="F8386">
        <v>7.94</v>
      </c>
    </row>
    <row r="8387" spans="1:6" x14ac:dyDescent="0.3">
      <c r="A8387" t="s">
        <v>5956</v>
      </c>
      <c r="B8387" t="s">
        <v>8029</v>
      </c>
      <c r="C8387" t="s">
        <v>7111</v>
      </c>
      <c r="D8387">
        <v>110881425</v>
      </c>
      <c r="E8387">
        <v>2.74</v>
      </c>
      <c r="F8387">
        <v>7.3</v>
      </c>
    </row>
    <row r="8388" spans="1:6" x14ac:dyDescent="0.3">
      <c r="A8388" t="s">
        <v>14341</v>
      </c>
      <c r="B8388" t="s">
        <v>11164</v>
      </c>
      <c r="C8388" t="s">
        <v>14342</v>
      </c>
      <c r="D8388">
        <v>110899622</v>
      </c>
      <c r="E8388" t="s">
        <v>3814</v>
      </c>
      <c r="F8388">
        <v>5.71</v>
      </c>
    </row>
    <row r="8389" spans="1:6" x14ac:dyDescent="0.3">
      <c r="A8389" t="s">
        <v>14343</v>
      </c>
      <c r="B8389" t="s">
        <v>13720</v>
      </c>
      <c r="C8389" t="s">
        <v>13772</v>
      </c>
      <c r="D8389">
        <v>110904791</v>
      </c>
      <c r="E8389" t="s">
        <v>3814</v>
      </c>
      <c r="F8389">
        <v>2.17</v>
      </c>
    </row>
    <row r="8390" spans="1:6" x14ac:dyDescent="0.3">
      <c r="A8390" t="s">
        <v>14344</v>
      </c>
      <c r="B8390" t="s">
        <v>10433</v>
      </c>
      <c r="C8390" t="s">
        <v>10528</v>
      </c>
      <c r="D8390">
        <v>110913375</v>
      </c>
      <c r="E8390">
        <v>32</v>
      </c>
      <c r="F8390">
        <v>9</v>
      </c>
    </row>
    <row r="8391" spans="1:6" x14ac:dyDescent="0.3">
      <c r="A8391" t="s">
        <v>14345</v>
      </c>
      <c r="B8391" t="s">
        <v>10116</v>
      </c>
      <c r="C8391" t="s">
        <v>14346</v>
      </c>
      <c r="D8391">
        <v>110916288</v>
      </c>
      <c r="E8391">
        <v>2.84</v>
      </c>
      <c r="F8391">
        <v>6.74</v>
      </c>
    </row>
    <row r="8392" spans="1:6" x14ac:dyDescent="0.3">
      <c r="A8392" t="s">
        <v>14347</v>
      </c>
      <c r="B8392" t="s">
        <v>14348</v>
      </c>
      <c r="C8392" t="s">
        <v>14349</v>
      </c>
      <c r="D8392">
        <v>110924002</v>
      </c>
      <c r="E8392">
        <v>5.56</v>
      </c>
      <c r="F8392">
        <v>8.18</v>
      </c>
    </row>
    <row r="8393" spans="1:6" x14ac:dyDescent="0.3">
      <c r="A8393" t="s">
        <v>14350</v>
      </c>
      <c r="B8393" t="s">
        <v>5928</v>
      </c>
      <c r="C8393" t="s">
        <v>14351</v>
      </c>
      <c r="D8393">
        <v>110928098</v>
      </c>
      <c r="E8393">
        <v>3.78</v>
      </c>
      <c r="F8393">
        <v>5.9</v>
      </c>
    </row>
    <row r="8394" spans="1:6" x14ac:dyDescent="0.3">
      <c r="A8394" t="s">
        <v>14352</v>
      </c>
      <c r="B8394" t="s">
        <v>5123</v>
      </c>
      <c r="C8394" t="s">
        <v>14353</v>
      </c>
      <c r="D8394">
        <v>110929199</v>
      </c>
      <c r="E8394" t="s">
        <v>3814</v>
      </c>
      <c r="F8394">
        <v>6.18</v>
      </c>
    </row>
    <row r="8395" spans="1:6" x14ac:dyDescent="0.3">
      <c r="A8395" t="s">
        <v>14354</v>
      </c>
      <c r="B8395" t="s">
        <v>14355</v>
      </c>
      <c r="C8395" t="s">
        <v>11785</v>
      </c>
      <c r="D8395">
        <v>110930973</v>
      </c>
      <c r="E8395">
        <v>10.29</v>
      </c>
      <c r="F8395">
        <v>9.14</v>
      </c>
    </row>
    <row r="8396" spans="1:6" x14ac:dyDescent="0.3">
      <c r="A8396" t="s">
        <v>14356</v>
      </c>
      <c r="B8396" t="s">
        <v>7626</v>
      </c>
      <c r="C8396" t="s">
        <v>14357</v>
      </c>
      <c r="D8396">
        <v>110935745</v>
      </c>
      <c r="E8396" t="s">
        <v>3814</v>
      </c>
      <c r="F8396">
        <v>4</v>
      </c>
    </row>
    <row r="8397" spans="1:6" x14ac:dyDescent="0.3">
      <c r="A8397" t="s">
        <v>14358</v>
      </c>
      <c r="B8397" t="s">
        <v>14359</v>
      </c>
      <c r="C8397" t="s">
        <v>14360</v>
      </c>
      <c r="D8397">
        <v>110948171</v>
      </c>
      <c r="E8397">
        <v>2.79</v>
      </c>
      <c r="F8397">
        <v>7.6</v>
      </c>
    </row>
    <row r="8398" spans="1:6" x14ac:dyDescent="0.3">
      <c r="A8398" t="s">
        <v>14361</v>
      </c>
      <c r="B8398" t="s">
        <v>5975</v>
      </c>
      <c r="C8398" t="s">
        <v>14362</v>
      </c>
      <c r="D8398">
        <v>110959028</v>
      </c>
      <c r="E8398">
        <v>4.88</v>
      </c>
      <c r="F8398">
        <v>7.85</v>
      </c>
    </row>
    <row r="8399" spans="1:6" x14ac:dyDescent="0.3">
      <c r="A8399" t="s">
        <v>14363</v>
      </c>
      <c r="B8399" t="s">
        <v>14364</v>
      </c>
      <c r="C8399" t="s">
        <v>11549</v>
      </c>
      <c r="D8399">
        <v>110961190</v>
      </c>
      <c r="E8399" t="s">
        <v>3814</v>
      </c>
      <c r="F8399">
        <v>6.52</v>
      </c>
    </row>
    <row r="8400" spans="1:6" x14ac:dyDescent="0.3">
      <c r="A8400" t="s">
        <v>14365</v>
      </c>
      <c r="B8400" t="s">
        <v>10941</v>
      </c>
      <c r="C8400" t="s">
        <v>36</v>
      </c>
      <c r="D8400">
        <v>110965084</v>
      </c>
      <c r="E8400" t="s">
        <v>3814</v>
      </c>
      <c r="F8400" t="s">
        <v>3814</v>
      </c>
    </row>
    <row r="8401" spans="1:6" x14ac:dyDescent="0.3">
      <c r="A8401" t="s">
        <v>14366</v>
      </c>
      <c r="B8401" t="s">
        <v>12383</v>
      </c>
      <c r="C8401" t="s">
        <v>14367</v>
      </c>
      <c r="D8401">
        <v>110971137</v>
      </c>
      <c r="E8401">
        <v>5.08</v>
      </c>
      <c r="F8401">
        <v>6.69</v>
      </c>
    </row>
    <row r="8402" spans="1:6" x14ac:dyDescent="0.3">
      <c r="A8402" t="s">
        <v>14368</v>
      </c>
      <c r="B8402" t="s">
        <v>14369</v>
      </c>
      <c r="C8402" t="s">
        <v>14370</v>
      </c>
      <c r="D8402">
        <v>110978139</v>
      </c>
      <c r="E8402" t="s">
        <v>3814</v>
      </c>
      <c r="F8402">
        <v>6.45</v>
      </c>
    </row>
    <row r="8403" spans="1:6" x14ac:dyDescent="0.3">
      <c r="A8403" t="s">
        <v>14371</v>
      </c>
      <c r="B8403" t="s">
        <v>13807</v>
      </c>
      <c r="C8403" t="s">
        <v>14372</v>
      </c>
      <c r="D8403">
        <v>110978304</v>
      </c>
      <c r="E8403">
        <v>8.32</v>
      </c>
      <c r="F8403">
        <v>8.2899999999999991</v>
      </c>
    </row>
    <row r="8404" spans="1:6" x14ac:dyDescent="0.3">
      <c r="A8404" t="s">
        <v>14373</v>
      </c>
      <c r="B8404" t="s">
        <v>9708</v>
      </c>
      <c r="C8404" t="s">
        <v>3172</v>
      </c>
      <c r="D8404">
        <v>110979114</v>
      </c>
      <c r="E8404">
        <v>19.14</v>
      </c>
      <c r="F8404">
        <v>6.43</v>
      </c>
    </row>
    <row r="8405" spans="1:6" x14ac:dyDescent="0.3">
      <c r="A8405" t="s">
        <v>14374</v>
      </c>
      <c r="B8405" t="s">
        <v>4686</v>
      </c>
      <c r="C8405" t="s">
        <v>14375</v>
      </c>
      <c r="D8405">
        <v>110991117</v>
      </c>
      <c r="E8405" t="s">
        <v>3814</v>
      </c>
      <c r="F8405" t="s">
        <v>3814</v>
      </c>
    </row>
    <row r="8406" spans="1:6" x14ac:dyDescent="0.3">
      <c r="A8406" t="s">
        <v>14376</v>
      </c>
      <c r="B8406" t="s">
        <v>14377</v>
      </c>
      <c r="C8406" t="s">
        <v>12596</v>
      </c>
      <c r="D8406">
        <v>110994060</v>
      </c>
      <c r="E8406" t="s">
        <v>3814</v>
      </c>
      <c r="F8406">
        <v>5</v>
      </c>
    </row>
    <row r="8407" spans="1:6" x14ac:dyDescent="0.3">
      <c r="A8407" t="s">
        <v>14378</v>
      </c>
      <c r="B8407" t="s">
        <v>14379</v>
      </c>
      <c r="C8407" t="s">
        <v>3015</v>
      </c>
      <c r="D8407">
        <v>110994768</v>
      </c>
      <c r="E8407">
        <v>3.67</v>
      </c>
      <c r="F8407">
        <v>7.18</v>
      </c>
    </row>
    <row r="8408" spans="1:6" x14ac:dyDescent="0.3">
      <c r="A8408" t="s">
        <v>14380</v>
      </c>
      <c r="B8408" t="s">
        <v>9122</v>
      </c>
      <c r="C8408" t="s">
        <v>5356</v>
      </c>
      <c r="D8408">
        <v>111037638</v>
      </c>
      <c r="E8408">
        <v>15.38</v>
      </c>
      <c r="F8408">
        <v>8.6199999999999992</v>
      </c>
    </row>
    <row r="8409" spans="1:6" x14ac:dyDescent="0.3">
      <c r="A8409" t="s">
        <v>14381</v>
      </c>
      <c r="B8409" t="s">
        <v>12696</v>
      </c>
      <c r="C8409" t="s">
        <v>14382</v>
      </c>
      <c r="D8409">
        <v>111048577</v>
      </c>
      <c r="E8409" t="s">
        <v>3814</v>
      </c>
      <c r="F8409">
        <v>2.33</v>
      </c>
    </row>
    <row r="8410" spans="1:6" x14ac:dyDescent="0.3">
      <c r="A8410" t="s">
        <v>14383</v>
      </c>
      <c r="B8410" t="s">
        <v>9455</v>
      </c>
      <c r="C8410" t="s">
        <v>9285</v>
      </c>
      <c r="D8410">
        <v>111066266</v>
      </c>
      <c r="E8410" t="s">
        <v>3814</v>
      </c>
      <c r="F8410">
        <v>5.57</v>
      </c>
    </row>
    <row r="8411" spans="1:6" x14ac:dyDescent="0.3">
      <c r="A8411" t="s">
        <v>14384</v>
      </c>
      <c r="B8411" t="s">
        <v>14385</v>
      </c>
      <c r="C8411" t="s">
        <v>6265</v>
      </c>
      <c r="D8411">
        <v>111072631</v>
      </c>
      <c r="E8411">
        <v>3.3</v>
      </c>
      <c r="F8411">
        <v>8.24</v>
      </c>
    </row>
    <row r="8412" spans="1:6" x14ac:dyDescent="0.3">
      <c r="A8412" t="s">
        <v>14386</v>
      </c>
      <c r="B8412" t="s">
        <v>14387</v>
      </c>
      <c r="C8412" t="s">
        <v>14388</v>
      </c>
      <c r="D8412">
        <v>111083161</v>
      </c>
      <c r="E8412" t="s">
        <v>3814</v>
      </c>
      <c r="F8412">
        <v>7.06</v>
      </c>
    </row>
    <row r="8413" spans="1:6" x14ac:dyDescent="0.3">
      <c r="A8413" t="s">
        <v>14389</v>
      </c>
      <c r="B8413" t="s">
        <v>9234</v>
      </c>
      <c r="C8413" t="s">
        <v>14390</v>
      </c>
      <c r="D8413">
        <v>111107882</v>
      </c>
      <c r="E8413">
        <v>4.3099999999999996</v>
      </c>
      <c r="F8413">
        <v>6.91</v>
      </c>
    </row>
    <row r="8414" spans="1:6" x14ac:dyDescent="0.3">
      <c r="A8414" t="s">
        <v>14391</v>
      </c>
      <c r="B8414" t="s">
        <v>14392</v>
      </c>
      <c r="C8414" t="s">
        <v>14393</v>
      </c>
      <c r="D8414">
        <v>111112593</v>
      </c>
      <c r="E8414">
        <v>5.28</v>
      </c>
      <c r="F8414">
        <v>8.39</v>
      </c>
    </row>
    <row r="8415" spans="1:6" x14ac:dyDescent="0.3">
      <c r="A8415" t="s">
        <v>14394</v>
      </c>
      <c r="B8415" t="s">
        <v>14395</v>
      </c>
      <c r="C8415" t="s">
        <v>7116</v>
      </c>
      <c r="D8415">
        <v>111113059</v>
      </c>
      <c r="E8415" t="s">
        <v>3814</v>
      </c>
      <c r="F8415">
        <v>10</v>
      </c>
    </row>
    <row r="8416" spans="1:6" x14ac:dyDescent="0.3">
      <c r="A8416" t="s">
        <v>14396</v>
      </c>
      <c r="B8416" t="s">
        <v>13310</v>
      </c>
      <c r="C8416" t="s">
        <v>9679</v>
      </c>
      <c r="D8416">
        <v>111117814</v>
      </c>
      <c r="E8416" t="s">
        <v>3814</v>
      </c>
      <c r="F8416">
        <v>6.16</v>
      </c>
    </row>
    <row r="8417" spans="1:6" x14ac:dyDescent="0.3">
      <c r="A8417" t="s">
        <v>14397</v>
      </c>
      <c r="B8417" t="s">
        <v>14398</v>
      </c>
      <c r="C8417" t="s">
        <v>14399</v>
      </c>
      <c r="D8417">
        <v>111143779</v>
      </c>
      <c r="E8417">
        <v>7.61</v>
      </c>
      <c r="F8417">
        <v>7.33</v>
      </c>
    </row>
    <row r="8418" spans="1:6" x14ac:dyDescent="0.3">
      <c r="A8418" t="s">
        <v>14400</v>
      </c>
      <c r="B8418" t="s">
        <v>9604</v>
      </c>
      <c r="C8418" t="s">
        <v>14401</v>
      </c>
      <c r="D8418">
        <v>111157366</v>
      </c>
      <c r="E8418">
        <v>4.38</v>
      </c>
      <c r="F8418">
        <v>6.33</v>
      </c>
    </row>
    <row r="8419" spans="1:6" x14ac:dyDescent="0.3">
      <c r="A8419" t="s">
        <v>14402</v>
      </c>
      <c r="B8419" t="s">
        <v>3780</v>
      </c>
      <c r="C8419" t="s">
        <v>898</v>
      </c>
      <c r="D8419">
        <v>111158134</v>
      </c>
      <c r="E8419">
        <v>30</v>
      </c>
      <c r="F8419">
        <v>9</v>
      </c>
    </row>
    <row r="8420" spans="1:6" x14ac:dyDescent="0.3">
      <c r="A8420" t="s">
        <v>3</v>
      </c>
      <c r="B8420" t="s">
        <v>7604</v>
      </c>
      <c r="C8420" t="s">
        <v>1568</v>
      </c>
      <c r="D8420">
        <v>111166788</v>
      </c>
      <c r="E8420">
        <v>6.93</v>
      </c>
      <c r="F8420">
        <v>9.17</v>
      </c>
    </row>
    <row r="8421" spans="1:6" x14ac:dyDescent="0.3">
      <c r="A8421" t="s">
        <v>14403</v>
      </c>
      <c r="B8421" t="s">
        <v>14404</v>
      </c>
      <c r="C8421" t="s">
        <v>14125</v>
      </c>
      <c r="D8421">
        <v>111185863</v>
      </c>
      <c r="E8421" t="s">
        <v>3814</v>
      </c>
      <c r="F8421">
        <v>8.17</v>
      </c>
    </row>
    <row r="8422" spans="1:6" x14ac:dyDescent="0.3">
      <c r="A8422" t="s">
        <v>14405</v>
      </c>
      <c r="B8422" t="s">
        <v>4019</v>
      </c>
      <c r="C8422" t="s">
        <v>505</v>
      </c>
      <c r="D8422">
        <v>111193316</v>
      </c>
      <c r="E8422">
        <v>32</v>
      </c>
      <c r="F8422">
        <v>9</v>
      </c>
    </row>
    <row r="8423" spans="1:6" x14ac:dyDescent="0.3">
      <c r="A8423" t="s">
        <v>14406</v>
      </c>
      <c r="B8423" t="s">
        <v>14407</v>
      </c>
      <c r="C8423" t="s">
        <v>2418</v>
      </c>
      <c r="D8423">
        <v>111209234</v>
      </c>
      <c r="E8423">
        <v>9.2899999999999991</v>
      </c>
      <c r="F8423">
        <v>4.8600000000000003</v>
      </c>
    </row>
    <row r="8424" spans="1:6" x14ac:dyDescent="0.3">
      <c r="A8424" t="s">
        <v>14408</v>
      </c>
      <c r="B8424" t="s">
        <v>11752</v>
      </c>
      <c r="C8424" t="s">
        <v>14409</v>
      </c>
      <c r="D8424">
        <v>111224610</v>
      </c>
      <c r="E8424" t="s">
        <v>3814</v>
      </c>
      <c r="F8424">
        <v>7.81</v>
      </c>
    </row>
    <row r="8425" spans="1:6" x14ac:dyDescent="0.3">
      <c r="A8425" t="s">
        <v>14410</v>
      </c>
      <c r="B8425" t="s">
        <v>14200</v>
      </c>
      <c r="C8425" t="s">
        <v>4003</v>
      </c>
      <c r="D8425">
        <v>111230288</v>
      </c>
      <c r="E8425" t="s">
        <v>3814</v>
      </c>
      <c r="F8425">
        <v>8</v>
      </c>
    </row>
    <row r="8426" spans="1:6" x14ac:dyDescent="0.3">
      <c r="A8426" t="s">
        <v>14411</v>
      </c>
      <c r="B8426" t="s">
        <v>11864</v>
      </c>
      <c r="C8426" t="s">
        <v>5432</v>
      </c>
      <c r="D8426">
        <v>111230291</v>
      </c>
      <c r="E8426">
        <v>22</v>
      </c>
      <c r="F8426">
        <v>9</v>
      </c>
    </row>
    <row r="8427" spans="1:6" x14ac:dyDescent="0.3">
      <c r="A8427" t="s">
        <v>14412</v>
      </c>
      <c r="B8427" t="s">
        <v>14413</v>
      </c>
      <c r="C8427" t="s">
        <v>14414</v>
      </c>
      <c r="D8427">
        <v>111243293</v>
      </c>
      <c r="E8427" t="s">
        <v>3814</v>
      </c>
      <c r="F8427">
        <v>6.93</v>
      </c>
    </row>
    <row r="8428" spans="1:6" x14ac:dyDescent="0.3">
      <c r="A8428" t="s">
        <v>14415</v>
      </c>
      <c r="B8428" t="s">
        <v>7343</v>
      </c>
      <c r="C8428">
        <v>21</v>
      </c>
      <c r="D8428">
        <v>111249494</v>
      </c>
      <c r="E8428">
        <v>3.21</v>
      </c>
      <c r="F8428">
        <v>8.1</v>
      </c>
    </row>
    <row r="8429" spans="1:6" x14ac:dyDescent="0.3">
      <c r="A8429" t="s">
        <v>14416</v>
      </c>
      <c r="B8429" t="s">
        <v>14417</v>
      </c>
      <c r="C8429" t="s">
        <v>14418</v>
      </c>
      <c r="D8429">
        <v>111261657</v>
      </c>
      <c r="E8429" t="s">
        <v>3814</v>
      </c>
      <c r="F8429">
        <v>7.31</v>
      </c>
    </row>
    <row r="8430" spans="1:6" x14ac:dyDescent="0.3">
      <c r="A8430" t="s">
        <v>14419</v>
      </c>
      <c r="B8430" t="s">
        <v>8743</v>
      </c>
      <c r="C8430" t="s">
        <v>14420</v>
      </c>
      <c r="D8430">
        <v>111264308</v>
      </c>
      <c r="E8430">
        <v>22</v>
      </c>
      <c r="F8430">
        <v>10</v>
      </c>
    </row>
    <row r="8431" spans="1:6" x14ac:dyDescent="0.3">
      <c r="A8431" t="s">
        <v>14421</v>
      </c>
      <c r="B8431" t="s">
        <v>11510</v>
      </c>
      <c r="C8431" t="s">
        <v>14422</v>
      </c>
      <c r="D8431">
        <v>111266375</v>
      </c>
      <c r="E8431">
        <v>21</v>
      </c>
      <c r="F8431">
        <v>3.5</v>
      </c>
    </row>
    <row r="8432" spans="1:6" x14ac:dyDescent="0.3">
      <c r="A8432" t="s">
        <v>14423</v>
      </c>
      <c r="B8432" t="s">
        <v>11172</v>
      </c>
      <c r="C8432" t="s">
        <v>14424</v>
      </c>
      <c r="D8432">
        <v>111274214</v>
      </c>
      <c r="E8432">
        <v>12.44</v>
      </c>
      <c r="F8432">
        <v>7.7</v>
      </c>
    </row>
    <row r="8433" spans="1:6" x14ac:dyDescent="0.3">
      <c r="A8433" t="s">
        <v>14425</v>
      </c>
      <c r="B8433" t="s">
        <v>14426</v>
      </c>
      <c r="C8433" t="s">
        <v>14427</v>
      </c>
      <c r="D8433">
        <v>111276444</v>
      </c>
      <c r="E8433" t="s">
        <v>3814</v>
      </c>
      <c r="F8433">
        <v>6.38</v>
      </c>
    </row>
    <row r="8434" spans="1:6" x14ac:dyDescent="0.3">
      <c r="A8434" t="s">
        <v>14428</v>
      </c>
      <c r="B8434" t="s">
        <v>12443</v>
      </c>
      <c r="C8434" t="s">
        <v>13545</v>
      </c>
      <c r="D8434">
        <v>111284257</v>
      </c>
      <c r="E8434">
        <v>2.35</v>
      </c>
      <c r="F8434">
        <v>6.93</v>
      </c>
    </row>
    <row r="8435" spans="1:6" x14ac:dyDescent="0.3">
      <c r="A8435" t="s">
        <v>14429</v>
      </c>
      <c r="B8435" t="s">
        <v>14430</v>
      </c>
      <c r="C8435" t="s">
        <v>14431</v>
      </c>
      <c r="D8435">
        <v>111296399</v>
      </c>
      <c r="E8435">
        <v>3.24</v>
      </c>
      <c r="F8435">
        <v>6.69</v>
      </c>
    </row>
    <row r="8436" spans="1:6" x14ac:dyDescent="0.3">
      <c r="A8436" t="s">
        <v>14432</v>
      </c>
      <c r="B8436" t="s">
        <v>10607</v>
      </c>
      <c r="C8436" t="s">
        <v>1934</v>
      </c>
      <c r="D8436">
        <v>111301082</v>
      </c>
      <c r="E8436">
        <v>17.93</v>
      </c>
      <c r="F8436">
        <v>7.17</v>
      </c>
    </row>
    <row r="8437" spans="1:6" x14ac:dyDescent="0.3">
      <c r="A8437" t="s">
        <v>14433</v>
      </c>
      <c r="B8437" t="s">
        <v>14434</v>
      </c>
      <c r="C8437" t="s">
        <v>14435</v>
      </c>
      <c r="D8437">
        <v>111301273</v>
      </c>
      <c r="E8437">
        <v>5.31</v>
      </c>
      <c r="F8437">
        <v>7.23</v>
      </c>
    </row>
    <row r="8438" spans="1:6" x14ac:dyDescent="0.3">
      <c r="A8438" t="s">
        <v>14436</v>
      </c>
      <c r="B8438" t="s">
        <v>13720</v>
      </c>
      <c r="C8438" t="s">
        <v>10355</v>
      </c>
      <c r="D8438">
        <v>111301421</v>
      </c>
      <c r="E8438" t="s">
        <v>3814</v>
      </c>
      <c r="F8438">
        <v>5.68</v>
      </c>
    </row>
    <row r="8439" spans="1:6" x14ac:dyDescent="0.3">
      <c r="A8439" t="s">
        <v>14437</v>
      </c>
      <c r="B8439" t="s">
        <v>13485</v>
      </c>
      <c r="C8439" t="s">
        <v>14438</v>
      </c>
      <c r="D8439">
        <v>111321868</v>
      </c>
      <c r="E8439" t="s">
        <v>3814</v>
      </c>
      <c r="F8439">
        <v>7.75</v>
      </c>
    </row>
    <row r="8440" spans="1:6" x14ac:dyDescent="0.3">
      <c r="A8440" t="s">
        <v>14439</v>
      </c>
      <c r="B8440" t="s">
        <v>14440</v>
      </c>
      <c r="C8440" t="s">
        <v>14441</v>
      </c>
      <c r="D8440">
        <v>111322018</v>
      </c>
      <c r="E8440">
        <v>4.26</v>
      </c>
      <c r="F8440">
        <v>6.83</v>
      </c>
    </row>
    <row r="8441" spans="1:6" x14ac:dyDescent="0.3">
      <c r="A8441" t="s">
        <v>14442</v>
      </c>
      <c r="B8441" t="s">
        <v>13579</v>
      </c>
      <c r="C8441" t="s">
        <v>6063</v>
      </c>
      <c r="D8441">
        <v>111336924</v>
      </c>
      <c r="E8441">
        <v>21.5</v>
      </c>
      <c r="F8441">
        <v>6</v>
      </c>
    </row>
    <row r="8442" spans="1:6" x14ac:dyDescent="0.3">
      <c r="A8442" t="s">
        <v>14443</v>
      </c>
      <c r="B8442" t="s">
        <v>12135</v>
      </c>
      <c r="C8442" t="s">
        <v>14444</v>
      </c>
      <c r="D8442">
        <v>111345732</v>
      </c>
      <c r="E8442" t="s">
        <v>3814</v>
      </c>
      <c r="F8442">
        <v>7.19</v>
      </c>
    </row>
    <row r="8443" spans="1:6" x14ac:dyDescent="0.3">
      <c r="A8443" t="s">
        <v>14445</v>
      </c>
      <c r="B8443" t="s">
        <v>14446</v>
      </c>
      <c r="C8443" t="s">
        <v>3877</v>
      </c>
      <c r="D8443">
        <v>111350577</v>
      </c>
      <c r="E8443">
        <v>8.17</v>
      </c>
      <c r="F8443">
        <v>7.33</v>
      </c>
    </row>
    <row r="8444" spans="1:6" x14ac:dyDescent="0.3">
      <c r="A8444" t="s">
        <v>14447</v>
      </c>
      <c r="B8444" t="s">
        <v>9071</v>
      </c>
      <c r="C8444" t="s">
        <v>14448</v>
      </c>
      <c r="D8444">
        <v>111351512</v>
      </c>
      <c r="E8444">
        <v>23</v>
      </c>
      <c r="F8444">
        <v>9</v>
      </c>
    </row>
    <row r="8445" spans="1:6" x14ac:dyDescent="0.3">
      <c r="A8445" t="s">
        <v>14449</v>
      </c>
      <c r="B8445" t="s">
        <v>3827</v>
      </c>
      <c r="C8445" t="s">
        <v>2418</v>
      </c>
      <c r="D8445">
        <v>111363832</v>
      </c>
      <c r="E8445">
        <v>2.86</v>
      </c>
      <c r="F8445">
        <v>8.27</v>
      </c>
    </row>
    <row r="8446" spans="1:6" x14ac:dyDescent="0.3">
      <c r="A8446" t="s">
        <v>14450</v>
      </c>
      <c r="B8446" t="s">
        <v>11438</v>
      </c>
      <c r="C8446" t="s">
        <v>14450</v>
      </c>
      <c r="D8446">
        <v>111368620</v>
      </c>
      <c r="E8446">
        <v>27.75</v>
      </c>
      <c r="F8446">
        <v>9.5</v>
      </c>
    </row>
    <row r="8447" spans="1:6" x14ac:dyDescent="0.3">
      <c r="A8447" t="s">
        <v>14451</v>
      </c>
      <c r="B8447" t="s">
        <v>4893</v>
      </c>
      <c r="C8447" t="s">
        <v>14452</v>
      </c>
      <c r="D8447">
        <v>111372142</v>
      </c>
      <c r="E8447">
        <v>22.25</v>
      </c>
      <c r="F8447">
        <v>7.25</v>
      </c>
    </row>
    <row r="8448" spans="1:6" x14ac:dyDescent="0.3">
      <c r="A8448" t="s">
        <v>14453</v>
      </c>
      <c r="B8448" t="s">
        <v>11713</v>
      </c>
      <c r="C8448" t="s">
        <v>6928</v>
      </c>
      <c r="D8448">
        <v>111372395</v>
      </c>
      <c r="E8448">
        <v>5.37</v>
      </c>
      <c r="F8448">
        <v>6.71</v>
      </c>
    </row>
    <row r="8449" spans="1:6" x14ac:dyDescent="0.3">
      <c r="A8449" t="s">
        <v>14454</v>
      </c>
      <c r="B8449" t="s">
        <v>14455</v>
      </c>
      <c r="C8449" t="s">
        <v>5369</v>
      </c>
      <c r="D8449">
        <v>111378373</v>
      </c>
      <c r="E8449">
        <v>4.87</v>
      </c>
      <c r="F8449">
        <v>7.39</v>
      </c>
    </row>
    <row r="8450" spans="1:6" x14ac:dyDescent="0.3">
      <c r="A8450" t="s">
        <v>14456</v>
      </c>
      <c r="B8450" t="s">
        <v>14178</v>
      </c>
      <c r="C8450" t="s">
        <v>14457</v>
      </c>
      <c r="D8450">
        <v>111386868</v>
      </c>
      <c r="E8450" t="s">
        <v>3814</v>
      </c>
      <c r="F8450">
        <v>8.33</v>
      </c>
    </row>
    <row r="8451" spans="1:6" x14ac:dyDescent="0.3">
      <c r="A8451" t="s">
        <v>14458</v>
      </c>
      <c r="B8451" t="s">
        <v>12639</v>
      </c>
      <c r="C8451" t="s">
        <v>14459</v>
      </c>
      <c r="D8451">
        <v>111403347</v>
      </c>
      <c r="E8451" t="s">
        <v>3814</v>
      </c>
      <c r="F8451">
        <v>7.57</v>
      </c>
    </row>
    <row r="8452" spans="1:6" x14ac:dyDescent="0.3">
      <c r="A8452" t="s">
        <v>14460</v>
      </c>
      <c r="B8452" t="s">
        <v>6655</v>
      </c>
      <c r="C8452" t="s">
        <v>14461</v>
      </c>
      <c r="D8452">
        <v>111418393</v>
      </c>
      <c r="E8452" t="s">
        <v>3814</v>
      </c>
      <c r="F8452">
        <v>4.57</v>
      </c>
    </row>
    <row r="8453" spans="1:6" x14ac:dyDescent="0.3">
      <c r="A8453" t="s">
        <v>14462</v>
      </c>
      <c r="B8453" t="s">
        <v>14463</v>
      </c>
      <c r="C8453" t="s">
        <v>14464</v>
      </c>
      <c r="D8453">
        <v>111427369</v>
      </c>
      <c r="E8453" t="s">
        <v>3814</v>
      </c>
      <c r="F8453">
        <v>8</v>
      </c>
    </row>
    <row r="8454" spans="1:6" x14ac:dyDescent="0.3">
      <c r="A8454" t="s">
        <v>14465</v>
      </c>
      <c r="B8454" t="s">
        <v>14466</v>
      </c>
      <c r="C8454" t="s">
        <v>7132</v>
      </c>
      <c r="D8454">
        <v>111430471</v>
      </c>
      <c r="E8454" t="s">
        <v>3814</v>
      </c>
      <c r="F8454">
        <v>7.88</v>
      </c>
    </row>
    <row r="8455" spans="1:6" x14ac:dyDescent="0.3">
      <c r="A8455" t="s">
        <v>14467</v>
      </c>
      <c r="B8455" t="s">
        <v>14468</v>
      </c>
      <c r="C8455" t="s">
        <v>14469</v>
      </c>
      <c r="D8455">
        <v>111451617</v>
      </c>
      <c r="E8455">
        <v>29</v>
      </c>
      <c r="F8455">
        <v>6.5</v>
      </c>
    </row>
    <row r="8456" spans="1:6" x14ac:dyDescent="0.3">
      <c r="A8456" t="s">
        <v>14470</v>
      </c>
      <c r="B8456" t="s">
        <v>14471</v>
      </c>
      <c r="C8456" t="s">
        <v>14002</v>
      </c>
      <c r="D8456">
        <v>111456254</v>
      </c>
      <c r="E8456" t="s">
        <v>3814</v>
      </c>
      <c r="F8456">
        <v>7</v>
      </c>
    </row>
    <row r="8457" spans="1:6" x14ac:dyDescent="0.3">
      <c r="A8457" t="s">
        <v>14472</v>
      </c>
      <c r="B8457" t="s">
        <v>14473</v>
      </c>
      <c r="C8457" t="s">
        <v>13558</v>
      </c>
      <c r="D8457">
        <v>111468580</v>
      </c>
      <c r="E8457">
        <v>3.79</v>
      </c>
      <c r="F8457">
        <v>6.61</v>
      </c>
    </row>
    <row r="8458" spans="1:6" x14ac:dyDescent="0.3">
      <c r="A8458" t="s">
        <v>14474</v>
      </c>
      <c r="B8458" t="s">
        <v>8397</v>
      </c>
      <c r="C8458" t="s">
        <v>12737</v>
      </c>
      <c r="D8458">
        <v>111485302</v>
      </c>
      <c r="E8458">
        <v>3.09</v>
      </c>
      <c r="F8458">
        <v>7.26</v>
      </c>
    </row>
    <row r="8459" spans="1:6" x14ac:dyDescent="0.3">
      <c r="A8459" t="s">
        <v>14475</v>
      </c>
      <c r="B8459" t="s">
        <v>13368</v>
      </c>
      <c r="C8459" t="s">
        <v>3687</v>
      </c>
      <c r="D8459">
        <v>111486844</v>
      </c>
      <c r="E8459" t="s">
        <v>3814</v>
      </c>
      <c r="F8459">
        <v>2.5</v>
      </c>
    </row>
    <row r="8460" spans="1:6" x14ac:dyDescent="0.3">
      <c r="A8460" t="s">
        <v>2316</v>
      </c>
      <c r="B8460" t="s">
        <v>5698</v>
      </c>
      <c r="C8460" t="s">
        <v>14476</v>
      </c>
      <c r="D8460">
        <v>111490461</v>
      </c>
      <c r="E8460" t="s">
        <v>3814</v>
      </c>
      <c r="F8460" t="s">
        <v>3814</v>
      </c>
    </row>
    <row r="8461" spans="1:6" x14ac:dyDescent="0.3">
      <c r="A8461" t="s">
        <v>14477</v>
      </c>
      <c r="B8461" t="s">
        <v>12617</v>
      </c>
      <c r="C8461" t="s">
        <v>14478</v>
      </c>
      <c r="D8461">
        <v>111514594</v>
      </c>
      <c r="E8461" t="s">
        <v>3814</v>
      </c>
      <c r="F8461">
        <v>6.69</v>
      </c>
    </row>
    <row r="8462" spans="1:6" x14ac:dyDescent="0.3">
      <c r="A8462" t="s">
        <v>14479</v>
      </c>
      <c r="B8462" t="s">
        <v>14480</v>
      </c>
      <c r="C8462" t="s">
        <v>14481</v>
      </c>
      <c r="D8462">
        <v>111518295</v>
      </c>
      <c r="E8462">
        <v>15.07</v>
      </c>
      <c r="F8462">
        <v>7.86</v>
      </c>
    </row>
    <row r="8463" spans="1:6" x14ac:dyDescent="0.3">
      <c r="A8463" t="s">
        <v>14482</v>
      </c>
      <c r="B8463" t="s">
        <v>14483</v>
      </c>
      <c r="C8463" t="s">
        <v>14482</v>
      </c>
      <c r="D8463">
        <v>111537810</v>
      </c>
      <c r="E8463">
        <v>18.2</v>
      </c>
      <c r="F8463">
        <v>8.77</v>
      </c>
    </row>
    <row r="8464" spans="1:6" x14ac:dyDescent="0.3">
      <c r="A8464" t="s">
        <v>14484</v>
      </c>
      <c r="B8464" t="s">
        <v>6361</v>
      </c>
      <c r="C8464" t="s">
        <v>14485</v>
      </c>
      <c r="D8464">
        <v>111550678</v>
      </c>
      <c r="E8464">
        <v>3.83</v>
      </c>
      <c r="F8464">
        <v>8.34</v>
      </c>
    </row>
    <row r="8465" spans="1:6" x14ac:dyDescent="0.3">
      <c r="A8465" t="s">
        <v>14486</v>
      </c>
      <c r="B8465" t="s">
        <v>5123</v>
      </c>
      <c r="C8465" t="s">
        <v>14487</v>
      </c>
      <c r="D8465">
        <v>111557403</v>
      </c>
      <c r="E8465" t="s">
        <v>3814</v>
      </c>
      <c r="F8465">
        <v>5.0199999999999996</v>
      </c>
    </row>
    <row r="8466" spans="1:6" x14ac:dyDescent="0.3">
      <c r="A8466" t="s">
        <v>14488</v>
      </c>
      <c r="B8466" t="s">
        <v>14489</v>
      </c>
      <c r="C8466" t="s">
        <v>9609</v>
      </c>
      <c r="D8466">
        <v>111558838</v>
      </c>
      <c r="E8466">
        <v>1</v>
      </c>
      <c r="F8466">
        <v>7.84</v>
      </c>
    </row>
    <row r="8467" spans="1:6" x14ac:dyDescent="0.3">
      <c r="A8467" t="s">
        <v>14490</v>
      </c>
      <c r="B8467" t="s">
        <v>13373</v>
      </c>
      <c r="C8467" t="s">
        <v>14491</v>
      </c>
      <c r="D8467">
        <v>111564081</v>
      </c>
      <c r="E8467" t="s">
        <v>3814</v>
      </c>
      <c r="F8467">
        <v>8.58</v>
      </c>
    </row>
    <row r="8468" spans="1:6" x14ac:dyDescent="0.3">
      <c r="A8468" t="s">
        <v>14492</v>
      </c>
      <c r="B8468" t="s">
        <v>12979</v>
      </c>
      <c r="C8468" t="s">
        <v>14493</v>
      </c>
      <c r="D8468">
        <v>111589612</v>
      </c>
      <c r="E8468" t="s">
        <v>3814</v>
      </c>
      <c r="F8468">
        <v>7.86</v>
      </c>
    </row>
    <row r="8469" spans="1:6" x14ac:dyDescent="0.3">
      <c r="A8469" t="s">
        <v>14494</v>
      </c>
      <c r="B8469" t="s">
        <v>5075</v>
      </c>
      <c r="C8469" t="s">
        <v>14495</v>
      </c>
      <c r="D8469">
        <v>111596039</v>
      </c>
      <c r="E8469">
        <v>21</v>
      </c>
      <c r="F8469">
        <v>5</v>
      </c>
    </row>
    <row r="8470" spans="1:6" x14ac:dyDescent="0.3">
      <c r="A8470" t="s">
        <v>14496</v>
      </c>
      <c r="B8470" t="s">
        <v>1958</v>
      </c>
      <c r="C8470" t="s">
        <v>847</v>
      </c>
      <c r="D8470">
        <v>111596851</v>
      </c>
      <c r="E8470">
        <v>16.71</v>
      </c>
      <c r="F8470">
        <v>7.8</v>
      </c>
    </row>
    <row r="8471" spans="1:6" x14ac:dyDescent="0.3">
      <c r="A8471" t="s">
        <v>14497</v>
      </c>
      <c r="B8471" t="s">
        <v>14498</v>
      </c>
      <c r="C8471" t="s">
        <v>9226</v>
      </c>
      <c r="D8471">
        <v>111598795</v>
      </c>
      <c r="E8471">
        <v>1.97</v>
      </c>
      <c r="F8471">
        <v>7.88</v>
      </c>
    </row>
    <row r="8472" spans="1:6" x14ac:dyDescent="0.3">
      <c r="A8472" t="s">
        <v>14499</v>
      </c>
      <c r="B8472" t="s">
        <v>13313</v>
      </c>
      <c r="C8472" t="s">
        <v>12070</v>
      </c>
      <c r="D8472">
        <v>111615757</v>
      </c>
      <c r="E8472">
        <v>18.96</v>
      </c>
      <c r="F8472">
        <v>7.89</v>
      </c>
    </row>
    <row r="8473" spans="1:6" x14ac:dyDescent="0.3">
      <c r="A8473" t="s">
        <v>14500</v>
      </c>
      <c r="B8473" t="s">
        <v>14501</v>
      </c>
      <c r="C8473" t="s">
        <v>12596</v>
      </c>
      <c r="D8473">
        <v>111624505</v>
      </c>
      <c r="E8473" t="s">
        <v>3814</v>
      </c>
      <c r="F8473">
        <v>5.9</v>
      </c>
    </row>
    <row r="8474" spans="1:6" x14ac:dyDescent="0.3">
      <c r="A8474" t="s">
        <v>13562</v>
      </c>
      <c r="B8474" t="s">
        <v>7083</v>
      </c>
      <c r="C8474" t="s">
        <v>13562</v>
      </c>
      <c r="D8474">
        <v>111626216</v>
      </c>
      <c r="E8474">
        <v>1.84</v>
      </c>
      <c r="F8474">
        <v>7.82</v>
      </c>
    </row>
    <row r="8475" spans="1:6" x14ac:dyDescent="0.3">
      <c r="A8475" t="s">
        <v>14502</v>
      </c>
      <c r="B8475" t="s">
        <v>8029</v>
      </c>
      <c r="C8475" t="s">
        <v>2332</v>
      </c>
      <c r="D8475">
        <v>111626765</v>
      </c>
      <c r="E8475" t="s">
        <v>3814</v>
      </c>
      <c r="F8475">
        <v>6.71</v>
      </c>
    </row>
    <row r="8476" spans="1:6" x14ac:dyDescent="0.3">
      <c r="A8476" t="s">
        <v>14503</v>
      </c>
      <c r="B8476" t="s">
        <v>12639</v>
      </c>
      <c r="C8476" t="s">
        <v>10374</v>
      </c>
      <c r="D8476">
        <v>111629200</v>
      </c>
      <c r="E8476" t="s">
        <v>3814</v>
      </c>
      <c r="F8476">
        <v>6.55</v>
      </c>
    </row>
    <row r="8477" spans="1:6" x14ac:dyDescent="0.3">
      <c r="A8477" t="s">
        <v>14504</v>
      </c>
      <c r="B8477" t="s">
        <v>9547</v>
      </c>
      <c r="C8477" t="s">
        <v>12977</v>
      </c>
      <c r="D8477">
        <v>111631530</v>
      </c>
      <c r="E8477" t="s">
        <v>3814</v>
      </c>
      <c r="F8477">
        <v>6.82</v>
      </c>
    </row>
    <row r="8478" spans="1:6" x14ac:dyDescent="0.3">
      <c r="A8478" t="s">
        <v>14505</v>
      </c>
      <c r="B8478" t="s">
        <v>12761</v>
      </c>
      <c r="C8478" t="s">
        <v>14506</v>
      </c>
      <c r="D8478">
        <v>111653811</v>
      </c>
      <c r="E8478">
        <v>3.37</v>
      </c>
      <c r="F8478">
        <v>7.81</v>
      </c>
    </row>
    <row r="8479" spans="1:6" x14ac:dyDescent="0.3">
      <c r="A8479" t="s">
        <v>14507</v>
      </c>
      <c r="B8479" t="s">
        <v>11844</v>
      </c>
      <c r="C8479" t="s">
        <v>14508</v>
      </c>
      <c r="D8479">
        <v>111668040</v>
      </c>
      <c r="E8479">
        <v>1.83</v>
      </c>
      <c r="F8479">
        <v>7.67</v>
      </c>
    </row>
    <row r="8480" spans="1:6" x14ac:dyDescent="0.3">
      <c r="A8480" t="s">
        <v>14509</v>
      </c>
      <c r="B8480" t="s">
        <v>14510</v>
      </c>
      <c r="C8480" t="s">
        <v>14511</v>
      </c>
      <c r="D8480">
        <v>111678467</v>
      </c>
      <c r="E8480">
        <v>2.4300000000000002</v>
      </c>
      <c r="F8480">
        <v>6.52</v>
      </c>
    </row>
    <row r="8481" spans="1:6" x14ac:dyDescent="0.3">
      <c r="A8481" t="s">
        <v>14512</v>
      </c>
      <c r="B8481" t="s">
        <v>14513</v>
      </c>
      <c r="C8481" t="s">
        <v>5725</v>
      </c>
      <c r="D8481">
        <v>111685536</v>
      </c>
      <c r="E8481">
        <v>6.04</v>
      </c>
      <c r="F8481">
        <v>6.53</v>
      </c>
    </row>
    <row r="8482" spans="1:6" x14ac:dyDescent="0.3">
      <c r="A8482" t="s">
        <v>14514</v>
      </c>
      <c r="B8482" t="s">
        <v>14515</v>
      </c>
      <c r="C8482" t="s">
        <v>7188</v>
      </c>
      <c r="D8482">
        <v>111690762</v>
      </c>
      <c r="E8482" t="s">
        <v>3814</v>
      </c>
      <c r="F8482">
        <v>3.92</v>
      </c>
    </row>
    <row r="8483" spans="1:6" x14ac:dyDescent="0.3">
      <c r="A8483" t="s">
        <v>14516</v>
      </c>
      <c r="B8483" t="s">
        <v>11410</v>
      </c>
      <c r="C8483" t="s">
        <v>2456</v>
      </c>
      <c r="D8483">
        <v>111710277</v>
      </c>
      <c r="E8483" t="s">
        <v>3814</v>
      </c>
      <c r="F8483" t="s">
        <v>3814</v>
      </c>
    </row>
    <row r="8484" spans="1:6" x14ac:dyDescent="0.3">
      <c r="A8484" t="s">
        <v>14517</v>
      </c>
      <c r="B8484" t="s">
        <v>10226</v>
      </c>
      <c r="C8484" t="s">
        <v>2006</v>
      </c>
      <c r="D8484">
        <v>111727985</v>
      </c>
      <c r="E8484">
        <v>19.22</v>
      </c>
      <c r="F8484">
        <v>8.56</v>
      </c>
    </row>
    <row r="8485" spans="1:6" x14ac:dyDescent="0.3">
      <c r="A8485" t="s">
        <v>14518</v>
      </c>
      <c r="B8485" t="s">
        <v>14519</v>
      </c>
      <c r="C8485" t="s">
        <v>6054</v>
      </c>
      <c r="D8485">
        <v>111728814</v>
      </c>
      <c r="E8485">
        <v>2</v>
      </c>
      <c r="F8485">
        <v>7.93</v>
      </c>
    </row>
    <row r="8486" spans="1:6" x14ac:dyDescent="0.3">
      <c r="A8486" t="s">
        <v>6813</v>
      </c>
      <c r="B8486" t="s">
        <v>14520</v>
      </c>
      <c r="C8486" t="s">
        <v>14521</v>
      </c>
      <c r="D8486">
        <v>111731617</v>
      </c>
      <c r="E8486">
        <v>24</v>
      </c>
      <c r="F8486">
        <v>8</v>
      </c>
    </row>
    <row r="8487" spans="1:6" x14ac:dyDescent="0.3">
      <c r="A8487" t="s">
        <v>14522</v>
      </c>
      <c r="B8487" t="s">
        <v>11477</v>
      </c>
      <c r="C8487" t="s">
        <v>2665</v>
      </c>
      <c r="D8487">
        <v>111751824</v>
      </c>
      <c r="E8487">
        <v>2.2200000000000002</v>
      </c>
      <c r="F8487">
        <v>7.59</v>
      </c>
    </row>
    <row r="8488" spans="1:6" x14ac:dyDescent="0.3">
      <c r="A8488" t="s">
        <v>14523</v>
      </c>
      <c r="B8488" t="s">
        <v>13137</v>
      </c>
      <c r="C8488" t="s">
        <v>14524</v>
      </c>
      <c r="D8488">
        <v>111756005</v>
      </c>
      <c r="E8488" t="s">
        <v>3814</v>
      </c>
      <c r="F8488">
        <v>5.5</v>
      </c>
    </row>
    <row r="8489" spans="1:6" x14ac:dyDescent="0.3">
      <c r="A8489" t="s">
        <v>14525</v>
      </c>
      <c r="B8489" t="s">
        <v>12461</v>
      </c>
      <c r="C8489" t="s">
        <v>12052</v>
      </c>
      <c r="D8489">
        <v>111789761</v>
      </c>
      <c r="E8489">
        <v>2.21</v>
      </c>
      <c r="F8489">
        <v>7.61</v>
      </c>
    </row>
    <row r="8490" spans="1:6" x14ac:dyDescent="0.3">
      <c r="A8490" t="s">
        <v>14526</v>
      </c>
      <c r="B8490" t="s">
        <v>13407</v>
      </c>
      <c r="C8490" t="s">
        <v>14527</v>
      </c>
      <c r="D8490">
        <v>111799025</v>
      </c>
      <c r="E8490">
        <v>1.9</v>
      </c>
      <c r="F8490">
        <v>5.75</v>
      </c>
    </row>
    <row r="8491" spans="1:6" x14ac:dyDescent="0.3">
      <c r="A8491" t="s">
        <v>14528</v>
      </c>
      <c r="B8491" t="s">
        <v>14426</v>
      </c>
      <c r="C8491" t="s">
        <v>14529</v>
      </c>
      <c r="D8491">
        <v>111801646</v>
      </c>
      <c r="E8491" t="s">
        <v>3814</v>
      </c>
      <c r="F8491">
        <v>6.78</v>
      </c>
    </row>
    <row r="8492" spans="1:6" x14ac:dyDescent="0.3">
      <c r="A8492" t="s">
        <v>12083</v>
      </c>
      <c r="B8492" t="s">
        <v>2539</v>
      </c>
      <c r="C8492" t="s">
        <v>12083</v>
      </c>
      <c r="D8492">
        <v>111801803</v>
      </c>
      <c r="E8492">
        <v>1.04</v>
      </c>
      <c r="F8492">
        <v>7.69</v>
      </c>
    </row>
    <row r="8493" spans="1:6" x14ac:dyDescent="0.3">
      <c r="A8493" t="s">
        <v>14530</v>
      </c>
      <c r="B8493" t="s">
        <v>13315</v>
      </c>
      <c r="C8493" t="s">
        <v>14531</v>
      </c>
      <c r="D8493">
        <v>111802739</v>
      </c>
      <c r="E8493">
        <v>2.42</v>
      </c>
      <c r="F8493">
        <v>8.42</v>
      </c>
    </row>
    <row r="8494" spans="1:6" x14ac:dyDescent="0.3">
      <c r="A8494" t="s">
        <v>14532</v>
      </c>
      <c r="B8494" t="s">
        <v>14533</v>
      </c>
      <c r="C8494" t="s">
        <v>14534</v>
      </c>
      <c r="D8494">
        <v>111822502</v>
      </c>
      <c r="E8494" t="s">
        <v>3814</v>
      </c>
      <c r="F8494">
        <v>7.45</v>
      </c>
    </row>
    <row r="8495" spans="1:6" x14ac:dyDescent="0.3">
      <c r="A8495" t="s">
        <v>14535</v>
      </c>
      <c r="B8495" t="s">
        <v>14536</v>
      </c>
      <c r="C8495" t="s">
        <v>39</v>
      </c>
      <c r="D8495">
        <v>111832337</v>
      </c>
      <c r="E8495" t="s">
        <v>3814</v>
      </c>
      <c r="F8495">
        <v>7.83</v>
      </c>
    </row>
    <row r="8496" spans="1:6" x14ac:dyDescent="0.3">
      <c r="A8496" t="s">
        <v>14537</v>
      </c>
      <c r="B8496" t="s">
        <v>8453</v>
      </c>
      <c r="C8496" t="s">
        <v>14538</v>
      </c>
      <c r="D8496">
        <v>111849025</v>
      </c>
      <c r="E8496">
        <v>21.93</v>
      </c>
      <c r="F8496">
        <v>5.25</v>
      </c>
    </row>
    <row r="8497" spans="1:6" x14ac:dyDescent="0.3">
      <c r="A8497" t="s">
        <v>14539</v>
      </c>
      <c r="B8497" t="s">
        <v>9336</v>
      </c>
      <c r="C8497" t="s">
        <v>1174</v>
      </c>
      <c r="D8497">
        <v>111859524</v>
      </c>
      <c r="E8497">
        <v>7.79</v>
      </c>
      <c r="F8497">
        <v>7.8</v>
      </c>
    </row>
    <row r="8498" spans="1:6" x14ac:dyDescent="0.3">
      <c r="A8498" t="s">
        <v>14540</v>
      </c>
      <c r="B8498" t="s">
        <v>9423</v>
      </c>
      <c r="C8498" t="s">
        <v>14541</v>
      </c>
      <c r="D8498">
        <v>111864313</v>
      </c>
      <c r="E8498" t="s">
        <v>3814</v>
      </c>
      <c r="F8498" t="s">
        <v>3814</v>
      </c>
    </row>
    <row r="8499" spans="1:6" x14ac:dyDescent="0.3">
      <c r="A8499" t="s">
        <v>14542</v>
      </c>
      <c r="B8499" t="s">
        <v>14543</v>
      </c>
      <c r="C8499" t="s">
        <v>14544</v>
      </c>
      <c r="D8499">
        <v>111876753</v>
      </c>
      <c r="E8499">
        <v>15.5</v>
      </c>
      <c r="F8499">
        <v>3</v>
      </c>
    </row>
    <row r="8500" spans="1:6" x14ac:dyDescent="0.3">
      <c r="A8500" t="s">
        <v>14545</v>
      </c>
      <c r="B8500" t="s">
        <v>9659</v>
      </c>
      <c r="C8500" t="s">
        <v>14546</v>
      </c>
      <c r="D8500">
        <v>111880610</v>
      </c>
      <c r="E8500">
        <v>21</v>
      </c>
      <c r="F8500">
        <v>7</v>
      </c>
    </row>
    <row r="8501" spans="1:6" x14ac:dyDescent="0.3">
      <c r="A8501" t="s">
        <v>14547</v>
      </c>
      <c r="B8501" t="s">
        <v>8701</v>
      </c>
      <c r="C8501" t="s">
        <v>39</v>
      </c>
      <c r="D8501">
        <v>111926247</v>
      </c>
      <c r="E8501" t="s">
        <v>3814</v>
      </c>
      <c r="F8501">
        <v>8.73</v>
      </c>
    </row>
    <row r="8502" spans="1:6" x14ac:dyDescent="0.3">
      <c r="A8502" t="s">
        <v>7253</v>
      </c>
      <c r="B8502" t="s">
        <v>12767</v>
      </c>
      <c r="C8502" t="s">
        <v>8562</v>
      </c>
      <c r="D8502">
        <v>111936791</v>
      </c>
      <c r="E8502">
        <v>2.84</v>
      </c>
      <c r="F8502">
        <v>7.96</v>
      </c>
    </row>
    <row r="8503" spans="1:6" x14ac:dyDescent="0.3">
      <c r="A8503" t="s">
        <v>8998</v>
      </c>
      <c r="B8503" t="s">
        <v>14548</v>
      </c>
      <c r="C8503" t="s">
        <v>7677</v>
      </c>
      <c r="D8503">
        <v>111961612</v>
      </c>
      <c r="E8503">
        <v>10.92</v>
      </c>
      <c r="F8503">
        <v>6.82</v>
      </c>
    </row>
    <row r="8504" spans="1:6" x14ac:dyDescent="0.3">
      <c r="A8504" t="s">
        <v>14549</v>
      </c>
      <c r="B8504" t="s">
        <v>14550</v>
      </c>
      <c r="C8504" t="s">
        <v>5849</v>
      </c>
      <c r="D8504">
        <v>112007747</v>
      </c>
      <c r="E8504">
        <v>4.66</v>
      </c>
      <c r="F8504">
        <v>7.8</v>
      </c>
    </row>
    <row r="8505" spans="1:6" x14ac:dyDescent="0.3">
      <c r="A8505" t="s">
        <v>14551</v>
      </c>
      <c r="B8505" t="s">
        <v>14552</v>
      </c>
      <c r="C8505" t="s">
        <v>14553</v>
      </c>
      <c r="D8505">
        <v>112017125</v>
      </c>
      <c r="E8505" t="s">
        <v>3814</v>
      </c>
      <c r="F8505">
        <v>7.19</v>
      </c>
    </row>
    <row r="8506" spans="1:6" x14ac:dyDescent="0.3">
      <c r="A8506" t="s">
        <v>14554</v>
      </c>
      <c r="B8506" t="s">
        <v>14245</v>
      </c>
      <c r="C8506" t="s">
        <v>121</v>
      </c>
      <c r="D8506">
        <v>112023345</v>
      </c>
      <c r="E8506">
        <v>2.2400000000000002</v>
      </c>
      <c r="F8506">
        <v>8.3699999999999992</v>
      </c>
    </row>
    <row r="8507" spans="1:6" x14ac:dyDescent="0.3">
      <c r="A8507" t="s">
        <v>14555</v>
      </c>
      <c r="B8507" t="s">
        <v>14556</v>
      </c>
      <c r="C8507" t="s">
        <v>14557</v>
      </c>
      <c r="D8507">
        <v>112023775</v>
      </c>
      <c r="E8507">
        <v>1.96</v>
      </c>
      <c r="F8507">
        <v>7.3</v>
      </c>
    </row>
    <row r="8508" spans="1:6" x14ac:dyDescent="0.3">
      <c r="A8508" t="s">
        <v>14558</v>
      </c>
      <c r="B8508" t="s">
        <v>14559</v>
      </c>
      <c r="C8508" t="s">
        <v>14187</v>
      </c>
      <c r="D8508">
        <v>112038185</v>
      </c>
      <c r="E8508" t="s">
        <v>3814</v>
      </c>
      <c r="F8508">
        <v>7.83</v>
      </c>
    </row>
    <row r="8509" spans="1:6" x14ac:dyDescent="0.3">
      <c r="A8509" t="s">
        <v>5941</v>
      </c>
      <c r="B8509" t="s">
        <v>9217</v>
      </c>
      <c r="C8509" t="s">
        <v>7349</v>
      </c>
      <c r="D8509">
        <v>112046512</v>
      </c>
      <c r="E8509">
        <v>33</v>
      </c>
      <c r="F8509">
        <v>9</v>
      </c>
    </row>
    <row r="8510" spans="1:6" x14ac:dyDescent="0.3">
      <c r="A8510" t="s">
        <v>14560</v>
      </c>
      <c r="B8510" t="s">
        <v>14561</v>
      </c>
      <c r="C8510" t="s">
        <v>14562</v>
      </c>
      <c r="D8510">
        <v>112050762</v>
      </c>
      <c r="E8510" t="s">
        <v>3814</v>
      </c>
      <c r="F8510">
        <v>2.57</v>
      </c>
    </row>
    <row r="8511" spans="1:6" x14ac:dyDescent="0.3">
      <c r="A8511" t="s">
        <v>14563</v>
      </c>
      <c r="B8511" t="s">
        <v>14115</v>
      </c>
      <c r="C8511" t="s">
        <v>14564</v>
      </c>
      <c r="D8511">
        <v>112076781</v>
      </c>
      <c r="E8511" t="s">
        <v>3814</v>
      </c>
      <c r="F8511">
        <v>4.17</v>
      </c>
    </row>
    <row r="8512" spans="1:6" x14ac:dyDescent="0.3">
      <c r="A8512" t="s">
        <v>14565</v>
      </c>
      <c r="B8512" t="s">
        <v>9839</v>
      </c>
      <c r="C8512" t="s">
        <v>11957</v>
      </c>
      <c r="D8512">
        <v>112102035</v>
      </c>
      <c r="E8512">
        <v>8.52</v>
      </c>
      <c r="F8512">
        <v>8.57</v>
      </c>
    </row>
    <row r="8513" spans="1:6" x14ac:dyDescent="0.3">
      <c r="A8513" t="s">
        <v>14566</v>
      </c>
      <c r="B8513" t="s">
        <v>14567</v>
      </c>
      <c r="C8513" t="s">
        <v>14568</v>
      </c>
      <c r="D8513">
        <v>112105436</v>
      </c>
      <c r="E8513" t="s">
        <v>3814</v>
      </c>
      <c r="F8513">
        <v>6.95</v>
      </c>
    </row>
    <row r="8514" spans="1:6" x14ac:dyDescent="0.3">
      <c r="A8514" t="s">
        <v>14569</v>
      </c>
      <c r="B8514" t="s">
        <v>12617</v>
      </c>
      <c r="C8514" t="s">
        <v>14459</v>
      </c>
      <c r="D8514">
        <v>112132443</v>
      </c>
      <c r="E8514" t="s">
        <v>3814</v>
      </c>
      <c r="F8514">
        <v>7.33</v>
      </c>
    </row>
    <row r="8515" spans="1:6" x14ac:dyDescent="0.3">
      <c r="A8515" t="s">
        <v>14570</v>
      </c>
      <c r="B8515" t="s">
        <v>13952</v>
      </c>
      <c r="C8515" t="s">
        <v>3396</v>
      </c>
      <c r="D8515">
        <v>112135509</v>
      </c>
      <c r="E8515" t="s">
        <v>3814</v>
      </c>
      <c r="F8515">
        <v>5.75</v>
      </c>
    </row>
    <row r="8516" spans="1:6" x14ac:dyDescent="0.3">
      <c r="A8516" t="s">
        <v>14571</v>
      </c>
      <c r="B8516" t="s">
        <v>12913</v>
      </c>
      <c r="C8516" t="s">
        <v>1087</v>
      </c>
      <c r="D8516">
        <v>112146540</v>
      </c>
      <c r="E8516" t="s">
        <v>3814</v>
      </c>
      <c r="F8516">
        <v>3.8</v>
      </c>
    </row>
    <row r="8517" spans="1:6" x14ac:dyDescent="0.3">
      <c r="A8517" t="s">
        <v>14572</v>
      </c>
      <c r="B8517" t="s">
        <v>11263</v>
      </c>
      <c r="C8517" t="s">
        <v>12231</v>
      </c>
      <c r="D8517">
        <v>112149591</v>
      </c>
      <c r="E8517">
        <v>6.7</v>
      </c>
      <c r="F8517">
        <v>8.07</v>
      </c>
    </row>
    <row r="8518" spans="1:6" x14ac:dyDescent="0.3">
      <c r="A8518" t="s">
        <v>14573</v>
      </c>
      <c r="B8518" t="s">
        <v>14143</v>
      </c>
      <c r="C8518" t="s">
        <v>14574</v>
      </c>
      <c r="D8518">
        <v>112161573</v>
      </c>
      <c r="E8518" t="s">
        <v>3814</v>
      </c>
      <c r="F8518">
        <v>5.91</v>
      </c>
    </row>
    <row r="8519" spans="1:6" x14ac:dyDescent="0.3">
      <c r="A8519" t="s">
        <v>14575</v>
      </c>
      <c r="B8519" t="s">
        <v>12802</v>
      </c>
      <c r="C8519" t="s">
        <v>14576</v>
      </c>
      <c r="D8519">
        <v>112201493</v>
      </c>
      <c r="E8519">
        <v>1.2</v>
      </c>
      <c r="F8519">
        <v>8.3000000000000007</v>
      </c>
    </row>
    <row r="8520" spans="1:6" x14ac:dyDescent="0.3">
      <c r="A8520" t="s">
        <v>14577</v>
      </c>
      <c r="B8520" t="s">
        <v>3805</v>
      </c>
      <c r="C8520" t="s">
        <v>14577</v>
      </c>
      <c r="D8520">
        <v>112204024</v>
      </c>
      <c r="E8520">
        <v>3.23</v>
      </c>
      <c r="F8520">
        <v>6.71</v>
      </c>
    </row>
    <row r="8521" spans="1:6" x14ac:dyDescent="0.3">
      <c r="A8521" t="s">
        <v>14578</v>
      </c>
      <c r="B8521" t="s">
        <v>14579</v>
      </c>
      <c r="C8521" t="s">
        <v>7236</v>
      </c>
      <c r="D8521">
        <v>112209834</v>
      </c>
      <c r="E8521">
        <v>20</v>
      </c>
      <c r="F8521">
        <v>9</v>
      </c>
    </row>
    <row r="8522" spans="1:6" x14ac:dyDescent="0.3">
      <c r="A8522" t="s">
        <v>14580</v>
      </c>
      <c r="B8522" t="s">
        <v>14581</v>
      </c>
      <c r="C8522" t="s">
        <v>2388</v>
      </c>
      <c r="D8522">
        <v>112210637</v>
      </c>
      <c r="E8522">
        <v>10.33</v>
      </c>
      <c r="F8522">
        <v>5.58</v>
      </c>
    </row>
    <row r="8523" spans="1:6" x14ac:dyDescent="0.3">
      <c r="A8523" t="s">
        <v>14582</v>
      </c>
      <c r="B8523" t="s">
        <v>3800</v>
      </c>
      <c r="C8523" t="s">
        <v>11238</v>
      </c>
      <c r="D8523">
        <v>112223002</v>
      </c>
      <c r="E8523">
        <v>1.61</v>
      </c>
      <c r="F8523">
        <v>8.11</v>
      </c>
    </row>
    <row r="8524" spans="1:6" x14ac:dyDescent="0.3">
      <c r="A8524" t="s">
        <v>14583</v>
      </c>
      <c r="B8524" t="s">
        <v>4787</v>
      </c>
      <c r="C8524" t="s">
        <v>7912</v>
      </c>
      <c r="D8524">
        <v>112238362</v>
      </c>
      <c r="E8524">
        <v>17.989999999999998</v>
      </c>
      <c r="F8524">
        <v>4.79</v>
      </c>
    </row>
    <row r="8525" spans="1:6" x14ac:dyDescent="0.3">
      <c r="A8525" t="s">
        <v>14584</v>
      </c>
      <c r="B8525" t="s">
        <v>9423</v>
      </c>
      <c r="C8525" t="s">
        <v>14585</v>
      </c>
      <c r="D8525">
        <v>112248586</v>
      </c>
      <c r="E8525">
        <v>2.09</v>
      </c>
      <c r="F8525">
        <v>7.56</v>
      </c>
    </row>
    <row r="8526" spans="1:6" x14ac:dyDescent="0.3">
      <c r="A8526" t="s">
        <v>14586</v>
      </c>
      <c r="B8526" t="s">
        <v>712</v>
      </c>
      <c r="C8526" t="s">
        <v>2254</v>
      </c>
      <c r="D8526">
        <v>112292073</v>
      </c>
      <c r="E8526">
        <v>17.13</v>
      </c>
      <c r="F8526">
        <v>8.25</v>
      </c>
    </row>
    <row r="8527" spans="1:6" x14ac:dyDescent="0.3">
      <c r="A8527" t="s">
        <v>14587</v>
      </c>
      <c r="B8527" t="s">
        <v>14588</v>
      </c>
      <c r="C8527" t="s">
        <v>14589</v>
      </c>
      <c r="D8527">
        <v>112298454</v>
      </c>
      <c r="E8527">
        <v>1.33</v>
      </c>
      <c r="F8527">
        <v>7.54</v>
      </c>
    </row>
    <row r="8528" spans="1:6" x14ac:dyDescent="0.3">
      <c r="A8528" t="s">
        <v>14590</v>
      </c>
      <c r="B8528" t="s">
        <v>3037</v>
      </c>
      <c r="C8528" t="s">
        <v>14591</v>
      </c>
      <c r="D8528">
        <v>112309508</v>
      </c>
      <c r="E8528">
        <v>22.6</v>
      </c>
      <c r="F8528">
        <v>7.4</v>
      </c>
    </row>
    <row r="8529" spans="1:6" x14ac:dyDescent="0.3">
      <c r="A8529" t="s">
        <v>14592</v>
      </c>
      <c r="B8529" t="s">
        <v>2351</v>
      </c>
      <c r="C8529" t="s">
        <v>3515</v>
      </c>
      <c r="D8529">
        <v>112313819</v>
      </c>
      <c r="E8529" t="s">
        <v>3814</v>
      </c>
      <c r="F8529" t="s">
        <v>3814</v>
      </c>
    </row>
    <row r="8530" spans="1:6" x14ac:dyDescent="0.3">
      <c r="A8530" t="s">
        <v>14593</v>
      </c>
      <c r="B8530" t="s">
        <v>12879</v>
      </c>
      <c r="C8530" t="s">
        <v>14594</v>
      </c>
      <c r="D8530">
        <v>112314425</v>
      </c>
      <c r="E8530" t="s">
        <v>3814</v>
      </c>
      <c r="F8530">
        <v>8.7799999999999994</v>
      </c>
    </row>
    <row r="8531" spans="1:6" x14ac:dyDescent="0.3">
      <c r="A8531" t="s">
        <v>14595</v>
      </c>
      <c r="B8531" t="s">
        <v>12626</v>
      </c>
      <c r="C8531" t="s">
        <v>14596</v>
      </c>
      <c r="D8531">
        <v>112325232</v>
      </c>
      <c r="E8531" t="s">
        <v>3814</v>
      </c>
      <c r="F8531">
        <v>7.61</v>
      </c>
    </row>
    <row r="8532" spans="1:6" x14ac:dyDescent="0.3">
      <c r="A8532" t="s">
        <v>14597</v>
      </c>
      <c r="B8532" t="s">
        <v>8020</v>
      </c>
      <c r="C8532" t="s">
        <v>2705</v>
      </c>
      <c r="D8532">
        <v>112326019</v>
      </c>
      <c r="E8532" t="s">
        <v>3814</v>
      </c>
      <c r="F8532">
        <v>5.96</v>
      </c>
    </row>
    <row r="8533" spans="1:6" x14ac:dyDescent="0.3">
      <c r="A8533" t="s">
        <v>14598</v>
      </c>
      <c r="B8533" t="s">
        <v>13485</v>
      </c>
      <c r="C8533" t="s">
        <v>14599</v>
      </c>
      <c r="D8533">
        <v>112344749</v>
      </c>
      <c r="E8533" t="s">
        <v>3814</v>
      </c>
      <c r="F8533">
        <v>7.45</v>
      </c>
    </row>
    <row r="8534" spans="1:6" x14ac:dyDescent="0.3">
      <c r="A8534" t="s">
        <v>14600</v>
      </c>
      <c r="B8534" t="s">
        <v>1706</v>
      </c>
      <c r="C8534" t="s">
        <v>14601</v>
      </c>
      <c r="D8534">
        <v>112346959</v>
      </c>
      <c r="E8534" t="s">
        <v>3814</v>
      </c>
      <c r="F8534">
        <v>7.67</v>
      </c>
    </row>
    <row r="8535" spans="1:6" x14ac:dyDescent="0.3">
      <c r="A8535" t="s">
        <v>14602</v>
      </c>
      <c r="B8535" t="s">
        <v>14417</v>
      </c>
      <c r="C8535" t="s">
        <v>14603</v>
      </c>
      <c r="D8535">
        <v>112349123</v>
      </c>
      <c r="E8535" t="s">
        <v>3814</v>
      </c>
      <c r="F8535">
        <v>6.9</v>
      </c>
    </row>
    <row r="8536" spans="1:6" x14ac:dyDescent="0.3">
      <c r="A8536" t="s">
        <v>14604</v>
      </c>
      <c r="B8536" t="s">
        <v>14605</v>
      </c>
      <c r="C8536" t="s">
        <v>14606</v>
      </c>
      <c r="D8536">
        <v>112351854</v>
      </c>
      <c r="E8536" t="s">
        <v>3814</v>
      </c>
      <c r="F8536" t="s">
        <v>3814</v>
      </c>
    </row>
    <row r="8537" spans="1:6" x14ac:dyDescent="0.3">
      <c r="A8537" t="s">
        <v>14607</v>
      </c>
      <c r="B8537" t="s">
        <v>12617</v>
      </c>
      <c r="C8537" t="s">
        <v>13412</v>
      </c>
      <c r="D8537">
        <v>112355225</v>
      </c>
      <c r="E8537" t="s">
        <v>3814</v>
      </c>
      <c r="F8537">
        <v>8.02</v>
      </c>
    </row>
    <row r="8538" spans="1:6" x14ac:dyDescent="0.3">
      <c r="A8538" t="s">
        <v>14608</v>
      </c>
      <c r="B8538" t="s">
        <v>6002</v>
      </c>
      <c r="C8538" t="s">
        <v>4323</v>
      </c>
      <c r="D8538">
        <v>112369288</v>
      </c>
      <c r="E8538">
        <v>4.1100000000000003</v>
      </c>
      <c r="F8538">
        <v>7.83</v>
      </c>
    </row>
    <row r="8539" spans="1:6" x14ac:dyDescent="0.3">
      <c r="A8539" t="s">
        <v>14609</v>
      </c>
      <c r="B8539" t="s">
        <v>11996</v>
      </c>
      <c r="C8539" t="s">
        <v>6868</v>
      </c>
      <c r="D8539">
        <v>112371654</v>
      </c>
      <c r="E8539">
        <v>20.91</v>
      </c>
      <c r="F8539">
        <v>9.67</v>
      </c>
    </row>
    <row r="8540" spans="1:6" x14ac:dyDescent="0.3">
      <c r="A8540" t="s">
        <v>14610</v>
      </c>
      <c r="B8540" t="s">
        <v>14611</v>
      </c>
      <c r="C8540" t="s">
        <v>14612</v>
      </c>
      <c r="D8540">
        <v>112398159</v>
      </c>
      <c r="E8540" t="s">
        <v>3814</v>
      </c>
      <c r="F8540">
        <v>7.57</v>
      </c>
    </row>
    <row r="8541" spans="1:6" x14ac:dyDescent="0.3">
      <c r="A8541" t="s">
        <v>14613</v>
      </c>
      <c r="B8541" t="s">
        <v>9383</v>
      </c>
      <c r="C8541" t="s">
        <v>14614</v>
      </c>
      <c r="D8541">
        <v>112412828</v>
      </c>
      <c r="E8541">
        <v>20.79</v>
      </c>
      <c r="F8541">
        <v>8.1300000000000008</v>
      </c>
    </row>
    <row r="8542" spans="1:6" x14ac:dyDescent="0.3">
      <c r="A8542" t="s">
        <v>14615</v>
      </c>
      <c r="B8542" t="s">
        <v>14616</v>
      </c>
      <c r="C8542" t="s">
        <v>6770</v>
      </c>
      <c r="D8542">
        <v>112413278</v>
      </c>
      <c r="E8542">
        <v>3</v>
      </c>
      <c r="F8542">
        <v>7.61</v>
      </c>
    </row>
    <row r="8543" spans="1:6" x14ac:dyDescent="0.3">
      <c r="A8543" t="s">
        <v>14617</v>
      </c>
      <c r="B8543" t="s">
        <v>13300</v>
      </c>
      <c r="C8543" t="s">
        <v>14618</v>
      </c>
      <c r="D8543">
        <v>112425452</v>
      </c>
      <c r="E8543">
        <v>1.1000000000000001</v>
      </c>
      <c r="F8543">
        <v>8.02</v>
      </c>
    </row>
    <row r="8544" spans="1:6" x14ac:dyDescent="0.3">
      <c r="A8544" t="s">
        <v>14619</v>
      </c>
      <c r="B8544" t="s">
        <v>13030</v>
      </c>
      <c r="C8544" t="s">
        <v>14620</v>
      </c>
      <c r="D8544">
        <v>112426437</v>
      </c>
      <c r="E8544" t="s">
        <v>3814</v>
      </c>
      <c r="F8544">
        <v>1</v>
      </c>
    </row>
    <row r="8545" spans="1:6" x14ac:dyDescent="0.3">
      <c r="A8545" t="s">
        <v>14621</v>
      </c>
      <c r="B8545" t="s">
        <v>14622</v>
      </c>
      <c r="C8545" t="s">
        <v>14623</v>
      </c>
      <c r="D8545">
        <v>112430110</v>
      </c>
      <c r="E8545" t="s">
        <v>3814</v>
      </c>
      <c r="F8545">
        <v>5.7</v>
      </c>
    </row>
    <row r="8546" spans="1:6" x14ac:dyDescent="0.3">
      <c r="A8546" t="s">
        <v>14624</v>
      </c>
      <c r="B8546" t="s">
        <v>14625</v>
      </c>
      <c r="C8546" t="s">
        <v>5756</v>
      </c>
      <c r="D8546">
        <v>112452610</v>
      </c>
      <c r="E8546" t="s">
        <v>3814</v>
      </c>
      <c r="F8546" t="s">
        <v>3814</v>
      </c>
    </row>
    <row r="8547" spans="1:6" x14ac:dyDescent="0.3">
      <c r="A8547" t="s">
        <v>14626</v>
      </c>
      <c r="B8547" t="s">
        <v>12572</v>
      </c>
      <c r="C8547" t="s">
        <v>13036</v>
      </c>
      <c r="D8547">
        <v>112456555</v>
      </c>
      <c r="E8547" t="s">
        <v>3814</v>
      </c>
      <c r="F8547">
        <v>4.37</v>
      </c>
    </row>
    <row r="8548" spans="1:6" x14ac:dyDescent="0.3">
      <c r="A8548" t="s">
        <v>14627</v>
      </c>
      <c r="B8548" t="s">
        <v>13720</v>
      </c>
      <c r="C8548" t="s">
        <v>4381</v>
      </c>
      <c r="D8548">
        <v>112457569</v>
      </c>
      <c r="E8548" t="s">
        <v>3814</v>
      </c>
      <c r="F8548">
        <v>6</v>
      </c>
    </row>
    <row r="8549" spans="1:6" x14ac:dyDescent="0.3">
      <c r="A8549" t="s">
        <v>14628</v>
      </c>
      <c r="B8549" t="s">
        <v>9105</v>
      </c>
      <c r="C8549" t="s">
        <v>4129</v>
      </c>
      <c r="D8549">
        <v>112468252</v>
      </c>
      <c r="E8549">
        <v>26.33</v>
      </c>
      <c r="F8549">
        <v>7.33</v>
      </c>
    </row>
    <row r="8550" spans="1:6" x14ac:dyDescent="0.3">
      <c r="A8550" t="s">
        <v>14629</v>
      </c>
      <c r="B8550" t="s">
        <v>10906</v>
      </c>
      <c r="C8550" t="s">
        <v>6783</v>
      </c>
      <c r="D8550">
        <v>112469841</v>
      </c>
      <c r="E8550">
        <v>6.62</v>
      </c>
      <c r="F8550">
        <v>8.36</v>
      </c>
    </row>
    <row r="8551" spans="1:6" x14ac:dyDescent="0.3">
      <c r="A8551" t="s">
        <v>14630</v>
      </c>
      <c r="B8551" t="s">
        <v>14631</v>
      </c>
      <c r="C8551" t="s">
        <v>13558</v>
      </c>
      <c r="D8551">
        <v>112481151</v>
      </c>
      <c r="E8551" t="s">
        <v>3814</v>
      </c>
      <c r="F8551">
        <v>4.5999999999999996</v>
      </c>
    </row>
    <row r="8552" spans="1:6" x14ac:dyDescent="0.3">
      <c r="A8552" t="s">
        <v>14632</v>
      </c>
      <c r="B8552" t="s">
        <v>11164</v>
      </c>
      <c r="C8552" t="s">
        <v>13057</v>
      </c>
      <c r="D8552">
        <v>112482571</v>
      </c>
      <c r="E8552" t="s">
        <v>3814</v>
      </c>
      <c r="F8552" t="s">
        <v>3814</v>
      </c>
    </row>
    <row r="8553" spans="1:6" x14ac:dyDescent="0.3">
      <c r="A8553" t="s">
        <v>14633</v>
      </c>
      <c r="B8553" t="s">
        <v>14634</v>
      </c>
      <c r="C8553" t="s">
        <v>14635</v>
      </c>
      <c r="D8553">
        <v>112491891</v>
      </c>
      <c r="E8553" t="s">
        <v>3814</v>
      </c>
      <c r="F8553" t="s">
        <v>3814</v>
      </c>
    </row>
    <row r="8554" spans="1:6" x14ac:dyDescent="0.3">
      <c r="A8554" t="s">
        <v>14636</v>
      </c>
      <c r="B8554" t="s">
        <v>8601</v>
      </c>
      <c r="C8554" t="s">
        <v>14637</v>
      </c>
      <c r="D8554">
        <v>112492425</v>
      </c>
      <c r="E8554" t="s">
        <v>3814</v>
      </c>
      <c r="F8554">
        <v>7.83</v>
      </c>
    </row>
    <row r="8555" spans="1:6" x14ac:dyDescent="0.3">
      <c r="A8555" t="s">
        <v>14638</v>
      </c>
      <c r="B8555" t="s">
        <v>5238</v>
      </c>
      <c r="C8555" t="s">
        <v>932</v>
      </c>
      <c r="D8555">
        <v>112515547</v>
      </c>
      <c r="E8555">
        <v>21.12</v>
      </c>
      <c r="F8555">
        <v>6</v>
      </c>
    </row>
    <row r="8556" spans="1:6" x14ac:dyDescent="0.3">
      <c r="A8556" t="s">
        <v>14639</v>
      </c>
      <c r="B8556" t="s">
        <v>8864</v>
      </c>
      <c r="C8556" t="s">
        <v>14640</v>
      </c>
      <c r="D8556">
        <v>112517666</v>
      </c>
      <c r="E8556">
        <v>16.84</v>
      </c>
      <c r="F8556">
        <v>9.0500000000000007</v>
      </c>
    </row>
    <row r="8557" spans="1:6" x14ac:dyDescent="0.3">
      <c r="A8557" t="s">
        <v>14641</v>
      </c>
      <c r="B8557" t="s">
        <v>10509</v>
      </c>
      <c r="C8557" t="s">
        <v>14642</v>
      </c>
      <c r="D8557">
        <v>112525002</v>
      </c>
      <c r="E8557">
        <v>2.98</v>
      </c>
      <c r="F8557">
        <v>8.91</v>
      </c>
    </row>
    <row r="8558" spans="1:6" x14ac:dyDescent="0.3">
      <c r="A8558" t="s">
        <v>14643</v>
      </c>
      <c r="B8558" t="s">
        <v>6597</v>
      </c>
      <c r="C8558" t="s">
        <v>6770</v>
      </c>
      <c r="D8558">
        <v>112544644</v>
      </c>
      <c r="E8558">
        <v>1.85</v>
      </c>
      <c r="F8558">
        <v>7.5</v>
      </c>
    </row>
    <row r="8559" spans="1:6" x14ac:dyDescent="0.3">
      <c r="A8559" t="s">
        <v>14644</v>
      </c>
      <c r="B8559" t="s">
        <v>14645</v>
      </c>
      <c r="C8559" t="s">
        <v>14644</v>
      </c>
      <c r="D8559">
        <v>112550547</v>
      </c>
      <c r="E8559">
        <v>4.13</v>
      </c>
      <c r="F8559">
        <v>8.6300000000000008</v>
      </c>
    </row>
    <row r="8560" spans="1:6" x14ac:dyDescent="0.3">
      <c r="A8560" t="s">
        <v>14646</v>
      </c>
      <c r="B8560" t="s">
        <v>14647</v>
      </c>
      <c r="C8560" t="s">
        <v>14648</v>
      </c>
      <c r="D8560">
        <v>112553342</v>
      </c>
      <c r="E8560" t="s">
        <v>3814</v>
      </c>
      <c r="F8560">
        <v>5.64</v>
      </c>
    </row>
    <row r="8561" spans="1:6" x14ac:dyDescent="0.3">
      <c r="A8561" t="s">
        <v>14649</v>
      </c>
      <c r="B8561" t="s">
        <v>14650</v>
      </c>
      <c r="C8561" t="s">
        <v>8727</v>
      </c>
      <c r="D8561">
        <v>112555152</v>
      </c>
      <c r="E8561">
        <v>14</v>
      </c>
      <c r="F8561">
        <v>7.67</v>
      </c>
    </row>
    <row r="8562" spans="1:6" x14ac:dyDescent="0.3">
      <c r="A8562" t="s">
        <v>14651</v>
      </c>
      <c r="B8562" t="s">
        <v>9752</v>
      </c>
      <c r="C8562" t="s">
        <v>14652</v>
      </c>
      <c r="D8562">
        <v>112555436</v>
      </c>
      <c r="E8562">
        <v>17.399999999999999</v>
      </c>
      <c r="F8562">
        <v>7.92</v>
      </c>
    </row>
    <row r="8563" spans="1:6" x14ac:dyDescent="0.3">
      <c r="A8563" t="s">
        <v>14653</v>
      </c>
      <c r="B8563" t="s">
        <v>13722</v>
      </c>
      <c r="C8563" t="s">
        <v>12231</v>
      </c>
      <c r="D8563">
        <v>112570522</v>
      </c>
      <c r="E8563">
        <v>2.2200000000000002</v>
      </c>
      <c r="F8563">
        <v>6.76</v>
      </c>
    </row>
    <row r="8564" spans="1:6" x14ac:dyDescent="0.3">
      <c r="A8564" t="s">
        <v>14654</v>
      </c>
      <c r="B8564" t="s">
        <v>13769</v>
      </c>
      <c r="C8564" t="s">
        <v>14655</v>
      </c>
      <c r="D8564">
        <v>112585302</v>
      </c>
      <c r="E8564" t="s">
        <v>3814</v>
      </c>
      <c r="F8564">
        <v>7.29</v>
      </c>
    </row>
    <row r="8565" spans="1:6" x14ac:dyDescent="0.3">
      <c r="A8565" t="s">
        <v>14656</v>
      </c>
      <c r="B8565" t="s">
        <v>7534</v>
      </c>
      <c r="C8565" t="s">
        <v>3324</v>
      </c>
      <c r="D8565">
        <v>112586799</v>
      </c>
      <c r="E8565" t="s">
        <v>3814</v>
      </c>
      <c r="F8565" t="s">
        <v>3814</v>
      </c>
    </row>
    <row r="8566" spans="1:6" x14ac:dyDescent="0.3">
      <c r="A8566" t="s">
        <v>14657</v>
      </c>
      <c r="B8566" t="s">
        <v>13284</v>
      </c>
      <c r="C8566" t="s">
        <v>14658</v>
      </c>
      <c r="D8566">
        <v>112594688</v>
      </c>
      <c r="E8566" t="s">
        <v>3814</v>
      </c>
      <c r="F8566">
        <v>5</v>
      </c>
    </row>
    <row r="8567" spans="1:6" x14ac:dyDescent="0.3">
      <c r="A8567">
        <v>72</v>
      </c>
      <c r="B8567" t="s">
        <v>3746</v>
      </c>
      <c r="C8567" t="s">
        <v>14659</v>
      </c>
      <c r="D8567">
        <v>112603907</v>
      </c>
      <c r="E8567" t="s">
        <v>3814</v>
      </c>
      <c r="F8567">
        <v>6.16</v>
      </c>
    </row>
    <row r="8568" spans="1:6" x14ac:dyDescent="0.3">
      <c r="A8568" t="s">
        <v>4079</v>
      </c>
      <c r="B8568" t="s">
        <v>14483</v>
      </c>
      <c r="C8568" t="s">
        <v>2590</v>
      </c>
      <c r="D8568">
        <v>112614077</v>
      </c>
      <c r="E8568">
        <v>17.059999999999999</v>
      </c>
      <c r="F8568">
        <v>8</v>
      </c>
    </row>
    <row r="8569" spans="1:6" x14ac:dyDescent="0.3">
      <c r="A8569" t="s">
        <v>14660</v>
      </c>
      <c r="B8569" t="s">
        <v>11503</v>
      </c>
      <c r="C8569" t="s">
        <v>14661</v>
      </c>
      <c r="D8569">
        <v>112622161</v>
      </c>
      <c r="E8569">
        <v>1.21</v>
      </c>
      <c r="F8569">
        <v>8.19</v>
      </c>
    </row>
    <row r="8570" spans="1:6" x14ac:dyDescent="0.3">
      <c r="A8570" t="s">
        <v>14662</v>
      </c>
      <c r="B8570" t="s">
        <v>13831</v>
      </c>
      <c r="C8570" t="s">
        <v>3496</v>
      </c>
      <c r="D8570">
        <v>112622988</v>
      </c>
      <c r="E8570" t="s">
        <v>3814</v>
      </c>
      <c r="F8570">
        <v>6.09</v>
      </c>
    </row>
    <row r="8571" spans="1:6" x14ac:dyDescent="0.3">
      <c r="A8571" t="s">
        <v>14663</v>
      </c>
      <c r="B8571" t="s">
        <v>14664</v>
      </c>
      <c r="C8571" t="s">
        <v>3709</v>
      </c>
      <c r="D8571">
        <v>112625737</v>
      </c>
      <c r="E8571">
        <v>23</v>
      </c>
      <c r="F8571">
        <v>10</v>
      </c>
    </row>
    <row r="8572" spans="1:6" x14ac:dyDescent="0.3">
      <c r="A8572" t="s">
        <v>14665</v>
      </c>
      <c r="B8572" t="s">
        <v>14666</v>
      </c>
      <c r="C8572" t="s">
        <v>14667</v>
      </c>
      <c r="D8572">
        <v>112653777</v>
      </c>
      <c r="E8572" t="s">
        <v>3814</v>
      </c>
      <c r="F8572">
        <v>6.57</v>
      </c>
    </row>
    <row r="8573" spans="1:6" x14ac:dyDescent="0.3">
      <c r="A8573" t="s">
        <v>14668</v>
      </c>
      <c r="B8573" t="s">
        <v>13602</v>
      </c>
      <c r="C8573" t="s">
        <v>10874</v>
      </c>
      <c r="D8573">
        <v>112691088</v>
      </c>
      <c r="E8573" t="s">
        <v>3814</v>
      </c>
      <c r="F8573">
        <v>7.37</v>
      </c>
    </row>
    <row r="8574" spans="1:6" x14ac:dyDescent="0.3">
      <c r="A8574" t="s">
        <v>14669</v>
      </c>
      <c r="B8574" t="s">
        <v>14670</v>
      </c>
      <c r="C8574" t="s">
        <v>14671</v>
      </c>
      <c r="D8574">
        <v>112701245</v>
      </c>
      <c r="E8574" t="s">
        <v>3814</v>
      </c>
      <c r="F8574">
        <v>7.46</v>
      </c>
    </row>
    <row r="8575" spans="1:6" x14ac:dyDescent="0.3">
      <c r="A8575" t="s">
        <v>14672</v>
      </c>
      <c r="B8575" t="s">
        <v>12639</v>
      </c>
      <c r="C8575" t="s">
        <v>14214</v>
      </c>
      <c r="D8575">
        <v>112721660</v>
      </c>
      <c r="E8575" t="s">
        <v>3814</v>
      </c>
      <c r="F8575">
        <v>6.54</v>
      </c>
    </row>
    <row r="8576" spans="1:6" x14ac:dyDescent="0.3">
      <c r="A8576" t="s">
        <v>14673</v>
      </c>
      <c r="B8576" t="s">
        <v>13396</v>
      </c>
      <c r="C8576" t="s">
        <v>1555</v>
      </c>
      <c r="D8576">
        <v>112722337</v>
      </c>
      <c r="E8576" t="s">
        <v>3814</v>
      </c>
      <c r="F8576">
        <v>8.66</v>
      </c>
    </row>
    <row r="8577" spans="1:6" x14ac:dyDescent="0.3">
      <c r="A8577" t="s">
        <v>14674</v>
      </c>
      <c r="B8577" t="s">
        <v>14426</v>
      </c>
      <c r="C8577" t="s">
        <v>14675</v>
      </c>
      <c r="D8577">
        <v>112737694</v>
      </c>
      <c r="E8577" t="s">
        <v>3814</v>
      </c>
      <c r="F8577">
        <v>6.53</v>
      </c>
    </row>
    <row r="8578" spans="1:6" x14ac:dyDescent="0.3">
      <c r="A8578" t="s">
        <v>14676</v>
      </c>
      <c r="B8578" t="s">
        <v>14677</v>
      </c>
      <c r="C8578" t="s">
        <v>14678</v>
      </c>
      <c r="D8578">
        <v>112739196</v>
      </c>
      <c r="E8578" t="s">
        <v>3814</v>
      </c>
      <c r="F8578">
        <v>9.24</v>
      </c>
    </row>
    <row r="8579" spans="1:6" x14ac:dyDescent="0.3">
      <c r="A8579" t="s">
        <v>14679</v>
      </c>
      <c r="B8579" t="s">
        <v>14680</v>
      </c>
      <c r="C8579" t="s">
        <v>14681</v>
      </c>
      <c r="D8579">
        <v>112740597</v>
      </c>
      <c r="E8579">
        <v>1.06</v>
      </c>
      <c r="F8579">
        <v>7.04</v>
      </c>
    </row>
    <row r="8580" spans="1:6" x14ac:dyDescent="0.3">
      <c r="A8580" t="s">
        <v>14682</v>
      </c>
      <c r="B8580" t="s">
        <v>4540</v>
      </c>
      <c r="C8580" t="s">
        <v>14683</v>
      </c>
      <c r="D8580">
        <v>112770258</v>
      </c>
      <c r="E8580">
        <v>1.29</v>
      </c>
      <c r="F8580">
        <v>9.11</v>
      </c>
    </row>
    <row r="8581" spans="1:6" x14ac:dyDescent="0.3">
      <c r="A8581" t="s">
        <v>14684</v>
      </c>
      <c r="B8581" t="s">
        <v>9178</v>
      </c>
      <c r="C8581" t="s">
        <v>14685</v>
      </c>
      <c r="D8581">
        <v>112775588</v>
      </c>
      <c r="E8581">
        <v>2.87</v>
      </c>
      <c r="F8581">
        <v>8.9</v>
      </c>
    </row>
    <row r="8582" spans="1:6" x14ac:dyDescent="0.3">
      <c r="A8582" t="s">
        <v>13230</v>
      </c>
      <c r="B8582" t="s">
        <v>11200</v>
      </c>
      <c r="C8582" t="s">
        <v>13230</v>
      </c>
      <c r="D8582">
        <v>112777891</v>
      </c>
      <c r="E8582">
        <v>21.6</v>
      </c>
      <c r="F8582">
        <v>4.5999999999999996</v>
      </c>
    </row>
    <row r="8583" spans="1:6" x14ac:dyDescent="0.3">
      <c r="A8583" t="s">
        <v>14686</v>
      </c>
      <c r="B8583" t="s">
        <v>11862</v>
      </c>
      <c r="C8583" t="s">
        <v>14687</v>
      </c>
      <c r="D8583">
        <v>112779195</v>
      </c>
      <c r="E8583">
        <v>16</v>
      </c>
      <c r="F8583">
        <v>8.7799999999999994</v>
      </c>
    </row>
    <row r="8584" spans="1:6" x14ac:dyDescent="0.3">
      <c r="A8584" t="s">
        <v>14688</v>
      </c>
      <c r="B8584" t="s">
        <v>5075</v>
      </c>
      <c r="C8584" t="s">
        <v>14689</v>
      </c>
      <c r="D8584">
        <v>112780557</v>
      </c>
      <c r="E8584">
        <v>3.97</v>
      </c>
      <c r="F8584">
        <v>7</v>
      </c>
    </row>
    <row r="8585" spans="1:6" x14ac:dyDescent="0.3">
      <c r="A8585" t="s">
        <v>14690</v>
      </c>
      <c r="B8585" t="s">
        <v>14179</v>
      </c>
      <c r="C8585" t="s">
        <v>13541</v>
      </c>
      <c r="D8585">
        <v>112787209</v>
      </c>
      <c r="E8585" t="s">
        <v>3814</v>
      </c>
      <c r="F8585">
        <v>5.88</v>
      </c>
    </row>
    <row r="8586" spans="1:6" x14ac:dyDescent="0.3">
      <c r="A8586" t="s">
        <v>14691</v>
      </c>
      <c r="B8586" t="s">
        <v>13245</v>
      </c>
      <c r="C8586" t="s">
        <v>2441</v>
      </c>
      <c r="D8586">
        <v>112790788</v>
      </c>
      <c r="E8586">
        <v>6.36</v>
      </c>
      <c r="F8586">
        <v>8.16</v>
      </c>
    </row>
    <row r="8587" spans="1:6" x14ac:dyDescent="0.3">
      <c r="A8587" t="s">
        <v>14692</v>
      </c>
      <c r="B8587" t="s">
        <v>8397</v>
      </c>
      <c r="C8587" t="s">
        <v>14693</v>
      </c>
      <c r="D8587">
        <v>112795906</v>
      </c>
      <c r="E8587">
        <v>1.96</v>
      </c>
      <c r="F8587">
        <v>8.2100000000000009</v>
      </c>
    </row>
    <row r="8588" spans="1:6" x14ac:dyDescent="0.3">
      <c r="A8588" t="s">
        <v>14694</v>
      </c>
      <c r="B8588" t="s">
        <v>12500</v>
      </c>
      <c r="C8588" t="s">
        <v>14090</v>
      </c>
      <c r="D8588">
        <v>112802181</v>
      </c>
      <c r="E8588" t="s">
        <v>3814</v>
      </c>
      <c r="F8588">
        <v>6.18</v>
      </c>
    </row>
    <row r="8589" spans="1:6" x14ac:dyDescent="0.3">
      <c r="A8589" t="s">
        <v>14695</v>
      </c>
      <c r="B8589" t="s">
        <v>14004</v>
      </c>
      <c r="C8589" t="s">
        <v>14696</v>
      </c>
      <c r="D8589">
        <v>112802285</v>
      </c>
      <c r="E8589" t="s">
        <v>3814</v>
      </c>
      <c r="F8589">
        <v>7.09</v>
      </c>
    </row>
    <row r="8590" spans="1:6" x14ac:dyDescent="0.3">
      <c r="A8590" t="s">
        <v>14697</v>
      </c>
      <c r="B8590" t="s">
        <v>14698</v>
      </c>
      <c r="C8590" t="s">
        <v>13878</v>
      </c>
      <c r="D8590">
        <v>112815306</v>
      </c>
      <c r="E8590" t="s">
        <v>3814</v>
      </c>
      <c r="F8590">
        <v>5.2</v>
      </c>
    </row>
    <row r="8591" spans="1:6" x14ac:dyDescent="0.3">
      <c r="A8591" t="s">
        <v>14699</v>
      </c>
      <c r="B8591" t="s">
        <v>14700</v>
      </c>
      <c r="C8591" t="s">
        <v>14701</v>
      </c>
      <c r="D8591">
        <v>112831837</v>
      </c>
      <c r="E8591">
        <v>2.6</v>
      </c>
      <c r="F8591">
        <v>6.92</v>
      </c>
    </row>
    <row r="8592" spans="1:6" x14ac:dyDescent="0.3">
      <c r="A8592" t="s">
        <v>14702</v>
      </c>
      <c r="B8592" t="s">
        <v>14703</v>
      </c>
      <c r="C8592" t="s">
        <v>379</v>
      </c>
      <c r="D8592">
        <v>112871686</v>
      </c>
      <c r="E8592">
        <v>1.08</v>
      </c>
      <c r="F8592">
        <v>6.66</v>
      </c>
    </row>
    <row r="8593" spans="1:6" x14ac:dyDescent="0.3">
      <c r="A8593" t="s">
        <v>14704</v>
      </c>
      <c r="B8593" t="s">
        <v>13452</v>
      </c>
      <c r="C8593" t="s">
        <v>1062</v>
      </c>
      <c r="D8593">
        <v>112921547</v>
      </c>
      <c r="E8593">
        <v>22.67</v>
      </c>
      <c r="F8593">
        <v>7.33</v>
      </c>
    </row>
    <row r="8594" spans="1:6" x14ac:dyDescent="0.3">
      <c r="A8594" t="s">
        <v>14705</v>
      </c>
      <c r="B8594" t="s">
        <v>14209</v>
      </c>
      <c r="C8594" t="s">
        <v>8894</v>
      </c>
      <c r="D8594">
        <v>112934393</v>
      </c>
      <c r="E8594">
        <v>1.68</v>
      </c>
      <c r="F8594">
        <v>7.57</v>
      </c>
    </row>
    <row r="8595" spans="1:6" x14ac:dyDescent="0.3">
      <c r="A8595" t="s">
        <v>14706</v>
      </c>
      <c r="B8595" t="s">
        <v>14707</v>
      </c>
      <c r="C8595" t="s">
        <v>11020</v>
      </c>
      <c r="D8595">
        <v>112949339</v>
      </c>
      <c r="E8595">
        <v>2.71</v>
      </c>
      <c r="F8595">
        <v>7.5</v>
      </c>
    </row>
    <row r="8596" spans="1:6" x14ac:dyDescent="0.3">
      <c r="A8596" t="s">
        <v>14708</v>
      </c>
      <c r="B8596" t="s">
        <v>11930</v>
      </c>
      <c r="C8596" t="s">
        <v>14709</v>
      </c>
      <c r="D8596">
        <v>112972263</v>
      </c>
      <c r="E8596" t="s">
        <v>3814</v>
      </c>
      <c r="F8596">
        <v>3.5</v>
      </c>
    </row>
    <row r="8597" spans="1:6" x14ac:dyDescent="0.3">
      <c r="A8597" t="s">
        <v>14710</v>
      </c>
      <c r="B8597" t="s">
        <v>8479</v>
      </c>
      <c r="C8597" t="s">
        <v>2961</v>
      </c>
      <c r="D8597">
        <v>112976547</v>
      </c>
      <c r="E8597">
        <v>2.76</v>
      </c>
      <c r="F8597">
        <v>7.67</v>
      </c>
    </row>
    <row r="8598" spans="1:6" x14ac:dyDescent="0.3">
      <c r="A8598" t="s">
        <v>14711</v>
      </c>
      <c r="B8598" t="s">
        <v>13874</v>
      </c>
      <c r="C8598" t="s">
        <v>8632</v>
      </c>
      <c r="D8598">
        <v>113002494</v>
      </c>
      <c r="E8598">
        <v>1.65</v>
      </c>
      <c r="F8598">
        <v>7.08</v>
      </c>
    </row>
    <row r="8599" spans="1:6" x14ac:dyDescent="0.3">
      <c r="A8599" t="s">
        <v>14712</v>
      </c>
      <c r="B8599" t="s">
        <v>14713</v>
      </c>
      <c r="C8599" t="s">
        <v>14228</v>
      </c>
      <c r="D8599">
        <v>113004564</v>
      </c>
      <c r="E8599" t="s">
        <v>3814</v>
      </c>
      <c r="F8599">
        <v>6.14</v>
      </c>
    </row>
    <row r="8600" spans="1:6" x14ac:dyDescent="0.3">
      <c r="A8600" t="s">
        <v>14714</v>
      </c>
      <c r="B8600" t="s">
        <v>3125</v>
      </c>
      <c r="C8600" t="s">
        <v>2414</v>
      </c>
      <c r="D8600">
        <v>113018329</v>
      </c>
      <c r="E8600">
        <v>15.64</v>
      </c>
      <c r="F8600">
        <v>9.4700000000000006</v>
      </c>
    </row>
    <row r="8601" spans="1:6" x14ac:dyDescent="0.3">
      <c r="A8601" t="s">
        <v>14715</v>
      </c>
      <c r="B8601" t="s">
        <v>10921</v>
      </c>
      <c r="C8601" t="s">
        <v>9969</v>
      </c>
      <c r="D8601">
        <v>113021151</v>
      </c>
      <c r="E8601">
        <v>3.85</v>
      </c>
      <c r="F8601">
        <v>7.84</v>
      </c>
    </row>
    <row r="8602" spans="1:6" x14ac:dyDescent="0.3">
      <c r="A8602" t="s">
        <v>14716</v>
      </c>
      <c r="B8602" t="s">
        <v>11999</v>
      </c>
      <c r="C8602" t="s">
        <v>14717</v>
      </c>
      <c r="D8602">
        <v>113027604</v>
      </c>
      <c r="E8602">
        <v>5.27</v>
      </c>
      <c r="F8602">
        <v>7.06</v>
      </c>
    </row>
    <row r="8603" spans="1:6" x14ac:dyDescent="0.3">
      <c r="A8603" t="s">
        <v>14718</v>
      </c>
      <c r="B8603" t="s">
        <v>14719</v>
      </c>
      <c r="C8603" t="s">
        <v>2828</v>
      </c>
      <c r="D8603">
        <v>113030341</v>
      </c>
      <c r="E8603">
        <v>13.86</v>
      </c>
      <c r="F8603">
        <v>7.14</v>
      </c>
    </row>
    <row r="8604" spans="1:6" x14ac:dyDescent="0.3">
      <c r="A8604" t="s">
        <v>14720</v>
      </c>
      <c r="B8604" t="s">
        <v>2447</v>
      </c>
      <c r="C8604" t="s">
        <v>14721</v>
      </c>
      <c r="D8604">
        <v>113037530</v>
      </c>
      <c r="E8604">
        <v>3.91</v>
      </c>
      <c r="F8604">
        <v>7.06</v>
      </c>
    </row>
    <row r="8605" spans="1:6" x14ac:dyDescent="0.3">
      <c r="A8605" t="s">
        <v>14722</v>
      </c>
      <c r="B8605" t="s">
        <v>14004</v>
      </c>
      <c r="C8605" t="s">
        <v>14723</v>
      </c>
      <c r="D8605">
        <v>113045669</v>
      </c>
      <c r="E8605" t="s">
        <v>3814</v>
      </c>
      <c r="F8605">
        <v>8.5</v>
      </c>
    </row>
    <row r="8606" spans="1:6" x14ac:dyDescent="0.3">
      <c r="A8606" t="s">
        <v>14724</v>
      </c>
      <c r="B8606" t="s">
        <v>3238</v>
      </c>
      <c r="C8606" t="s">
        <v>14725</v>
      </c>
      <c r="D8606">
        <v>113049620</v>
      </c>
      <c r="E8606">
        <v>1.1599999999999999</v>
      </c>
      <c r="F8606">
        <v>7.57</v>
      </c>
    </row>
    <row r="8607" spans="1:6" x14ac:dyDescent="0.3">
      <c r="A8607" t="s">
        <v>14726</v>
      </c>
      <c r="B8607" t="s">
        <v>14727</v>
      </c>
      <c r="C8607" t="s">
        <v>14728</v>
      </c>
      <c r="D8607">
        <v>113050373</v>
      </c>
      <c r="E8607" t="s">
        <v>3814</v>
      </c>
      <c r="F8607" t="s">
        <v>3814</v>
      </c>
    </row>
    <row r="8608" spans="1:6" x14ac:dyDescent="0.3">
      <c r="A8608" t="s">
        <v>4433</v>
      </c>
      <c r="B8608" t="s">
        <v>10568</v>
      </c>
      <c r="C8608" t="s">
        <v>14729</v>
      </c>
      <c r="D8608">
        <v>113061646</v>
      </c>
      <c r="E8608">
        <v>15.08</v>
      </c>
      <c r="F8608">
        <v>6.05</v>
      </c>
    </row>
    <row r="8609" spans="1:6" x14ac:dyDescent="0.3">
      <c r="A8609" t="s">
        <v>14730</v>
      </c>
      <c r="B8609" t="s">
        <v>14731</v>
      </c>
      <c r="C8609" t="s">
        <v>11027</v>
      </c>
      <c r="D8609">
        <v>113070213</v>
      </c>
      <c r="E8609">
        <v>12.25</v>
      </c>
      <c r="F8609">
        <v>4.5</v>
      </c>
    </row>
    <row r="8610" spans="1:6" x14ac:dyDescent="0.3">
      <c r="A8610" t="s">
        <v>14732</v>
      </c>
      <c r="B8610" t="s">
        <v>11187</v>
      </c>
      <c r="C8610" t="s">
        <v>9868</v>
      </c>
      <c r="D8610">
        <v>113095361</v>
      </c>
      <c r="E8610">
        <v>10.4</v>
      </c>
      <c r="F8610">
        <v>6.6</v>
      </c>
    </row>
    <row r="8611" spans="1:6" x14ac:dyDescent="0.3">
      <c r="A8611" t="s">
        <v>14733</v>
      </c>
      <c r="B8611" t="s">
        <v>14734</v>
      </c>
      <c r="C8611" t="s">
        <v>14735</v>
      </c>
      <c r="D8611">
        <v>113102037</v>
      </c>
      <c r="E8611" t="s">
        <v>3814</v>
      </c>
      <c r="F8611">
        <v>6.13</v>
      </c>
    </row>
    <row r="8612" spans="1:6" x14ac:dyDescent="0.3">
      <c r="A8612" t="s">
        <v>14736</v>
      </c>
      <c r="B8612" t="s">
        <v>13069</v>
      </c>
      <c r="C8612" t="s">
        <v>4723</v>
      </c>
      <c r="D8612">
        <v>113126362</v>
      </c>
      <c r="E8612">
        <v>1.4</v>
      </c>
      <c r="F8612">
        <v>8.01</v>
      </c>
    </row>
    <row r="8613" spans="1:6" x14ac:dyDescent="0.3">
      <c r="A8613" t="s">
        <v>14737</v>
      </c>
      <c r="B8613" t="s">
        <v>13018</v>
      </c>
      <c r="C8613" t="s">
        <v>13616</v>
      </c>
      <c r="D8613">
        <v>113138871</v>
      </c>
      <c r="E8613">
        <v>1.03</v>
      </c>
      <c r="F8613">
        <v>7.63</v>
      </c>
    </row>
    <row r="8614" spans="1:6" x14ac:dyDescent="0.3">
      <c r="A8614" t="s">
        <v>14738</v>
      </c>
      <c r="B8614" t="s">
        <v>12160</v>
      </c>
      <c r="C8614" t="s">
        <v>5467</v>
      </c>
      <c r="D8614">
        <v>113138918</v>
      </c>
      <c r="E8614">
        <v>21</v>
      </c>
      <c r="F8614">
        <v>7.29</v>
      </c>
    </row>
    <row r="8615" spans="1:6" x14ac:dyDescent="0.3">
      <c r="A8615" t="s">
        <v>4127</v>
      </c>
      <c r="B8615" t="s">
        <v>6814</v>
      </c>
      <c r="C8615" t="s">
        <v>5809</v>
      </c>
      <c r="D8615">
        <v>113139862</v>
      </c>
      <c r="E8615">
        <v>2.17</v>
      </c>
      <c r="F8615">
        <v>8.17</v>
      </c>
    </row>
    <row r="8616" spans="1:6" x14ac:dyDescent="0.3">
      <c r="A8616" t="s">
        <v>14739</v>
      </c>
      <c r="B8616" t="s">
        <v>14740</v>
      </c>
      <c r="C8616" t="s">
        <v>5841</v>
      </c>
      <c r="D8616">
        <v>113152514</v>
      </c>
      <c r="E8616">
        <v>8.06</v>
      </c>
      <c r="F8616">
        <v>7.93</v>
      </c>
    </row>
    <row r="8617" spans="1:6" x14ac:dyDescent="0.3">
      <c r="A8617" t="s">
        <v>14741</v>
      </c>
      <c r="B8617" t="s">
        <v>14430</v>
      </c>
      <c r="C8617" t="s">
        <v>14585</v>
      </c>
      <c r="D8617">
        <v>113155871</v>
      </c>
      <c r="E8617">
        <v>21</v>
      </c>
      <c r="F8617">
        <v>6.75</v>
      </c>
    </row>
    <row r="8618" spans="1:6" x14ac:dyDescent="0.3">
      <c r="A8618" t="s">
        <v>14742</v>
      </c>
      <c r="B8618" t="s">
        <v>14743</v>
      </c>
      <c r="C8618" t="s">
        <v>14744</v>
      </c>
      <c r="D8618">
        <v>113198128</v>
      </c>
      <c r="E8618" t="s">
        <v>3814</v>
      </c>
      <c r="F8618">
        <v>8.1300000000000008</v>
      </c>
    </row>
    <row r="8619" spans="1:6" x14ac:dyDescent="0.3">
      <c r="A8619" t="s">
        <v>14745</v>
      </c>
      <c r="B8619" t="s">
        <v>14746</v>
      </c>
      <c r="C8619" t="s">
        <v>14747</v>
      </c>
      <c r="D8619">
        <v>113220284</v>
      </c>
      <c r="E8619" t="s">
        <v>3814</v>
      </c>
      <c r="F8619" t="s">
        <v>3814</v>
      </c>
    </row>
    <row r="8620" spans="1:6" x14ac:dyDescent="0.3">
      <c r="A8620" t="s">
        <v>14748</v>
      </c>
      <c r="B8620" t="s">
        <v>5031</v>
      </c>
      <c r="C8620" t="s">
        <v>1194</v>
      </c>
      <c r="D8620">
        <v>113246618</v>
      </c>
      <c r="E8620">
        <v>2.21</v>
      </c>
      <c r="F8620">
        <v>7.74</v>
      </c>
    </row>
    <row r="8621" spans="1:6" x14ac:dyDescent="0.3">
      <c r="A8621" t="s">
        <v>14749</v>
      </c>
      <c r="B8621" t="s">
        <v>12461</v>
      </c>
      <c r="C8621" t="s">
        <v>14750</v>
      </c>
      <c r="D8621">
        <v>113246934</v>
      </c>
      <c r="E8621">
        <v>2.27</v>
      </c>
      <c r="F8621">
        <v>8.64</v>
      </c>
    </row>
    <row r="8622" spans="1:6" x14ac:dyDescent="0.3">
      <c r="A8622" t="s">
        <v>14751</v>
      </c>
      <c r="B8622" t="s">
        <v>14752</v>
      </c>
      <c r="C8622" t="s">
        <v>7840</v>
      </c>
      <c r="D8622">
        <v>113249065</v>
      </c>
      <c r="E8622">
        <v>7.97</v>
      </c>
      <c r="F8622">
        <v>7.43</v>
      </c>
    </row>
    <row r="8623" spans="1:6" x14ac:dyDescent="0.3">
      <c r="A8623" t="s">
        <v>14753</v>
      </c>
      <c r="B8623" t="s">
        <v>6676</v>
      </c>
      <c r="C8623" t="s">
        <v>14754</v>
      </c>
      <c r="D8623">
        <v>113250510</v>
      </c>
      <c r="E8623">
        <v>16.12</v>
      </c>
      <c r="F8623">
        <v>6.62</v>
      </c>
    </row>
    <row r="8624" spans="1:6" x14ac:dyDescent="0.3">
      <c r="A8624" t="s">
        <v>14755</v>
      </c>
      <c r="B8624" t="s">
        <v>12696</v>
      </c>
      <c r="C8624" t="s">
        <v>14756</v>
      </c>
      <c r="D8624">
        <v>113256161</v>
      </c>
      <c r="E8624" t="s">
        <v>3814</v>
      </c>
      <c r="F8624">
        <v>7.17</v>
      </c>
    </row>
    <row r="8625" spans="1:6" x14ac:dyDescent="0.3">
      <c r="A8625" t="s">
        <v>7688</v>
      </c>
      <c r="B8625" t="s">
        <v>14757</v>
      </c>
      <c r="C8625" t="s">
        <v>741</v>
      </c>
      <c r="D8625">
        <v>113256247</v>
      </c>
      <c r="E8625" t="s">
        <v>3814</v>
      </c>
      <c r="F8625" t="s">
        <v>3814</v>
      </c>
    </row>
    <row r="8626" spans="1:6" x14ac:dyDescent="0.3">
      <c r="A8626" t="s">
        <v>14758</v>
      </c>
      <c r="B8626" t="s">
        <v>11484</v>
      </c>
      <c r="C8626" t="s">
        <v>916</v>
      </c>
      <c r="D8626">
        <v>113256761</v>
      </c>
      <c r="E8626">
        <v>2.64</v>
      </c>
      <c r="F8626">
        <v>7.83</v>
      </c>
    </row>
    <row r="8627" spans="1:6" x14ac:dyDescent="0.3">
      <c r="A8627" t="s">
        <v>14759</v>
      </c>
      <c r="B8627" t="s">
        <v>14760</v>
      </c>
      <c r="C8627" t="s">
        <v>11005</v>
      </c>
      <c r="D8627">
        <v>113258273</v>
      </c>
      <c r="E8627">
        <v>1.67</v>
      </c>
      <c r="F8627">
        <v>8.02</v>
      </c>
    </row>
    <row r="8628" spans="1:6" x14ac:dyDescent="0.3">
      <c r="A8628" t="s">
        <v>14761</v>
      </c>
      <c r="B8628" t="s">
        <v>9081</v>
      </c>
      <c r="C8628" t="s">
        <v>14762</v>
      </c>
      <c r="D8628">
        <v>113264016</v>
      </c>
      <c r="E8628">
        <v>2.88</v>
      </c>
      <c r="F8628">
        <v>7.94</v>
      </c>
    </row>
    <row r="8629" spans="1:6" x14ac:dyDescent="0.3">
      <c r="A8629" t="s">
        <v>14763</v>
      </c>
      <c r="B8629" t="s">
        <v>12116</v>
      </c>
      <c r="C8629" t="s">
        <v>9515</v>
      </c>
      <c r="D8629">
        <v>113276574</v>
      </c>
      <c r="E8629">
        <v>10.26</v>
      </c>
      <c r="F8629">
        <v>9.17</v>
      </c>
    </row>
    <row r="8630" spans="1:6" x14ac:dyDescent="0.3">
      <c r="A8630" t="s">
        <v>14764</v>
      </c>
      <c r="B8630" t="s">
        <v>13683</v>
      </c>
      <c r="C8630" t="s">
        <v>10789</v>
      </c>
      <c r="D8630">
        <v>113281532</v>
      </c>
      <c r="E8630">
        <v>12.93</v>
      </c>
      <c r="F8630">
        <v>8.86</v>
      </c>
    </row>
    <row r="8631" spans="1:6" x14ac:dyDescent="0.3">
      <c r="A8631" t="s">
        <v>14765</v>
      </c>
      <c r="B8631" t="s">
        <v>9717</v>
      </c>
      <c r="C8631" t="s">
        <v>14766</v>
      </c>
      <c r="D8631">
        <v>113315002</v>
      </c>
      <c r="E8631">
        <v>2.13</v>
      </c>
      <c r="F8631">
        <v>8.51</v>
      </c>
    </row>
    <row r="8632" spans="1:6" x14ac:dyDescent="0.3">
      <c r="A8632" t="s">
        <v>14767</v>
      </c>
      <c r="B8632" t="s">
        <v>11838</v>
      </c>
      <c r="C8632" t="s">
        <v>14768</v>
      </c>
      <c r="D8632">
        <v>113330399</v>
      </c>
      <c r="E8632">
        <v>17.670000000000002</v>
      </c>
      <c r="F8632">
        <v>6.33</v>
      </c>
    </row>
    <row r="8633" spans="1:6" x14ac:dyDescent="0.3">
      <c r="A8633" t="s">
        <v>14769</v>
      </c>
      <c r="B8633" t="s">
        <v>14770</v>
      </c>
      <c r="C8633" t="s">
        <v>13433</v>
      </c>
      <c r="D8633">
        <v>113354836</v>
      </c>
      <c r="E8633" t="s">
        <v>3814</v>
      </c>
      <c r="F8633">
        <v>7.18</v>
      </c>
    </row>
    <row r="8634" spans="1:6" x14ac:dyDescent="0.3">
      <c r="A8634" t="s">
        <v>14771</v>
      </c>
      <c r="B8634" t="s">
        <v>14772</v>
      </c>
      <c r="C8634" t="s">
        <v>14773</v>
      </c>
      <c r="D8634">
        <v>113362468</v>
      </c>
      <c r="E8634" t="s">
        <v>3814</v>
      </c>
      <c r="F8634">
        <v>7.89</v>
      </c>
    </row>
    <row r="8635" spans="1:6" x14ac:dyDescent="0.3">
      <c r="A8635" t="s">
        <v>14774</v>
      </c>
      <c r="B8635" t="s">
        <v>9483</v>
      </c>
      <c r="C8635" t="s">
        <v>14775</v>
      </c>
      <c r="D8635">
        <v>113395417</v>
      </c>
      <c r="E8635">
        <v>1</v>
      </c>
      <c r="F8635">
        <v>7.04</v>
      </c>
    </row>
    <row r="8636" spans="1:6" x14ac:dyDescent="0.3">
      <c r="A8636" t="s">
        <v>14776</v>
      </c>
      <c r="B8636" t="s">
        <v>1576</v>
      </c>
      <c r="C8636" t="s">
        <v>14776</v>
      </c>
      <c r="D8636">
        <v>113409074</v>
      </c>
      <c r="E8636">
        <v>3.12</v>
      </c>
      <c r="F8636">
        <v>5.93</v>
      </c>
    </row>
    <row r="8637" spans="1:6" x14ac:dyDescent="0.3">
      <c r="A8637" t="s">
        <v>14777</v>
      </c>
      <c r="B8637" t="s">
        <v>14778</v>
      </c>
      <c r="C8637" t="s">
        <v>13990</v>
      </c>
      <c r="D8637">
        <v>113438453</v>
      </c>
      <c r="E8637" t="s">
        <v>3814</v>
      </c>
      <c r="F8637">
        <v>6.64</v>
      </c>
    </row>
    <row r="8638" spans="1:6" x14ac:dyDescent="0.3">
      <c r="A8638" t="s">
        <v>14779</v>
      </c>
      <c r="B8638" t="s">
        <v>14780</v>
      </c>
      <c r="C8638" t="s">
        <v>14577</v>
      </c>
      <c r="D8638">
        <v>113439463</v>
      </c>
      <c r="E8638" t="s">
        <v>3814</v>
      </c>
      <c r="F8638">
        <v>7.8</v>
      </c>
    </row>
    <row r="8639" spans="1:6" x14ac:dyDescent="0.3">
      <c r="A8639" t="s">
        <v>14781</v>
      </c>
      <c r="B8639" t="s">
        <v>7568</v>
      </c>
      <c r="C8639" t="s">
        <v>14782</v>
      </c>
      <c r="D8639">
        <v>113443235</v>
      </c>
      <c r="E8639" t="s">
        <v>3814</v>
      </c>
      <c r="F8639" t="s">
        <v>3814</v>
      </c>
    </row>
    <row r="8640" spans="1:6" x14ac:dyDescent="0.3">
      <c r="A8640" t="s">
        <v>14783</v>
      </c>
      <c r="B8640" t="s">
        <v>6611</v>
      </c>
      <c r="C8640" t="s">
        <v>14784</v>
      </c>
      <c r="D8640">
        <v>113464561</v>
      </c>
      <c r="E8640">
        <v>23</v>
      </c>
      <c r="F8640">
        <v>7.8</v>
      </c>
    </row>
    <row r="8641" spans="1:6" x14ac:dyDescent="0.3">
      <c r="A8641" t="s">
        <v>14785</v>
      </c>
      <c r="B8641" t="s">
        <v>10219</v>
      </c>
      <c r="C8641" t="s">
        <v>14786</v>
      </c>
      <c r="D8641">
        <v>113469685</v>
      </c>
      <c r="E8641">
        <v>2.74</v>
      </c>
      <c r="F8641">
        <v>6.91</v>
      </c>
    </row>
    <row r="8642" spans="1:6" x14ac:dyDescent="0.3">
      <c r="A8642" t="s">
        <v>14787</v>
      </c>
      <c r="B8642" t="s">
        <v>14788</v>
      </c>
      <c r="C8642" t="s">
        <v>14789</v>
      </c>
      <c r="D8642">
        <v>113472000</v>
      </c>
      <c r="E8642">
        <v>3.02</v>
      </c>
      <c r="F8642">
        <v>8.68</v>
      </c>
    </row>
    <row r="8643" spans="1:6" x14ac:dyDescent="0.3">
      <c r="A8643" t="s">
        <v>14790</v>
      </c>
      <c r="B8643" t="s">
        <v>11425</v>
      </c>
      <c r="C8643" t="s">
        <v>1573</v>
      </c>
      <c r="D8643">
        <v>113484363</v>
      </c>
      <c r="E8643">
        <v>12.84</v>
      </c>
      <c r="F8643">
        <v>7.79</v>
      </c>
    </row>
    <row r="8644" spans="1:6" x14ac:dyDescent="0.3">
      <c r="A8644" t="s">
        <v>14791</v>
      </c>
      <c r="B8644" t="s">
        <v>4154</v>
      </c>
      <c r="C8644" t="s">
        <v>14792</v>
      </c>
      <c r="D8644">
        <v>113495588</v>
      </c>
      <c r="E8644">
        <v>5.41</v>
      </c>
      <c r="F8644">
        <v>8.16</v>
      </c>
    </row>
    <row r="8645" spans="1:6" x14ac:dyDescent="0.3">
      <c r="A8645" t="s">
        <v>7215</v>
      </c>
      <c r="B8645" t="s">
        <v>14793</v>
      </c>
      <c r="C8645" t="s">
        <v>14794</v>
      </c>
      <c r="D8645">
        <v>113507295</v>
      </c>
      <c r="E8645" t="s">
        <v>3814</v>
      </c>
      <c r="F8645">
        <v>4</v>
      </c>
    </row>
    <row r="8646" spans="1:6" x14ac:dyDescent="0.3">
      <c r="A8646" t="s">
        <v>14795</v>
      </c>
      <c r="B8646" t="s">
        <v>4787</v>
      </c>
      <c r="C8646" t="s">
        <v>6393</v>
      </c>
      <c r="D8646">
        <v>113511091</v>
      </c>
      <c r="E8646">
        <v>8.06</v>
      </c>
      <c r="F8646">
        <v>7.79</v>
      </c>
    </row>
    <row r="8647" spans="1:6" x14ac:dyDescent="0.3">
      <c r="A8647" t="s">
        <v>14796</v>
      </c>
      <c r="B8647" t="s">
        <v>14797</v>
      </c>
      <c r="C8647" t="s">
        <v>14798</v>
      </c>
      <c r="D8647">
        <v>113541536</v>
      </c>
      <c r="E8647">
        <v>1.24</v>
      </c>
      <c r="F8647">
        <v>7.05</v>
      </c>
    </row>
    <row r="8648" spans="1:6" x14ac:dyDescent="0.3">
      <c r="A8648" t="s">
        <v>13553</v>
      </c>
      <c r="B8648" t="s">
        <v>14799</v>
      </c>
      <c r="C8648" t="s">
        <v>13553</v>
      </c>
      <c r="D8648">
        <v>113542306</v>
      </c>
      <c r="E8648">
        <v>8.0399999999999991</v>
      </c>
      <c r="F8648">
        <v>7.85</v>
      </c>
    </row>
    <row r="8649" spans="1:6" x14ac:dyDescent="0.3">
      <c r="A8649" t="s">
        <v>14800</v>
      </c>
      <c r="B8649" t="s">
        <v>14801</v>
      </c>
      <c r="C8649" t="s">
        <v>9060</v>
      </c>
      <c r="D8649">
        <v>113544846</v>
      </c>
      <c r="E8649">
        <v>25</v>
      </c>
      <c r="F8649">
        <v>7.5</v>
      </c>
    </row>
    <row r="8650" spans="1:6" x14ac:dyDescent="0.3">
      <c r="A8650" t="s">
        <v>14802</v>
      </c>
      <c r="B8650" t="s">
        <v>8020</v>
      </c>
      <c r="C8650" t="e">
        <f>-Orr- Soaring in The Stars</f>
        <v>#NAME?</v>
      </c>
      <c r="D8650">
        <v>113546590</v>
      </c>
      <c r="E8650">
        <v>3.38</v>
      </c>
      <c r="F8650">
        <v>7.19</v>
      </c>
    </row>
    <row r="8651" spans="1:6" x14ac:dyDescent="0.3">
      <c r="A8651" t="s">
        <v>14803</v>
      </c>
      <c r="B8651" t="s">
        <v>14804</v>
      </c>
      <c r="C8651" t="s">
        <v>6534</v>
      </c>
      <c r="D8651">
        <v>113550212</v>
      </c>
      <c r="E8651">
        <v>18.829999999999998</v>
      </c>
      <c r="F8651">
        <v>3.33</v>
      </c>
    </row>
    <row r="8652" spans="1:6" x14ac:dyDescent="0.3">
      <c r="A8652" t="s">
        <v>14805</v>
      </c>
      <c r="B8652" t="s">
        <v>14143</v>
      </c>
      <c r="C8652" t="s">
        <v>14806</v>
      </c>
      <c r="D8652">
        <v>113553729</v>
      </c>
      <c r="E8652" t="s">
        <v>3814</v>
      </c>
      <c r="F8652">
        <v>5.25</v>
      </c>
    </row>
    <row r="8653" spans="1:6" x14ac:dyDescent="0.3">
      <c r="A8653" t="s">
        <v>14807</v>
      </c>
      <c r="B8653" t="s">
        <v>12471</v>
      </c>
      <c r="C8653" t="s">
        <v>14807</v>
      </c>
      <c r="D8653">
        <v>113554991</v>
      </c>
      <c r="E8653">
        <v>11.81</v>
      </c>
      <c r="F8653">
        <v>8.35</v>
      </c>
    </row>
    <row r="8654" spans="1:6" x14ac:dyDescent="0.3">
      <c r="A8654" t="s">
        <v>14808</v>
      </c>
      <c r="B8654" t="s">
        <v>13485</v>
      </c>
      <c r="C8654" t="s">
        <v>14809</v>
      </c>
      <c r="D8654">
        <v>113572545</v>
      </c>
      <c r="E8654" t="s">
        <v>3814</v>
      </c>
      <c r="F8654">
        <v>8.36</v>
      </c>
    </row>
    <row r="8655" spans="1:6" x14ac:dyDescent="0.3">
      <c r="A8655" t="s">
        <v>14810</v>
      </c>
      <c r="B8655" t="s">
        <v>14178</v>
      </c>
      <c r="C8655" t="s">
        <v>14811</v>
      </c>
      <c r="D8655">
        <v>113580869</v>
      </c>
      <c r="E8655" t="s">
        <v>3814</v>
      </c>
      <c r="F8655">
        <v>0</v>
      </c>
    </row>
    <row r="8656" spans="1:6" x14ac:dyDescent="0.3">
      <c r="A8656" t="s">
        <v>14812</v>
      </c>
      <c r="B8656" t="s">
        <v>8319</v>
      </c>
      <c r="C8656" t="s">
        <v>8897</v>
      </c>
      <c r="D8656">
        <v>113589866</v>
      </c>
      <c r="E8656">
        <v>2.65</v>
      </c>
      <c r="F8656">
        <v>5.95</v>
      </c>
    </row>
    <row r="8657" spans="1:6" x14ac:dyDescent="0.3">
      <c r="A8657" t="s">
        <v>14813</v>
      </c>
      <c r="B8657" t="s">
        <v>4439</v>
      </c>
      <c r="C8657" t="s">
        <v>5467</v>
      </c>
      <c r="D8657">
        <v>113599729</v>
      </c>
      <c r="E8657" t="s">
        <v>3814</v>
      </c>
      <c r="F8657" t="s">
        <v>3814</v>
      </c>
    </row>
    <row r="8658" spans="1:6" x14ac:dyDescent="0.3">
      <c r="A8658" t="s">
        <v>1373</v>
      </c>
      <c r="B8658" t="s">
        <v>9917</v>
      </c>
      <c r="C8658" t="s">
        <v>1375</v>
      </c>
      <c r="D8658">
        <v>113609520</v>
      </c>
      <c r="E8658">
        <v>9.14</v>
      </c>
      <c r="F8658">
        <v>8.1199999999999992</v>
      </c>
    </row>
    <row r="8659" spans="1:6" x14ac:dyDescent="0.3">
      <c r="A8659" t="s">
        <v>14814</v>
      </c>
      <c r="B8659" t="s">
        <v>12120</v>
      </c>
      <c r="C8659" t="s">
        <v>1336</v>
      </c>
      <c r="D8659">
        <v>113620104</v>
      </c>
      <c r="E8659">
        <v>22.83</v>
      </c>
      <c r="F8659">
        <v>7.33</v>
      </c>
    </row>
    <row r="8660" spans="1:6" x14ac:dyDescent="0.3">
      <c r="A8660" t="s">
        <v>7050</v>
      </c>
      <c r="B8660" t="s">
        <v>13891</v>
      </c>
      <c r="C8660" t="s">
        <v>7050</v>
      </c>
      <c r="D8660">
        <v>113624438</v>
      </c>
      <c r="E8660">
        <v>7.12</v>
      </c>
      <c r="F8660">
        <v>7.88</v>
      </c>
    </row>
    <row r="8661" spans="1:6" x14ac:dyDescent="0.3">
      <c r="A8661" t="s">
        <v>14815</v>
      </c>
      <c r="B8661" t="s">
        <v>14816</v>
      </c>
      <c r="C8661" t="s">
        <v>14817</v>
      </c>
      <c r="D8661">
        <v>113631362</v>
      </c>
      <c r="E8661">
        <v>14</v>
      </c>
      <c r="F8661">
        <v>7.6</v>
      </c>
    </row>
    <row r="8662" spans="1:6" x14ac:dyDescent="0.3">
      <c r="A8662" t="s">
        <v>14818</v>
      </c>
      <c r="B8662" t="s">
        <v>13807</v>
      </c>
      <c r="C8662" t="s">
        <v>14819</v>
      </c>
      <c r="D8662">
        <v>113648094</v>
      </c>
      <c r="E8662">
        <v>4.62</v>
      </c>
      <c r="F8662">
        <v>8.39</v>
      </c>
    </row>
    <row r="8663" spans="1:6" x14ac:dyDescent="0.3">
      <c r="A8663" t="s">
        <v>14820</v>
      </c>
      <c r="B8663" t="s">
        <v>13386</v>
      </c>
      <c r="C8663" t="s">
        <v>6307</v>
      </c>
      <c r="D8663">
        <v>113659663</v>
      </c>
      <c r="E8663">
        <v>6.39</v>
      </c>
      <c r="F8663">
        <v>8.8000000000000007</v>
      </c>
    </row>
    <row r="8664" spans="1:6" x14ac:dyDescent="0.3">
      <c r="A8664" t="s">
        <v>14821</v>
      </c>
      <c r="B8664" t="s">
        <v>1899</v>
      </c>
      <c r="C8664" t="s">
        <v>5029</v>
      </c>
      <c r="D8664">
        <v>113670236</v>
      </c>
      <c r="E8664">
        <v>3.65</v>
      </c>
      <c r="F8664">
        <v>7.63</v>
      </c>
    </row>
    <row r="8665" spans="1:6" x14ac:dyDescent="0.3">
      <c r="A8665" t="s">
        <v>14822</v>
      </c>
      <c r="B8665" t="s">
        <v>14823</v>
      </c>
      <c r="C8665" t="s">
        <v>4592</v>
      </c>
      <c r="D8665">
        <v>113685088</v>
      </c>
      <c r="E8665">
        <v>22</v>
      </c>
      <c r="F8665">
        <v>8</v>
      </c>
    </row>
    <row r="8666" spans="1:6" x14ac:dyDescent="0.3">
      <c r="A8666" t="s">
        <v>14824</v>
      </c>
      <c r="B8666" t="s">
        <v>11564</v>
      </c>
      <c r="C8666" t="s">
        <v>1129</v>
      </c>
      <c r="D8666">
        <v>113689323</v>
      </c>
      <c r="E8666">
        <v>1.76</v>
      </c>
      <c r="F8666">
        <v>7.92</v>
      </c>
    </row>
    <row r="8667" spans="1:6" x14ac:dyDescent="0.3">
      <c r="A8667" t="s">
        <v>14825</v>
      </c>
      <c r="B8667" t="s">
        <v>12461</v>
      </c>
      <c r="C8667" t="s">
        <v>14826</v>
      </c>
      <c r="D8667">
        <v>113697035</v>
      </c>
      <c r="E8667" t="s">
        <v>3814</v>
      </c>
      <c r="F8667">
        <v>7.68</v>
      </c>
    </row>
    <row r="8668" spans="1:6" x14ac:dyDescent="0.3">
      <c r="A8668" t="s">
        <v>14827</v>
      </c>
      <c r="B8668" t="s">
        <v>6887</v>
      </c>
      <c r="C8668" t="s">
        <v>14828</v>
      </c>
      <c r="D8668">
        <v>113699954</v>
      </c>
      <c r="E8668" t="s">
        <v>3814</v>
      </c>
      <c r="F8668">
        <v>5.6</v>
      </c>
    </row>
    <row r="8669" spans="1:6" x14ac:dyDescent="0.3">
      <c r="A8669" t="s">
        <v>14829</v>
      </c>
      <c r="B8669" t="s">
        <v>5206</v>
      </c>
      <c r="C8669" t="s">
        <v>14830</v>
      </c>
      <c r="D8669">
        <v>113710225</v>
      </c>
      <c r="E8669" t="s">
        <v>3814</v>
      </c>
      <c r="F8669">
        <v>7.36</v>
      </c>
    </row>
    <row r="8670" spans="1:6" x14ac:dyDescent="0.3">
      <c r="A8670" t="s">
        <v>14831</v>
      </c>
      <c r="B8670" t="s">
        <v>14832</v>
      </c>
      <c r="C8670" t="s">
        <v>14833</v>
      </c>
      <c r="D8670">
        <v>113710624</v>
      </c>
      <c r="E8670">
        <v>21</v>
      </c>
      <c r="F8670">
        <v>7</v>
      </c>
    </row>
    <row r="8671" spans="1:6" x14ac:dyDescent="0.3">
      <c r="A8671" t="s">
        <v>14834</v>
      </c>
      <c r="B8671" t="s">
        <v>11811</v>
      </c>
      <c r="C8671" t="s">
        <v>5281</v>
      </c>
      <c r="D8671">
        <v>113716462</v>
      </c>
      <c r="E8671">
        <v>20.83</v>
      </c>
      <c r="F8671">
        <v>7.69</v>
      </c>
    </row>
    <row r="8672" spans="1:6" x14ac:dyDescent="0.3">
      <c r="A8672" t="s">
        <v>14835</v>
      </c>
      <c r="B8672" t="s">
        <v>1890</v>
      </c>
      <c r="C8672" t="s">
        <v>727</v>
      </c>
      <c r="D8672">
        <v>113719961</v>
      </c>
      <c r="E8672">
        <v>20.25</v>
      </c>
      <c r="F8672">
        <v>3.75</v>
      </c>
    </row>
    <row r="8673" spans="1:6" x14ac:dyDescent="0.3">
      <c r="A8673" t="s">
        <v>14836</v>
      </c>
      <c r="B8673" t="s">
        <v>14837</v>
      </c>
      <c r="C8673" t="s">
        <v>14838</v>
      </c>
      <c r="D8673">
        <v>113736182</v>
      </c>
      <c r="E8673" t="s">
        <v>3814</v>
      </c>
      <c r="F8673">
        <v>8.14</v>
      </c>
    </row>
    <row r="8674" spans="1:6" x14ac:dyDescent="0.3">
      <c r="A8674" t="s">
        <v>14839</v>
      </c>
      <c r="B8674" t="s">
        <v>12661</v>
      </c>
      <c r="C8674" t="s">
        <v>10146</v>
      </c>
      <c r="D8674">
        <v>113773717</v>
      </c>
      <c r="E8674" t="s">
        <v>3814</v>
      </c>
      <c r="F8674">
        <v>5.6</v>
      </c>
    </row>
    <row r="8675" spans="1:6" x14ac:dyDescent="0.3">
      <c r="A8675" t="s">
        <v>6941</v>
      </c>
      <c r="B8675" t="s">
        <v>4690</v>
      </c>
      <c r="C8675" t="s">
        <v>7714</v>
      </c>
      <c r="D8675">
        <v>113780375</v>
      </c>
      <c r="E8675">
        <v>2.75</v>
      </c>
      <c r="F8675">
        <v>7.76</v>
      </c>
    </row>
    <row r="8676" spans="1:6" x14ac:dyDescent="0.3">
      <c r="A8676" t="s">
        <v>14840</v>
      </c>
      <c r="B8676" t="s">
        <v>6949</v>
      </c>
      <c r="C8676" t="s">
        <v>14841</v>
      </c>
      <c r="D8676">
        <v>113791480</v>
      </c>
      <c r="E8676">
        <v>5.98</v>
      </c>
      <c r="F8676">
        <v>5.13</v>
      </c>
    </row>
    <row r="8677" spans="1:6" x14ac:dyDescent="0.3">
      <c r="A8677" t="s">
        <v>14842</v>
      </c>
      <c r="B8677" t="s">
        <v>12273</v>
      </c>
      <c r="C8677" t="s">
        <v>10382</v>
      </c>
      <c r="D8677">
        <v>113810641</v>
      </c>
      <c r="E8677" t="s">
        <v>3814</v>
      </c>
      <c r="F8677">
        <v>8</v>
      </c>
    </row>
    <row r="8678" spans="1:6" x14ac:dyDescent="0.3">
      <c r="A8678" t="s">
        <v>14843</v>
      </c>
      <c r="B8678" t="s">
        <v>14844</v>
      </c>
      <c r="C8678" t="s">
        <v>14845</v>
      </c>
      <c r="D8678">
        <v>113818676</v>
      </c>
      <c r="E8678" t="s">
        <v>3814</v>
      </c>
      <c r="F8678">
        <v>6.8</v>
      </c>
    </row>
    <row r="8679" spans="1:6" x14ac:dyDescent="0.3">
      <c r="A8679" t="s">
        <v>14846</v>
      </c>
      <c r="B8679" t="s">
        <v>8161</v>
      </c>
      <c r="C8679" t="s">
        <v>5025</v>
      </c>
      <c r="D8679">
        <v>113833738</v>
      </c>
      <c r="E8679">
        <v>15.04</v>
      </c>
      <c r="F8679">
        <v>6.78</v>
      </c>
    </row>
    <row r="8680" spans="1:6" x14ac:dyDescent="0.3">
      <c r="A8680" t="s">
        <v>14847</v>
      </c>
      <c r="B8680" t="s">
        <v>14848</v>
      </c>
      <c r="C8680" t="s">
        <v>14849</v>
      </c>
      <c r="D8680">
        <v>113869919</v>
      </c>
      <c r="E8680" t="s">
        <v>3814</v>
      </c>
      <c r="F8680">
        <v>5.83</v>
      </c>
    </row>
    <row r="8681" spans="1:6" x14ac:dyDescent="0.3">
      <c r="A8681" t="s">
        <v>14850</v>
      </c>
      <c r="B8681" t="s">
        <v>6903</v>
      </c>
      <c r="C8681" t="s">
        <v>1843</v>
      </c>
      <c r="D8681">
        <v>113886832</v>
      </c>
      <c r="E8681">
        <v>2.1</v>
      </c>
      <c r="F8681">
        <v>8.19</v>
      </c>
    </row>
    <row r="8682" spans="1:6" x14ac:dyDescent="0.3">
      <c r="A8682" t="s">
        <v>14851</v>
      </c>
      <c r="B8682" t="s">
        <v>11443</v>
      </c>
      <c r="C8682" t="s">
        <v>8216</v>
      </c>
      <c r="D8682">
        <v>113888121</v>
      </c>
      <c r="E8682">
        <v>2.87</v>
      </c>
      <c r="F8682">
        <v>7.02</v>
      </c>
    </row>
    <row r="8683" spans="1:6" x14ac:dyDescent="0.3">
      <c r="A8683" t="s">
        <v>14852</v>
      </c>
      <c r="B8683" t="s">
        <v>3730</v>
      </c>
      <c r="C8683" t="s">
        <v>14853</v>
      </c>
      <c r="D8683">
        <v>113922391</v>
      </c>
      <c r="E8683" t="s">
        <v>3814</v>
      </c>
      <c r="F8683">
        <v>9.5399999999999991</v>
      </c>
    </row>
    <row r="8684" spans="1:6" x14ac:dyDescent="0.3">
      <c r="A8684" t="s">
        <v>14854</v>
      </c>
      <c r="B8684" t="s">
        <v>14855</v>
      </c>
      <c r="C8684" t="s">
        <v>5694</v>
      </c>
      <c r="D8684">
        <v>113933353</v>
      </c>
      <c r="E8684" t="s">
        <v>3814</v>
      </c>
      <c r="F8684">
        <v>5.94</v>
      </c>
    </row>
    <row r="8685" spans="1:6" x14ac:dyDescent="0.3">
      <c r="A8685" t="s">
        <v>14856</v>
      </c>
      <c r="B8685" t="s">
        <v>12414</v>
      </c>
      <c r="C8685" t="s">
        <v>11020</v>
      </c>
      <c r="D8685">
        <v>113953500</v>
      </c>
      <c r="E8685" t="s">
        <v>3814</v>
      </c>
      <c r="F8685">
        <v>7.26</v>
      </c>
    </row>
    <row r="8686" spans="1:6" x14ac:dyDescent="0.3">
      <c r="A8686" t="s">
        <v>14857</v>
      </c>
      <c r="B8686" t="s">
        <v>3469</v>
      </c>
      <c r="C8686" t="s">
        <v>14858</v>
      </c>
      <c r="D8686">
        <v>113955848</v>
      </c>
      <c r="E8686">
        <v>3.4</v>
      </c>
      <c r="F8686">
        <v>7.13</v>
      </c>
    </row>
    <row r="8687" spans="1:6" x14ac:dyDescent="0.3">
      <c r="A8687" t="s">
        <v>14859</v>
      </c>
      <c r="B8687" t="s">
        <v>14860</v>
      </c>
      <c r="C8687" t="s">
        <v>14861</v>
      </c>
      <c r="D8687">
        <v>113985283</v>
      </c>
      <c r="E8687">
        <v>12.74</v>
      </c>
      <c r="F8687">
        <v>8.68</v>
      </c>
    </row>
    <row r="8688" spans="1:6" x14ac:dyDescent="0.3">
      <c r="A8688" t="s">
        <v>14862</v>
      </c>
      <c r="B8688" t="s">
        <v>14863</v>
      </c>
      <c r="C8688" t="s">
        <v>9527</v>
      </c>
      <c r="D8688">
        <v>113991489</v>
      </c>
      <c r="E8688" t="s">
        <v>3814</v>
      </c>
      <c r="F8688">
        <v>8.67</v>
      </c>
    </row>
    <row r="8689" spans="1:6" x14ac:dyDescent="0.3">
      <c r="A8689" t="s">
        <v>14864</v>
      </c>
      <c r="B8689" t="s">
        <v>9455</v>
      </c>
      <c r="C8689" t="s">
        <v>14864</v>
      </c>
      <c r="D8689">
        <v>114006382</v>
      </c>
      <c r="E8689">
        <v>14.02</v>
      </c>
      <c r="F8689">
        <v>7.97</v>
      </c>
    </row>
    <row r="8690" spans="1:6" x14ac:dyDescent="0.3">
      <c r="A8690" t="s">
        <v>14865</v>
      </c>
      <c r="B8690" t="s">
        <v>14866</v>
      </c>
      <c r="C8690" t="s">
        <v>14867</v>
      </c>
      <c r="D8690">
        <v>114036993</v>
      </c>
      <c r="E8690" t="s">
        <v>3814</v>
      </c>
      <c r="F8690">
        <v>7</v>
      </c>
    </row>
    <row r="8691" spans="1:6" x14ac:dyDescent="0.3">
      <c r="A8691" t="s">
        <v>14868</v>
      </c>
      <c r="B8691" t="s">
        <v>14556</v>
      </c>
      <c r="C8691" t="s">
        <v>14869</v>
      </c>
      <c r="D8691">
        <v>114042190</v>
      </c>
      <c r="E8691">
        <v>2.95</v>
      </c>
      <c r="F8691">
        <v>6.93</v>
      </c>
    </row>
    <row r="8692" spans="1:6" x14ac:dyDescent="0.3">
      <c r="A8692" t="s">
        <v>14870</v>
      </c>
      <c r="B8692" t="s">
        <v>14871</v>
      </c>
      <c r="C8692" t="s">
        <v>8285</v>
      </c>
      <c r="D8692">
        <v>114080999</v>
      </c>
      <c r="E8692" t="s">
        <v>3814</v>
      </c>
      <c r="F8692">
        <v>6.83</v>
      </c>
    </row>
    <row r="8693" spans="1:6" x14ac:dyDescent="0.3">
      <c r="A8693" t="s">
        <v>14872</v>
      </c>
      <c r="B8693" t="s">
        <v>14873</v>
      </c>
      <c r="C8693" t="s">
        <v>14874</v>
      </c>
      <c r="D8693">
        <v>114083469</v>
      </c>
      <c r="E8693">
        <v>9.48</v>
      </c>
      <c r="F8693">
        <v>8</v>
      </c>
    </row>
    <row r="8694" spans="1:6" x14ac:dyDescent="0.3">
      <c r="A8694" t="s">
        <v>14875</v>
      </c>
      <c r="B8694" t="s">
        <v>14876</v>
      </c>
      <c r="C8694" t="s">
        <v>14877</v>
      </c>
      <c r="D8694">
        <v>114116677</v>
      </c>
      <c r="E8694">
        <v>11.15</v>
      </c>
      <c r="F8694">
        <v>8</v>
      </c>
    </row>
    <row r="8695" spans="1:6" x14ac:dyDescent="0.3">
      <c r="A8695" t="s">
        <v>14878</v>
      </c>
      <c r="B8695" t="s">
        <v>3746</v>
      </c>
      <c r="C8695" t="s">
        <v>1004</v>
      </c>
      <c r="D8695">
        <v>114124504</v>
      </c>
      <c r="E8695">
        <v>2.09</v>
      </c>
      <c r="F8695">
        <v>6.91</v>
      </c>
    </row>
    <row r="8696" spans="1:6" x14ac:dyDescent="0.3">
      <c r="A8696" t="s">
        <v>14879</v>
      </c>
      <c r="B8696" t="s">
        <v>14880</v>
      </c>
      <c r="C8696" t="s">
        <v>4573</v>
      </c>
      <c r="D8696">
        <v>114126221</v>
      </c>
      <c r="E8696">
        <v>11</v>
      </c>
      <c r="F8696">
        <v>5.08</v>
      </c>
    </row>
    <row r="8697" spans="1:6" x14ac:dyDescent="0.3">
      <c r="A8697" t="s">
        <v>14881</v>
      </c>
      <c r="B8697" t="s">
        <v>9780</v>
      </c>
      <c r="C8697" t="s">
        <v>14882</v>
      </c>
      <c r="D8697">
        <v>114129278</v>
      </c>
      <c r="E8697">
        <v>7.7</v>
      </c>
      <c r="F8697">
        <v>6.64</v>
      </c>
    </row>
    <row r="8698" spans="1:6" x14ac:dyDescent="0.3">
      <c r="A8698" t="s">
        <v>14883</v>
      </c>
      <c r="B8698" t="s">
        <v>14884</v>
      </c>
      <c r="C8698" t="s">
        <v>14885</v>
      </c>
      <c r="D8698">
        <v>114130736</v>
      </c>
      <c r="E8698" t="s">
        <v>3814</v>
      </c>
      <c r="F8698">
        <v>8</v>
      </c>
    </row>
    <row r="8699" spans="1:6" x14ac:dyDescent="0.3">
      <c r="A8699" t="s">
        <v>14886</v>
      </c>
      <c r="B8699" t="s">
        <v>5235</v>
      </c>
      <c r="C8699" t="s">
        <v>10528</v>
      </c>
      <c r="D8699">
        <v>114153900</v>
      </c>
      <c r="E8699">
        <v>3.37</v>
      </c>
      <c r="F8699">
        <v>7.11</v>
      </c>
    </row>
    <row r="8700" spans="1:6" x14ac:dyDescent="0.3">
      <c r="A8700" t="s">
        <v>14887</v>
      </c>
      <c r="B8700" t="s">
        <v>14888</v>
      </c>
      <c r="C8700" t="s">
        <v>7088</v>
      </c>
      <c r="D8700">
        <v>114168015</v>
      </c>
      <c r="E8700" t="s">
        <v>3814</v>
      </c>
      <c r="F8700">
        <v>6.42</v>
      </c>
    </row>
    <row r="8701" spans="1:6" x14ac:dyDescent="0.3">
      <c r="A8701" t="s">
        <v>14889</v>
      </c>
      <c r="B8701" t="s">
        <v>14890</v>
      </c>
      <c r="C8701" t="s">
        <v>14891</v>
      </c>
      <c r="D8701">
        <v>114172291</v>
      </c>
      <c r="E8701" t="s">
        <v>3814</v>
      </c>
      <c r="F8701">
        <v>7.58</v>
      </c>
    </row>
    <row r="8702" spans="1:6" x14ac:dyDescent="0.3">
      <c r="A8702" t="s">
        <v>14892</v>
      </c>
      <c r="B8702" t="s">
        <v>14154</v>
      </c>
      <c r="C8702" t="s">
        <v>2383</v>
      </c>
      <c r="D8702">
        <v>114183801</v>
      </c>
      <c r="E8702">
        <v>3.09</v>
      </c>
      <c r="F8702">
        <v>7.67</v>
      </c>
    </row>
    <row r="8703" spans="1:6" x14ac:dyDescent="0.3">
      <c r="A8703" t="s">
        <v>14262</v>
      </c>
      <c r="B8703" t="s">
        <v>14893</v>
      </c>
      <c r="C8703" t="s">
        <v>14589</v>
      </c>
      <c r="D8703">
        <v>114188879</v>
      </c>
      <c r="E8703">
        <v>2.42</v>
      </c>
      <c r="F8703">
        <v>8.19</v>
      </c>
    </row>
    <row r="8704" spans="1:6" x14ac:dyDescent="0.3">
      <c r="A8704" t="s">
        <v>14894</v>
      </c>
      <c r="B8704" t="s">
        <v>6793</v>
      </c>
      <c r="C8704" t="s">
        <v>14895</v>
      </c>
      <c r="D8704">
        <v>114207709</v>
      </c>
      <c r="E8704">
        <v>14.75</v>
      </c>
      <c r="F8704">
        <v>6.83</v>
      </c>
    </row>
    <row r="8705" spans="1:6" x14ac:dyDescent="0.3">
      <c r="A8705" t="s">
        <v>14896</v>
      </c>
      <c r="B8705" t="s">
        <v>5928</v>
      </c>
      <c r="C8705" t="s">
        <v>14897</v>
      </c>
      <c r="D8705">
        <v>114222375</v>
      </c>
      <c r="E8705">
        <v>1.01</v>
      </c>
      <c r="F8705">
        <v>8.1199999999999992</v>
      </c>
    </row>
    <row r="8706" spans="1:6" x14ac:dyDescent="0.3">
      <c r="A8706" t="s">
        <v>14898</v>
      </c>
      <c r="B8706" t="s">
        <v>14899</v>
      </c>
      <c r="C8706" t="s">
        <v>14900</v>
      </c>
      <c r="D8706">
        <v>114231424</v>
      </c>
      <c r="E8706">
        <v>20.28</v>
      </c>
      <c r="F8706">
        <v>9</v>
      </c>
    </row>
    <row r="8707" spans="1:6" x14ac:dyDescent="0.3">
      <c r="A8707" t="s">
        <v>14901</v>
      </c>
      <c r="B8707" t="s">
        <v>14902</v>
      </c>
      <c r="C8707" t="s">
        <v>14903</v>
      </c>
      <c r="D8707">
        <v>114232868</v>
      </c>
      <c r="E8707" t="s">
        <v>3814</v>
      </c>
      <c r="F8707">
        <v>5.25</v>
      </c>
    </row>
    <row r="8708" spans="1:6" x14ac:dyDescent="0.3">
      <c r="A8708" t="s">
        <v>14904</v>
      </c>
      <c r="B8708" t="s">
        <v>12738</v>
      </c>
      <c r="C8708" t="s">
        <v>6699</v>
      </c>
      <c r="D8708">
        <v>114245272</v>
      </c>
      <c r="E8708">
        <v>2.98</v>
      </c>
      <c r="F8708">
        <v>7.8</v>
      </c>
    </row>
    <row r="8709" spans="1:6" x14ac:dyDescent="0.3">
      <c r="A8709" t="s">
        <v>14905</v>
      </c>
      <c r="B8709" t="s">
        <v>14906</v>
      </c>
      <c r="C8709" t="s">
        <v>845</v>
      </c>
      <c r="D8709">
        <v>114264278</v>
      </c>
      <c r="E8709">
        <v>21</v>
      </c>
      <c r="F8709">
        <v>8</v>
      </c>
    </row>
    <row r="8710" spans="1:6" x14ac:dyDescent="0.3">
      <c r="A8710" t="s">
        <v>2711</v>
      </c>
      <c r="B8710" t="s">
        <v>14907</v>
      </c>
      <c r="C8710" t="s">
        <v>2711</v>
      </c>
      <c r="D8710">
        <v>114272888</v>
      </c>
      <c r="E8710">
        <v>2.59</v>
      </c>
      <c r="F8710">
        <v>7.72</v>
      </c>
    </row>
    <row r="8711" spans="1:6" x14ac:dyDescent="0.3">
      <c r="A8711" t="s">
        <v>14908</v>
      </c>
      <c r="B8711" t="s">
        <v>14909</v>
      </c>
      <c r="C8711" t="s">
        <v>14910</v>
      </c>
      <c r="D8711">
        <v>114277968</v>
      </c>
      <c r="E8711">
        <v>6.15</v>
      </c>
      <c r="F8711">
        <v>8.6300000000000008</v>
      </c>
    </row>
    <row r="8712" spans="1:6" x14ac:dyDescent="0.3">
      <c r="A8712" t="s">
        <v>14911</v>
      </c>
      <c r="B8712" t="s">
        <v>14912</v>
      </c>
      <c r="C8712" t="s">
        <v>14913</v>
      </c>
      <c r="D8712">
        <v>114283297</v>
      </c>
      <c r="E8712" t="s">
        <v>3814</v>
      </c>
      <c r="F8712" t="s">
        <v>3814</v>
      </c>
    </row>
    <row r="8713" spans="1:6" x14ac:dyDescent="0.3">
      <c r="A8713" t="s">
        <v>14914</v>
      </c>
      <c r="B8713" t="s">
        <v>13720</v>
      </c>
      <c r="C8713" t="s">
        <v>9799</v>
      </c>
      <c r="D8713">
        <v>114287932</v>
      </c>
      <c r="E8713" t="s">
        <v>3814</v>
      </c>
      <c r="F8713">
        <v>7.64</v>
      </c>
    </row>
    <row r="8714" spans="1:6" x14ac:dyDescent="0.3">
      <c r="A8714" t="s">
        <v>14915</v>
      </c>
      <c r="B8714" t="s">
        <v>6230</v>
      </c>
      <c r="C8714" t="s">
        <v>7229</v>
      </c>
      <c r="D8714">
        <v>114291598</v>
      </c>
      <c r="E8714">
        <v>3.79</v>
      </c>
      <c r="F8714">
        <v>6</v>
      </c>
    </row>
    <row r="8715" spans="1:6" x14ac:dyDescent="0.3">
      <c r="A8715" t="s">
        <v>14916</v>
      </c>
      <c r="B8715" t="s">
        <v>7129</v>
      </c>
      <c r="C8715" t="s">
        <v>3821</v>
      </c>
      <c r="D8715">
        <v>114304198</v>
      </c>
      <c r="E8715">
        <v>12.5</v>
      </c>
      <c r="F8715">
        <v>5.8</v>
      </c>
    </row>
    <row r="8716" spans="1:6" x14ac:dyDescent="0.3">
      <c r="A8716" t="s">
        <v>3788</v>
      </c>
      <c r="B8716" t="s">
        <v>9383</v>
      </c>
      <c r="C8716" t="s">
        <v>14917</v>
      </c>
      <c r="D8716">
        <v>114321891</v>
      </c>
      <c r="E8716">
        <v>25</v>
      </c>
      <c r="F8716">
        <v>8.4</v>
      </c>
    </row>
    <row r="8717" spans="1:6" x14ac:dyDescent="0.3">
      <c r="A8717" t="s">
        <v>14918</v>
      </c>
      <c r="B8717" t="s">
        <v>14919</v>
      </c>
      <c r="C8717" t="s">
        <v>14920</v>
      </c>
      <c r="D8717">
        <v>114323163</v>
      </c>
      <c r="E8717">
        <v>1.06</v>
      </c>
      <c r="F8717">
        <v>8.5399999999999991</v>
      </c>
    </row>
    <row r="8718" spans="1:6" x14ac:dyDescent="0.3">
      <c r="A8718" t="s">
        <v>14921</v>
      </c>
      <c r="B8718" t="s">
        <v>14770</v>
      </c>
      <c r="C8718" t="s">
        <v>14922</v>
      </c>
      <c r="D8718">
        <v>114329313</v>
      </c>
      <c r="E8718" t="s">
        <v>3814</v>
      </c>
      <c r="F8718">
        <v>1.75</v>
      </c>
    </row>
    <row r="8719" spans="1:6" x14ac:dyDescent="0.3">
      <c r="A8719" t="s">
        <v>14923</v>
      </c>
      <c r="B8719" t="s">
        <v>14924</v>
      </c>
      <c r="C8719" t="s">
        <v>14925</v>
      </c>
      <c r="D8719">
        <v>114333632</v>
      </c>
      <c r="E8719" t="s">
        <v>3814</v>
      </c>
      <c r="F8719">
        <v>4.8</v>
      </c>
    </row>
    <row r="8720" spans="1:6" x14ac:dyDescent="0.3">
      <c r="A8720" t="s">
        <v>14926</v>
      </c>
      <c r="B8720" t="s">
        <v>8960</v>
      </c>
      <c r="C8720" t="s">
        <v>14927</v>
      </c>
      <c r="D8720">
        <v>114340057</v>
      </c>
      <c r="E8720" t="s">
        <v>3814</v>
      </c>
      <c r="F8720" t="s">
        <v>3814</v>
      </c>
    </row>
    <row r="8721" spans="1:6" x14ac:dyDescent="0.3">
      <c r="A8721" t="s">
        <v>14928</v>
      </c>
      <c r="B8721" t="s">
        <v>11328</v>
      </c>
      <c r="C8721" t="s">
        <v>14929</v>
      </c>
      <c r="D8721">
        <v>114340614</v>
      </c>
      <c r="E8721" t="s">
        <v>3814</v>
      </c>
      <c r="F8721">
        <v>6.38</v>
      </c>
    </row>
    <row r="8722" spans="1:6" x14ac:dyDescent="0.3">
      <c r="A8722" t="s">
        <v>14930</v>
      </c>
      <c r="B8722" t="s">
        <v>8565</v>
      </c>
      <c r="C8722" t="s">
        <v>14931</v>
      </c>
      <c r="D8722">
        <v>114368015</v>
      </c>
      <c r="E8722">
        <v>3.37</v>
      </c>
      <c r="F8722">
        <v>7.28</v>
      </c>
    </row>
    <row r="8723" spans="1:6" x14ac:dyDescent="0.3">
      <c r="A8723" t="s">
        <v>14932</v>
      </c>
      <c r="B8723" t="s">
        <v>14933</v>
      </c>
      <c r="C8723" t="s">
        <v>2965</v>
      </c>
      <c r="D8723">
        <v>114378573</v>
      </c>
      <c r="E8723">
        <v>11.41</v>
      </c>
      <c r="F8723">
        <v>7.94</v>
      </c>
    </row>
    <row r="8724" spans="1:6" x14ac:dyDescent="0.3">
      <c r="A8724" t="s">
        <v>14934</v>
      </c>
      <c r="B8724" t="s">
        <v>13373</v>
      </c>
      <c r="C8724" t="s">
        <v>14935</v>
      </c>
      <c r="D8724">
        <v>114386909</v>
      </c>
      <c r="E8724" t="s">
        <v>3814</v>
      </c>
      <c r="F8724">
        <v>8.2899999999999991</v>
      </c>
    </row>
    <row r="8725" spans="1:6" x14ac:dyDescent="0.3">
      <c r="A8725" t="s">
        <v>14936</v>
      </c>
      <c r="B8725" t="s">
        <v>14937</v>
      </c>
      <c r="C8725" t="s">
        <v>14938</v>
      </c>
      <c r="D8725">
        <v>114396049</v>
      </c>
      <c r="E8725">
        <v>1.84</v>
      </c>
      <c r="F8725">
        <v>6.37</v>
      </c>
    </row>
    <row r="8726" spans="1:6" x14ac:dyDescent="0.3">
      <c r="A8726" t="s">
        <v>14939</v>
      </c>
      <c r="B8726" t="s">
        <v>9991</v>
      </c>
      <c r="C8726" t="s">
        <v>14940</v>
      </c>
      <c r="D8726">
        <v>114422869</v>
      </c>
      <c r="E8726">
        <v>21.98</v>
      </c>
      <c r="F8726">
        <v>7.97</v>
      </c>
    </row>
    <row r="8727" spans="1:6" x14ac:dyDescent="0.3">
      <c r="A8727" t="s">
        <v>14941</v>
      </c>
      <c r="B8727" t="s">
        <v>12973</v>
      </c>
      <c r="C8727" t="s">
        <v>14942</v>
      </c>
      <c r="D8727">
        <v>114429139</v>
      </c>
      <c r="E8727" t="s">
        <v>3814</v>
      </c>
      <c r="F8727">
        <v>7</v>
      </c>
    </row>
    <row r="8728" spans="1:6" x14ac:dyDescent="0.3">
      <c r="A8728" t="s">
        <v>9052</v>
      </c>
      <c r="B8728" t="s">
        <v>14943</v>
      </c>
      <c r="C8728" t="s">
        <v>14944</v>
      </c>
      <c r="D8728">
        <v>114454244</v>
      </c>
      <c r="E8728">
        <v>2.33</v>
      </c>
      <c r="F8728">
        <v>6.45</v>
      </c>
    </row>
    <row r="8729" spans="1:6" x14ac:dyDescent="0.3">
      <c r="A8729" t="s">
        <v>14945</v>
      </c>
      <c r="B8729" t="s">
        <v>14946</v>
      </c>
      <c r="C8729" t="s">
        <v>17</v>
      </c>
      <c r="D8729">
        <v>114497031</v>
      </c>
      <c r="E8729">
        <v>4.68</v>
      </c>
      <c r="F8729">
        <v>7.43</v>
      </c>
    </row>
    <row r="8730" spans="1:6" x14ac:dyDescent="0.3">
      <c r="A8730" t="s">
        <v>14947</v>
      </c>
      <c r="B8730" t="s">
        <v>11164</v>
      </c>
      <c r="C8730" t="s">
        <v>14248</v>
      </c>
      <c r="D8730">
        <v>114502561</v>
      </c>
      <c r="E8730" t="s">
        <v>3814</v>
      </c>
      <c r="F8730" t="s">
        <v>3814</v>
      </c>
    </row>
    <row r="8731" spans="1:6" x14ac:dyDescent="0.3">
      <c r="A8731" t="s">
        <v>14948</v>
      </c>
      <c r="B8731" t="s">
        <v>10839</v>
      </c>
      <c r="C8731" t="s">
        <v>14949</v>
      </c>
      <c r="D8731">
        <v>114502922</v>
      </c>
      <c r="E8731">
        <v>1.2</v>
      </c>
      <c r="F8731">
        <v>7.93</v>
      </c>
    </row>
    <row r="8732" spans="1:6" x14ac:dyDescent="0.3">
      <c r="A8732" t="s">
        <v>14950</v>
      </c>
      <c r="B8732" t="s">
        <v>14951</v>
      </c>
      <c r="C8732" t="s">
        <v>14952</v>
      </c>
      <c r="D8732">
        <v>114503151</v>
      </c>
      <c r="E8732">
        <v>1.32</v>
      </c>
      <c r="F8732">
        <v>7.64</v>
      </c>
    </row>
    <row r="8733" spans="1:6" x14ac:dyDescent="0.3">
      <c r="A8733" t="s">
        <v>14953</v>
      </c>
      <c r="B8733" t="s">
        <v>14954</v>
      </c>
      <c r="C8733" t="s">
        <v>14955</v>
      </c>
      <c r="D8733">
        <v>114503746</v>
      </c>
      <c r="E8733" t="s">
        <v>3814</v>
      </c>
      <c r="F8733">
        <v>5</v>
      </c>
    </row>
    <row r="8734" spans="1:6" x14ac:dyDescent="0.3">
      <c r="A8734" t="s">
        <v>14956</v>
      </c>
      <c r="B8734" t="s">
        <v>14957</v>
      </c>
      <c r="C8734" t="s">
        <v>11894</v>
      </c>
      <c r="D8734">
        <v>114505601</v>
      </c>
      <c r="E8734">
        <v>2.61</v>
      </c>
      <c r="F8734">
        <v>7</v>
      </c>
    </row>
    <row r="8735" spans="1:6" x14ac:dyDescent="0.3">
      <c r="A8735" t="s">
        <v>14958</v>
      </c>
      <c r="B8735" t="s">
        <v>7534</v>
      </c>
      <c r="C8735" t="s">
        <v>3264</v>
      </c>
      <c r="D8735">
        <v>114510471</v>
      </c>
      <c r="E8735">
        <v>22</v>
      </c>
      <c r="F8735">
        <v>8</v>
      </c>
    </row>
    <row r="8736" spans="1:6" x14ac:dyDescent="0.3">
      <c r="A8736" t="s">
        <v>14959</v>
      </c>
      <c r="B8736" t="s">
        <v>11120</v>
      </c>
      <c r="C8736" t="s">
        <v>14960</v>
      </c>
      <c r="D8736">
        <v>114516392</v>
      </c>
      <c r="E8736">
        <v>10.9</v>
      </c>
      <c r="F8736">
        <v>8.75</v>
      </c>
    </row>
    <row r="8737" spans="1:6" x14ac:dyDescent="0.3">
      <c r="A8737" t="s">
        <v>14961</v>
      </c>
      <c r="B8737" t="s">
        <v>6980</v>
      </c>
      <c r="C8737" t="s">
        <v>14962</v>
      </c>
      <c r="D8737">
        <v>114516754</v>
      </c>
      <c r="E8737">
        <v>22</v>
      </c>
      <c r="F8737">
        <v>10</v>
      </c>
    </row>
    <row r="8738" spans="1:6" x14ac:dyDescent="0.3">
      <c r="A8738" t="s">
        <v>14963</v>
      </c>
      <c r="B8738" t="s">
        <v>12626</v>
      </c>
      <c r="C8738" t="s">
        <v>14964</v>
      </c>
      <c r="D8738">
        <v>114530802</v>
      </c>
      <c r="E8738" t="s">
        <v>3814</v>
      </c>
      <c r="F8738">
        <v>8.76</v>
      </c>
    </row>
    <row r="8739" spans="1:6" x14ac:dyDescent="0.3">
      <c r="A8739" t="s">
        <v>14965</v>
      </c>
      <c r="B8739" t="s">
        <v>14966</v>
      </c>
      <c r="C8739" t="s">
        <v>14967</v>
      </c>
      <c r="D8739">
        <v>114537992</v>
      </c>
      <c r="E8739" t="s">
        <v>3814</v>
      </c>
      <c r="F8739">
        <v>0</v>
      </c>
    </row>
    <row r="8740" spans="1:6" x14ac:dyDescent="0.3">
      <c r="A8740" t="s">
        <v>14968</v>
      </c>
      <c r="B8740" t="s">
        <v>8838</v>
      </c>
      <c r="C8740" t="s">
        <v>14969</v>
      </c>
      <c r="D8740">
        <v>114542266</v>
      </c>
      <c r="E8740">
        <v>7.43</v>
      </c>
      <c r="F8740">
        <v>7.46</v>
      </c>
    </row>
    <row r="8741" spans="1:6" x14ac:dyDescent="0.3">
      <c r="A8741" t="s">
        <v>14970</v>
      </c>
      <c r="B8741" t="s">
        <v>11323</v>
      </c>
      <c r="C8741" t="s">
        <v>14971</v>
      </c>
      <c r="D8741">
        <v>114585809</v>
      </c>
      <c r="E8741">
        <v>16.829999999999998</v>
      </c>
      <c r="F8741">
        <v>7.42</v>
      </c>
    </row>
    <row r="8742" spans="1:6" x14ac:dyDescent="0.3">
      <c r="A8742" t="s">
        <v>14972</v>
      </c>
      <c r="B8742" t="s">
        <v>14211</v>
      </c>
      <c r="C8742" t="s">
        <v>9918</v>
      </c>
      <c r="D8742">
        <v>114607314</v>
      </c>
      <c r="E8742">
        <v>4.95</v>
      </c>
      <c r="F8742">
        <v>8</v>
      </c>
    </row>
    <row r="8743" spans="1:6" x14ac:dyDescent="0.3">
      <c r="A8743" t="s">
        <v>14973</v>
      </c>
      <c r="B8743" t="s">
        <v>13347</v>
      </c>
      <c r="C8743" t="s">
        <v>4241</v>
      </c>
      <c r="D8743">
        <v>114607963</v>
      </c>
      <c r="E8743">
        <v>22.33</v>
      </c>
      <c r="F8743">
        <v>6.67</v>
      </c>
    </row>
    <row r="8744" spans="1:6" x14ac:dyDescent="0.3">
      <c r="A8744" t="s">
        <v>14974</v>
      </c>
      <c r="B8744" t="s">
        <v>5415</v>
      </c>
      <c r="C8744" t="s">
        <v>14975</v>
      </c>
      <c r="D8744">
        <v>114621728</v>
      </c>
      <c r="E8744" t="s">
        <v>3814</v>
      </c>
      <c r="F8744">
        <v>8.84</v>
      </c>
    </row>
    <row r="8745" spans="1:6" x14ac:dyDescent="0.3">
      <c r="A8745" t="s">
        <v>14976</v>
      </c>
      <c r="B8745" t="s">
        <v>14977</v>
      </c>
      <c r="C8745" t="s">
        <v>13412</v>
      </c>
      <c r="D8745">
        <v>114626340</v>
      </c>
      <c r="E8745" t="s">
        <v>3814</v>
      </c>
      <c r="F8745">
        <v>7.14</v>
      </c>
    </row>
    <row r="8746" spans="1:6" x14ac:dyDescent="0.3">
      <c r="A8746" t="s">
        <v>14978</v>
      </c>
      <c r="B8746" t="s">
        <v>12698</v>
      </c>
      <c r="C8746" t="s">
        <v>9380</v>
      </c>
      <c r="D8746">
        <v>114635655</v>
      </c>
      <c r="E8746" t="s">
        <v>3814</v>
      </c>
      <c r="F8746">
        <v>10</v>
      </c>
    </row>
    <row r="8747" spans="1:6" x14ac:dyDescent="0.3">
      <c r="A8747" t="s">
        <v>14979</v>
      </c>
      <c r="B8747" t="s">
        <v>14980</v>
      </c>
      <c r="C8747" t="s">
        <v>3958</v>
      </c>
      <c r="D8747">
        <v>114652585</v>
      </c>
      <c r="E8747" t="s">
        <v>3814</v>
      </c>
      <c r="F8747">
        <v>8</v>
      </c>
    </row>
    <row r="8748" spans="1:6" x14ac:dyDescent="0.3">
      <c r="A8748" t="s">
        <v>14981</v>
      </c>
      <c r="B8748" t="s">
        <v>14982</v>
      </c>
      <c r="C8748" t="s">
        <v>14983</v>
      </c>
      <c r="D8748">
        <v>114662399</v>
      </c>
      <c r="E8748" t="s">
        <v>3814</v>
      </c>
      <c r="F8748">
        <v>4.26</v>
      </c>
    </row>
    <row r="8749" spans="1:6" x14ac:dyDescent="0.3">
      <c r="A8749" t="s">
        <v>14984</v>
      </c>
      <c r="B8749" t="s">
        <v>12940</v>
      </c>
      <c r="C8749" t="s">
        <v>14985</v>
      </c>
      <c r="D8749">
        <v>114678316</v>
      </c>
      <c r="E8749">
        <v>5.0999999999999996</v>
      </c>
      <c r="F8749">
        <v>8.56</v>
      </c>
    </row>
    <row r="8750" spans="1:6" x14ac:dyDescent="0.3">
      <c r="A8750" t="s">
        <v>14986</v>
      </c>
      <c r="B8750" t="s">
        <v>11128</v>
      </c>
      <c r="C8750" t="s">
        <v>14987</v>
      </c>
      <c r="D8750">
        <v>114679434</v>
      </c>
      <c r="E8750">
        <v>13.67</v>
      </c>
      <c r="F8750">
        <v>7.5</v>
      </c>
    </row>
    <row r="8751" spans="1:6" x14ac:dyDescent="0.3">
      <c r="A8751" t="s">
        <v>14988</v>
      </c>
      <c r="B8751" t="s">
        <v>14989</v>
      </c>
      <c r="C8751" t="s">
        <v>14990</v>
      </c>
      <c r="D8751">
        <v>114696545</v>
      </c>
      <c r="E8751" t="s">
        <v>3814</v>
      </c>
      <c r="F8751">
        <v>6.5</v>
      </c>
    </row>
    <row r="8752" spans="1:6" x14ac:dyDescent="0.3">
      <c r="A8752" t="s">
        <v>14991</v>
      </c>
      <c r="B8752" t="s">
        <v>14992</v>
      </c>
      <c r="C8752" t="s">
        <v>9527</v>
      </c>
      <c r="D8752">
        <v>114697399</v>
      </c>
      <c r="E8752" t="s">
        <v>3814</v>
      </c>
      <c r="F8752" t="s">
        <v>3814</v>
      </c>
    </row>
    <row r="8753" spans="1:6" x14ac:dyDescent="0.3">
      <c r="A8753" t="s">
        <v>3929</v>
      </c>
      <c r="B8753" t="s">
        <v>4208</v>
      </c>
      <c r="C8753" t="s">
        <v>3929</v>
      </c>
      <c r="D8753">
        <v>114703942</v>
      </c>
      <c r="E8753">
        <v>4.3099999999999996</v>
      </c>
      <c r="F8753">
        <v>8.08</v>
      </c>
    </row>
    <row r="8754" spans="1:6" x14ac:dyDescent="0.3">
      <c r="A8754" t="s">
        <v>14993</v>
      </c>
      <c r="B8754" t="s">
        <v>14994</v>
      </c>
      <c r="C8754" t="s">
        <v>5190</v>
      </c>
      <c r="D8754">
        <v>114732499</v>
      </c>
      <c r="E8754">
        <v>2.35</v>
      </c>
      <c r="F8754">
        <v>6.73</v>
      </c>
    </row>
    <row r="8755" spans="1:6" x14ac:dyDescent="0.3">
      <c r="A8755" t="s">
        <v>14995</v>
      </c>
      <c r="B8755" t="s">
        <v>7747</v>
      </c>
      <c r="C8755" t="s">
        <v>2337</v>
      </c>
      <c r="D8755">
        <v>114737779</v>
      </c>
      <c r="E8755">
        <v>13.04</v>
      </c>
      <c r="F8755">
        <v>7.86</v>
      </c>
    </row>
    <row r="8756" spans="1:6" x14ac:dyDescent="0.3">
      <c r="A8756" t="s">
        <v>14996</v>
      </c>
      <c r="B8756" t="s">
        <v>12950</v>
      </c>
      <c r="C8756" t="s">
        <v>14997</v>
      </c>
      <c r="D8756">
        <v>114739579</v>
      </c>
      <c r="E8756">
        <v>2.0299999999999998</v>
      </c>
      <c r="F8756">
        <v>7.78</v>
      </c>
    </row>
    <row r="8757" spans="1:6" x14ac:dyDescent="0.3">
      <c r="A8757" t="s">
        <v>543</v>
      </c>
      <c r="B8757" t="s">
        <v>13469</v>
      </c>
      <c r="C8757" t="s">
        <v>741</v>
      </c>
      <c r="D8757">
        <v>114755656</v>
      </c>
      <c r="E8757">
        <v>13.13</v>
      </c>
      <c r="F8757">
        <v>8.73</v>
      </c>
    </row>
    <row r="8758" spans="1:6" x14ac:dyDescent="0.3">
      <c r="A8758" t="s">
        <v>14998</v>
      </c>
      <c r="B8758" t="s">
        <v>11538</v>
      </c>
      <c r="C8758" t="s">
        <v>2391</v>
      </c>
      <c r="D8758">
        <v>114763530</v>
      </c>
      <c r="E8758">
        <v>24</v>
      </c>
      <c r="F8758">
        <v>10</v>
      </c>
    </row>
    <row r="8759" spans="1:6" x14ac:dyDescent="0.3">
      <c r="A8759" t="s">
        <v>14999</v>
      </c>
      <c r="B8759" t="s">
        <v>12171</v>
      </c>
      <c r="C8759" t="s">
        <v>15000</v>
      </c>
      <c r="D8759">
        <v>114800930</v>
      </c>
      <c r="E8759">
        <v>4.0999999999999996</v>
      </c>
      <c r="F8759">
        <v>7.3</v>
      </c>
    </row>
    <row r="8760" spans="1:6" x14ac:dyDescent="0.3">
      <c r="A8760" t="s">
        <v>15001</v>
      </c>
      <c r="B8760" t="s">
        <v>9837</v>
      </c>
      <c r="C8760" t="s">
        <v>4069</v>
      </c>
      <c r="D8760">
        <v>114814206</v>
      </c>
      <c r="E8760">
        <v>3.78</v>
      </c>
      <c r="F8760">
        <v>6.53</v>
      </c>
    </row>
    <row r="8761" spans="1:6" x14ac:dyDescent="0.3">
      <c r="A8761" t="s">
        <v>15002</v>
      </c>
      <c r="B8761" t="s">
        <v>9692</v>
      </c>
      <c r="C8761" t="s">
        <v>3658</v>
      </c>
      <c r="D8761">
        <v>114830466</v>
      </c>
      <c r="E8761">
        <v>17.399999999999999</v>
      </c>
      <c r="F8761">
        <v>8.3000000000000007</v>
      </c>
    </row>
    <row r="8762" spans="1:6" x14ac:dyDescent="0.3">
      <c r="A8762" t="s">
        <v>15003</v>
      </c>
      <c r="B8762" t="s">
        <v>15004</v>
      </c>
      <c r="C8762" t="s">
        <v>14667</v>
      </c>
      <c r="D8762">
        <v>114830655</v>
      </c>
      <c r="E8762">
        <v>5.9</v>
      </c>
      <c r="F8762">
        <v>7.07</v>
      </c>
    </row>
    <row r="8763" spans="1:6" x14ac:dyDescent="0.3">
      <c r="A8763" t="s">
        <v>15005</v>
      </c>
      <c r="B8763" t="s">
        <v>9071</v>
      </c>
      <c r="C8763" t="s">
        <v>1934</v>
      </c>
      <c r="D8763">
        <v>114831718</v>
      </c>
      <c r="E8763">
        <v>22</v>
      </c>
      <c r="F8763">
        <v>7</v>
      </c>
    </row>
    <row r="8764" spans="1:6" x14ac:dyDescent="0.3">
      <c r="A8764" t="s">
        <v>15006</v>
      </c>
      <c r="B8764" t="s">
        <v>13126</v>
      </c>
      <c r="C8764" t="s">
        <v>11789</v>
      </c>
      <c r="D8764">
        <v>114841845</v>
      </c>
      <c r="E8764" t="s">
        <v>3814</v>
      </c>
      <c r="F8764">
        <v>6.86</v>
      </c>
    </row>
    <row r="8765" spans="1:6" x14ac:dyDescent="0.3">
      <c r="A8765" t="s">
        <v>3489</v>
      </c>
      <c r="B8765" t="s">
        <v>13313</v>
      </c>
      <c r="C8765" t="s">
        <v>500</v>
      </c>
      <c r="D8765">
        <v>114849191</v>
      </c>
      <c r="E8765">
        <v>20.67</v>
      </c>
      <c r="F8765">
        <v>9</v>
      </c>
    </row>
    <row r="8766" spans="1:6" x14ac:dyDescent="0.3">
      <c r="A8766" t="s">
        <v>15007</v>
      </c>
      <c r="B8766" t="s">
        <v>15008</v>
      </c>
      <c r="C8766" t="s">
        <v>950</v>
      </c>
      <c r="D8766">
        <v>114854864</v>
      </c>
      <c r="E8766">
        <v>14.44</v>
      </c>
      <c r="F8766">
        <v>8.5500000000000007</v>
      </c>
    </row>
    <row r="8767" spans="1:6" x14ac:dyDescent="0.3">
      <c r="A8767" t="s">
        <v>15009</v>
      </c>
      <c r="B8767" t="s">
        <v>7413</v>
      </c>
      <c r="C8767" t="s">
        <v>5291</v>
      </c>
      <c r="D8767">
        <v>114857275</v>
      </c>
      <c r="E8767">
        <v>22</v>
      </c>
      <c r="F8767">
        <v>7.5</v>
      </c>
    </row>
    <row r="8768" spans="1:6" x14ac:dyDescent="0.3">
      <c r="A8768" t="s">
        <v>15010</v>
      </c>
      <c r="B8768" t="s">
        <v>13587</v>
      </c>
      <c r="C8768" t="s">
        <v>15011</v>
      </c>
      <c r="D8768">
        <v>114857403</v>
      </c>
      <c r="E8768">
        <v>3.25</v>
      </c>
      <c r="F8768">
        <v>6.04</v>
      </c>
    </row>
    <row r="8769" spans="1:6" x14ac:dyDescent="0.3">
      <c r="A8769" t="s">
        <v>15012</v>
      </c>
      <c r="B8769" t="s">
        <v>10988</v>
      </c>
      <c r="C8769" t="s">
        <v>15013</v>
      </c>
      <c r="D8769">
        <v>114867361</v>
      </c>
      <c r="E8769" t="s">
        <v>3814</v>
      </c>
      <c r="F8769" t="s">
        <v>3814</v>
      </c>
    </row>
    <row r="8770" spans="1:6" x14ac:dyDescent="0.3">
      <c r="A8770" t="s">
        <v>15014</v>
      </c>
      <c r="B8770" t="s">
        <v>13572</v>
      </c>
      <c r="C8770" t="s">
        <v>15015</v>
      </c>
      <c r="D8770">
        <v>114882928</v>
      </c>
      <c r="E8770" t="s">
        <v>3814</v>
      </c>
      <c r="F8770">
        <v>0</v>
      </c>
    </row>
    <row r="8771" spans="1:6" x14ac:dyDescent="0.3">
      <c r="A8771" t="s">
        <v>15016</v>
      </c>
      <c r="B8771" t="s">
        <v>9621</v>
      </c>
      <c r="C8771" t="s">
        <v>14193</v>
      </c>
      <c r="D8771">
        <v>114926645</v>
      </c>
      <c r="E8771" t="s">
        <v>3814</v>
      </c>
      <c r="F8771">
        <v>6</v>
      </c>
    </row>
    <row r="8772" spans="1:6" x14ac:dyDescent="0.3">
      <c r="A8772" t="s">
        <v>15017</v>
      </c>
      <c r="B8772" t="s">
        <v>15008</v>
      </c>
      <c r="C8772" t="s">
        <v>15013</v>
      </c>
      <c r="D8772">
        <v>114933189</v>
      </c>
      <c r="E8772">
        <v>20.14</v>
      </c>
      <c r="F8772">
        <v>5.43</v>
      </c>
    </row>
    <row r="8773" spans="1:6" x14ac:dyDescent="0.3">
      <c r="A8773" t="s">
        <v>15018</v>
      </c>
      <c r="B8773" t="s">
        <v>15019</v>
      </c>
      <c r="C8773" t="s">
        <v>15018</v>
      </c>
      <c r="D8773">
        <v>114939917</v>
      </c>
      <c r="E8773">
        <v>9.17</v>
      </c>
      <c r="F8773">
        <v>6.78</v>
      </c>
    </row>
    <row r="8774" spans="1:6" x14ac:dyDescent="0.3">
      <c r="A8774" t="s">
        <v>15020</v>
      </c>
      <c r="B8774" t="s">
        <v>12818</v>
      </c>
      <c r="C8774" t="s">
        <v>15021</v>
      </c>
      <c r="D8774">
        <v>114944227</v>
      </c>
      <c r="E8774" t="s">
        <v>3814</v>
      </c>
      <c r="F8774">
        <v>7.14</v>
      </c>
    </row>
    <row r="8775" spans="1:6" x14ac:dyDescent="0.3">
      <c r="A8775" t="s">
        <v>15022</v>
      </c>
      <c r="B8775" t="s">
        <v>14355</v>
      </c>
      <c r="C8775" t="e">
        <f>-Miss Side- (FXkveion remix)</f>
        <v>#NAME?</v>
      </c>
      <c r="D8775">
        <v>114971202</v>
      </c>
      <c r="E8775">
        <v>11.02</v>
      </c>
      <c r="F8775">
        <v>8.33</v>
      </c>
    </row>
    <row r="8776" spans="1:6" x14ac:dyDescent="0.3">
      <c r="A8776" t="s">
        <v>15023</v>
      </c>
      <c r="B8776" t="s">
        <v>15024</v>
      </c>
      <c r="C8776" t="e">
        <f>-Highscore</f>
        <v>#NAME?</v>
      </c>
      <c r="D8776">
        <v>114979717</v>
      </c>
      <c r="E8776" t="s">
        <v>3814</v>
      </c>
      <c r="F8776">
        <v>7.15</v>
      </c>
    </row>
    <row r="8777" spans="1:6" x14ac:dyDescent="0.3">
      <c r="A8777" t="s">
        <v>15025</v>
      </c>
      <c r="B8777" t="s">
        <v>7933</v>
      </c>
      <c r="C8777" t="s">
        <v>15026</v>
      </c>
      <c r="D8777">
        <v>114989264</v>
      </c>
      <c r="E8777">
        <v>8.43</v>
      </c>
      <c r="F8777">
        <v>6.79</v>
      </c>
    </row>
    <row r="8778" spans="1:6" x14ac:dyDescent="0.3">
      <c r="A8778" t="s">
        <v>15027</v>
      </c>
      <c r="B8778" t="s">
        <v>11909</v>
      </c>
      <c r="C8778" t="s">
        <v>3904</v>
      </c>
      <c r="D8778">
        <v>114990369</v>
      </c>
      <c r="E8778" t="s">
        <v>3814</v>
      </c>
      <c r="F8778" t="s">
        <v>3814</v>
      </c>
    </row>
    <row r="8779" spans="1:6" x14ac:dyDescent="0.3">
      <c r="A8779" t="s">
        <v>15028</v>
      </c>
      <c r="B8779" t="s">
        <v>6709</v>
      </c>
      <c r="C8779" t="s">
        <v>15028</v>
      </c>
      <c r="D8779">
        <v>114998521</v>
      </c>
      <c r="E8779">
        <v>2.15</v>
      </c>
      <c r="F8779">
        <v>7.57</v>
      </c>
    </row>
    <row r="8780" spans="1:6" x14ac:dyDescent="0.3">
      <c r="A8780" t="s">
        <v>15029</v>
      </c>
      <c r="B8780" t="s">
        <v>9621</v>
      </c>
      <c r="C8780" t="s">
        <v>7679</v>
      </c>
      <c r="D8780">
        <v>115017362</v>
      </c>
      <c r="E8780" t="s">
        <v>3814</v>
      </c>
      <c r="F8780">
        <v>6.1</v>
      </c>
    </row>
    <row r="8781" spans="1:6" x14ac:dyDescent="0.3">
      <c r="A8781" t="s">
        <v>15030</v>
      </c>
      <c r="B8781" t="s">
        <v>12696</v>
      </c>
      <c r="C8781" t="s">
        <v>15031</v>
      </c>
      <c r="D8781">
        <v>115025465</v>
      </c>
      <c r="E8781" t="s">
        <v>3814</v>
      </c>
      <c r="F8781">
        <v>7</v>
      </c>
    </row>
    <row r="8782" spans="1:6" x14ac:dyDescent="0.3">
      <c r="A8782" t="s">
        <v>15032</v>
      </c>
      <c r="B8782" t="s">
        <v>15033</v>
      </c>
      <c r="C8782" t="s">
        <v>15034</v>
      </c>
      <c r="D8782">
        <v>115038671</v>
      </c>
      <c r="E8782">
        <v>1.94</v>
      </c>
      <c r="F8782">
        <v>8</v>
      </c>
    </row>
    <row r="8783" spans="1:6" x14ac:dyDescent="0.3">
      <c r="A8783" t="s">
        <v>15035</v>
      </c>
      <c r="B8783" t="s">
        <v>463</v>
      </c>
      <c r="C8783" t="s">
        <v>15036</v>
      </c>
      <c r="D8783">
        <v>115047336</v>
      </c>
      <c r="E8783">
        <v>1.92</v>
      </c>
      <c r="F8783">
        <v>7.32</v>
      </c>
    </row>
    <row r="8784" spans="1:6" x14ac:dyDescent="0.3">
      <c r="A8784" t="s">
        <v>15037</v>
      </c>
      <c r="B8784" t="s">
        <v>7436</v>
      </c>
      <c r="C8784" t="s">
        <v>15038</v>
      </c>
      <c r="D8784">
        <v>115077554</v>
      </c>
      <c r="E8784">
        <v>17.25</v>
      </c>
      <c r="F8784">
        <v>8.8699999999999992</v>
      </c>
    </row>
    <row r="8785" spans="1:6" x14ac:dyDescent="0.3">
      <c r="A8785" t="s">
        <v>15039</v>
      </c>
      <c r="B8785" t="s">
        <v>15040</v>
      </c>
      <c r="C8785" t="s">
        <v>15041</v>
      </c>
      <c r="D8785">
        <v>115084216</v>
      </c>
      <c r="E8785" t="s">
        <v>3814</v>
      </c>
      <c r="F8785">
        <v>7.73</v>
      </c>
    </row>
    <row r="8786" spans="1:6" x14ac:dyDescent="0.3">
      <c r="A8786" t="s">
        <v>15042</v>
      </c>
      <c r="B8786" t="s">
        <v>4561</v>
      </c>
      <c r="C8786" t="s">
        <v>4696</v>
      </c>
      <c r="D8786">
        <v>115089412</v>
      </c>
      <c r="E8786">
        <v>25.5</v>
      </c>
      <c r="F8786">
        <v>10</v>
      </c>
    </row>
    <row r="8787" spans="1:6" x14ac:dyDescent="0.3">
      <c r="A8787" t="s">
        <v>15043</v>
      </c>
      <c r="B8787" t="s">
        <v>9565</v>
      </c>
      <c r="C8787" t="s">
        <v>15044</v>
      </c>
      <c r="D8787">
        <v>115095108</v>
      </c>
      <c r="E8787">
        <v>13</v>
      </c>
      <c r="F8787">
        <v>8</v>
      </c>
    </row>
    <row r="8788" spans="1:6" x14ac:dyDescent="0.3">
      <c r="A8788" t="s">
        <v>15045</v>
      </c>
      <c r="B8788" t="s">
        <v>15046</v>
      </c>
      <c r="C8788" t="s">
        <v>15047</v>
      </c>
      <c r="D8788">
        <v>115100194</v>
      </c>
      <c r="E8788" t="s">
        <v>3814</v>
      </c>
      <c r="F8788">
        <v>7.33</v>
      </c>
    </row>
    <row r="8789" spans="1:6" x14ac:dyDescent="0.3">
      <c r="A8789" t="s">
        <v>15048</v>
      </c>
      <c r="B8789" t="s">
        <v>8124</v>
      </c>
      <c r="C8789" t="s">
        <v>620</v>
      </c>
      <c r="D8789">
        <v>115107746</v>
      </c>
      <c r="E8789">
        <v>1.86</v>
      </c>
      <c r="F8789">
        <v>6.86</v>
      </c>
    </row>
    <row r="8790" spans="1:6" x14ac:dyDescent="0.3">
      <c r="A8790" t="s">
        <v>15049</v>
      </c>
      <c r="B8790" t="s">
        <v>13695</v>
      </c>
      <c r="C8790" t="s">
        <v>15050</v>
      </c>
      <c r="D8790">
        <v>115116517</v>
      </c>
      <c r="E8790">
        <v>16.02</v>
      </c>
      <c r="F8790">
        <v>8.14</v>
      </c>
    </row>
    <row r="8791" spans="1:6" x14ac:dyDescent="0.3">
      <c r="A8791" t="s">
        <v>15051</v>
      </c>
      <c r="B8791" t="s">
        <v>11103</v>
      </c>
      <c r="C8791" t="s">
        <v>8736</v>
      </c>
      <c r="D8791">
        <v>115129319</v>
      </c>
      <c r="E8791">
        <v>7.46</v>
      </c>
      <c r="F8791">
        <v>6.93</v>
      </c>
    </row>
    <row r="8792" spans="1:6" x14ac:dyDescent="0.3">
      <c r="A8792" t="s">
        <v>15052</v>
      </c>
      <c r="B8792" t="s">
        <v>15053</v>
      </c>
      <c r="C8792" t="s">
        <v>15054</v>
      </c>
      <c r="D8792">
        <v>115151904</v>
      </c>
      <c r="E8792" t="s">
        <v>3814</v>
      </c>
      <c r="F8792" t="s">
        <v>3814</v>
      </c>
    </row>
    <row r="8793" spans="1:6" x14ac:dyDescent="0.3">
      <c r="A8793" t="s">
        <v>15055</v>
      </c>
      <c r="B8793" t="s">
        <v>7604</v>
      </c>
      <c r="C8793" t="s">
        <v>15056</v>
      </c>
      <c r="D8793">
        <v>115169829</v>
      </c>
      <c r="E8793">
        <v>21.7</v>
      </c>
      <c r="F8793">
        <v>7.6</v>
      </c>
    </row>
    <row r="8794" spans="1:6" x14ac:dyDescent="0.3">
      <c r="A8794" t="s">
        <v>15057</v>
      </c>
      <c r="B8794" t="s">
        <v>13903</v>
      </c>
      <c r="C8794" t="s">
        <v>15058</v>
      </c>
      <c r="D8794">
        <v>115180350</v>
      </c>
      <c r="E8794" t="s">
        <v>3814</v>
      </c>
      <c r="F8794">
        <v>7.33</v>
      </c>
    </row>
    <row r="8795" spans="1:6" x14ac:dyDescent="0.3">
      <c r="A8795" t="s">
        <v>15059</v>
      </c>
      <c r="B8795" t="s">
        <v>12702</v>
      </c>
      <c r="C8795" t="s">
        <v>15060</v>
      </c>
      <c r="D8795">
        <v>115180532</v>
      </c>
      <c r="E8795" t="s">
        <v>3814</v>
      </c>
      <c r="F8795">
        <v>7</v>
      </c>
    </row>
    <row r="8796" spans="1:6" x14ac:dyDescent="0.3">
      <c r="A8796" t="s">
        <v>15061</v>
      </c>
      <c r="B8796" t="s">
        <v>8107</v>
      </c>
      <c r="C8796" t="s">
        <v>1764</v>
      </c>
      <c r="D8796">
        <v>115205156</v>
      </c>
      <c r="E8796">
        <v>12.69</v>
      </c>
      <c r="F8796">
        <v>8.82</v>
      </c>
    </row>
    <row r="8797" spans="1:6" x14ac:dyDescent="0.3">
      <c r="A8797" t="s">
        <v>15062</v>
      </c>
      <c r="B8797" t="s">
        <v>15063</v>
      </c>
      <c r="C8797" t="s">
        <v>15064</v>
      </c>
      <c r="D8797">
        <v>115230156</v>
      </c>
      <c r="E8797" t="s">
        <v>3814</v>
      </c>
      <c r="F8797" t="s">
        <v>3814</v>
      </c>
    </row>
    <row r="8798" spans="1:6" x14ac:dyDescent="0.3">
      <c r="A8798" t="s">
        <v>15065</v>
      </c>
      <c r="B8798" t="s">
        <v>10240</v>
      </c>
      <c r="C8798" t="s">
        <v>15066</v>
      </c>
      <c r="D8798">
        <v>115238970</v>
      </c>
      <c r="E8798" t="s">
        <v>3814</v>
      </c>
      <c r="F8798" t="s">
        <v>3814</v>
      </c>
    </row>
    <row r="8799" spans="1:6" x14ac:dyDescent="0.3">
      <c r="A8799" t="s">
        <v>15067</v>
      </c>
      <c r="B8799" t="s">
        <v>15068</v>
      </c>
      <c r="C8799" t="s">
        <v>3789</v>
      </c>
      <c r="D8799">
        <v>115241031</v>
      </c>
      <c r="E8799">
        <v>6.91</v>
      </c>
      <c r="F8799">
        <v>6.73</v>
      </c>
    </row>
    <row r="8800" spans="1:6" x14ac:dyDescent="0.3">
      <c r="A8800" t="s">
        <v>15069</v>
      </c>
      <c r="B8800" t="s">
        <v>14455</v>
      </c>
      <c r="C8800" t="s">
        <v>10700</v>
      </c>
      <c r="D8800">
        <v>115248055</v>
      </c>
      <c r="E8800" t="s">
        <v>3814</v>
      </c>
      <c r="F8800">
        <v>7.75</v>
      </c>
    </row>
    <row r="8801" spans="1:6" x14ac:dyDescent="0.3">
      <c r="A8801" t="s">
        <v>15070</v>
      </c>
      <c r="B8801" t="s">
        <v>15071</v>
      </c>
      <c r="C8801" t="s">
        <v>7178</v>
      </c>
      <c r="D8801">
        <v>115254548</v>
      </c>
      <c r="E8801" t="s">
        <v>3814</v>
      </c>
      <c r="F8801" t="s">
        <v>3814</v>
      </c>
    </row>
    <row r="8802" spans="1:6" x14ac:dyDescent="0.3">
      <c r="A8802" t="s">
        <v>15072</v>
      </c>
      <c r="B8802" t="s">
        <v>9550</v>
      </c>
      <c r="C8802" t="s">
        <v>15073</v>
      </c>
      <c r="D8802">
        <v>115276176</v>
      </c>
      <c r="E8802">
        <v>2.73</v>
      </c>
      <c r="F8802">
        <v>7.57</v>
      </c>
    </row>
    <row r="8803" spans="1:6" x14ac:dyDescent="0.3">
      <c r="A8803" t="s">
        <v>15074</v>
      </c>
      <c r="B8803" t="s">
        <v>6262</v>
      </c>
      <c r="C8803" t="s">
        <v>15075</v>
      </c>
      <c r="D8803">
        <v>115277352</v>
      </c>
      <c r="E8803">
        <v>12.08</v>
      </c>
      <c r="F8803">
        <v>7.78</v>
      </c>
    </row>
    <row r="8804" spans="1:6" x14ac:dyDescent="0.3">
      <c r="A8804" t="s">
        <v>15076</v>
      </c>
      <c r="B8804" t="s">
        <v>12617</v>
      </c>
      <c r="C8804" t="s">
        <v>15077</v>
      </c>
      <c r="D8804">
        <v>115291109</v>
      </c>
      <c r="E8804" t="s">
        <v>3814</v>
      </c>
      <c r="F8804">
        <v>8</v>
      </c>
    </row>
    <row r="8805" spans="1:6" x14ac:dyDescent="0.3">
      <c r="A8805" t="s">
        <v>15078</v>
      </c>
      <c r="B8805" t="s">
        <v>12273</v>
      </c>
      <c r="C8805" t="s">
        <v>13217</v>
      </c>
      <c r="D8805">
        <v>115297907</v>
      </c>
      <c r="E8805" t="s">
        <v>3814</v>
      </c>
      <c r="F8805">
        <v>7.5</v>
      </c>
    </row>
    <row r="8806" spans="1:6" x14ac:dyDescent="0.3">
      <c r="A8806" t="s">
        <v>15079</v>
      </c>
      <c r="B8806" t="s">
        <v>14989</v>
      </c>
      <c r="C8806" t="s">
        <v>11789</v>
      </c>
      <c r="D8806">
        <v>115308040</v>
      </c>
      <c r="E8806" t="s">
        <v>3814</v>
      </c>
      <c r="F8806">
        <v>6.22</v>
      </c>
    </row>
    <row r="8807" spans="1:6" x14ac:dyDescent="0.3">
      <c r="A8807" t="s">
        <v>15080</v>
      </c>
      <c r="B8807" t="s">
        <v>15081</v>
      </c>
      <c r="C8807" t="s">
        <v>15082</v>
      </c>
      <c r="D8807">
        <v>115339791</v>
      </c>
      <c r="E8807" t="s">
        <v>3814</v>
      </c>
      <c r="F8807" t="s">
        <v>3814</v>
      </c>
    </row>
    <row r="8808" spans="1:6" x14ac:dyDescent="0.3">
      <c r="A8808" t="s">
        <v>15083</v>
      </c>
      <c r="B8808" t="s">
        <v>3679</v>
      </c>
      <c r="C8808" t="s">
        <v>15084</v>
      </c>
      <c r="D8808">
        <v>115367850</v>
      </c>
      <c r="E8808">
        <v>4.1399999999999997</v>
      </c>
      <c r="F8808">
        <v>7</v>
      </c>
    </row>
    <row r="8809" spans="1:6" x14ac:dyDescent="0.3">
      <c r="A8809" t="s">
        <v>15085</v>
      </c>
      <c r="B8809" t="s">
        <v>6980</v>
      </c>
      <c r="C8809" t="s">
        <v>15086</v>
      </c>
      <c r="D8809">
        <v>115368094</v>
      </c>
      <c r="E8809" t="s">
        <v>3814</v>
      </c>
      <c r="F8809" t="s">
        <v>3814</v>
      </c>
    </row>
    <row r="8810" spans="1:6" x14ac:dyDescent="0.3">
      <c r="A8810" t="s">
        <v>15087</v>
      </c>
      <c r="B8810" t="s">
        <v>10084</v>
      </c>
      <c r="C8810" t="s">
        <v>8285</v>
      </c>
      <c r="D8810">
        <v>115380769</v>
      </c>
      <c r="E8810" t="s">
        <v>3814</v>
      </c>
      <c r="F8810" t="s">
        <v>3814</v>
      </c>
    </row>
    <row r="8811" spans="1:6" x14ac:dyDescent="0.3">
      <c r="A8811" t="s">
        <v>15088</v>
      </c>
      <c r="B8811" t="s">
        <v>10145</v>
      </c>
      <c r="C8811" t="s">
        <v>15088</v>
      </c>
      <c r="D8811">
        <v>115384590</v>
      </c>
      <c r="E8811" t="s">
        <v>3814</v>
      </c>
      <c r="F8811">
        <v>6.5</v>
      </c>
    </row>
    <row r="8812" spans="1:6" x14ac:dyDescent="0.3">
      <c r="A8812" t="s">
        <v>15089</v>
      </c>
      <c r="B8812" t="s">
        <v>4184</v>
      </c>
      <c r="C8812" t="s">
        <v>718</v>
      </c>
      <c r="D8812">
        <v>115408715</v>
      </c>
      <c r="E8812">
        <v>9.89</v>
      </c>
      <c r="F8812">
        <v>6.29</v>
      </c>
    </row>
    <row r="8813" spans="1:6" x14ac:dyDescent="0.3">
      <c r="A8813" t="s">
        <v>15090</v>
      </c>
      <c r="B8813" t="s">
        <v>3255</v>
      </c>
      <c r="C8813" t="s">
        <v>15091</v>
      </c>
      <c r="D8813">
        <v>115426962</v>
      </c>
      <c r="E8813" t="s">
        <v>3814</v>
      </c>
      <c r="F8813">
        <v>7.38</v>
      </c>
    </row>
    <row r="8814" spans="1:6" x14ac:dyDescent="0.3">
      <c r="A8814" t="s">
        <v>15092</v>
      </c>
      <c r="B8814" t="s">
        <v>12738</v>
      </c>
      <c r="C8814" t="s">
        <v>15093</v>
      </c>
      <c r="D8814">
        <v>115453262</v>
      </c>
      <c r="E8814">
        <v>6.32</v>
      </c>
      <c r="F8814">
        <v>7.4</v>
      </c>
    </row>
    <row r="8815" spans="1:6" x14ac:dyDescent="0.3">
      <c r="A8815" t="s">
        <v>15094</v>
      </c>
      <c r="B8815" t="s">
        <v>14770</v>
      </c>
      <c r="C8815" t="s">
        <v>3687</v>
      </c>
      <c r="D8815">
        <v>115459232</v>
      </c>
      <c r="E8815" t="s">
        <v>3814</v>
      </c>
      <c r="F8815">
        <v>4.5</v>
      </c>
    </row>
    <row r="8816" spans="1:6" x14ac:dyDescent="0.3">
      <c r="A8816" t="s">
        <v>15095</v>
      </c>
      <c r="B8816" t="s">
        <v>15096</v>
      </c>
      <c r="C8816" t="s">
        <v>5555</v>
      </c>
      <c r="D8816">
        <v>115479370</v>
      </c>
      <c r="E8816">
        <v>22</v>
      </c>
      <c r="F8816">
        <v>8</v>
      </c>
    </row>
    <row r="8817" spans="1:6" x14ac:dyDescent="0.3">
      <c r="A8817" t="s">
        <v>1973</v>
      </c>
      <c r="B8817" t="s">
        <v>15097</v>
      </c>
      <c r="C8817" t="s">
        <v>4310</v>
      </c>
      <c r="D8817">
        <v>115491621</v>
      </c>
      <c r="E8817">
        <v>1.58</v>
      </c>
      <c r="F8817">
        <v>8.8699999999999992</v>
      </c>
    </row>
    <row r="8818" spans="1:6" x14ac:dyDescent="0.3">
      <c r="A8818" t="s">
        <v>15098</v>
      </c>
      <c r="B8818" t="s">
        <v>12879</v>
      </c>
      <c r="C8818" t="s">
        <v>15099</v>
      </c>
      <c r="D8818">
        <v>115506791</v>
      </c>
      <c r="E8818" t="s">
        <v>3814</v>
      </c>
      <c r="F8818">
        <v>8</v>
      </c>
    </row>
    <row r="8819" spans="1:6" x14ac:dyDescent="0.3">
      <c r="A8819" t="s">
        <v>15100</v>
      </c>
      <c r="B8819" t="s">
        <v>13030</v>
      </c>
      <c r="C8819" t="s">
        <v>15101</v>
      </c>
      <c r="D8819">
        <v>115531100</v>
      </c>
      <c r="E8819" t="s">
        <v>3814</v>
      </c>
      <c r="F8819">
        <v>9.67</v>
      </c>
    </row>
    <row r="8820" spans="1:6" x14ac:dyDescent="0.3">
      <c r="A8820" t="s">
        <v>15102</v>
      </c>
      <c r="B8820" t="s">
        <v>15103</v>
      </c>
      <c r="C8820" t="s">
        <v>11951</v>
      </c>
      <c r="D8820">
        <v>115581942</v>
      </c>
      <c r="E8820">
        <v>3.87</v>
      </c>
      <c r="F8820">
        <v>6.72</v>
      </c>
    </row>
    <row r="8821" spans="1:6" x14ac:dyDescent="0.3">
      <c r="A8821" t="s">
        <v>15104</v>
      </c>
      <c r="B8821" t="s">
        <v>13485</v>
      </c>
      <c r="C8821" t="s">
        <v>15105</v>
      </c>
      <c r="D8821">
        <v>115582977</v>
      </c>
      <c r="E8821" t="s">
        <v>3814</v>
      </c>
      <c r="F8821">
        <v>9.25</v>
      </c>
    </row>
    <row r="8822" spans="1:6" x14ac:dyDescent="0.3">
      <c r="A8822" t="s">
        <v>15106</v>
      </c>
      <c r="B8822" t="s">
        <v>15107</v>
      </c>
      <c r="C8822" t="s">
        <v>15108</v>
      </c>
      <c r="D8822">
        <v>115585522</v>
      </c>
      <c r="E8822">
        <v>2.2200000000000002</v>
      </c>
      <c r="F8822">
        <v>7.1</v>
      </c>
    </row>
    <row r="8823" spans="1:6" x14ac:dyDescent="0.3">
      <c r="A8823" t="s">
        <v>15109</v>
      </c>
      <c r="B8823" t="s">
        <v>14876</v>
      </c>
      <c r="C8823" t="s">
        <v>15110</v>
      </c>
      <c r="D8823">
        <v>115600926</v>
      </c>
      <c r="E8823">
        <v>13.67</v>
      </c>
      <c r="F8823">
        <v>10</v>
      </c>
    </row>
    <row r="8824" spans="1:6" x14ac:dyDescent="0.3">
      <c r="A8824" t="s">
        <v>15111</v>
      </c>
      <c r="B8824" t="s">
        <v>14622</v>
      </c>
      <c r="C8824" t="s">
        <v>15112</v>
      </c>
      <c r="D8824">
        <v>115627775</v>
      </c>
      <c r="E8824" t="s">
        <v>3814</v>
      </c>
      <c r="F8824">
        <v>3.2</v>
      </c>
    </row>
    <row r="8825" spans="1:6" x14ac:dyDescent="0.3">
      <c r="A8825" t="s">
        <v>15113</v>
      </c>
      <c r="B8825" t="s">
        <v>12698</v>
      </c>
      <c r="C8825" t="s">
        <v>121</v>
      </c>
      <c r="D8825">
        <v>115629363</v>
      </c>
      <c r="E8825" t="s">
        <v>3814</v>
      </c>
      <c r="F8825">
        <v>8.4</v>
      </c>
    </row>
    <row r="8826" spans="1:6" x14ac:dyDescent="0.3">
      <c r="A8826" t="s">
        <v>15114</v>
      </c>
      <c r="B8826" t="s">
        <v>2976</v>
      </c>
      <c r="C8826" t="s">
        <v>14258</v>
      </c>
      <c r="D8826">
        <v>115637770</v>
      </c>
      <c r="E8826">
        <v>2.17</v>
      </c>
      <c r="F8826">
        <v>7.32</v>
      </c>
    </row>
    <row r="8827" spans="1:6" x14ac:dyDescent="0.3">
      <c r="A8827" t="s">
        <v>15115</v>
      </c>
      <c r="B8827" t="s">
        <v>11317</v>
      </c>
      <c r="C8827" t="s">
        <v>9202</v>
      </c>
      <c r="D8827">
        <v>115638466</v>
      </c>
      <c r="E8827">
        <v>3</v>
      </c>
      <c r="F8827">
        <v>7.31</v>
      </c>
    </row>
    <row r="8828" spans="1:6" x14ac:dyDescent="0.3">
      <c r="A8828" t="s">
        <v>15116</v>
      </c>
      <c r="B8828" t="s">
        <v>10224</v>
      </c>
      <c r="C8828" t="s">
        <v>15116</v>
      </c>
      <c r="D8828">
        <v>115650566</v>
      </c>
      <c r="E8828" t="s">
        <v>3814</v>
      </c>
      <c r="F8828" t="s">
        <v>3814</v>
      </c>
    </row>
    <row r="8829" spans="1:6" x14ac:dyDescent="0.3">
      <c r="A8829" t="s">
        <v>15117</v>
      </c>
      <c r="B8829" t="s">
        <v>13606</v>
      </c>
      <c r="C8829" t="s">
        <v>15118</v>
      </c>
      <c r="D8829">
        <v>115657523</v>
      </c>
      <c r="E8829" t="s">
        <v>3814</v>
      </c>
      <c r="F8829">
        <v>7</v>
      </c>
    </row>
    <row r="8830" spans="1:6" x14ac:dyDescent="0.3">
      <c r="A8830" t="s">
        <v>15119</v>
      </c>
      <c r="B8830" t="s">
        <v>13045</v>
      </c>
      <c r="C8830" t="s">
        <v>3578</v>
      </c>
      <c r="D8830">
        <v>115676498</v>
      </c>
      <c r="E8830">
        <v>15.6</v>
      </c>
      <c r="F8830">
        <v>8.1999999999999993</v>
      </c>
    </row>
    <row r="8831" spans="1:6" x14ac:dyDescent="0.3">
      <c r="A8831" t="s">
        <v>15120</v>
      </c>
      <c r="B8831" t="s">
        <v>8029</v>
      </c>
      <c r="C8831" t="s">
        <v>15121</v>
      </c>
      <c r="D8831">
        <v>115678378</v>
      </c>
      <c r="E8831" t="s">
        <v>3814</v>
      </c>
      <c r="F8831">
        <v>7.78</v>
      </c>
    </row>
    <row r="8832" spans="1:6" x14ac:dyDescent="0.3">
      <c r="A8832" t="s">
        <v>13553</v>
      </c>
      <c r="B8832" t="s">
        <v>14581</v>
      </c>
      <c r="C8832" t="s">
        <v>13553</v>
      </c>
      <c r="D8832">
        <v>115685638</v>
      </c>
      <c r="E8832" t="s">
        <v>3814</v>
      </c>
      <c r="F8832" t="s">
        <v>3814</v>
      </c>
    </row>
    <row r="8833" spans="1:6" x14ac:dyDescent="0.3">
      <c r="A8833" t="s">
        <v>15122</v>
      </c>
      <c r="B8833" t="s">
        <v>11164</v>
      </c>
      <c r="C8833" t="s">
        <v>4949</v>
      </c>
      <c r="D8833">
        <v>115758748</v>
      </c>
      <c r="E8833" t="s">
        <v>3814</v>
      </c>
      <c r="F8833">
        <v>6.2</v>
      </c>
    </row>
    <row r="8834" spans="1:6" x14ac:dyDescent="0.3">
      <c r="A8834" t="s">
        <v>15123</v>
      </c>
      <c r="B8834" t="s">
        <v>15124</v>
      </c>
      <c r="C8834" t="s">
        <v>15125</v>
      </c>
      <c r="D8834">
        <v>115794391</v>
      </c>
      <c r="E8834" t="s">
        <v>3814</v>
      </c>
      <c r="F8834">
        <v>8</v>
      </c>
    </row>
    <row r="8835" spans="1:6" x14ac:dyDescent="0.3">
      <c r="A8835" t="s">
        <v>15126</v>
      </c>
      <c r="B8835" t="s">
        <v>12372</v>
      </c>
      <c r="C8835" t="s">
        <v>6388</v>
      </c>
      <c r="D8835">
        <v>115816044</v>
      </c>
      <c r="E8835">
        <v>15.33</v>
      </c>
      <c r="F8835">
        <v>7</v>
      </c>
    </row>
    <row r="8836" spans="1:6" x14ac:dyDescent="0.3">
      <c r="A8836" t="s">
        <v>15127</v>
      </c>
      <c r="B8836" t="s">
        <v>2126</v>
      </c>
      <c r="C8836" t="s">
        <v>8033</v>
      </c>
      <c r="D8836">
        <v>115831839</v>
      </c>
      <c r="E8836">
        <v>2.69</v>
      </c>
      <c r="F8836">
        <v>7.6</v>
      </c>
    </row>
    <row r="8837" spans="1:6" x14ac:dyDescent="0.3">
      <c r="A8837" t="s">
        <v>15128</v>
      </c>
      <c r="B8837" t="s">
        <v>10009</v>
      </c>
      <c r="C8837" t="s">
        <v>15129</v>
      </c>
      <c r="D8837">
        <v>115867730</v>
      </c>
      <c r="E8837">
        <v>4.0599999999999996</v>
      </c>
      <c r="F8837">
        <v>7.16</v>
      </c>
    </row>
    <row r="8838" spans="1:6" x14ac:dyDescent="0.3">
      <c r="A8838" t="s">
        <v>15130</v>
      </c>
      <c r="B8838" t="s">
        <v>5698</v>
      </c>
      <c r="C8838" t="s">
        <v>15131</v>
      </c>
      <c r="D8838">
        <v>115881666</v>
      </c>
      <c r="E8838" t="s">
        <v>3814</v>
      </c>
      <c r="F8838">
        <v>2</v>
      </c>
    </row>
    <row r="8839" spans="1:6" x14ac:dyDescent="0.3">
      <c r="A8839" t="s">
        <v>15132</v>
      </c>
      <c r="B8839" t="s">
        <v>15133</v>
      </c>
      <c r="C8839" t="s">
        <v>15134</v>
      </c>
      <c r="D8839">
        <v>115915619</v>
      </c>
      <c r="E8839" t="s">
        <v>3814</v>
      </c>
      <c r="F8839">
        <v>8.33</v>
      </c>
    </row>
    <row r="8840" spans="1:6" x14ac:dyDescent="0.3">
      <c r="A8840" t="s">
        <v>15135</v>
      </c>
      <c r="B8840" t="s">
        <v>4686</v>
      </c>
      <c r="C8840" t="e">
        <f>-Miami Hotline- Vol.3</f>
        <v>#NAME?</v>
      </c>
      <c r="D8840">
        <v>115924709</v>
      </c>
      <c r="E8840">
        <v>17.329999999999998</v>
      </c>
      <c r="F8840">
        <v>7</v>
      </c>
    </row>
    <row r="8841" spans="1:6" x14ac:dyDescent="0.3">
      <c r="A8841" t="s">
        <v>15136</v>
      </c>
      <c r="B8841" t="s">
        <v>12333</v>
      </c>
      <c r="C8841" t="e">
        <f>-Orr- Conceptual Cubes</f>
        <v>#NAME?</v>
      </c>
      <c r="D8841">
        <v>115943800</v>
      </c>
      <c r="E8841">
        <v>3.27</v>
      </c>
      <c r="F8841">
        <v>6.82</v>
      </c>
    </row>
    <row r="8842" spans="1:6" x14ac:dyDescent="0.3">
      <c r="A8842" t="s">
        <v>15137</v>
      </c>
      <c r="B8842" t="s">
        <v>14143</v>
      </c>
      <c r="C8842" t="s">
        <v>14683</v>
      </c>
      <c r="D8842">
        <v>115945148</v>
      </c>
      <c r="E8842" t="s">
        <v>3814</v>
      </c>
      <c r="F8842" t="s">
        <v>3814</v>
      </c>
    </row>
    <row r="8843" spans="1:6" x14ac:dyDescent="0.3">
      <c r="A8843" t="s">
        <v>15138</v>
      </c>
      <c r="B8843" t="s">
        <v>9393</v>
      </c>
      <c r="C8843" t="s">
        <v>15139</v>
      </c>
      <c r="D8843">
        <v>115950637</v>
      </c>
      <c r="E8843">
        <v>5.36</v>
      </c>
      <c r="F8843">
        <v>8.6</v>
      </c>
    </row>
    <row r="8844" spans="1:6" x14ac:dyDescent="0.3">
      <c r="A8844" t="s">
        <v>15140</v>
      </c>
      <c r="B8844" t="s">
        <v>14004</v>
      </c>
      <c r="C8844" t="s">
        <v>15141</v>
      </c>
      <c r="D8844">
        <v>115961356</v>
      </c>
      <c r="E8844" t="s">
        <v>3814</v>
      </c>
      <c r="F8844">
        <v>7.67</v>
      </c>
    </row>
    <row r="8845" spans="1:6" x14ac:dyDescent="0.3">
      <c r="A8845" t="s">
        <v>15142</v>
      </c>
      <c r="B8845" t="s">
        <v>15143</v>
      </c>
      <c r="C8845" t="s">
        <v>11893</v>
      </c>
      <c r="D8845">
        <v>115961613</v>
      </c>
      <c r="E8845" t="s">
        <v>3814</v>
      </c>
      <c r="F8845">
        <v>4.8899999999999997</v>
      </c>
    </row>
    <row r="8846" spans="1:6" x14ac:dyDescent="0.3">
      <c r="A8846" t="s">
        <v>15144</v>
      </c>
      <c r="B8846" t="s">
        <v>12626</v>
      </c>
      <c r="C8846" t="s">
        <v>15145</v>
      </c>
      <c r="D8846">
        <v>116026249</v>
      </c>
      <c r="E8846" t="s">
        <v>3814</v>
      </c>
      <c r="F8846" t="s">
        <v>3814</v>
      </c>
    </row>
    <row r="8847" spans="1:6" x14ac:dyDescent="0.3">
      <c r="A8847" t="s">
        <v>15146</v>
      </c>
      <c r="B8847" t="s">
        <v>15124</v>
      </c>
      <c r="C8847" t="s">
        <v>15147</v>
      </c>
      <c r="D8847">
        <v>116120637</v>
      </c>
      <c r="E8847" t="s">
        <v>3814</v>
      </c>
      <c r="F8847" t="s">
        <v>3814</v>
      </c>
    </row>
    <row r="8848" spans="1:6" x14ac:dyDescent="0.3">
      <c r="A8848" t="s">
        <v>15148</v>
      </c>
      <c r="B8848" t="s">
        <v>3681</v>
      </c>
      <c r="C8848" t="s">
        <v>15149</v>
      </c>
      <c r="D8848">
        <v>116174063</v>
      </c>
      <c r="E8848" t="s">
        <v>3814</v>
      </c>
      <c r="F8848" t="s">
        <v>3814</v>
      </c>
    </row>
    <row r="8849" spans="1:6" x14ac:dyDescent="0.3">
      <c r="A8849" t="s">
        <v>15150</v>
      </c>
      <c r="B8849" t="s">
        <v>15151</v>
      </c>
      <c r="C8849" t="s">
        <v>15152</v>
      </c>
      <c r="D8849">
        <v>116184064</v>
      </c>
      <c r="E8849" t="s">
        <v>3814</v>
      </c>
      <c r="F8849">
        <v>4.5</v>
      </c>
    </row>
    <row r="8850" spans="1:6" x14ac:dyDescent="0.3">
      <c r="A8850" t="s">
        <v>15153</v>
      </c>
      <c r="B8850" t="s">
        <v>13720</v>
      </c>
      <c r="C8850" t="s">
        <v>15154</v>
      </c>
      <c r="D8850">
        <v>116212660</v>
      </c>
      <c r="E8850" t="s">
        <v>3814</v>
      </c>
      <c r="F8850" t="s">
        <v>3814</v>
      </c>
    </row>
    <row r="8851" spans="1:6" x14ac:dyDescent="0.3">
      <c r="A8851" t="s">
        <v>15155</v>
      </c>
      <c r="B8851" t="s">
        <v>15156</v>
      </c>
      <c r="C8851" t="s">
        <v>8147</v>
      </c>
      <c r="D8851">
        <v>116216907</v>
      </c>
      <c r="E8851" t="s">
        <v>3814</v>
      </c>
      <c r="F8851" t="s">
        <v>3814</v>
      </c>
    </row>
    <row r="8852" spans="1:6" x14ac:dyDescent="0.3">
      <c r="A8852" t="s">
        <v>15157</v>
      </c>
      <c r="B8852" t="s">
        <v>6887</v>
      </c>
      <c r="C8852" t="s">
        <v>3470</v>
      </c>
      <c r="D8852">
        <v>116237352</v>
      </c>
      <c r="E8852">
        <v>2</v>
      </c>
      <c r="F8852">
        <v>7</v>
      </c>
    </row>
    <row r="8853" spans="1:6" x14ac:dyDescent="0.3">
      <c r="A8853" t="s">
        <v>15158</v>
      </c>
      <c r="B8853" t="s">
        <v>14200</v>
      </c>
      <c r="C8853" t="s">
        <v>1152</v>
      </c>
      <c r="D8853">
        <v>116270952</v>
      </c>
      <c r="E8853" t="s">
        <v>3814</v>
      </c>
      <c r="F8853">
        <v>7.5</v>
      </c>
    </row>
    <row r="8854" spans="1:6" x14ac:dyDescent="0.3">
      <c r="A8854" t="s">
        <v>15159</v>
      </c>
      <c r="B8854" t="s">
        <v>6688</v>
      </c>
      <c r="C8854" t="s">
        <v>15160</v>
      </c>
      <c r="D8854">
        <v>116284087</v>
      </c>
      <c r="E8854">
        <v>6.5</v>
      </c>
      <c r="F8854">
        <v>8.5</v>
      </c>
    </row>
    <row r="8855" spans="1:6" x14ac:dyDescent="0.3">
      <c r="A8855" t="s">
        <v>15161</v>
      </c>
      <c r="B8855" t="s">
        <v>11051</v>
      </c>
      <c r="C8855" t="s">
        <v>15162</v>
      </c>
      <c r="D8855">
        <v>116285835</v>
      </c>
      <c r="E8855">
        <v>2.2400000000000002</v>
      </c>
      <c r="F8855">
        <v>7.29</v>
      </c>
    </row>
    <row r="8856" spans="1:6" x14ac:dyDescent="0.3">
      <c r="A8856" t="s">
        <v>15163</v>
      </c>
      <c r="B8856" t="s">
        <v>15164</v>
      </c>
      <c r="C8856" t="s">
        <v>6009</v>
      </c>
      <c r="D8856">
        <v>116330412</v>
      </c>
      <c r="E8856" t="s">
        <v>3814</v>
      </c>
      <c r="F8856">
        <v>7.5</v>
      </c>
    </row>
    <row r="8857" spans="1:6" x14ac:dyDescent="0.3">
      <c r="A8857" t="s">
        <v>15165</v>
      </c>
      <c r="B8857" t="s">
        <v>13245</v>
      </c>
      <c r="C8857" t="s">
        <v>2787</v>
      </c>
      <c r="D8857">
        <v>116401475</v>
      </c>
      <c r="E8857" t="s">
        <v>3814</v>
      </c>
      <c r="F8857" t="s">
        <v>3814</v>
      </c>
    </row>
    <row r="8858" spans="1:6" x14ac:dyDescent="0.3">
      <c r="A8858" t="s">
        <v>15166</v>
      </c>
      <c r="B8858" t="s">
        <v>15033</v>
      </c>
      <c r="C8858" t="s">
        <v>15167</v>
      </c>
      <c r="D8858">
        <v>116420205</v>
      </c>
      <c r="E8858">
        <v>2</v>
      </c>
      <c r="F8858">
        <v>10</v>
      </c>
    </row>
  </sheetData>
  <mergeCells count="5">
    <mergeCell ref="H2:K4"/>
    <mergeCell ref="G3:G4"/>
    <mergeCell ref="G5:K5"/>
    <mergeCell ref="L2:L5"/>
    <mergeCell ref="G1:L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9C2CB-9373-4B7D-8493-E958F091EB34}">
  <dimension ref="A1:H3322"/>
  <sheetViews>
    <sheetView tabSelected="1" workbookViewId="0">
      <selection activeCell="A3" sqref="A3"/>
    </sheetView>
  </sheetViews>
  <sheetFormatPr baseColWidth="10" defaultRowHeight="14.4" x14ac:dyDescent="0.3"/>
  <cols>
    <col min="1" max="1" width="13.33203125" customWidth="1"/>
    <col min="2" max="2" width="17.109375" customWidth="1"/>
    <col min="4" max="4" width="14.88671875" customWidth="1"/>
    <col min="5" max="5" width="17.44140625" customWidth="1"/>
    <col min="6" max="6" width="21.88671875" customWidth="1"/>
  </cols>
  <sheetData>
    <row r="1" spans="1:8" ht="15" thickBot="1" x14ac:dyDescent="0.35">
      <c r="A1" t="s">
        <v>1</v>
      </c>
      <c r="B1" s="7" t="s">
        <v>15168</v>
      </c>
      <c r="C1" s="7" t="s">
        <v>15169</v>
      </c>
      <c r="D1" s="7" t="s">
        <v>15170</v>
      </c>
      <c r="E1" s="7" t="s">
        <v>15171</v>
      </c>
      <c r="F1" s="7" t="s">
        <v>15172</v>
      </c>
    </row>
    <row r="2" spans="1:8" ht="15" thickTop="1" x14ac:dyDescent="0.3">
      <c r="A2" t="s">
        <v>7</v>
      </c>
      <c r="B2" s="8">
        <f>COUNTIF(Levels!B:B,A2)</f>
        <v>3</v>
      </c>
      <c r="C2" s="8">
        <f>IFERROR(AVERAGEIF(Levels!B:B,A2,Levels!E:E),0)</f>
        <v>3.5466666666666669</v>
      </c>
      <c r="D2" s="8">
        <f>IFERROR(AVERAGEIF(Levels!B:B,A2,Levels!F:F),0)</f>
        <v>6.96</v>
      </c>
      <c r="E2" s="8">
        <f>_xlfn.MAXIFS(Levels!E:E,Levels!B:B,A2)</f>
        <v>4.82</v>
      </c>
      <c r="F2" s="8">
        <f>_xlfn.MAXIFS(Levels!F:F,Levels!B:B,A2)</f>
        <v>7.18</v>
      </c>
    </row>
    <row r="3" spans="1:8" x14ac:dyDescent="0.3">
      <c r="A3" t="s">
        <v>11</v>
      </c>
      <c r="B3" s="9">
        <f>COUNTIF(Levels!B:B,A3)</f>
        <v>2</v>
      </c>
      <c r="C3" s="9">
        <f>IFERROR(AVERAGEIF(Levels!B:B,A3,Levels!E:E),0)</f>
        <v>2.96</v>
      </c>
      <c r="D3" s="9">
        <f>IFERROR(AVERAGEIF(Levels!B:B,A3,Levels!F:F),0)</f>
        <v>5.5</v>
      </c>
      <c r="E3" s="9">
        <f>_xlfn.MAXIFS(Levels!E:E,Levels!B:B,A3)</f>
        <v>3.08</v>
      </c>
      <c r="F3" s="9">
        <f>_xlfn.MAXIFS(Levels!F:F,Levels!B:B,A3)</f>
        <v>5.61</v>
      </c>
    </row>
    <row r="4" spans="1:8" x14ac:dyDescent="0.3">
      <c r="A4" t="s">
        <v>14</v>
      </c>
      <c r="B4" s="6">
        <f>COUNTIF(Levels!B:B,A4)</f>
        <v>100</v>
      </c>
      <c r="C4" s="6">
        <f>IFERROR(AVERAGEIF(Levels!B:B,A4,Levels!E:E),0)</f>
        <v>5.1970000000000001</v>
      </c>
      <c r="D4" s="6">
        <f>IFERROR(AVERAGEIF(Levels!B:B,A4,Levels!F:F),0)</f>
        <v>5.1414</v>
      </c>
      <c r="E4" s="6">
        <f>_xlfn.MAXIFS(Levels!E:E,Levels!B:B,A4)</f>
        <v>19.79</v>
      </c>
      <c r="F4" s="6">
        <f>_xlfn.MAXIFS(Levels!F:F,Levels!B:B,A4)</f>
        <v>7.4</v>
      </c>
    </row>
    <row r="5" spans="1:8" x14ac:dyDescent="0.3">
      <c r="A5" t="s">
        <v>16</v>
      </c>
      <c r="B5" s="9">
        <f>COUNTIF(Levels!B:B,A5)</f>
        <v>4</v>
      </c>
      <c r="C5" s="9">
        <f>IFERROR(AVERAGEIF(Levels!B:B,A5,Levels!E:E),0)</f>
        <v>2.2425000000000002</v>
      </c>
      <c r="D5" s="9">
        <f>IFERROR(AVERAGEIF(Levels!B:B,A5,Levels!F:F),0)</f>
        <v>5.93</v>
      </c>
      <c r="E5" s="9">
        <f>_xlfn.MAXIFS(Levels!E:E,Levels!B:B,A5)</f>
        <v>4.25</v>
      </c>
      <c r="F5" s="9">
        <f>_xlfn.MAXIFS(Levels!F:F,Levels!B:B,A5)</f>
        <v>6.56</v>
      </c>
    </row>
    <row r="6" spans="1:8" x14ac:dyDescent="0.3">
      <c r="A6" t="s">
        <v>19</v>
      </c>
      <c r="B6" s="6">
        <f>COUNTIF(Levels!B:B,A6)</f>
        <v>1</v>
      </c>
      <c r="C6" s="6">
        <f>IFERROR(AVERAGEIF(Levels!B:B,A6,Levels!E:E),0)</f>
        <v>1</v>
      </c>
      <c r="D6" s="6">
        <f>IFERROR(AVERAGEIF(Levels!B:B,A6,Levels!F:F),0)</f>
        <v>4.9000000000000004</v>
      </c>
      <c r="E6" s="6">
        <f>_xlfn.MAXIFS(Levels!E:E,Levels!B:B,A6)</f>
        <v>1</v>
      </c>
      <c r="F6" s="6">
        <f>_xlfn.MAXIFS(Levels!F:F,Levels!B:B,A6)</f>
        <v>4.9000000000000004</v>
      </c>
    </row>
    <row r="7" spans="1:8" x14ac:dyDescent="0.3">
      <c r="A7" t="s">
        <v>22</v>
      </c>
      <c r="B7" s="9">
        <f>COUNTIF(Levels!B:B,A7)</f>
        <v>13</v>
      </c>
      <c r="C7" s="9">
        <f>IFERROR(AVERAGEIF(Levels!B:B,A7,Levels!E:E),0)</f>
        <v>7.7761538461538464</v>
      </c>
      <c r="D7" s="9">
        <f>IFERROR(AVERAGEIF(Levels!B:B,A7,Levels!F:F),0)</f>
        <v>6.1684615384615382</v>
      </c>
      <c r="E7" s="9">
        <f>_xlfn.MAXIFS(Levels!E:E,Levels!B:B,A7)</f>
        <v>15.82</v>
      </c>
      <c r="F7" s="9">
        <f>_xlfn.MAXIFS(Levels!F:F,Levels!B:B,A7)</f>
        <v>8.09</v>
      </c>
    </row>
    <row r="8" spans="1:8" x14ac:dyDescent="0.3">
      <c r="A8" t="s">
        <v>27</v>
      </c>
      <c r="B8" s="6">
        <f>COUNTIF(Levels!B:B,A8)</f>
        <v>11</v>
      </c>
      <c r="C8" s="6">
        <f>IFERROR(AVERAGEIF(Levels!B:B,A8,Levels!E:E),0)</f>
        <v>3.0254545454545454</v>
      </c>
      <c r="D8" s="6">
        <f>IFERROR(AVERAGEIF(Levels!B:B,A8,Levels!F:F),0)</f>
        <v>5.8645454545454534</v>
      </c>
      <c r="E8" s="6">
        <f>_xlfn.MAXIFS(Levels!E:E,Levels!B:B,A8)</f>
        <v>6.07</v>
      </c>
      <c r="F8" s="6">
        <f>_xlfn.MAXIFS(Levels!F:F,Levels!B:B,A8)</f>
        <v>6.33</v>
      </c>
    </row>
    <row r="9" spans="1:8" x14ac:dyDescent="0.3">
      <c r="A9" t="s">
        <v>30</v>
      </c>
      <c r="B9" s="9">
        <f>COUNTIF(Levels!B:B,A9)</f>
        <v>1</v>
      </c>
      <c r="C9" s="9">
        <f>IFERROR(AVERAGEIF(Levels!B:B,A9,Levels!E:E),0)</f>
        <v>1.88</v>
      </c>
      <c r="D9" s="9">
        <f>IFERROR(AVERAGEIF(Levels!B:B,A9,Levels!F:F),0)</f>
        <v>5.14</v>
      </c>
      <c r="E9" s="9">
        <f>_xlfn.MAXIFS(Levels!E:E,Levels!B:B,A9)</f>
        <v>1.88</v>
      </c>
      <c r="F9" s="9">
        <f>_xlfn.MAXIFS(Levels!F:F,Levels!B:B,A9)</f>
        <v>5.14</v>
      </c>
    </row>
    <row r="10" spans="1:8" x14ac:dyDescent="0.3">
      <c r="A10" t="s">
        <v>32</v>
      </c>
      <c r="B10" s="6">
        <f>COUNTIF(Levels!B:B,A10)</f>
        <v>1</v>
      </c>
      <c r="C10" s="6">
        <f>IFERROR(AVERAGEIF(Levels!B:B,A10,Levels!E:E),0)</f>
        <v>8.1</v>
      </c>
      <c r="D10" s="6">
        <f>IFERROR(AVERAGEIF(Levels!B:B,A10,Levels!F:F),0)</f>
        <v>4.34</v>
      </c>
      <c r="E10" s="6">
        <f>_xlfn.MAXIFS(Levels!E:E,Levels!B:B,A10)</f>
        <v>8.1</v>
      </c>
      <c r="F10" s="6">
        <f>_xlfn.MAXIFS(Levels!F:F,Levels!B:B,A10)</f>
        <v>4.34</v>
      </c>
    </row>
    <row r="11" spans="1:8" x14ac:dyDescent="0.3">
      <c r="A11" t="s">
        <v>34</v>
      </c>
      <c r="B11" s="9">
        <f>COUNTIF(Levels!B:B,A11)</f>
        <v>5</v>
      </c>
      <c r="C11" s="9">
        <f>IFERROR(AVERAGEIF(Levels!B:B,A11,Levels!E:E),0)</f>
        <v>5.37</v>
      </c>
      <c r="D11" s="9">
        <f>IFERROR(AVERAGEIF(Levels!B:B,A11,Levels!F:F),0)</f>
        <v>5.8720000000000008</v>
      </c>
      <c r="E11" s="9">
        <f>_xlfn.MAXIFS(Levels!E:E,Levels!B:B,A11)</f>
        <v>7.17</v>
      </c>
      <c r="F11" s="9">
        <f>_xlfn.MAXIFS(Levels!F:F,Levels!B:B,A11)</f>
        <v>6.23</v>
      </c>
    </row>
    <row r="12" spans="1:8" x14ac:dyDescent="0.3">
      <c r="A12" t="s">
        <v>42</v>
      </c>
      <c r="B12" s="6">
        <f>COUNTIF(Levels!B:B,A12)</f>
        <v>1</v>
      </c>
      <c r="C12" s="6">
        <f>IFERROR(AVERAGEIF(Levels!B:B,A12,Levels!E:E),0)</f>
        <v>5.03</v>
      </c>
      <c r="D12" s="6">
        <f>IFERROR(AVERAGEIF(Levels!B:B,A12,Levels!F:F),0)</f>
        <v>4.7699999999999996</v>
      </c>
      <c r="E12" s="6">
        <f>_xlfn.MAXIFS(Levels!E:E,Levels!B:B,A12)</f>
        <v>5.03</v>
      </c>
      <c r="F12" s="6">
        <f>_xlfn.MAXIFS(Levels!F:F,Levels!B:B,A12)</f>
        <v>4.7699999999999996</v>
      </c>
      <c r="H12" t="s">
        <v>2217</v>
      </c>
    </row>
    <row r="13" spans="1:8" x14ac:dyDescent="0.3">
      <c r="A13" t="s">
        <v>44</v>
      </c>
      <c r="B13" s="9">
        <f>COUNTIF(Levels!B:B,A13)</f>
        <v>17</v>
      </c>
      <c r="C13" s="9">
        <f>IFERROR(AVERAGEIF(Levels!B:B,A13,Levels!E:E),0)</f>
        <v>8.209411764705882</v>
      </c>
      <c r="D13" s="9">
        <f>IFERROR(AVERAGEIF(Levels!B:B,A13,Levels!F:F),0)</f>
        <v>5.1652941176470586</v>
      </c>
      <c r="E13" s="9">
        <f>_xlfn.MAXIFS(Levels!E:E,Levels!B:B,A13)</f>
        <v>16.88</v>
      </c>
      <c r="F13" s="9">
        <f>_xlfn.MAXIFS(Levels!F:F,Levels!B:B,A13)</f>
        <v>6.88</v>
      </c>
    </row>
    <row r="14" spans="1:8" x14ac:dyDescent="0.3">
      <c r="A14" t="s">
        <v>49</v>
      </c>
      <c r="B14" s="6">
        <f>COUNTIF(Levels!B:B,A14)</f>
        <v>13</v>
      </c>
      <c r="C14" s="6">
        <f>IFERROR(AVERAGEIF(Levels!B:B,A14,Levels!E:E),0)</f>
        <v>15.998461538461539</v>
      </c>
      <c r="D14" s="6">
        <f>IFERROR(AVERAGEIF(Levels!B:B,A14,Levels!F:F),0)</f>
        <v>7.54</v>
      </c>
      <c r="E14" s="6">
        <f>_xlfn.MAXIFS(Levels!E:E,Levels!B:B,A14)</f>
        <v>31</v>
      </c>
      <c r="F14" s="6">
        <f>_xlfn.MAXIFS(Levels!F:F,Levels!B:B,A14)</f>
        <v>8.9499999999999993</v>
      </c>
    </row>
    <row r="15" spans="1:8" x14ac:dyDescent="0.3">
      <c r="A15" t="s">
        <v>51</v>
      </c>
      <c r="B15" s="9">
        <f>COUNTIF(Levels!B:B,A15)</f>
        <v>1</v>
      </c>
      <c r="C15" s="9">
        <f>IFERROR(AVERAGEIF(Levels!B:B,A15,Levels!E:E),0)</f>
        <v>1.01</v>
      </c>
      <c r="D15" s="9">
        <f>IFERROR(AVERAGEIF(Levels!B:B,A15,Levels!F:F),0)</f>
        <v>5.7</v>
      </c>
      <c r="E15" s="9">
        <f>_xlfn.MAXIFS(Levels!E:E,Levels!B:B,A15)</f>
        <v>1.01</v>
      </c>
      <c r="F15" s="9">
        <f>_xlfn.MAXIFS(Levels!F:F,Levels!B:B,A15)</f>
        <v>5.7</v>
      </c>
    </row>
    <row r="16" spans="1:8" x14ac:dyDescent="0.3">
      <c r="A16" t="s">
        <v>53</v>
      </c>
      <c r="B16" s="6">
        <f>COUNTIF(Levels!B:B,A16)</f>
        <v>2</v>
      </c>
      <c r="C16" s="6">
        <f>IFERROR(AVERAGEIF(Levels!B:B,A16,Levels!E:E),0)</f>
        <v>5.92</v>
      </c>
      <c r="D16" s="6">
        <f>IFERROR(AVERAGEIF(Levels!B:B,A16,Levels!F:F),0)</f>
        <v>5.7850000000000001</v>
      </c>
      <c r="E16" s="6">
        <f>_xlfn.MAXIFS(Levels!E:E,Levels!B:B,A16)</f>
        <v>6.11</v>
      </c>
      <c r="F16" s="6">
        <f>_xlfn.MAXIFS(Levels!F:F,Levels!B:B,A16)</f>
        <v>5.97</v>
      </c>
    </row>
    <row r="17" spans="1:6" x14ac:dyDescent="0.3">
      <c r="A17" t="s">
        <v>56</v>
      </c>
      <c r="B17" s="9">
        <f>COUNTIF(Levels!B:B,A17)</f>
        <v>4</v>
      </c>
      <c r="C17" s="9">
        <f>IFERROR(AVERAGEIF(Levels!B:B,A17,Levels!E:E),0)</f>
        <v>4.1875</v>
      </c>
      <c r="D17" s="9">
        <f>IFERROR(AVERAGEIF(Levels!B:B,A17,Levels!F:F),0)</f>
        <v>5.43</v>
      </c>
      <c r="E17" s="9">
        <f>_xlfn.MAXIFS(Levels!E:E,Levels!B:B,A17)</f>
        <v>6</v>
      </c>
      <c r="F17" s="9">
        <f>_xlfn.MAXIFS(Levels!F:F,Levels!B:B,A17)</f>
        <v>5.89</v>
      </c>
    </row>
    <row r="18" spans="1:6" x14ac:dyDescent="0.3">
      <c r="A18" t="s">
        <v>58</v>
      </c>
      <c r="B18" s="6">
        <f>COUNTIF(Levels!B:B,A18)</f>
        <v>2</v>
      </c>
      <c r="C18" s="6">
        <f>IFERROR(AVERAGEIF(Levels!B:B,A18,Levels!E:E),0)</f>
        <v>3.4099999999999997</v>
      </c>
      <c r="D18" s="6">
        <f>IFERROR(AVERAGEIF(Levels!B:B,A18,Levels!F:F),0)</f>
        <v>6.09</v>
      </c>
      <c r="E18" s="6">
        <f>_xlfn.MAXIFS(Levels!E:E,Levels!B:B,A18)</f>
        <v>4.8099999999999996</v>
      </c>
      <c r="F18" s="6">
        <f>_xlfn.MAXIFS(Levels!F:F,Levels!B:B,A18)</f>
        <v>6.47</v>
      </c>
    </row>
    <row r="19" spans="1:6" x14ac:dyDescent="0.3">
      <c r="A19" t="s">
        <v>61</v>
      </c>
      <c r="B19" s="9">
        <f>COUNTIF(Levels!B:B,A19)</f>
        <v>1</v>
      </c>
      <c r="C19" s="9">
        <f>IFERROR(AVERAGEIF(Levels!B:B,A19,Levels!E:E),0)</f>
        <v>8.23</v>
      </c>
      <c r="D19" s="9">
        <f>IFERROR(AVERAGEIF(Levels!B:B,A19,Levels!F:F),0)</f>
        <v>6.31</v>
      </c>
      <c r="E19" s="9">
        <f>_xlfn.MAXIFS(Levels!E:E,Levels!B:B,A19)</f>
        <v>8.23</v>
      </c>
      <c r="F19" s="9">
        <f>_xlfn.MAXIFS(Levels!F:F,Levels!B:B,A19)</f>
        <v>6.31</v>
      </c>
    </row>
    <row r="20" spans="1:6" x14ac:dyDescent="0.3">
      <c r="A20" t="s">
        <v>72</v>
      </c>
      <c r="B20" s="6">
        <f>COUNTIF(Levels!B:B,A20)</f>
        <v>5</v>
      </c>
      <c r="C20" s="6">
        <f>IFERROR(AVERAGEIF(Levels!B:B,A20,Levels!E:E),0)</f>
        <v>4.726</v>
      </c>
      <c r="D20" s="6">
        <f>IFERROR(AVERAGEIF(Levels!B:B,A20,Levels!F:F),0)</f>
        <v>5.8759999999999994</v>
      </c>
      <c r="E20" s="6">
        <f>_xlfn.MAXIFS(Levels!E:E,Levels!B:B,A20)</f>
        <v>7.62</v>
      </c>
      <c r="F20" s="6">
        <f>_xlfn.MAXIFS(Levels!F:F,Levels!B:B,A20)</f>
        <v>7.13</v>
      </c>
    </row>
    <row r="21" spans="1:6" x14ac:dyDescent="0.3">
      <c r="A21" t="s">
        <v>78</v>
      </c>
      <c r="B21" s="9">
        <f>COUNTIF(Levels!B:B,A21)</f>
        <v>3</v>
      </c>
      <c r="C21" s="9">
        <f>IFERROR(AVERAGEIF(Levels!B:B,A21,Levels!E:E),0)</f>
        <v>6.6000000000000005</v>
      </c>
      <c r="D21" s="9">
        <f>IFERROR(AVERAGEIF(Levels!B:B,A21,Levels!F:F),0)</f>
        <v>6.1766666666666667</v>
      </c>
      <c r="E21" s="9">
        <f>_xlfn.MAXIFS(Levels!E:E,Levels!B:B,A21)</f>
        <v>9.43</v>
      </c>
      <c r="F21" s="9">
        <f>_xlfn.MAXIFS(Levels!F:F,Levels!B:B,A21)</f>
        <v>6.65</v>
      </c>
    </row>
    <row r="22" spans="1:6" x14ac:dyDescent="0.3">
      <c r="A22" t="s">
        <v>81</v>
      </c>
      <c r="B22" s="6">
        <f>COUNTIF(Levels!B:B,A22)</f>
        <v>2</v>
      </c>
      <c r="C22" s="6">
        <f>IFERROR(AVERAGEIF(Levels!B:B,A22,Levels!E:E),0)</f>
        <v>6.58</v>
      </c>
      <c r="D22" s="6">
        <f>IFERROR(AVERAGEIF(Levels!B:B,A22,Levels!F:F),0)</f>
        <v>4.8949999999999996</v>
      </c>
      <c r="E22" s="6">
        <f>_xlfn.MAXIFS(Levels!E:E,Levels!B:B,A22)</f>
        <v>6.96</v>
      </c>
      <c r="F22" s="6">
        <f>_xlfn.MAXIFS(Levels!F:F,Levels!B:B,A22)</f>
        <v>5.0999999999999996</v>
      </c>
    </row>
    <row r="23" spans="1:6" x14ac:dyDescent="0.3">
      <c r="A23" t="s">
        <v>83</v>
      </c>
      <c r="B23" s="9">
        <f>COUNTIF(Levels!B:B,A23)</f>
        <v>1</v>
      </c>
      <c r="C23" s="9">
        <f>IFERROR(AVERAGEIF(Levels!B:B,A23,Levels!E:E),0)</f>
        <v>17.739999999999998</v>
      </c>
      <c r="D23" s="9">
        <f>IFERROR(AVERAGEIF(Levels!B:B,A23,Levels!F:F),0)</f>
        <v>3.35</v>
      </c>
      <c r="E23" s="9">
        <f>_xlfn.MAXIFS(Levels!E:E,Levels!B:B,A23)</f>
        <v>17.739999999999998</v>
      </c>
      <c r="F23" s="9">
        <f>_xlfn.MAXIFS(Levels!F:F,Levels!B:B,A23)</f>
        <v>3.35</v>
      </c>
    </row>
    <row r="24" spans="1:6" x14ac:dyDescent="0.3">
      <c r="A24" t="s">
        <v>85</v>
      </c>
      <c r="B24" s="6">
        <f>COUNTIF(Levels!B:B,A24)</f>
        <v>11</v>
      </c>
      <c r="C24" s="6">
        <f>IFERROR(AVERAGEIF(Levels!B:B,A24,Levels!E:E),0)</f>
        <v>10.885454545454545</v>
      </c>
      <c r="D24" s="6">
        <f>IFERROR(AVERAGEIF(Levels!B:B,A24,Levels!F:F),0)</f>
        <v>6.2745454545454544</v>
      </c>
      <c r="E24" s="6">
        <f>_xlfn.MAXIFS(Levels!E:E,Levels!B:B,A24)</f>
        <v>15.9</v>
      </c>
      <c r="F24" s="6">
        <f>_xlfn.MAXIFS(Levels!F:F,Levels!B:B,A24)</f>
        <v>8.1999999999999993</v>
      </c>
    </row>
    <row r="25" spans="1:6" x14ac:dyDescent="0.3">
      <c r="A25" t="s">
        <v>88</v>
      </c>
      <c r="B25" s="9">
        <f>COUNTIF(Levels!B:B,A25)</f>
        <v>13</v>
      </c>
      <c r="C25" s="9">
        <f>IFERROR(AVERAGEIF(Levels!B:B,A25,Levels!E:E),0)</f>
        <v>9.4169230769230783</v>
      </c>
      <c r="D25" s="9">
        <f>IFERROR(AVERAGEIF(Levels!B:B,A25,Levels!F:F),0)</f>
        <v>5.8830769230769233</v>
      </c>
      <c r="E25" s="9">
        <f>_xlfn.MAXIFS(Levels!E:E,Levels!B:B,A25)</f>
        <v>15.7</v>
      </c>
      <c r="F25" s="9">
        <f>_xlfn.MAXIFS(Levels!F:F,Levels!B:B,A25)</f>
        <v>8.11</v>
      </c>
    </row>
    <row r="26" spans="1:6" x14ac:dyDescent="0.3">
      <c r="A26" t="s">
        <v>91</v>
      </c>
      <c r="B26" s="6">
        <f>COUNTIF(Levels!B:B,A26)</f>
        <v>19</v>
      </c>
      <c r="C26" s="6">
        <f>IFERROR(AVERAGEIF(Levels!B:B,A26,Levels!E:E),0)</f>
        <v>9.0721052631578942</v>
      </c>
      <c r="D26" s="6">
        <f>IFERROR(AVERAGEIF(Levels!B:B,A26,Levels!F:F),0)</f>
        <v>5.4552631578947377</v>
      </c>
      <c r="E26" s="6">
        <f>_xlfn.MAXIFS(Levels!E:E,Levels!B:B,A26)</f>
        <v>24</v>
      </c>
      <c r="F26" s="6">
        <f>_xlfn.MAXIFS(Levels!F:F,Levels!B:B,A26)</f>
        <v>7.41</v>
      </c>
    </row>
    <row r="27" spans="1:6" x14ac:dyDescent="0.3">
      <c r="A27" t="s">
        <v>94</v>
      </c>
      <c r="B27" s="9">
        <f>COUNTIF(Levels!B:B,A27)</f>
        <v>1</v>
      </c>
      <c r="C27" s="9">
        <f>IFERROR(AVERAGEIF(Levels!B:B,A27,Levels!E:E),0)</f>
        <v>6</v>
      </c>
      <c r="D27" s="9">
        <f>IFERROR(AVERAGEIF(Levels!B:B,A27,Levels!F:F),0)</f>
        <v>4.57</v>
      </c>
      <c r="E27" s="9">
        <f>_xlfn.MAXIFS(Levels!E:E,Levels!B:B,A27)</f>
        <v>6</v>
      </c>
      <c r="F27" s="9">
        <f>_xlfn.MAXIFS(Levels!F:F,Levels!B:B,A27)</f>
        <v>4.57</v>
      </c>
    </row>
    <row r="28" spans="1:6" x14ac:dyDescent="0.3">
      <c r="A28" t="s">
        <v>96</v>
      </c>
      <c r="B28" s="6">
        <f>COUNTIF(Levels!B:B,A28)</f>
        <v>4</v>
      </c>
      <c r="C28" s="6">
        <f>IFERROR(AVERAGEIF(Levels!B:B,A28,Levels!E:E),0)</f>
        <v>9.3925000000000001</v>
      </c>
      <c r="D28" s="6">
        <f>IFERROR(AVERAGEIF(Levels!B:B,A28,Levels!F:F),0)</f>
        <v>6.9674999999999994</v>
      </c>
      <c r="E28" s="6">
        <f>_xlfn.MAXIFS(Levels!E:E,Levels!B:B,A28)</f>
        <v>15.58</v>
      </c>
      <c r="F28" s="6">
        <f>_xlfn.MAXIFS(Levels!F:F,Levels!B:B,A28)</f>
        <v>7.9</v>
      </c>
    </row>
    <row r="29" spans="1:6" x14ac:dyDescent="0.3">
      <c r="A29" t="s">
        <v>98</v>
      </c>
      <c r="B29" s="9">
        <f>COUNTIF(Levels!B:B,A29)</f>
        <v>9</v>
      </c>
      <c r="C29" s="9">
        <f>IFERROR(AVERAGEIF(Levels!B:B,A29,Levels!E:E),0)</f>
        <v>3.0166666666666666</v>
      </c>
      <c r="D29" s="9">
        <f>IFERROR(AVERAGEIF(Levels!B:B,A29,Levels!F:F),0)</f>
        <v>5.2299999999999995</v>
      </c>
      <c r="E29" s="9">
        <f>_xlfn.MAXIFS(Levels!E:E,Levels!B:B,A29)</f>
        <v>5.9</v>
      </c>
      <c r="F29" s="9">
        <f>_xlfn.MAXIFS(Levels!F:F,Levels!B:B,A29)</f>
        <v>6.44</v>
      </c>
    </row>
    <row r="30" spans="1:6" x14ac:dyDescent="0.3">
      <c r="A30" t="s">
        <v>100</v>
      </c>
      <c r="B30" s="6">
        <f>COUNTIF(Levels!B:B,A30)</f>
        <v>1</v>
      </c>
      <c r="C30" s="6">
        <f>IFERROR(AVERAGEIF(Levels!B:B,A30,Levels!E:E),0)</f>
        <v>7.44</v>
      </c>
      <c r="D30" s="6">
        <f>IFERROR(AVERAGEIF(Levels!B:B,A30,Levels!F:F),0)</f>
        <v>6.25</v>
      </c>
      <c r="E30" s="6">
        <f>_xlfn.MAXIFS(Levels!E:E,Levels!B:B,A30)</f>
        <v>7.44</v>
      </c>
      <c r="F30" s="6">
        <f>_xlfn.MAXIFS(Levels!F:F,Levels!B:B,A30)</f>
        <v>6.25</v>
      </c>
    </row>
    <row r="31" spans="1:6" x14ac:dyDescent="0.3">
      <c r="A31" t="s">
        <v>105</v>
      </c>
      <c r="B31" s="9">
        <f>COUNTIF(Levels!B:B,A31)</f>
        <v>4</v>
      </c>
      <c r="C31" s="9">
        <f>IFERROR(AVERAGEIF(Levels!B:B,A31,Levels!E:E),0)</f>
        <v>5.01</v>
      </c>
      <c r="D31" s="9">
        <f>IFERROR(AVERAGEIF(Levels!B:B,A31,Levels!F:F),0)</f>
        <v>4.8574999999999999</v>
      </c>
      <c r="E31" s="9">
        <f>_xlfn.MAXIFS(Levels!E:E,Levels!B:B,A31)</f>
        <v>7.86</v>
      </c>
      <c r="F31" s="9">
        <f>_xlfn.MAXIFS(Levels!F:F,Levels!B:B,A31)</f>
        <v>5.22</v>
      </c>
    </row>
    <row r="32" spans="1:6" x14ac:dyDescent="0.3">
      <c r="A32" t="s">
        <v>108</v>
      </c>
      <c r="B32" s="6">
        <f>COUNTIF(Levels!B:B,A32)</f>
        <v>3</v>
      </c>
      <c r="C32" s="6">
        <f>IFERROR(AVERAGEIF(Levels!B:B,A32,Levels!E:E),0)</f>
        <v>13.476666666666667</v>
      </c>
      <c r="D32" s="6">
        <f>IFERROR(AVERAGEIF(Levels!B:B,A32,Levels!F:F),0)</f>
        <v>5.2766666666666664</v>
      </c>
      <c r="E32" s="6">
        <f>_xlfn.MAXIFS(Levels!E:E,Levels!B:B,A32)</f>
        <v>15.39</v>
      </c>
      <c r="F32" s="6">
        <f>_xlfn.MAXIFS(Levels!F:F,Levels!B:B,A32)</f>
        <v>7.28</v>
      </c>
    </row>
    <row r="33" spans="1:6" x14ac:dyDescent="0.3">
      <c r="A33" t="s">
        <v>112</v>
      </c>
      <c r="B33" s="9">
        <f>COUNTIF(Levels!B:B,A33)</f>
        <v>6</v>
      </c>
      <c r="C33" s="9">
        <f>IFERROR(AVERAGEIF(Levels!B:B,A33,Levels!E:E),0)</f>
        <v>10.171666666666667</v>
      </c>
      <c r="D33" s="9">
        <f>IFERROR(AVERAGEIF(Levels!B:B,A33,Levels!F:F),0)</f>
        <v>5.9866666666666672</v>
      </c>
      <c r="E33" s="9">
        <f>_xlfn.MAXIFS(Levels!E:E,Levels!B:B,A33)</f>
        <v>19.73</v>
      </c>
      <c r="F33" s="9">
        <f>_xlfn.MAXIFS(Levels!F:F,Levels!B:B,A33)</f>
        <v>7.04</v>
      </c>
    </row>
    <row r="34" spans="1:6" x14ac:dyDescent="0.3">
      <c r="A34" t="s">
        <v>119</v>
      </c>
      <c r="B34" s="6">
        <f>COUNTIF(Levels!B:B,A34)</f>
        <v>1</v>
      </c>
      <c r="C34" s="6">
        <f>IFERROR(AVERAGEIF(Levels!B:B,A34,Levels!E:E),0)</f>
        <v>2.1800000000000002</v>
      </c>
      <c r="D34" s="6">
        <f>IFERROR(AVERAGEIF(Levels!B:B,A34,Levels!F:F),0)</f>
        <v>3.88</v>
      </c>
      <c r="E34" s="6">
        <f>_xlfn.MAXIFS(Levels!E:E,Levels!B:B,A34)</f>
        <v>2.1800000000000002</v>
      </c>
      <c r="F34" s="6">
        <f>_xlfn.MAXIFS(Levels!F:F,Levels!B:B,A34)</f>
        <v>3.88</v>
      </c>
    </row>
    <row r="35" spans="1:6" x14ac:dyDescent="0.3">
      <c r="A35" t="s">
        <v>124</v>
      </c>
      <c r="B35" s="9">
        <f>COUNTIF(Levels!B:B,A35)</f>
        <v>6</v>
      </c>
      <c r="C35" s="9">
        <f>IFERROR(AVERAGEIF(Levels!B:B,A35,Levels!E:E),0)</f>
        <v>5.081666666666667</v>
      </c>
      <c r="D35" s="9">
        <f>IFERROR(AVERAGEIF(Levels!B:B,A35,Levels!F:F),0)</f>
        <v>4.9383333333333335</v>
      </c>
      <c r="E35" s="9">
        <f>_xlfn.MAXIFS(Levels!E:E,Levels!B:B,A35)</f>
        <v>6.54</v>
      </c>
      <c r="F35" s="9">
        <f>_xlfn.MAXIFS(Levels!F:F,Levels!B:B,A35)</f>
        <v>6.06</v>
      </c>
    </row>
    <row r="36" spans="1:6" x14ac:dyDescent="0.3">
      <c r="A36" t="s">
        <v>131</v>
      </c>
      <c r="B36" s="6">
        <f>COUNTIF(Levels!B:B,A36)</f>
        <v>3</v>
      </c>
      <c r="C36" s="6">
        <f>IFERROR(AVERAGEIF(Levels!B:B,A36,Levels!E:E),0)</f>
        <v>4.7</v>
      </c>
      <c r="D36" s="6">
        <f>IFERROR(AVERAGEIF(Levels!B:B,A36,Levels!F:F),0)</f>
        <v>4.8600000000000003</v>
      </c>
      <c r="E36" s="6">
        <f>_xlfn.MAXIFS(Levels!E:E,Levels!B:B,A36)</f>
        <v>7.89</v>
      </c>
      <c r="F36" s="6">
        <f>_xlfn.MAXIFS(Levels!F:F,Levels!B:B,A36)</f>
        <v>5.91</v>
      </c>
    </row>
    <row r="37" spans="1:6" x14ac:dyDescent="0.3">
      <c r="A37" t="s">
        <v>133</v>
      </c>
      <c r="B37" s="9">
        <f>COUNTIF(Levels!B:B,A37)</f>
        <v>2</v>
      </c>
      <c r="C37" s="9">
        <f>IFERROR(AVERAGEIF(Levels!B:B,A37,Levels!E:E),0)</f>
        <v>4.4550000000000001</v>
      </c>
      <c r="D37" s="9">
        <f>IFERROR(AVERAGEIF(Levels!B:B,A37,Levels!F:F),0)</f>
        <v>5.6150000000000002</v>
      </c>
      <c r="E37" s="9">
        <f>_xlfn.MAXIFS(Levels!E:E,Levels!B:B,A37)</f>
        <v>4.66</v>
      </c>
      <c r="F37" s="9">
        <f>_xlfn.MAXIFS(Levels!F:F,Levels!B:B,A37)</f>
        <v>5.78</v>
      </c>
    </row>
    <row r="38" spans="1:6" x14ac:dyDescent="0.3">
      <c r="A38" t="s">
        <v>136</v>
      </c>
      <c r="B38" s="6">
        <f>COUNTIF(Levels!B:B,A38)</f>
        <v>3</v>
      </c>
      <c r="C38" s="6">
        <f>IFERROR(AVERAGEIF(Levels!B:B,A38,Levels!E:E),0)</f>
        <v>2.4</v>
      </c>
      <c r="D38" s="6">
        <f>IFERROR(AVERAGEIF(Levels!B:B,A38,Levels!F:F),0)</f>
        <v>5.3933333333333335</v>
      </c>
      <c r="E38" s="6">
        <f>_xlfn.MAXIFS(Levels!E:E,Levels!B:B,A38)</f>
        <v>2.87</v>
      </c>
      <c r="F38" s="6">
        <f>_xlfn.MAXIFS(Levels!F:F,Levels!B:B,A38)</f>
        <v>5.85</v>
      </c>
    </row>
    <row r="39" spans="1:6" x14ac:dyDescent="0.3">
      <c r="A39" t="s">
        <v>138</v>
      </c>
      <c r="B39" s="9">
        <f>COUNTIF(Levels!B:B,A39)</f>
        <v>5</v>
      </c>
      <c r="C39" s="9">
        <f>IFERROR(AVERAGEIF(Levels!B:B,A39,Levels!E:E),0)</f>
        <v>7.3800000000000008</v>
      </c>
      <c r="D39" s="9">
        <f>IFERROR(AVERAGEIF(Levels!B:B,A39,Levels!F:F),0)</f>
        <v>4.9980000000000002</v>
      </c>
      <c r="E39" s="9">
        <f>_xlfn.MAXIFS(Levels!E:E,Levels!B:B,A39)</f>
        <v>11.12</v>
      </c>
      <c r="F39" s="9">
        <f>_xlfn.MAXIFS(Levels!F:F,Levels!B:B,A39)</f>
        <v>6.92</v>
      </c>
    </row>
    <row r="40" spans="1:6" x14ac:dyDescent="0.3">
      <c r="A40" t="s">
        <v>140</v>
      </c>
      <c r="B40" s="6">
        <f>COUNTIF(Levels!B:B,A40)</f>
        <v>5</v>
      </c>
      <c r="C40" s="6">
        <f>IFERROR(AVERAGEIF(Levels!B:B,A40,Levels!E:E),0)</f>
        <v>9.0139999999999993</v>
      </c>
      <c r="D40" s="6">
        <f>IFERROR(AVERAGEIF(Levels!B:B,A40,Levels!F:F),0)</f>
        <v>5.1360000000000001</v>
      </c>
      <c r="E40" s="6">
        <f>_xlfn.MAXIFS(Levels!E:E,Levels!B:B,A40)</f>
        <v>11.46</v>
      </c>
      <c r="F40" s="6">
        <f>_xlfn.MAXIFS(Levels!F:F,Levels!B:B,A40)</f>
        <v>6</v>
      </c>
    </row>
    <row r="41" spans="1:6" x14ac:dyDescent="0.3">
      <c r="A41" t="s">
        <v>144</v>
      </c>
      <c r="B41" s="9">
        <f>COUNTIF(Levels!B:B,A41)</f>
        <v>1</v>
      </c>
      <c r="C41" s="9">
        <f>IFERROR(AVERAGEIF(Levels!B:B,A41,Levels!E:E),0)</f>
        <v>1.03</v>
      </c>
      <c r="D41" s="9">
        <f>IFERROR(AVERAGEIF(Levels!B:B,A41,Levels!F:F),0)</f>
        <v>5.33</v>
      </c>
      <c r="E41" s="9">
        <f>_xlfn.MAXIFS(Levels!E:E,Levels!B:B,A41)</f>
        <v>1.03</v>
      </c>
      <c r="F41" s="9">
        <f>_xlfn.MAXIFS(Levels!F:F,Levels!B:B,A41)</f>
        <v>5.33</v>
      </c>
    </row>
    <row r="42" spans="1:6" x14ac:dyDescent="0.3">
      <c r="A42" t="s">
        <v>148</v>
      </c>
      <c r="B42" s="6">
        <f>COUNTIF(Levels!B:B,A42)</f>
        <v>2</v>
      </c>
      <c r="C42" s="6">
        <f>IFERROR(AVERAGEIF(Levels!B:B,A42,Levels!E:E),0)</f>
        <v>6.3049999999999997</v>
      </c>
      <c r="D42" s="6">
        <f>IFERROR(AVERAGEIF(Levels!B:B,A42,Levels!F:F),0)</f>
        <v>6.6899999999999995</v>
      </c>
      <c r="E42" s="6">
        <f>_xlfn.MAXIFS(Levels!E:E,Levels!B:B,A42)</f>
        <v>8.75</v>
      </c>
      <c r="F42" s="6">
        <f>_xlfn.MAXIFS(Levels!F:F,Levels!B:B,A42)</f>
        <v>6.71</v>
      </c>
    </row>
    <row r="43" spans="1:6" x14ac:dyDescent="0.3">
      <c r="A43" t="s">
        <v>150</v>
      </c>
      <c r="B43" s="9">
        <f>COUNTIF(Levels!B:B,A43)</f>
        <v>3</v>
      </c>
      <c r="C43" s="9">
        <f>IFERROR(AVERAGEIF(Levels!B:B,A43,Levels!E:E),0)</f>
        <v>8.586666666666666</v>
      </c>
      <c r="D43" s="9">
        <f>IFERROR(AVERAGEIF(Levels!B:B,A43,Levels!F:F),0)</f>
        <v>4.6900000000000004</v>
      </c>
      <c r="E43" s="9">
        <f>_xlfn.MAXIFS(Levels!E:E,Levels!B:B,A43)</f>
        <v>9.51</v>
      </c>
      <c r="F43" s="9">
        <f>_xlfn.MAXIFS(Levels!F:F,Levels!B:B,A43)</f>
        <v>5.55</v>
      </c>
    </row>
    <row r="44" spans="1:6" x14ac:dyDescent="0.3">
      <c r="A44" t="s">
        <v>153</v>
      </c>
      <c r="B44" s="6">
        <f>COUNTIF(Levels!B:B,A44)</f>
        <v>1</v>
      </c>
      <c r="C44" s="6">
        <f>IFERROR(AVERAGEIF(Levels!B:B,A44,Levels!E:E),0)</f>
        <v>5.96</v>
      </c>
      <c r="D44" s="6">
        <f>IFERROR(AVERAGEIF(Levels!B:B,A44,Levels!F:F),0)</f>
        <v>5.83</v>
      </c>
      <c r="E44" s="6">
        <f>_xlfn.MAXIFS(Levels!E:E,Levels!B:B,A44)</f>
        <v>5.96</v>
      </c>
      <c r="F44" s="6">
        <f>_xlfn.MAXIFS(Levels!F:F,Levels!B:B,A44)</f>
        <v>5.83</v>
      </c>
    </row>
    <row r="45" spans="1:6" x14ac:dyDescent="0.3">
      <c r="A45" t="s">
        <v>168</v>
      </c>
      <c r="B45" s="9">
        <f>COUNTIF(Levels!B:B,A45)</f>
        <v>2</v>
      </c>
      <c r="C45" s="9">
        <f>IFERROR(AVERAGEIF(Levels!B:B,A45,Levels!E:E),0)</f>
        <v>7.93</v>
      </c>
      <c r="D45" s="9">
        <f>IFERROR(AVERAGEIF(Levels!B:B,A45,Levels!F:F),0)</f>
        <v>5.7</v>
      </c>
      <c r="E45" s="9">
        <f>_xlfn.MAXIFS(Levels!E:E,Levels!B:B,A45)</f>
        <v>9.24</v>
      </c>
      <c r="F45" s="9">
        <f>_xlfn.MAXIFS(Levels!F:F,Levels!B:B,A45)</f>
        <v>6.37</v>
      </c>
    </row>
    <row r="46" spans="1:6" x14ac:dyDescent="0.3">
      <c r="A46" t="s">
        <v>177</v>
      </c>
      <c r="B46" s="6">
        <f>COUNTIF(Levels!B:B,A46)</f>
        <v>23</v>
      </c>
      <c r="C46" s="6">
        <f>IFERROR(AVERAGEIF(Levels!B:B,A46,Levels!E:E),0)</f>
        <v>3.0821739130434782</v>
      </c>
      <c r="D46" s="6">
        <f>IFERROR(AVERAGEIF(Levels!B:B,A46,Levels!F:F),0)</f>
        <v>5.7078260869565227</v>
      </c>
      <c r="E46" s="6">
        <f>_xlfn.MAXIFS(Levels!E:E,Levels!B:B,A46)</f>
        <v>9.5</v>
      </c>
      <c r="F46" s="6">
        <f>_xlfn.MAXIFS(Levels!F:F,Levels!B:B,A46)</f>
        <v>7.14</v>
      </c>
    </row>
    <row r="47" spans="1:6" x14ac:dyDescent="0.3">
      <c r="A47" t="s">
        <v>186</v>
      </c>
      <c r="B47" s="9">
        <f>COUNTIF(Levels!B:B,A47)</f>
        <v>2</v>
      </c>
      <c r="C47" s="9">
        <f>IFERROR(AVERAGEIF(Levels!B:B,A47,Levels!E:E),0)</f>
        <v>7.745000000000001</v>
      </c>
      <c r="D47" s="9">
        <f>IFERROR(AVERAGEIF(Levels!B:B,A47,Levels!F:F),0)</f>
        <v>6.49</v>
      </c>
      <c r="E47" s="9">
        <f>_xlfn.MAXIFS(Levels!E:E,Levels!B:B,A47)</f>
        <v>9.2100000000000009</v>
      </c>
      <c r="F47" s="9">
        <f>_xlfn.MAXIFS(Levels!F:F,Levels!B:B,A47)</f>
        <v>6.88</v>
      </c>
    </row>
    <row r="48" spans="1:6" x14ac:dyDescent="0.3">
      <c r="A48" t="s">
        <v>190</v>
      </c>
      <c r="B48" s="6">
        <f>COUNTIF(Levels!B:B,A48)</f>
        <v>8</v>
      </c>
      <c r="C48" s="6">
        <f>IFERROR(AVERAGEIF(Levels!B:B,A48,Levels!E:E),0)</f>
        <v>4.4837499999999997</v>
      </c>
      <c r="D48" s="6">
        <f>IFERROR(AVERAGEIF(Levels!B:B,A48,Levels!F:F),0)</f>
        <v>5.7975000000000003</v>
      </c>
      <c r="E48" s="6">
        <f>_xlfn.MAXIFS(Levels!E:E,Levels!B:B,A48)</f>
        <v>8.07</v>
      </c>
      <c r="F48" s="6">
        <f>_xlfn.MAXIFS(Levels!F:F,Levels!B:B,A48)</f>
        <v>7.12</v>
      </c>
    </row>
    <row r="49" spans="1:6" x14ac:dyDescent="0.3">
      <c r="A49" t="s">
        <v>192</v>
      </c>
      <c r="B49" s="9">
        <f>COUNTIF(Levels!B:B,A49)</f>
        <v>53</v>
      </c>
      <c r="C49" s="9">
        <f>IFERROR(AVERAGEIF(Levels!B:B,A49,Levels!E:E),0)</f>
        <v>8.1033962264150929</v>
      </c>
      <c r="D49" s="9">
        <f>IFERROR(AVERAGEIF(Levels!B:B,A49,Levels!F:F),0)</f>
        <v>5.7722641509433963</v>
      </c>
      <c r="E49" s="9">
        <f>_xlfn.MAXIFS(Levels!E:E,Levels!B:B,A49)</f>
        <v>20.9</v>
      </c>
      <c r="F49" s="9">
        <f>_xlfn.MAXIFS(Levels!F:F,Levels!B:B,A49)</f>
        <v>7.93</v>
      </c>
    </row>
    <row r="50" spans="1:6" x14ac:dyDescent="0.3">
      <c r="A50" t="s">
        <v>194</v>
      </c>
      <c r="B50" s="6">
        <f>COUNTIF(Levels!B:B,A50)</f>
        <v>2</v>
      </c>
      <c r="C50" s="6">
        <f>IFERROR(AVERAGEIF(Levels!B:B,A50,Levels!E:E),0)</f>
        <v>3.57</v>
      </c>
      <c r="D50" s="6">
        <f>IFERROR(AVERAGEIF(Levels!B:B,A50,Levels!F:F),0)</f>
        <v>4.7450000000000001</v>
      </c>
      <c r="E50" s="6">
        <f>_xlfn.MAXIFS(Levels!E:E,Levels!B:B,A50)</f>
        <v>5.09</v>
      </c>
      <c r="F50" s="6">
        <f>_xlfn.MAXIFS(Levels!F:F,Levels!B:B,A50)</f>
        <v>4.76</v>
      </c>
    </row>
    <row r="51" spans="1:6" x14ac:dyDescent="0.3">
      <c r="A51" t="s">
        <v>196</v>
      </c>
      <c r="B51" s="9">
        <f>COUNTIF(Levels!B:B,A51)</f>
        <v>6</v>
      </c>
      <c r="C51" s="9">
        <f>IFERROR(AVERAGEIF(Levels!B:B,A51,Levels!E:E),0)</f>
        <v>6.2</v>
      </c>
      <c r="D51" s="9">
        <f>IFERROR(AVERAGEIF(Levels!B:B,A51,Levels!F:F),0)</f>
        <v>5.5083333333333329</v>
      </c>
      <c r="E51" s="9">
        <f>_xlfn.MAXIFS(Levels!E:E,Levels!B:B,A51)</f>
        <v>12.08</v>
      </c>
      <c r="F51" s="9">
        <f>_xlfn.MAXIFS(Levels!F:F,Levels!B:B,A51)</f>
        <v>6.17</v>
      </c>
    </row>
    <row r="52" spans="1:6" x14ac:dyDescent="0.3">
      <c r="A52" t="s">
        <v>205</v>
      </c>
      <c r="B52" s="6">
        <f>COUNTIF(Levels!B:B,A52)</f>
        <v>4</v>
      </c>
      <c r="C52" s="6">
        <f>IFERROR(AVERAGEIF(Levels!B:B,A52,Levels!E:E),0)</f>
        <v>3.4675000000000002</v>
      </c>
      <c r="D52" s="6">
        <f>IFERROR(AVERAGEIF(Levels!B:B,A52,Levels!F:F),0)</f>
        <v>5.125</v>
      </c>
      <c r="E52" s="6">
        <f>_xlfn.MAXIFS(Levels!E:E,Levels!B:B,A52)</f>
        <v>5.75</v>
      </c>
      <c r="F52" s="6">
        <f>_xlfn.MAXIFS(Levels!F:F,Levels!B:B,A52)</f>
        <v>5.5</v>
      </c>
    </row>
    <row r="53" spans="1:6" x14ac:dyDescent="0.3">
      <c r="A53" t="s">
        <v>218</v>
      </c>
      <c r="B53" s="9">
        <f>COUNTIF(Levels!B:B,A53)</f>
        <v>14</v>
      </c>
      <c r="C53" s="9">
        <f>IFERROR(AVERAGEIF(Levels!B:B,A53,Levels!E:E),0)</f>
        <v>7.3121428571428568</v>
      </c>
      <c r="D53" s="9">
        <f>IFERROR(AVERAGEIF(Levels!B:B,A53,Levels!F:F),0)</f>
        <v>5.75</v>
      </c>
      <c r="E53" s="9">
        <f>_xlfn.MAXIFS(Levels!E:E,Levels!B:B,A53)</f>
        <v>18.03</v>
      </c>
      <c r="F53" s="9">
        <f>_xlfn.MAXIFS(Levels!F:F,Levels!B:B,A53)</f>
        <v>6.93</v>
      </c>
    </row>
    <row r="54" spans="1:6" x14ac:dyDescent="0.3">
      <c r="A54" t="s">
        <v>223</v>
      </c>
      <c r="B54" s="6">
        <f>COUNTIF(Levels!B:B,A54)</f>
        <v>3</v>
      </c>
      <c r="C54" s="6">
        <f>IFERROR(AVERAGEIF(Levels!B:B,A54,Levels!E:E),0)</f>
        <v>12.406666666666666</v>
      </c>
      <c r="D54" s="6">
        <f>IFERROR(AVERAGEIF(Levels!B:B,A54,Levels!F:F),0)</f>
        <v>5.5</v>
      </c>
      <c r="E54" s="6">
        <f>_xlfn.MAXIFS(Levels!E:E,Levels!B:B,A54)</f>
        <v>16.2</v>
      </c>
      <c r="F54" s="6">
        <f>_xlfn.MAXIFS(Levels!F:F,Levels!B:B,A54)</f>
        <v>6.08</v>
      </c>
    </row>
    <row r="55" spans="1:6" x14ac:dyDescent="0.3">
      <c r="A55" t="s">
        <v>232</v>
      </c>
      <c r="B55" s="9">
        <f>COUNTIF(Levels!B:B,A55)</f>
        <v>3</v>
      </c>
      <c r="C55" s="9">
        <f>IFERROR(AVERAGEIF(Levels!B:B,A55,Levels!E:E),0)</f>
        <v>3.2166666666666668</v>
      </c>
      <c r="D55" s="9">
        <f>IFERROR(AVERAGEIF(Levels!B:B,A55,Levels!F:F),0)</f>
        <v>5.6533333333333333</v>
      </c>
      <c r="E55" s="9">
        <f>_xlfn.MAXIFS(Levels!E:E,Levels!B:B,A55)</f>
        <v>3.96</v>
      </c>
      <c r="F55" s="9">
        <f>_xlfn.MAXIFS(Levels!F:F,Levels!B:B,A55)</f>
        <v>5.78</v>
      </c>
    </row>
    <row r="56" spans="1:6" x14ac:dyDescent="0.3">
      <c r="A56" t="s">
        <v>238</v>
      </c>
      <c r="B56" s="6">
        <f>COUNTIF(Levels!B:B,A56)</f>
        <v>3</v>
      </c>
      <c r="C56" s="6">
        <f>IFERROR(AVERAGEIF(Levels!B:B,A56,Levels!E:E),0)</f>
        <v>1.8399999999999999</v>
      </c>
      <c r="D56" s="6">
        <f>IFERROR(AVERAGEIF(Levels!B:B,A56,Levels!F:F),0)</f>
        <v>5.4633333333333338</v>
      </c>
      <c r="E56" s="6">
        <f>_xlfn.MAXIFS(Levels!E:E,Levels!B:B,A56)</f>
        <v>2.08</v>
      </c>
      <c r="F56" s="6">
        <f>_xlfn.MAXIFS(Levels!F:F,Levels!B:B,A56)</f>
        <v>5.73</v>
      </c>
    </row>
    <row r="57" spans="1:6" x14ac:dyDescent="0.3">
      <c r="A57" t="s">
        <v>243</v>
      </c>
      <c r="B57" s="9">
        <f>COUNTIF(Levels!B:B,A57)</f>
        <v>2</v>
      </c>
      <c r="C57" s="9">
        <f>IFERROR(AVERAGEIF(Levels!B:B,A57,Levels!E:E),0)</f>
        <v>6.3900000000000006</v>
      </c>
      <c r="D57" s="9">
        <f>IFERROR(AVERAGEIF(Levels!B:B,A57,Levels!F:F),0)</f>
        <v>5.3250000000000002</v>
      </c>
      <c r="E57" s="9">
        <f>_xlfn.MAXIFS(Levels!E:E,Levels!B:B,A57)</f>
        <v>6.88</v>
      </c>
      <c r="F57" s="9">
        <f>_xlfn.MAXIFS(Levels!F:F,Levels!B:B,A57)</f>
        <v>5.96</v>
      </c>
    </row>
    <row r="58" spans="1:6" x14ac:dyDescent="0.3">
      <c r="A58" t="s">
        <v>250</v>
      </c>
      <c r="B58" s="6">
        <f>COUNTIF(Levels!B:B,A58)</f>
        <v>2</v>
      </c>
      <c r="C58" s="6">
        <f>IFERROR(AVERAGEIF(Levels!B:B,A58,Levels!E:E),0)</f>
        <v>3.2249999999999996</v>
      </c>
      <c r="D58" s="6">
        <f>IFERROR(AVERAGEIF(Levels!B:B,A58,Levels!F:F),0)</f>
        <v>5.0250000000000004</v>
      </c>
      <c r="E58" s="6">
        <f>_xlfn.MAXIFS(Levels!E:E,Levels!B:B,A58)</f>
        <v>3.84</v>
      </c>
      <c r="F58" s="6">
        <f>_xlfn.MAXIFS(Levels!F:F,Levels!B:B,A58)</f>
        <v>5.51</v>
      </c>
    </row>
    <row r="59" spans="1:6" x14ac:dyDescent="0.3">
      <c r="A59" t="s">
        <v>263</v>
      </c>
      <c r="B59" s="9">
        <f>COUNTIF(Levels!B:B,A59)</f>
        <v>2</v>
      </c>
      <c r="C59" s="9">
        <f>IFERROR(AVERAGEIF(Levels!B:B,A59,Levels!E:E),0)</f>
        <v>10.675000000000001</v>
      </c>
      <c r="D59" s="9">
        <f>IFERROR(AVERAGEIF(Levels!B:B,A59,Levels!F:F),0)</f>
        <v>5.0949999999999998</v>
      </c>
      <c r="E59" s="9">
        <f>_xlfn.MAXIFS(Levels!E:E,Levels!B:B,A59)</f>
        <v>11.16</v>
      </c>
      <c r="F59" s="9">
        <f>_xlfn.MAXIFS(Levels!F:F,Levels!B:B,A59)</f>
        <v>5.64</v>
      </c>
    </row>
    <row r="60" spans="1:6" x14ac:dyDescent="0.3">
      <c r="A60" t="s">
        <v>267</v>
      </c>
      <c r="B60" s="6">
        <f>COUNTIF(Levels!B:B,A60)</f>
        <v>2</v>
      </c>
      <c r="C60" s="6">
        <f>IFERROR(AVERAGEIF(Levels!B:B,A60,Levels!E:E),0)</f>
        <v>6.4749999999999996</v>
      </c>
      <c r="D60" s="6">
        <f>IFERROR(AVERAGEIF(Levels!B:B,A60,Levels!F:F),0)</f>
        <v>6.3599999999999994</v>
      </c>
      <c r="E60" s="6">
        <f>_xlfn.MAXIFS(Levels!E:E,Levels!B:B,A60)</f>
        <v>9.94</v>
      </c>
      <c r="F60" s="6">
        <f>_xlfn.MAXIFS(Levels!F:F,Levels!B:B,A60)</f>
        <v>6.42</v>
      </c>
    </row>
    <row r="61" spans="1:6" x14ac:dyDescent="0.3">
      <c r="A61" t="s">
        <v>277</v>
      </c>
      <c r="B61" s="9">
        <f>COUNTIF(Levels!B:B,A61)</f>
        <v>21</v>
      </c>
      <c r="C61" s="9">
        <f>IFERROR(AVERAGEIF(Levels!B:B,A61,Levels!E:E),0)</f>
        <v>10.352</v>
      </c>
      <c r="D61" s="9">
        <f>IFERROR(AVERAGEIF(Levels!B:B,A61,Levels!F:F),0)</f>
        <v>6.3933333333333344</v>
      </c>
      <c r="E61" s="9">
        <f>_xlfn.MAXIFS(Levels!E:E,Levels!B:B,A61)</f>
        <v>27.75</v>
      </c>
      <c r="F61" s="9">
        <f>_xlfn.MAXIFS(Levels!F:F,Levels!B:B,A61)</f>
        <v>7.94</v>
      </c>
    </row>
    <row r="62" spans="1:6" x14ac:dyDescent="0.3">
      <c r="A62" t="s">
        <v>282</v>
      </c>
      <c r="B62" s="6">
        <f>COUNTIF(Levels!B:B,A62)</f>
        <v>2</v>
      </c>
      <c r="C62" s="6">
        <f>IFERROR(AVERAGEIF(Levels!B:B,A62,Levels!E:E),0)</f>
        <v>2.2800000000000002</v>
      </c>
      <c r="D62" s="6">
        <f>IFERROR(AVERAGEIF(Levels!B:B,A62,Levels!F:F),0)</f>
        <v>5.3000000000000007</v>
      </c>
      <c r="E62" s="6">
        <f>_xlfn.MAXIFS(Levels!E:E,Levels!B:B,A62)</f>
        <v>2.77</v>
      </c>
      <c r="F62" s="6">
        <f>_xlfn.MAXIFS(Levels!F:F,Levels!B:B,A62)</f>
        <v>5.48</v>
      </c>
    </row>
    <row r="63" spans="1:6" x14ac:dyDescent="0.3">
      <c r="A63" t="s">
        <v>286</v>
      </c>
      <c r="B63" s="9">
        <f>COUNTIF(Levels!B:B,A63)</f>
        <v>1</v>
      </c>
      <c r="C63" s="9">
        <f>IFERROR(AVERAGEIF(Levels!B:B,A63,Levels!E:E),0)</f>
        <v>4.95</v>
      </c>
      <c r="D63" s="9">
        <f>IFERROR(AVERAGEIF(Levels!B:B,A63,Levels!F:F),0)</f>
        <v>4.47</v>
      </c>
      <c r="E63" s="9">
        <f>_xlfn.MAXIFS(Levels!E:E,Levels!B:B,A63)</f>
        <v>4.95</v>
      </c>
      <c r="F63" s="9">
        <f>_xlfn.MAXIFS(Levels!F:F,Levels!B:B,A63)</f>
        <v>4.47</v>
      </c>
    </row>
    <row r="64" spans="1:6" x14ac:dyDescent="0.3">
      <c r="A64" t="s">
        <v>288</v>
      </c>
      <c r="B64" s="6">
        <f>COUNTIF(Levels!B:B,A64)</f>
        <v>2</v>
      </c>
      <c r="C64" s="6">
        <f>IFERROR(AVERAGEIF(Levels!B:B,A64,Levels!E:E),0)</f>
        <v>5.6400000000000006</v>
      </c>
      <c r="D64" s="6">
        <f>IFERROR(AVERAGEIF(Levels!B:B,A64,Levels!F:F),0)</f>
        <v>5.2249999999999996</v>
      </c>
      <c r="E64" s="6">
        <f>_xlfn.MAXIFS(Levels!E:E,Levels!B:B,A64)</f>
        <v>5.9</v>
      </c>
      <c r="F64" s="6">
        <f>_xlfn.MAXIFS(Levels!F:F,Levels!B:B,A64)</f>
        <v>5.25</v>
      </c>
    </row>
    <row r="65" spans="1:6" x14ac:dyDescent="0.3">
      <c r="A65" t="s">
        <v>296</v>
      </c>
      <c r="B65" s="9">
        <f>COUNTIF(Levels!B:B,A65)</f>
        <v>1</v>
      </c>
      <c r="C65" s="9">
        <f>IFERROR(AVERAGEIF(Levels!B:B,A65,Levels!E:E),0)</f>
        <v>1.01</v>
      </c>
      <c r="D65" s="9">
        <f>IFERROR(AVERAGEIF(Levels!B:B,A65,Levels!F:F),0)</f>
        <v>4.88</v>
      </c>
      <c r="E65" s="9">
        <f>_xlfn.MAXIFS(Levels!E:E,Levels!B:B,A65)</f>
        <v>1.01</v>
      </c>
      <c r="F65" s="9">
        <f>_xlfn.MAXIFS(Levels!F:F,Levels!B:B,A65)</f>
        <v>4.88</v>
      </c>
    </row>
    <row r="66" spans="1:6" x14ac:dyDescent="0.3">
      <c r="A66" t="s">
        <v>299</v>
      </c>
      <c r="B66" s="6">
        <f>COUNTIF(Levels!B:B,A66)</f>
        <v>1</v>
      </c>
      <c r="C66" s="6">
        <f>IFERROR(AVERAGEIF(Levels!B:B,A66,Levels!E:E),0)</f>
        <v>1.97</v>
      </c>
      <c r="D66" s="6">
        <f>IFERROR(AVERAGEIF(Levels!B:B,A66,Levels!F:F),0)</f>
        <v>5.46</v>
      </c>
      <c r="E66" s="6">
        <f>_xlfn.MAXIFS(Levels!E:E,Levels!B:B,A66)</f>
        <v>1.97</v>
      </c>
      <c r="F66" s="6">
        <f>_xlfn.MAXIFS(Levels!F:F,Levels!B:B,A66)</f>
        <v>5.46</v>
      </c>
    </row>
    <row r="67" spans="1:6" x14ac:dyDescent="0.3">
      <c r="A67" t="s">
        <v>301</v>
      </c>
      <c r="B67" s="9">
        <f>COUNTIF(Levels!B:B,A67)</f>
        <v>2</v>
      </c>
      <c r="C67" s="9">
        <f>IFERROR(AVERAGEIF(Levels!B:B,A67,Levels!E:E),0)</f>
        <v>4.3049999999999997</v>
      </c>
      <c r="D67" s="9">
        <f>IFERROR(AVERAGEIF(Levels!B:B,A67,Levels!F:F),0)</f>
        <v>4.1749999999999998</v>
      </c>
      <c r="E67" s="9">
        <f>_xlfn.MAXIFS(Levels!E:E,Levels!B:B,A67)</f>
        <v>5.66</v>
      </c>
      <c r="F67" s="9">
        <f>_xlfn.MAXIFS(Levels!F:F,Levels!B:B,A67)</f>
        <v>4.3499999999999996</v>
      </c>
    </row>
    <row r="68" spans="1:6" x14ac:dyDescent="0.3">
      <c r="A68" t="s">
        <v>310</v>
      </c>
      <c r="B68" s="6">
        <f>COUNTIF(Levels!B:B,A68)</f>
        <v>1</v>
      </c>
      <c r="C68" s="6">
        <f>IFERROR(AVERAGEIF(Levels!B:B,A68,Levels!E:E),0)</f>
        <v>17.04</v>
      </c>
      <c r="D68" s="6">
        <f>IFERROR(AVERAGEIF(Levels!B:B,A68,Levels!F:F),0)</f>
        <v>3.45</v>
      </c>
      <c r="E68" s="6">
        <f>_xlfn.MAXIFS(Levels!E:E,Levels!B:B,A68)</f>
        <v>17.04</v>
      </c>
      <c r="F68" s="6">
        <f>_xlfn.MAXIFS(Levels!F:F,Levels!B:B,A68)</f>
        <v>3.45</v>
      </c>
    </row>
    <row r="69" spans="1:6" x14ac:dyDescent="0.3">
      <c r="A69" t="s">
        <v>318</v>
      </c>
      <c r="B69" s="9">
        <f>COUNTIF(Levels!B:B,A69)</f>
        <v>4</v>
      </c>
      <c r="C69" s="9">
        <f>IFERROR(AVERAGEIF(Levels!B:B,A69,Levels!E:E),0)</f>
        <v>4.1475</v>
      </c>
      <c r="D69" s="9">
        <f>IFERROR(AVERAGEIF(Levels!B:B,A69,Levels!F:F),0)</f>
        <v>5.9</v>
      </c>
      <c r="E69" s="9">
        <f>_xlfn.MAXIFS(Levels!E:E,Levels!B:B,A69)</f>
        <v>6.89</v>
      </c>
      <c r="F69" s="9">
        <f>_xlfn.MAXIFS(Levels!F:F,Levels!B:B,A69)</f>
        <v>7.67</v>
      </c>
    </row>
    <row r="70" spans="1:6" x14ac:dyDescent="0.3">
      <c r="A70" t="s">
        <v>321</v>
      </c>
      <c r="B70" s="6">
        <f>COUNTIF(Levels!B:B,A70)</f>
        <v>2</v>
      </c>
      <c r="C70" s="6">
        <f>IFERROR(AVERAGEIF(Levels!B:B,A70,Levels!E:E),0)</f>
        <v>3.8149999999999999</v>
      </c>
      <c r="D70" s="6">
        <f>IFERROR(AVERAGEIF(Levels!B:B,A70,Levels!F:F),0)</f>
        <v>6.4399999999999995</v>
      </c>
      <c r="E70" s="6">
        <f>_xlfn.MAXIFS(Levels!E:E,Levels!B:B,A70)</f>
        <v>4.63</v>
      </c>
      <c r="F70" s="6">
        <f>_xlfn.MAXIFS(Levels!F:F,Levels!B:B,A70)</f>
        <v>7.13</v>
      </c>
    </row>
    <row r="71" spans="1:6" x14ac:dyDescent="0.3">
      <c r="A71" t="s">
        <v>325</v>
      </c>
      <c r="B71" s="9">
        <f>COUNTIF(Levels!B:B,A71)</f>
        <v>18</v>
      </c>
      <c r="C71" s="9">
        <f>IFERROR(AVERAGEIF(Levels!B:B,A71,Levels!E:E),0)</f>
        <v>14.98111111111111</v>
      </c>
      <c r="D71" s="9">
        <f>IFERROR(AVERAGEIF(Levels!B:B,A71,Levels!F:F),0)</f>
        <v>6.0811111111111105</v>
      </c>
      <c r="E71" s="9">
        <f>_xlfn.MAXIFS(Levels!E:E,Levels!B:B,A71)</f>
        <v>30</v>
      </c>
      <c r="F71" s="9">
        <f>_xlfn.MAXIFS(Levels!F:F,Levels!B:B,A71)</f>
        <v>8.5</v>
      </c>
    </row>
    <row r="72" spans="1:6" x14ac:dyDescent="0.3">
      <c r="A72" t="s">
        <v>328</v>
      </c>
      <c r="B72" s="6">
        <f>COUNTIF(Levels!B:B,A72)</f>
        <v>1</v>
      </c>
      <c r="C72" s="6">
        <f>IFERROR(AVERAGEIF(Levels!B:B,A72,Levels!E:E),0)</f>
        <v>4.21</v>
      </c>
      <c r="D72" s="6">
        <f>IFERROR(AVERAGEIF(Levels!B:B,A72,Levels!F:F),0)</f>
        <v>4.67</v>
      </c>
      <c r="E72" s="6">
        <f>_xlfn.MAXIFS(Levels!E:E,Levels!B:B,A72)</f>
        <v>4.21</v>
      </c>
      <c r="F72" s="6">
        <f>_xlfn.MAXIFS(Levels!F:F,Levels!B:B,A72)</f>
        <v>4.67</v>
      </c>
    </row>
    <row r="73" spans="1:6" x14ac:dyDescent="0.3">
      <c r="A73" t="s">
        <v>333</v>
      </c>
      <c r="B73" s="9">
        <f>COUNTIF(Levels!B:B,A73)</f>
        <v>6</v>
      </c>
      <c r="C73" s="9">
        <f>IFERROR(AVERAGEIF(Levels!B:B,A73,Levels!E:E),0)</f>
        <v>6.7416666666666671</v>
      </c>
      <c r="D73" s="9">
        <f>IFERROR(AVERAGEIF(Levels!B:B,A73,Levels!F:F),0)</f>
        <v>5.6149999999999993</v>
      </c>
      <c r="E73" s="9">
        <f>_xlfn.MAXIFS(Levels!E:E,Levels!B:B,A73)</f>
        <v>12.01</v>
      </c>
      <c r="F73" s="9">
        <f>_xlfn.MAXIFS(Levels!F:F,Levels!B:B,A73)</f>
        <v>6.7</v>
      </c>
    </row>
    <row r="74" spans="1:6" x14ac:dyDescent="0.3">
      <c r="A74" t="s">
        <v>336</v>
      </c>
      <c r="B74" s="6">
        <f>COUNTIF(Levels!B:B,A74)</f>
        <v>10</v>
      </c>
      <c r="C74" s="6">
        <f>IFERROR(AVERAGEIF(Levels!B:B,A74,Levels!E:E),0)</f>
        <v>9.3480000000000008</v>
      </c>
      <c r="D74" s="6">
        <f>IFERROR(AVERAGEIF(Levels!B:B,A74,Levels!F:F),0)</f>
        <v>6.6689999999999996</v>
      </c>
      <c r="E74" s="6">
        <f>_xlfn.MAXIFS(Levels!E:E,Levels!B:B,A74)</f>
        <v>22.95</v>
      </c>
      <c r="F74" s="6">
        <f>_xlfn.MAXIFS(Levels!F:F,Levels!B:B,A74)</f>
        <v>9</v>
      </c>
    </row>
    <row r="75" spans="1:6" x14ac:dyDescent="0.3">
      <c r="A75" t="s">
        <v>340</v>
      </c>
      <c r="B75" s="9">
        <f>COUNTIF(Levels!B:B,A75)</f>
        <v>6</v>
      </c>
      <c r="C75" s="9">
        <f>IFERROR(AVERAGEIF(Levels!B:B,A75,Levels!E:E),0)</f>
        <v>7.9433333333333325</v>
      </c>
      <c r="D75" s="9">
        <f>IFERROR(AVERAGEIF(Levels!B:B,A75,Levels!F:F),0)</f>
        <v>5.0933333333333337</v>
      </c>
      <c r="E75" s="9">
        <f>_xlfn.MAXIFS(Levels!E:E,Levels!B:B,A75)</f>
        <v>12.33</v>
      </c>
      <c r="F75" s="9">
        <f>_xlfn.MAXIFS(Levels!F:F,Levels!B:B,A75)</f>
        <v>6</v>
      </c>
    </row>
    <row r="76" spans="1:6" x14ac:dyDescent="0.3">
      <c r="A76" t="s">
        <v>361</v>
      </c>
      <c r="B76" s="6">
        <f>COUNTIF(Levels!B:B,A76)</f>
        <v>3</v>
      </c>
      <c r="C76" s="6">
        <f>IFERROR(AVERAGEIF(Levels!B:B,A76,Levels!E:E),0)</f>
        <v>4.92</v>
      </c>
      <c r="D76" s="6">
        <f>IFERROR(AVERAGEIF(Levels!B:B,A76,Levels!F:F),0)</f>
        <v>4.6900000000000004</v>
      </c>
      <c r="E76" s="6">
        <f>_xlfn.MAXIFS(Levels!E:E,Levels!B:B,A76)</f>
        <v>6.52</v>
      </c>
      <c r="F76" s="6">
        <f>_xlfn.MAXIFS(Levels!F:F,Levels!B:B,A76)</f>
        <v>5.38</v>
      </c>
    </row>
    <row r="77" spans="1:6" x14ac:dyDescent="0.3">
      <c r="A77" t="s">
        <v>367</v>
      </c>
      <c r="B77" s="9">
        <f>COUNTIF(Levels!B:B,A77)</f>
        <v>2</v>
      </c>
      <c r="C77" s="9">
        <f>IFERROR(AVERAGEIF(Levels!B:B,A77,Levels!E:E),0)</f>
        <v>4.1850000000000005</v>
      </c>
      <c r="D77" s="9">
        <f>IFERROR(AVERAGEIF(Levels!B:B,A77,Levels!F:F),0)</f>
        <v>4.9049999999999994</v>
      </c>
      <c r="E77" s="9">
        <f>_xlfn.MAXIFS(Levels!E:E,Levels!B:B,A77)</f>
        <v>4.4000000000000004</v>
      </c>
      <c r="F77" s="9">
        <f>_xlfn.MAXIFS(Levels!F:F,Levels!B:B,A77)</f>
        <v>5.0599999999999996</v>
      </c>
    </row>
    <row r="78" spans="1:6" x14ac:dyDescent="0.3">
      <c r="A78" t="s">
        <v>384</v>
      </c>
      <c r="B78" s="6">
        <f>COUNTIF(Levels!B:B,A78)</f>
        <v>1</v>
      </c>
      <c r="C78" s="6">
        <f>IFERROR(AVERAGEIF(Levels!B:B,A78,Levels!E:E),0)</f>
        <v>1.78</v>
      </c>
      <c r="D78" s="6">
        <f>IFERROR(AVERAGEIF(Levels!B:B,A78,Levels!F:F),0)</f>
        <v>5.75</v>
      </c>
      <c r="E78" s="6">
        <f>_xlfn.MAXIFS(Levels!E:E,Levels!B:B,A78)</f>
        <v>1.78</v>
      </c>
      <c r="F78" s="6">
        <f>_xlfn.MAXIFS(Levels!F:F,Levels!B:B,A78)</f>
        <v>5.75</v>
      </c>
    </row>
    <row r="79" spans="1:6" x14ac:dyDescent="0.3">
      <c r="A79" t="s">
        <v>390</v>
      </c>
      <c r="B79" s="9">
        <f>COUNTIF(Levels!B:B,A79)</f>
        <v>2</v>
      </c>
      <c r="C79" s="9">
        <f>IFERROR(AVERAGEIF(Levels!B:B,A79,Levels!E:E),0)</f>
        <v>3.7349999999999999</v>
      </c>
      <c r="D79" s="9">
        <f>IFERROR(AVERAGEIF(Levels!B:B,A79,Levels!F:F),0)</f>
        <v>5.47</v>
      </c>
      <c r="E79" s="9">
        <f>_xlfn.MAXIFS(Levels!E:E,Levels!B:B,A79)</f>
        <v>4.92</v>
      </c>
      <c r="F79" s="9">
        <f>_xlfn.MAXIFS(Levels!F:F,Levels!B:B,A79)</f>
        <v>5.52</v>
      </c>
    </row>
    <row r="80" spans="1:6" x14ac:dyDescent="0.3">
      <c r="A80" t="s">
        <v>392</v>
      </c>
      <c r="B80" s="6">
        <f>COUNTIF(Levels!B:B,A80)</f>
        <v>1</v>
      </c>
      <c r="C80" s="6">
        <f>IFERROR(AVERAGEIF(Levels!B:B,A80,Levels!E:E),0)</f>
        <v>1.63</v>
      </c>
      <c r="D80" s="6">
        <f>IFERROR(AVERAGEIF(Levels!B:B,A80,Levels!F:F),0)</f>
        <v>5.22</v>
      </c>
      <c r="E80" s="6">
        <f>_xlfn.MAXIFS(Levels!E:E,Levels!B:B,A80)</f>
        <v>1.63</v>
      </c>
      <c r="F80" s="6">
        <f>_xlfn.MAXIFS(Levels!F:F,Levels!B:B,A80)</f>
        <v>5.22</v>
      </c>
    </row>
    <row r="81" spans="1:6" x14ac:dyDescent="0.3">
      <c r="A81" t="s">
        <v>399</v>
      </c>
      <c r="B81" s="9">
        <f>COUNTIF(Levels!B:B,A81)</f>
        <v>10</v>
      </c>
      <c r="C81" s="9">
        <f>IFERROR(AVERAGEIF(Levels!B:B,A81,Levels!E:E),0)</f>
        <v>6.1870000000000003</v>
      </c>
      <c r="D81" s="9">
        <f>IFERROR(AVERAGEIF(Levels!B:B,A81,Levels!F:F),0)</f>
        <v>5.3600000000000012</v>
      </c>
      <c r="E81" s="9">
        <f>_xlfn.MAXIFS(Levels!E:E,Levels!B:B,A81)</f>
        <v>22.06</v>
      </c>
      <c r="F81" s="9">
        <f>_xlfn.MAXIFS(Levels!F:F,Levels!B:B,A81)</f>
        <v>6</v>
      </c>
    </row>
    <row r="82" spans="1:6" x14ac:dyDescent="0.3">
      <c r="A82" t="s">
        <v>401</v>
      </c>
      <c r="B82" s="6">
        <f>COUNTIF(Levels!B:B,A82)</f>
        <v>1</v>
      </c>
      <c r="C82" s="6">
        <f>IFERROR(AVERAGEIF(Levels!B:B,A82,Levels!E:E),0)</f>
        <v>3.26</v>
      </c>
      <c r="D82" s="6">
        <f>IFERROR(AVERAGEIF(Levels!B:B,A82,Levels!F:F),0)</f>
        <v>2.93</v>
      </c>
      <c r="E82" s="6">
        <f>_xlfn.MAXIFS(Levels!E:E,Levels!B:B,A82)</f>
        <v>3.26</v>
      </c>
      <c r="F82" s="6">
        <f>_xlfn.MAXIFS(Levels!F:F,Levels!B:B,A82)</f>
        <v>2.93</v>
      </c>
    </row>
    <row r="83" spans="1:6" x14ac:dyDescent="0.3">
      <c r="A83" t="s">
        <v>406</v>
      </c>
      <c r="B83" s="9">
        <f>COUNTIF(Levels!B:B,A83)</f>
        <v>1</v>
      </c>
      <c r="C83" s="9">
        <f>IFERROR(AVERAGEIF(Levels!B:B,A83,Levels!E:E),0)</f>
        <v>16.43</v>
      </c>
      <c r="D83" s="9">
        <f>IFERROR(AVERAGEIF(Levels!B:B,A83,Levels!F:F),0)</f>
        <v>3.79</v>
      </c>
      <c r="E83" s="9">
        <f>_xlfn.MAXIFS(Levels!E:E,Levels!B:B,A83)</f>
        <v>16.43</v>
      </c>
      <c r="F83" s="9">
        <f>_xlfn.MAXIFS(Levels!F:F,Levels!B:B,A83)</f>
        <v>3.79</v>
      </c>
    </row>
    <row r="84" spans="1:6" x14ac:dyDescent="0.3">
      <c r="A84" t="s">
        <v>412</v>
      </c>
      <c r="B84" s="6">
        <f>COUNTIF(Levels!B:B,A84)</f>
        <v>35</v>
      </c>
      <c r="C84" s="6">
        <f>IFERROR(AVERAGEIF(Levels!B:B,A84,Levels!E:E),0)</f>
        <v>8.377142857142859</v>
      </c>
      <c r="D84" s="6">
        <f>IFERROR(AVERAGEIF(Levels!B:B,A84,Levels!F:F),0)</f>
        <v>5.4011428571428564</v>
      </c>
      <c r="E84" s="6">
        <f>_xlfn.MAXIFS(Levels!E:E,Levels!B:B,A84)</f>
        <v>27.67</v>
      </c>
      <c r="F84" s="6">
        <f>_xlfn.MAXIFS(Levels!F:F,Levels!B:B,A84)</f>
        <v>8</v>
      </c>
    </row>
    <row r="85" spans="1:6" x14ac:dyDescent="0.3">
      <c r="A85" t="s">
        <v>414</v>
      </c>
      <c r="B85" s="9">
        <f>COUNTIF(Levels!B:B,A85)</f>
        <v>21</v>
      </c>
      <c r="C85" s="9">
        <f>IFERROR(AVERAGEIF(Levels!B:B,A85,Levels!E:E),0)</f>
        <v>6.6128571428571448</v>
      </c>
      <c r="D85" s="9">
        <f>IFERROR(AVERAGEIF(Levels!B:B,A85,Levels!F:F),0)</f>
        <v>5.9190476190476184</v>
      </c>
      <c r="E85" s="9">
        <f>_xlfn.MAXIFS(Levels!E:E,Levels!B:B,A85)</f>
        <v>12.85</v>
      </c>
      <c r="F85" s="9">
        <f>_xlfn.MAXIFS(Levels!F:F,Levels!B:B,A85)</f>
        <v>8.4600000000000009</v>
      </c>
    </row>
    <row r="86" spans="1:6" x14ac:dyDescent="0.3">
      <c r="A86" t="s">
        <v>419</v>
      </c>
      <c r="B86" s="6">
        <f>COUNTIF(Levels!B:B,A86)</f>
        <v>10</v>
      </c>
      <c r="C86" s="6">
        <f>IFERROR(AVERAGEIF(Levels!B:B,A86,Levels!E:E),0)</f>
        <v>8.0820000000000007</v>
      </c>
      <c r="D86" s="6">
        <f>IFERROR(AVERAGEIF(Levels!B:B,A86,Levels!F:F),0)</f>
        <v>5.6080000000000005</v>
      </c>
      <c r="E86" s="6">
        <f>_xlfn.MAXIFS(Levels!E:E,Levels!B:B,A86)</f>
        <v>14.53</v>
      </c>
      <c r="F86" s="6">
        <f>_xlfn.MAXIFS(Levels!F:F,Levels!B:B,A86)</f>
        <v>7.07</v>
      </c>
    </row>
    <row r="87" spans="1:6" x14ac:dyDescent="0.3">
      <c r="A87" t="s">
        <v>421</v>
      </c>
      <c r="B87" s="9">
        <f>COUNTIF(Levels!B:B,A87)</f>
        <v>2</v>
      </c>
      <c r="C87" s="9">
        <f>IFERROR(AVERAGEIF(Levels!B:B,A87,Levels!E:E),0)</f>
        <v>3.0350000000000001</v>
      </c>
      <c r="D87" s="9">
        <f>IFERROR(AVERAGEIF(Levels!B:B,A87,Levels!F:F),0)</f>
        <v>5.5650000000000004</v>
      </c>
      <c r="E87" s="9">
        <f>_xlfn.MAXIFS(Levels!E:E,Levels!B:B,A87)</f>
        <v>3.17</v>
      </c>
      <c r="F87" s="9">
        <f>_xlfn.MAXIFS(Levels!F:F,Levels!B:B,A87)</f>
        <v>6.19</v>
      </c>
    </row>
    <row r="88" spans="1:6" x14ac:dyDescent="0.3">
      <c r="A88" t="s">
        <v>423</v>
      </c>
      <c r="B88" s="6">
        <f>COUNTIF(Levels!B:B,A88)</f>
        <v>1</v>
      </c>
      <c r="C88" s="6">
        <f>IFERROR(AVERAGEIF(Levels!B:B,A88,Levels!E:E),0)</f>
        <v>2.08</v>
      </c>
      <c r="D88" s="6">
        <f>IFERROR(AVERAGEIF(Levels!B:B,A88,Levels!F:F),0)</f>
        <v>6.3</v>
      </c>
      <c r="E88" s="6">
        <f>_xlfn.MAXIFS(Levels!E:E,Levels!B:B,A88)</f>
        <v>2.08</v>
      </c>
      <c r="F88" s="6">
        <f>_xlfn.MAXIFS(Levels!F:F,Levels!B:B,A88)</f>
        <v>6.3</v>
      </c>
    </row>
    <row r="89" spans="1:6" x14ac:dyDescent="0.3">
      <c r="A89" t="s">
        <v>433</v>
      </c>
      <c r="B89" s="9">
        <f>COUNTIF(Levels!B:B,A89)</f>
        <v>1</v>
      </c>
      <c r="C89" s="9">
        <f>IFERROR(AVERAGEIF(Levels!B:B,A89,Levels!E:E),0)</f>
        <v>7.79</v>
      </c>
      <c r="D89" s="9">
        <f>IFERROR(AVERAGEIF(Levels!B:B,A89,Levels!F:F),0)</f>
        <v>6</v>
      </c>
      <c r="E89" s="9">
        <f>_xlfn.MAXIFS(Levels!E:E,Levels!B:B,A89)</f>
        <v>7.79</v>
      </c>
      <c r="F89" s="9">
        <f>_xlfn.MAXIFS(Levels!F:F,Levels!B:B,A89)</f>
        <v>6</v>
      </c>
    </row>
    <row r="90" spans="1:6" x14ac:dyDescent="0.3">
      <c r="A90" t="s">
        <v>440</v>
      </c>
      <c r="B90" s="6">
        <f>COUNTIF(Levels!B:B,A90)</f>
        <v>1</v>
      </c>
      <c r="C90" s="6">
        <f>IFERROR(AVERAGEIF(Levels!B:B,A90,Levels!E:E),0)</f>
        <v>2.81</v>
      </c>
      <c r="D90" s="6">
        <f>IFERROR(AVERAGEIF(Levels!B:B,A90,Levels!F:F),0)</f>
        <v>4.25</v>
      </c>
      <c r="E90" s="6">
        <f>_xlfn.MAXIFS(Levels!E:E,Levels!B:B,A90)</f>
        <v>2.81</v>
      </c>
      <c r="F90" s="6">
        <f>_xlfn.MAXIFS(Levels!F:F,Levels!B:B,A90)</f>
        <v>4.25</v>
      </c>
    </row>
    <row r="91" spans="1:6" x14ac:dyDescent="0.3">
      <c r="A91" t="s">
        <v>445</v>
      </c>
      <c r="B91" s="9">
        <f>COUNTIF(Levels!B:B,A91)</f>
        <v>4</v>
      </c>
      <c r="C91" s="9">
        <f>IFERROR(AVERAGEIF(Levels!B:B,A91,Levels!E:E),0)</f>
        <v>5.3225000000000007</v>
      </c>
      <c r="D91" s="9">
        <f>IFERROR(AVERAGEIF(Levels!B:B,A91,Levels!F:F),0)</f>
        <v>5.59</v>
      </c>
      <c r="E91" s="9">
        <f>_xlfn.MAXIFS(Levels!E:E,Levels!B:B,A91)</f>
        <v>7.96</v>
      </c>
      <c r="F91" s="9">
        <f>_xlfn.MAXIFS(Levels!F:F,Levels!B:B,A91)</f>
        <v>6.24</v>
      </c>
    </row>
    <row r="92" spans="1:6" x14ac:dyDescent="0.3">
      <c r="A92" t="s">
        <v>452</v>
      </c>
      <c r="B92" s="6">
        <f>COUNTIF(Levels!B:B,A92)</f>
        <v>1</v>
      </c>
      <c r="C92" s="6">
        <f>IFERROR(AVERAGEIF(Levels!B:B,A92,Levels!E:E),0)</f>
        <v>3.89</v>
      </c>
      <c r="D92" s="6">
        <f>IFERROR(AVERAGEIF(Levels!B:B,A92,Levels!F:F),0)</f>
        <v>5.27</v>
      </c>
      <c r="E92" s="6">
        <f>_xlfn.MAXIFS(Levels!E:E,Levels!B:B,A92)</f>
        <v>3.89</v>
      </c>
      <c r="F92" s="6">
        <f>_xlfn.MAXIFS(Levels!F:F,Levels!B:B,A92)</f>
        <v>5.27</v>
      </c>
    </row>
    <row r="93" spans="1:6" x14ac:dyDescent="0.3">
      <c r="A93" t="s">
        <v>458</v>
      </c>
      <c r="B93" s="9">
        <f>COUNTIF(Levels!B:B,A93)</f>
        <v>1</v>
      </c>
      <c r="C93" s="9">
        <f>IFERROR(AVERAGEIF(Levels!B:B,A93,Levels!E:E),0)</f>
        <v>3.89</v>
      </c>
      <c r="D93" s="9">
        <f>IFERROR(AVERAGEIF(Levels!B:B,A93,Levels!F:F),0)</f>
        <v>5.63</v>
      </c>
      <c r="E93" s="9">
        <f>_xlfn.MAXIFS(Levels!E:E,Levels!B:B,A93)</f>
        <v>3.89</v>
      </c>
      <c r="F93" s="9">
        <f>_xlfn.MAXIFS(Levels!F:F,Levels!B:B,A93)</f>
        <v>5.63</v>
      </c>
    </row>
    <row r="94" spans="1:6" x14ac:dyDescent="0.3">
      <c r="A94" t="s">
        <v>461</v>
      </c>
      <c r="B94" s="6">
        <f>COUNTIF(Levels!B:B,A94)</f>
        <v>1</v>
      </c>
      <c r="C94" s="6">
        <f>IFERROR(AVERAGEIF(Levels!B:B,A94,Levels!E:E),0)</f>
        <v>3.23</v>
      </c>
      <c r="D94" s="6">
        <f>IFERROR(AVERAGEIF(Levels!B:B,A94,Levels!F:F),0)</f>
        <v>6.59</v>
      </c>
      <c r="E94" s="6">
        <f>_xlfn.MAXIFS(Levels!E:E,Levels!B:B,A94)</f>
        <v>3.23</v>
      </c>
      <c r="F94" s="6">
        <f>_xlfn.MAXIFS(Levels!F:F,Levels!B:B,A94)</f>
        <v>6.59</v>
      </c>
    </row>
    <row r="95" spans="1:6" x14ac:dyDescent="0.3">
      <c r="A95" t="s">
        <v>463</v>
      </c>
      <c r="B95" s="9">
        <f>COUNTIF(Levels!B:B,A95)</f>
        <v>44</v>
      </c>
      <c r="C95" s="9">
        <f>IFERROR(AVERAGEIF(Levels!B:B,A95,Levels!E:E),0)</f>
        <v>11.848863636363633</v>
      </c>
      <c r="D95" s="9">
        <f>IFERROR(AVERAGEIF(Levels!B:B,A95,Levels!F:F),0)</f>
        <v>5.9470454545454547</v>
      </c>
      <c r="E95" s="9">
        <f>_xlfn.MAXIFS(Levels!E:E,Levels!B:B,A95)</f>
        <v>31.96</v>
      </c>
      <c r="F95" s="9">
        <f>_xlfn.MAXIFS(Levels!F:F,Levels!B:B,A95)</f>
        <v>8.0500000000000007</v>
      </c>
    </row>
    <row r="96" spans="1:6" x14ac:dyDescent="0.3">
      <c r="A96" t="s">
        <v>465</v>
      </c>
      <c r="B96" s="6">
        <f>COUNTIF(Levels!B:B,A96)</f>
        <v>1</v>
      </c>
      <c r="C96" s="6">
        <f>IFERROR(AVERAGEIF(Levels!B:B,A96,Levels!E:E),0)</f>
        <v>8</v>
      </c>
      <c r="D96" s="6">
        <f>IFERROR(AVERAGEIF(Levels!B:B,A96,Levels!F:F),0)</f>
        <v>4.5</v>
      </c>
      <c r="E96" s="6">
        <f>_xlfn.MAXIFS(Levels!E:E,Levels!B:B,A96)</f>
        <v>8</v>
      </c>
      <c r="F96" s="6">
        <f>_xlfn.MAXIFS(Levels!F:F,Levels!B:B,A96)</f>
        <v>4.5</v>
      </c>
    </row>
    <row r="97" spans="1:6" x14ac:dyDescent="0.3">
      <c r="A97" t="s">
        <v>475</v>
      </c>
      <c r="B97" s="9">
        <f>COUNTIF(Levels!B:B,A97)</f>
        <v>4</v>
      </c>
      <c r="C97" s="9">
        <f>IFERROR(AVERAGEIF(Levels!B:B,A97,Levels!E:E),0)</f>
        <v>9.9075000000000006</v>
      </c>
      <c r="D97" s="9">
        <f>IFERROR(AVERAGEIF(Levels!B:B,A97,Levels!F:F),0)</f>
        <v>6.6</v>
      </c>
      <c r="E97" s="9">
        <f>_xlfn.MAXIFS(Levels!E:E,Levels!B:B,A97)</f>
        <v>14.28</v>
      </c>
      <c r="F97" s="9">
        <f>_xlfn.MAXIFS(Levels!F:F,Levels!B:B,A97)</f>
        <v>7.26</v>
      </c>
    </row>
    <row r="98" spans="1:6" x14ac:dyDescent="0.3">
      <c r="A98" t="s">
        <v>478</v>
      </c>
      <c r="B98" s="6">
        <f>COUNTIF(Levels!B:B,A98)</f>
        <v>1</v>
      </c>
      <c r="C98" s="6">
        <f>IFERROR(AVERAGEIF(Levels!B:B,A98,Levels!E:E),0)</f>
        <v>3.59</v>
      </c>
      <c r="D98" s="6">
        <f>IFERROR(AVERAGEIF(Levels!B:B,A98,Levels!F:F),0)</f>
        <v>5.63</v>
      </c>
      <c r="E98" s="6">
        <f>_xlfn.MAXIFS(Levels!E:E,Levels!B:B,A98)</f>
        <v>3.59</v>
      </c>
      <c r="F98" s="6">
        <f>_xlfn.MAXIFS(Levels!F:F,Levels!B:B,A98)</f>
        <v>5.63</v>
      </c>
    </row>
    <row r="99" spans="1:6" x14ac:dyDescent="0.3">
      <c r="A99" t="s">
        <v>495</v>
      </c>
      <c r="B99" s="9">
        <f>COUNTIF(Levels!B:B,A99)</f>
        <v>1</v>
      </c>
      <c r="C99" s="9">
        <f>IFERROR(AVERAGEIF(Levels!B:B,A99,Levels!E:E),0)</f>
        <v>10.58</v>
      </c>
      <c r="D99" s="9">
        <f>IFERROR(AVERAGEIF(Levels!B:B,A99,Levels!F:F),0)</f>
        <v>3.73</v>
      </c>
      <c r="E99" s="9">
        <f>_xlfn.MAXIFS(Levels!E:E,Levels!B:B,A99)</f>
        <v>10.58</v>
      </c>
      <c r="F99" s="9">
        <f>_xlfn.MAXIFS(Levels!F:F,Levels!B:B,A99)</f>
        <v>3.73</v>
      </c>
    </row>
    <row r="100" spans="1:6" x14ac:dyDescent="0.3">
      <c r="A100" t="s">
        <v>504</v>
      </c>
      <c r="B100" s="6">
        <f>COUNTIF(Levels!B:B,A100)</f>
        <v>3</v>
      </c>
      <c r="C100" s="6">
        <f>IFERROR(AVERAGEIF(Levels!B:B,A100,Levels!E:E),0)</f>
        <v>4.75</v>
      </c>
      <c r="D100" s="6">
        <f>IFERROR(AVERAGEIF(Levels!B:B,A100,Levels!F:F),0)</f>
        <v>5.7733333333333334</v>
      </c>
      <c r="E100" s="6">
        <f>_xlfn.MAXIFS(Levels!E:E,Levels!B:B,A100)</f>
        <v>6.5</v>
      </c>
      <c r="F100" s="6">
        <f>_xlfn.MAXIFS(Levels!F:F,Levels!B:B,A100)</f>
        <v>6.37</v>
      </c>
    </row>
    <row r="101" spans="1:6" x14ac:dyDescent="0.3">
      <c r="A101" t="s">
        <v>509</v>
      </c>
      <c r="B101" s="9">
        <f>COUNTIF(Levels!B:B,A101)</f>
        <v>9</v>
      </c>
      <c r="C101" s="9">
        <f>IFERROR(AVERAGEIF(Levels!B:B,A101,Levels!E:E),0)</f>
        <v>8.6999999999999993</v>
      </c>
      <c r="D101" s="9">
        <f>IFERROR(AVERAGEIF(Levels!B:B,A101,Levels!F:F),0)</f>
        <v>5.623333333333334</v>
      </c>
      <c r="E101" s="9">
        <f>_xlfn.MAXIFS(Levels!E:E,Levels!B:B,A101)</f>
        <v>15.87</v>
      </c>
      <c r="F101" s="9">
        <f>_xlfn.MAXIFS(Levels!F:F,Levels!B:B,A101)</f>
        <v>6.88</v>
      </c>
    </row>
    <row r="102" spans="1:6" x14ac:dyDescent="0.3">
      <c r="A102" t="s">
        <v>513</v>
      </c>
      <c r="B102" s="6">
        <f>COUNTIF(Levels!B:B,A102)</f>
        <v>4</v>
      </c>
      <c r="C102" s="6">
        <f>IFERROR(AVERAGEIF(Levels!B:B,A102,Levels!E:E),0)</f>
        <v>7.1775000000000002</v>
      </c>
      <c r="D102" s="6">
        <f>IFERROR(AVERAGEIF(Levels!B:B,A102,Levels!F:F),0)</f>
        <v>6.4375</v>
      </c>
      <c r="E102" s="6">
        <f>_xlfn.MAXIFS(Levels!E:E,Levels!B:B,A102)</f>
        <v>16.55</v>
      </c>
      <c r="F102" s="6">
        <f>_xlfn.MAXIFS(Levels!F:F,Levels!B:B,A102)</f>
        <v>7.21</v>
      </c>
    </row>
    <row r="103" spans="1:6" x14ac:dyDescent="0.3">
      <c r="A103" t="s">
        <v>515</v>
      </c>
      <c r="B103" s="9">
        <f>COUNTIF(Levels!B:B,A103)</f>
        <v>1</v>
      </c>
      <c r="C103" s="9">
        <f>IFERROR(AVERAGEIF(Levels!B:B,A103,Levels!E:E),0)</f>
        <v>13.93</v>
      </c>
      <c r="D103" s="9">
        <f>IFERROR(AVERAGEIF(Levels!B:B,A103,Levels!F:F),0)</f>
        <v>5.43</v>
      </c>
      <c r="E103" s="9">
        <f>_xlfn.MAXIFS(Levels!E:E,Levels!B:B,A103)</f>
        <v>13.93</v>
      </c>
      <c r="F103" s="9">
        <f>_xlfn.MAXIFS(Levels!F:F,Levels!B:B,A103)</f>
        <v>5.43</v>
      </c>
    </row>
    <row r="104" spans="1:6" x14ac:dyDescent="0.3">
      <c r="A104" t="s">
        <v>517</v>
      </c>
      <c r="B104" s="6">
        <f>COUNTIF(Levels!B:B,A104)</f>
        <v>5</v>
      </c>
      <c r="C104" s="6">
        <f>IFERROR(AVERAGEIF(Levels!B:B,A104,Levels!E:E),0)</f>
        <v>5.4300000000000006</v>
      </c>
      <c r="D104" s="6">
        <f>IFERROR(AVERAGEIF(Levels!B:B,A104,Levels!F:F),0)</f>
        <v>6.7219999999999995</v>
      </c>
      <c r="E104" s="6">
        <f>_xlfn.MAXIFS(Levels!E:E,Levels!B:B,A104)</f>
        <v>8.85</v>
      </c>
      <c r="F104" s="6">
        <f>_xlfn.MAXIFS(Levels!F:F,Levels!B:B,A104)</f>
        <v>7.52</v>
      </c>
    </row>
    <row r="105" spans="1:6" x14ac:dyDescent="0.3">
      <c r="A105" t="s">
        <v>520</v>
      </c>
      <c r="B105" s="9">
        <f>COUNTIF(Levels!B:B,A105)</f>
        <v>12</v>
      </c>
      <c r="C105" s="9">
        <f>IFERROR(AVERAGEIF(Levels!B:B,A105,Levels!E:E),0)</f>
        <v>10.220000000000001</v>
      </c>
      <c r="D105" s="9">
        <f>IFERROR(AVERAGEIF(Levels!B:B,A105,Levels!F:F),0)</f>
        <v>6.1266666666666678</v>
      </c>
      <c r="E105" s="9">
        <f>_xlfn.MAXIFS(Levels!E:E,Levels!B:B,A105)</f>
        <v>15.77</v>
      </c>
      <c r="F105" s="9">
        <f>_xlfn.MAXIFS(Levels!F:F,Levels!B:B,A105)</f>
        <v>9</v>
      </c>
    </row>
    <row r="106" spans="1:6" x14ac:dyDescent="0.3">
      <c r="A106" t="s">
        <v>523</v>
      </c>
      <c r="B106" s="6">
        <f>COUNTIF(Levels!B:B,A106)</f>
        <v>16</v>
      </c>
      <c r="C106" s="6">
        <f>IFERROR(AVERAGEIF(Levels!B:B,A106,Levels!E:E),0)</f>
        <v>7.4587500000000002</v>
      </c>
      <c r="D106" s="6">
        <f>IFERROR(AVERAGEIF(Levels!B:B,A106,Levels!F:F),0)</f>
        <v>5.9675000000000002</v>
      </c>
      <c r="E106" s="6">
        <f>_xlfn.MAXIFS(Levels!E:E,Levels!B:B,A106)</f>
        <v>13.04</v>
      </c>
      <c r="F106" s="6">
        <f>_xlfn.MAXIFS(Levels!F:F,Levels!B:B,A106)</f>
        <v>7.33</v>
      </c>
    </row>
    <row r="107" spans="1:6" x14ac:dyDescent="0.3">
      <c r="A107" t="s">
        <v>532</v>
      </c>
      <c r="B107" s="9">
        <f>COUNTIF(Levels!B:B,A107)</f>
        <v>1</v>
      </c>
      <c r="C107" s="9">
        <f>IFERROR(AVERAGEIF(Levels!B:B,A107,Levels!E:E),0)</f>
        <v>9.1</v>
      </c>
      <c r="D107" s="9">
        <f>IFERROR(AVERAGEIF(Levels!B:B,A107,Levels!F:F),0)</f>
        <v>6.09</v>
      </c>
      <c r="E107" s="9">
        <f>_xlfn.MAXIFS(Levels!E:E,Levels!B:B,A107)</f>
        <v>9.1</v>
      </c>
      <c r="F107" s="9">
        <f>_xlfn.MAXIFS(Levels!F:F,Levels!B:B,A107)</f>
        <v>6.09</v>
      </c>
    </row>
    <row r="108" spans="1:6" x14ac:dyDescent="0.3">
      <c r="A108" t="s">
        <v>540</v>
      </c>
      <c r="B108" s="6">
        <f>COUNTIF(Levels!B:B,A108)</f>
        <v>2</v>
      </c>
      <c r="C108" s="6">
        <f>IFERROR(AVERAGEIF(Levels!B:B,A108,Levels!E:E),0)</f>
        <v>6.29</v>
      </c>
      <c r="D108" s="6">
        <f>IFERROR(AVERAGEIF(Levels!B:B,A108,Levels!F:F),0)</f>
        <v>5.91</v>
      </c>
      <c r="E108" s="6">
        <f>_xlfn.MAXIFS(Levels!E:E,Levels!B:B,A108)</f>
        <v>6.65</v>
      </c>
      <c r="F108" s="6">
        <f>_xlfn.MAXIFS(Levels!F:F,Levels!B:B,A108)</f>
        <v>5.92</v>
      </c>
    </row>
    <row r="109" spans="1:6" x14ac:dyDescent="0.3">
      <c r="A109" t="s">
        <v>548</v>
      </c>
      <c r="B109" s="9">
        <f>COUNTIF(Levels!B:B,A109)</f>
        <v>5</v>
      </c>
      <c r="C109" s="9">
        <f>IFERROR(AVERAGEIF(Levels!B:B,A109,Levels!E:E),0)</f>
        <v>10.72</v>
      </c>
      <c r="D109" s="9">
        <f>IFERROR(AVERAGEIF(Levels!B:B,A109,Levels!F:F),0)</f>
        <v>5.7240000000000002</v>
      </c>
      <c r="E109" s="9">
        <f>_xlfn.MAXIFS(Levels!E:E,Levels!B:B,A109)</f>
        <v>14.76</v>
      </c>
      <c r="F109" s="9">
        <f>_xlfn.MAXIFS(Levels!F:F,Levels!B:B,A109)</f>
        <v>6.32</v>
      </c>
    </row>
    <row r="110" spans="1:6" x14ac:dyDescent="0.3">
      <c r="A110" t="s">
        <v>553</v>
      </c>
      <c r="B110" s="6">
        <f>COUNTIF(Levels!B:B,A110)</f>
        <v>1</v>
      </c>
      <c r="C110" s="6">
        <f>IFERROR(AVERAGEIF(Levels!B:B,A110,Levels!E:E),0)</f>
        <v>6.89</v>
      </c>
      <c r="D110" s="6">
        <f>IFERROR(AVERAGEIF(Levels!B:B,A110,Levels!F:F),0)</f>
        <v>6</v>
      </c>
      <c r="E110" s="6">
        <f>_xlfn.MAXIFS(Levels!E:E,Levels!B:B,A110)</f>
        <v>6.89</v>
      </c>
      <c r="F110" s="6">
        <f>_xlfn.MAXIFS(Levels!F:F,Levels!B:B,A110)</f>
        <v>6</v>
      </c>
    </row>
    <row r="111" spans="1:6" x14ac:dyDescent="0.3">
      <c r="A111" t="s">
        <v>558</v>
      </c>
      <c r="B111" s="9">
        <f>COUNTIF(Levels!B:B,A111)</f>
        <v>1</v>
      </c>
      <c r="C111" s="9">
        <f>IFERROR(AVERAGEIF(Levels!B:B,A111,Levels!E:E),0)</f>
        <v>10.33</v>
      </c>
      <c r="D111" s="9">
        <f>IFERROR(AVERAGEIF(Levels!B:B,A111,Levels!F:F),0)</f>
        <v>6.39</v>
      </c>
      <c r="E111" s="9">
        <f>_xlfn.MAXIFS(Levels!E:E,Levels!B:B,A111)</f>
        <v>10.33</v>
      </c>
      <c r="F111" s="9">
        <f>_xlfn.MAXIFS(Levels!F:F,Levels!B:B,A111)</f>
        <v>6.39</v>
      </c>
    </row>
    <row r="112" spans="1:6" x14ac:dyDescent="0.3">
      <c r="A112" t="s">
        <v>561</v>
      </c>
      <c r="B112" s="6">
        <f>COUNTIF(Levels!B:B,A112)</f>
        <v>1</v>
      </c>
      <c r="C112" s="6">
        <f>IFERROR(AVERAGEIF(Levels!B:B,A112,Levels!E:E),0)</f>
        <v>7.26</v>
      </c>
      <c r="D112" s="6">
        <f>IFERROR(AVERAGEIF(Levels!B:B,A112,Levels!F:F),0)</f>
        <v>4.8600000000000003</v>
      </c>
      <c r="E112" s="6">
        <f>_xlfn.MAXIFS(Levels!E:E,Levels!B:B,A112)</f>
        <v>7.26</v>
      </c>
      <c r="F112" s="6">
        <f>_xlfn.MAXIFS(Levels!F:F,Levels!B:B,A112)</f>
        <v>4.8600000000000003</v>
      </c>
    </row>
    <row r="113" spans="1:6" x14ac:dyDescent="0.3">
      <c r="A113" t="s">
        <v>567</v>
      </c>
      <c r="B113" s="9">
        <f>COUNTIF(Levels!B:B,A113)</f>
        <v>11</v>
      </c>
      <c r="C113" s="9">
        <f>IFERROR(AVERAGEIF(Levels!B:B,A113,Levels!E:E),0)</f>
        <v>10.44</v>
      </c>
      <c r="D113" s="9">
        <f>IFERROR(AVERAGEIF(Levels!B:B,A113,Levels!F:F),0)</f>
        <v>5.8454545454545466</v>
      </c>
      <c r="E113" s="9">
        <f>_xlfn.MAXIFS(Levels!E:E,Levels!B:B,A113)</f>
        <v>17.3</v>
      </c>
      <c r="F113" s="9">
        <f>_xlfn.MAXIFS(Levels!F:F,Levels!B:B,A113)</f>
        <v>6.89</v>
      </c>
    </row>
    <row r="114" spans="1:6" x14ac:dyDescent="0.3">
      <c r="A114" t="s">
        <v>569</v>
      </c>
      <c r="B114" s="6">
        <f>COUNTIF(Levels!B:B,A114)</f>
        <v>2</v>
      </c>
      <c r="C114" s="6">
        <f>IFERROR(AVERAGEIF(Levels!B:B,A114,Levels!E:E),0)</f>
        <v>6.95</v>
      </c>
      <c r="D114" s="6">
        <f>IFERROR(AVERAGEIF(Levels!B:B,A114,Levels!F:F),0)</f>
        <v>6.4550000000000001</v>
      </c>
      <c r="E114" s="6">
        <f>_xlfn.MAXIFS(Levels!E:E,Levels!B:B,A114)</f>
        <v>11.71</v>
      </c>
      <c r="F114" s="6">
        <f>_xlfn.MAXIFS(Levels!F:F,Levels!B:B,A114)</f>
        <v>6.48</v>
      </c>
    </row>
    <row r="115" spans="1:6" x14ac:dyDescent="0.3">
      <c r="A115" t="s">
        <v>573</v>
      </c>
      <c r="B115" s="9">
        <f>COUNTIF(Levels!B:B,A115)</f>
        <v>9</v>
      </c>
      <c r="C115" s="9">
        <f>IFERROR(AVERAGEIF(Levels!B:B,A115,Levels!E:E),0)</f>
        <v>14.635555555555559</v>
      </c>
      <c r="D115" s="9">
        <f>IFERROR(AVERAGEIF(Levels!B:B,A115,Levels!F:F),0)</f>
        <v>6.261111111111112</v>
      </c>
      <c r="E115" s="9">
        <f>_xlfn.MAXIFS(Levels!E:E,Levels!B:B,A115)</f>
        <v>22.25</v>
      </c>
      <c r="F115" s="9">
        <f>_xlfn.MAXIFS(Levels!F:F,Levels!B:B,A115)</f>
        <v>7.25</v>
      </c>
    </row>
    <row r="116" spans="1:6" x14ac:dyDescent="0.3">
      <c r="A116" t="s">
        <v>579</v>
      </c>
      <c r="B116" s="6">
        <f>COUNTIF(Levels!B:B,A116)</f>
        <v>2</v>
      </c>
      <c r="C116" s="6">
        <f>IFERROR(AVERAGEIF(Levels!B:B,A116,Levels!E:E),0)</f>
        <v>10.299999999999999</v>
      </c>
      <c r="D116" s="6">
        <f>IFERROR(AVERAGEIF(Levels!B:B,A116,Levels!F:F),0)</f>
        <v>6.1349999999999998</v>
      </c>
      <c r="E116" s="6">
        <f>_xlfn.MAXIFS(Levels!E:E,Levels!B:B,A116)</f>
        <v>13.04</v>
      </c>
      <c r="F116" s="6">
        <f>_xlfn.MAXIFS(Levels!F:F,Levels!B:B,A116)</f>
        <v>6.27</v>
      </c>
    </row>
    <row r="117" spans="1:6" x14ac:dyDescent="0.3">
      <c r="A117" t="s">
        <v>582</v>
      </c>
      <c r="B117" s="9">
        <f>COUNTIF(Levels!B:B,A117)</f>
        <v>1</v>
      </c>
      <c r="C117" s="9">
        <f>IFERROR(AVERAGEIF(Levels!B:B,A117,Levels!E:E),0)</f>
        <v>4.97</v>
      </c>
      <c r="D117" s="9">
        <f>IFERROR(AVERAGEIF(Levels!B:B,A117,Levels!F:F),0)</f>
        <v>6.56</v>
      </c>
      <c r="E117" s="9">
        <f>_xlfn.MAXIFS(Levels!E:E,Levels!B:B,A117)</f>
        <v>4.97</v>
      </c>
      <c r="F117" s="9">
        <f>_xlfn.MAXIFS(Levels!F:F,Levels!B:B,A117)</f>
        <v>6.56</v>
      </c>
    </row>
    <row r="118" spans="1:6" x14ac:dyDescent="0.3">
      <c r="A118" t="s">
        <v>585</v>
      </c>
      <c r="B118" s="6">
        <f>COUNTIF(Levels!B:B,A118)</f>
        <v>2</v>
      </c>
      <c r="C118" s="6">
        <f>IFERROR(AVERAGEIF(Levels!B:B,A118,Levels!E:E),0)</f>
        <v>15.184999999999999</v>
      </c>
      <c r="D118" s="6">
        <f>IFERROR(AVERAGEIF(Levels!B:B,A118,Levels!F:F),0)</f>
        <v>4.5750000000000002</v>
      </c>
      <c r="E118" s="6">
        <f>_xlfn.MAXIFS(Levels!E:E,Levels!B:B,A118)</f>
        <v>20.399999999999999</v>
      </c>
      <c r="F118" s="6">
        <f>_xlfn.MAXIFS(Levels!F:F,Levels!B:B,A118)</f>
        <v>4.83</v>
      </c>
    </row>
    <row r="119" spans="1:6" x14ac:dyDescent="0.3">
      <c r="A119" t="s">
        <v>587</v>
      </c>
      <c r="B119" s="9">
        <f>COUNTIF(Levels!B:B,A119)</f>
        <v>2</v>
      </c>
      <c r="C119" s="9">
        <f>IFERROR(AVERAGEIF(Levels!B:B,A119,Levels!E:E),0)</f>
        <v>2.875</v>
      </c>
      <c r="D119" s="9">
        <f>IFERROR(AVERAGEIF(Levels!B:B,A119,Levels!F:F),0)</f>
        <v>5.99</v>
      </c>
      <c r="E119" s="9">
        <f>_xlfn.MAXIFS(Levels!E:E,Levels!B:B,A119)</f>
        <v>4.71</v>
      </c>
      <c r="F119" s="9">
        <f>_xlfn.MAXIFS(Levels!F:F,Levels!B:B,A119)</f>
        <v>6</v>
      </c>
    </row>
    <row r="120" spans="1:6" x14ac:dyDescent="0.3">
      <c r="A120" t="s">
        <v>591</v>
      </c>
      <c r="B120" s="6">
        <f>COUNTIF(Levels!B:B,A120)</f>
        <v>7</v>
      </c>
      <c r="C120" s="6">
        <f>IFERROR(AVERAGEIF(Levels!B:B,A120,Levels!E:E),0)</f>
        <v>12.275714285714285</v>
      </c>
      <c r="D120" s="6">
        <f>IFERROR(AVERAGEIF(Levels!B:B,A120,Levels!F:F),0)</f>
        <v>5.2642857142857142</v>
      </c>
      <c r="E120" s="6">
        <f>_xlfn.MAXIFS(Levels!E:E,Levels!B:B,A120)</f>
        <v>16.63</v>
      </c>
      <c r="F120" s="6">
        <f>_xlfn.MAXIFS(Levels!F:F,Levels!B:B,A120)</f>
        <v>6.27</v>
      </c>
    </row>
    <row r="121" spans="1:6" x14ac:dyDescent="0.3">
      <c r="A121" t="s">
        <v>595</v>
      </c>
      <c r="B121" s="9">
        <f>COUNTIF(Levels!B:B,A121)</f>
        <v>3</v>
      </c>
      <c r="C121" s="9">
        <f>IFERROR(AVERAGEIF(Levels!B:B,A121,Levels!E:E),0)</f>
        <v>17.153333333333332</v>
      </c>
      <c r="D121" s="9">
        <f>IFERROR(AVERAGEIF(Levels!B:B,A121,Levels!F:F),0)</f>
        <v>7.56</v>
      </c>
      <c r="E121" s="9">
        <f>_xlfn.MAXIFS(Levels!E:E,Levels!B:B,A121)</f>
        <v>27.89</v>
      </c>
      <c r="F121" s="9">
        <f>_xlfn.MAXIFS(Levels!F:F,Levels!B:B,A121)</f>
        <v>8.14</v>
      </c>
    </row>
    <row r="122" spans="1:6" x14ac:dyDescent="0.3">
      <c r="A122" t="s">
        <v>598</v>
      </c>
      <c r="B122" s="6">
        <f>COUNTIF(Levels!B:B,A122)</f>
        <v>1</v>
      </c>
      <c r="C122" s="6">
        <f>IFERROR(AVERAGEIF(Levels!B:B,A122,Levels!E:E),0)</f>
        <v>7.49</v>
      </c>
      <c r="D122" s="6">
        <f>IFERROR(AVERAGEIF(Levels!B:B,A122,Levels!F:F),0)</f>
        <v>6.93</v>
      </c>
      <c r="E122" s="6">
        <f>_xlfn.MAXIFS(Levels!E:E,Levels!B:B,A122)</f>
        <v>7.49</v>
      </c>
      <c r="F122" s="6">
        <f>_xlfn.MAXIFS(Levels!F:F,Levels!B:B,A122)</f>
        <v>6.93</v>
      </c>
    </row>
    <row r="123" spans="1:6" x14ac:dyDescent="0.3">
      <c r="A123" t="s">
        <v>600</v>
      </c>
      <c r="B123" s="9">
        <f>COUNTIF(Levels!B:B,A123)</f>
        <v>1</v>
      </c>
      <c r="C123" s="9">
        <f>IFERROR(AVERAGEIF(Levels!B:B,A123,Levels!E:E),0)</f>
        <v>1.88</v>
      </c>
      <c r="D123" s="9">
        <f>IFERROR(AVERAGEIF(Levels!B:B,A123,Levels!F:F),0)</f>
        <v>5.81</v>
      </c>
      <c r="E123" s="9">
        <f>_xlfn.MAXIFS(Levels!E:E,Levels!B:B,A123)</f>
        <v>1.88</v>
      </c>
      <c r="F123" s="9">
        <f>_xlfn.MAXIFS(Levels!F:F,Levels!B:B,A123)</f>
        <v>5.81</v>
      </c>
    </row>
    <row r="124" spans="1:6" x14ac:dyDescent="0.3">
      <c r="A124" t="s">
        <v>603</v>
      </c>
      <c r="B124" s="6">
        <f>COUNTIF(Levels!B:B,A124)</f>
        <v>1</v>
      </c>
      <c r="C124" s="6">
        <f>IFERROR(AVERAGEIF(Levels!B:B,A124,Levels!E:E),0)</f>
        <v>7.96</v>
      </c>
      <c r="D124" s="6">
        <f>IFERROR(AVERAGEIF(Levels!B:B,A124,Levels!F:F),0)</f>
        <v>4.68</v>
      </c>
      <c r="E124" s="6">
        <f>_xlfn.MAXIFS(Levels!E:E,Levels!B:B,A124)</f>
        <v>7.96</v>
      </c>
      <c r="F124" s="6">
        <f>_xlfn.MAXIFS(Levels!F:F,Levels!B:B,A124)</f>
        <v>4.68</v>
      </c>
    </row>
    <row r="125" spans="1:6" x14ac:dyDescent="0.3">
      <c r="A125" t="s">
        <v>609</v>
      </c>
      <c r="B125" s="9">
        <f>COUNTIF(Levels!B:B,A125)</f>
        <v>27</v>
      </c>
      <c r="C125" s="9">
        <f>IFERROR(AVERAGEIF(Levels!B:B,A125,Levels!E:E),0)</f>
        <v>12.894999999999998</v>
      </c>
      <c r="D125" s="9">
        <f>IFERROR(AVERAGEIF(Levels!B:B,A125,Levels!F:F),0)</f>
        <v>5.7303846153846143</v>
      </c>
      <c r="E125" s="9">
        <f>_xlfn.MAXIFS(Levels!E:E,Levels!B:B,A125)</f>
        <v>31.92</v>
      </c>
      <c r="F125" s="9">
        <f>_xlfn.MAXIFS(Levels!F:F,Levels!B:B,A125)</f>
        <v>8.5</v>
      </c>
    </row>
    <row r="126" spans="1:6" x14ac:dyDescent="0.3">
      <c r="A126" t="s">
        <v>611</v>
      </c>
      <c r="B126" s="6">
        <f>COUNTIF(Levels!B:B,A126)</f>
        <v>2</v>
      </c>
      <c r="C126" s="6">
        <f>IFERROR(AVERAGEIF(Levels!B:B,A126,Levels!E:E),0)</f>
        <v>5.75</v>
      </c>
      <c r="D126" s="6">
        <f>IFERROR(AVERAGEIF(Levels!B:B,A126,Levels!F:F),0)</f>
        <v>5.415</v>
      </c>
      <c r="E126" s="6">
        <f>_xlfn.MAXIFS(Levels!E:E,Levels!B:B,A126)</f>
        <v>8.39</v>
      </c>
      <c r="F126" s="6">
        <f>_xlfn.MAXIFS(Levels!F:F,Levels!B:B,A126)</f>
        <v>5.63</v>
      </c>
    </row>
    <row r="127" spans="1:6" x14ac:dyDescent="0.3">
      <c r="A127" t="s">
        <v>622</v>
      </c>
      <c r="B127" s="9">
        <f>COUNTIF(Levels!B:B,A127)</f>
        <v>8</v>
      </c>
      <c r="C127" s="9">
        <f>IFERROR(AVERAGEIF(Levels!B:B,A127,Levels!E:E),0)</f>
        <v>6.3650000000000002</v>
      </c>
      <c r="D127" s="9">
        <f>IFERROR(AVERAGEIF(Levels!B:B,A127,Levels!F:F),0)</f>
        <v>5.7962499999999997</v>
      </c>
      <c r="E127" s="9">
        <f>_xlfn.MAXIFS(Levels!E:E,Levels!B:B,A127)</f>
        <v>16.11</v>
      </c>
      <c r="F127" s="9">
        <f>_xlfn.MAXIFS(Levels!F:F,Levels!B:B,A127)</f>
        <v>6.54</v>
      </c>
    </row>
    <row r="128" spans="1:6" x14ac:dyDescent="0.3">
      <c r="A128" t="s">
        <v>633</v>
      </c>
      <c r="B128" s="6">
        <f>COUNTIF(Levels!B:B,A128)</f>
        <v>1</v>
      </c>
      <c r="C128" s="6">
        <f>IFERROR(AVERAGEIF(Levels!B:B,A128,Levels!E:E),0)</f>
        <v>11.75</v>
      </c>
      <c r="D128" s="6">
        <f>IFERROR(AVERAGEIF(Levels!B:B,A128,Levels!F:F),0)</f>
        <v>2.5</v>
      </c>
      <c r="E128" s="6">
        <f>_xlfn.MAXIFS(Levels!E:E,Levels!B:B,A128)</f>
        <v>11.75</v>
      </c>
      <c r="F128" s="6">
        <f>_xlfn.MAXIFS(Levels!F:F,Levels!B:B,A128)</f>
        <v>2.5</v>
      </c>
    </row>
    <row r="129" spans="1:6" x14ac:dyDescent="0.3">
      <c r="A129" t="s">
        <v>636</v>
      </c>
      <c r="B129" s="9">
        <f>COUNTIF(Levels!B:B,A129)</f>
        <v>1</v>
      </c>
      <c r="C129" s="9">
        <f>IFERROR(AVERAGEIF(Levels!B:B,A129,Levels!E:E),0)</f>
        <v>11.33</v>
      </c>
      <c r="D129" s="9">
        <f>IFERROR(AVERAGEIF(Levels!B:B,A129,Levels!F:F),0)</f>
        <v>6.92</v>
      </c>
      <c r="E129" s="9">
        <f>_xlfn.MAXIFS(Levels!E:E,Levels!B:B,A129)</f>
        <v>11.33</v>
      </c>
      <c r="F129" s="9">
        <f>_xlfn.MAXIFS(Levels!F:F,Levels!B:B,A129)</f>
        <v>6.92</v>
      </c>
    </row>
    <row r="130" spans="1:6" x14ac:dyDescent="0.3">
      <c r="A130" t="s">
        <v>647</v>
      </c>
      <c r="B130" s="6">
        <f>COUNTIF(Levels!B:B,A130)</f>
        <v>1</v>
      </c>
      <c r="C130" s="6">
        <f>IFERROR(AVERAGEIF(Levels!B:B,A130,Levels!E:E),0)</f>
        <v>3.3</v>
      </c>
      <c r="D130" s="6">
        <f>IFERROR(AVERAGEIF(Levels!B:B,A130,Levels!F:F),0)</f>
        <v>6.04</v>
      </c>
      <c r="E130" s="6">
        <f>_xlfn.MAXIFS(Levels!E:E,Levels!B:B,A130)</f>
        <v>3.3</v>
      </c>
      <c r="F130" s="6">
        <f>_xlfn.MAXIFS(Levels!F:F,Levels!B:B,A130)</f>
        <v>6.04</v>
      </c>
    </row>
    <row r="131" spans="1:6" x14ac:dyDescent="0.3">
      <c r="A131" t="s">
        <v>653</v>
      </c>
      <c r="B131" s="9">
        <f>COUNTIF(Levels!B:B,A131)</f>
        <v>1</v>
      </c>
      <c r="C131" s="9">
        <f>IFERROR(AVERAGEIF(Levels!B:B,A131,Levels!E:E),0)</f>
        <v>2.86</v>
      </c>
      <c r="D131" s="9">
        <f>IFERROR(AVERAGEIF(Levels!B:B,A131,Levels!F:F),0)</f>
        <v>5.35</v>
      </c>
      <c r="E131" s="9">
        <f>_xlfn.MAXIFS(Levels!E:E,Levels!B:B,A131)</f>
        <v>2.86</v>
      </c>
      <c r="F131" s="9">
        <f>_xlfn.MAXIFS(Levels!F:F,Levels!B:B,A131)</f>
        <v>5.35</v>
      </c>
    </row>
    <row r="132" spans="1:6" x14ac:dyDescent="0.3">
      <c r="A132" t="s">
        <v>656</v>
      </c>
      <c r="B132" s="6">
        <f>COUNTIF(Levels!B:B,A132)</f>
        <v>4</v>
      </c>
      <c r="C132" s="6">
        <f>IFERROR(AVERAGEIF(Levels!B:B,A132,Levels!E:E),0)</f>
        <v>9.4050000000000011</v>
      </c>
      <c r="D132" s="6">
        <f>IFERROR(AVERAGEIF(Levels!B:B,A132,Levels!F:F),0)</f>
        <v>5.6349999999999998</v>
      </c>
      <c r="E132" s="6">
        <f>_xlfn.MAXIFS(Levels!E:E,Levels!B:B,A132)</f>
        <v>12.78</v>
      </c>
      <c r="F132" s="6">
        <f>_xlfn.MAXIFS(Levels!F:F,Levels!B:B,A132)</f>
        <v>6.82</v>
      </c>
    </row>
    <row r="133" spans="1:6" x14ac:dyDescent="0.3">
      <c r="A133" t="s">
        <v>662</v>
      </c>
      <c r="B133" s="9">
        <f>COUNTIF(Levels!B:B,A133)</f>
        <v>1</v>
      </c>
      <c r="C133" s="9">
        <f>IFERROR(AVERAGEIF(Levels!B:B,A133,Levels!E:E),0)</f>
        <v>5.07</v>
      </c>
      <c r="D133" s="9">
        <f>IFERROR(AVERAGEIF(Levels!B:B,A133,Levels!F:F),0)</f>
        <v>5.79</v>
      </c>
      <c r="E133" s="9">
        <f>_xlfn.MAXIFS(Levels!E:E,Levels!B:B,A133)</f>
        <v>5.07</v>
      </c>
      <c r="F133" s="9">
        <f>_xlfn.MAXIFS(Levels!F:F,Levels!B:B,A133)</f>
        <v>5.79</v>
      </c>
    </row>
    <row r="134" spans="1:6" x14ac:dyDescent="0.3">
      <c r="A134" t="s">
        <v>665</v>
      </c>
      <c r="B134" s="6">
        <f>COUNTIF(Levels!B:B,A134)</f>
        <v>2</v>
      </c>
      <c r="C134" s="6">
        <f>IFERROR(AVERAGEIF(Levels!B:B,A134,Levels!E:E),0)</f>
        <v>4.5250000000000004</v>
      </c>
      <c r="D134" s="6">
        <f>IFERROR(AVERAGEIF(Levels!B:B,A134,Levels!F:F),0)</f>
        <v>5.4700000000000006</v>
      </c>
      <c r="E134" s="6">
        <f>_xlfn.MAXIFS(Levels!E:E,Levels!B:B,A134)</f>
        <v>7.86</v>
      </c>
      <c r="F134" s="6">
        <f>_xlfn.MAXIFS(Levels!F:F,Levels!B:B,A134)</f>
        <v>5.61</v>
      </c>
    </row>
    <row r="135" spans="1:6" x14ac:dyDescent="0.3">
      <c r="A135" t="s">
        <v>667</v>
      </c>
      <c r="B135" s="9">
        <f>COUNTIF(Levels!B:B,A135)</f>
        <v>1</v>
      </c>
      <c r="C135" s="9">
        <f>IFERROR(AVERAGEIF(Levels!B:B,A135,Levels!E:E),0)</f>
        <v>7.65</v>
      </c>
      <c r="D135" s="9">
        <f>IFERROR(AVERAGEIF(Levels!B:B,A135,Levels!F:F),0)</f>
        <v>7.13</v>
      </c>
      <c r="E135" s="9">
        <f>_xlfn.MAXIFS(Levels!E:E,Levels!B:B,A135)</f>
        <v>7.65</v>
      </c>
      <c r="F135" s="9">
        <f>_xlfn.MAXIFS(Levels!F:F,Levels!B:B,A135)</f>
        <v>7.13</v>
      </c>
    </row>
    <row r="136" spans="1:6" x14ac:dyDescent="0.3">
      <c r="A136" t="s">
        <v>671</v>
      </c>
      <c r="B136" s="6">
        <f>COUNTIF(Levels!B:B,A136)</f>
        <v>2</v>
      </c>
      <c r="C136" s="6">
        <f>IFERROR(AVERAGEIF(Levels!B:B,A136,Levels!E:E),0)</f>
        <v>10.434999999999999</v>
      </c>
      <c r="D136" s="6">
        <f>IFERROR(AVERAGEIF(Levels!B:B,A136,Levels!F:F),0)</f>
        <v>5.73</v>
      </c>
      <c r="E136" s="6">
        <f>_xlfn.MAXIFS(Levels!E:E,Levels!B:B,A136)</f>
        <v>13.12</v>
      </c>
      <c r="F136" s="6">
        <f>_xlfn.MAXIFS(Levels!F:F,Levels!B:B,A136)</f>
        <v>6.46</v>
      </c>
    </row>
    <row r="137" spans="1:6" x14ac:dyDescent="0.3">
      <c r="A137" t="s">
        <v>673</v>
      </c>
      <c r="B137" s="9">
        <f>COUNTIF(Levels!B:B,A137)</f>
        <v>3</v>
      </c>
      <c r="C137" s="9">
        <f>IFERROR(AVERAGEIF(Levels!B:B,A137,Levels!E:E),0)</f>
        <v>19.553333333333331</v>
      </c>
      <c r="D137" s="9">
        <f>IFERROR(AVERAGEIF(Levels!B:B,A137,Levels!F:F),0)</f>
        <v>7</v>
      </c>
      <c r="E137" s="9">
        <f>_xlfn.MAXIFS(Levels!E:E,Levels!B:B,A137)</f>
        <v>24.88</v>
      </c>
      <c r="F137" s="9">
        <f>_xlfn.MAXIFS(Levels!F:F,Levels!B:B,A137)</f>
        <v>7.75</v>
      </c>
    </row>
    <row r="138" spans="1:6" x14ac:dyDescent="0.3">
      <c r="A138" t="s">
        <v>677</v>
      </c>
      <c r="B138" s="6">
        <f>COUNTIF(Levels!B:B,A138)</f>
        <v>1</v>
      </c>
      <c r="C138" s="6">
        <f>IFERROR(AVERAGEIF(Levels!B:B,A138,Levels!E:E),0)</f>
        <v>19.03</v>
      </c>
      <c r="D138" s="6">
        <f>IFERROR(AVERAGEIF(Levels!B:B,A138,Levels!F:F),0)</f>
        <v>5.73</v>
      </c>
      <c r="E138" s="6">
        <f>_xlfn.MAXIFS(Levels!E:E,Levels!B:B,A138)</f>
        <v>19.03</v>
      </c>
      <c r="F138" s="6">
        <f>_xlfn.MAXIFS(Levels!F:F,Levels!B:B,A138)</f>
        <v>5.73</v>
      </c>
    </row>
    <row r="139" spans="1:6" x14ac:dyDescent="0.3">
      <c r="A139" t="s">
        <v>683</v>
      </c>
      <c r="B139" s="9">
        <f>COUNTIF(Levels!B:B,A139)</f>
        <v>8</v>
      </c>
      <c r="C139" s="9">
        <f>IFERROR(AVERAGEIF(Levels!B:B,A139,Levels!E:E),0)</f>
        <v>13.891250000000001</v>
      </c>
      <c r="D139" s="9">
        <f>IFERROR(AVERAGEIF(Levels!B:B,A139,Levels!F:F),0)</f>
        <v>5.42</v>
      </c>
      <c r="E139" s="9">
        <f>_xlfn.MAXIFS(Levels!E:E,Levels!B:B,A139)</f>
        <v>25.33</v>
      </c>
      <c r="F139" s="9">
        <f>_xlfn.MAXIFS(Levels!F:F,Levels!B:B,A139)</f>
        <v>6.27</v>
      </c>
    </row>
    <row r="140" spans="1:6" x14ac:dyDescent="0.3">
      <c r="A140" t="s">
        <v>685</v>
      </c>
      <c r="B140" s="6">
        <f>COUNTIF(Levels!B:B,A140)</f>
        <v>1</v>
      </c>
      <c r="C140" s="6">
        <f>IFERROR(AVERAGEIF(Levels!B:B,A140,Levels!E:E),0)</f>
        <v>8.69</v>
      </c>
      <c r="D140" s="6">
        <f>IFERROR(AVERAGEIF(Levels!B:B,A140,Levels!F:F),0)</f>
        <v>5.17</v>
      </c>
      <c r="E140" s="6">
        <f>_xlfn.MAXIFS(Levels!E:E,Levels!B:B,A140)</f>
        <v>8.69</v>
      </c>
      <c r="F140" s="6">
        <f>_xlfn.MAXIFS(Levels!F:F,Levels!B:B,A140)</f>
        <v>5.17</v>
      </c>
    </row>
    <row r="141" spans="1:6" x14ac:dyDescent="0.3">
      <c r="A141" t="s">
        <v>687</v>
      </c>
      <c r="B141" s="9">
        <f>COUNTIF(Levels!B:B,A141)</f>
        <v>1</v>
      </c>
      <c r="C141" s="9">
        <f>IFERROR(AVERAGEIF(Levels!B:B,A141,Levels!E:E),0)</f>
        <v>3.97</v>
      </c>
      <c r="D141" s="9">
        <f>IFERROR(AVERAGEIF(Levels!B:B,A141,Levels!F:F),0)</f>
        <v>5</v>
      </c>
      <c r="E141" s="9">
        <f>_xlfn.MAXIFS(Levels!E:E,Levels!B:B,A141)</f>
        <v>3.97</v>
      </c>
      <c r="F141" s="9">
        <f>_xlfn.MAXIFS(Levels!F:F,Levels!B:B,A141)</f>
        <v>5</v>
      </c>
    </row>
    <row r="142" spans="1:6" x14ac:dyDescent="0.3">
      <c r="A142" t="s">
        <v>689</v>
      </c>
      <c r="B142" s="6">
        <f>COUNTIF(Levels!B:B,A142)</f>
        <v>1</v>
      </c>
      <c r="C142" s="6">
        <f>IFERROR(AVERAGEIF(Levels!B:B,A142,Levels!E:E),0)</f>
        <v>4.08</v>
      </c>
      <c r="D142" s="6">
        <f>IFERROR(AVERAGEIF(Levels!B:B,A142,Levels!F:F),0)</f>
        <v>4.74</v>
      </c>
      <c r="E142" s="6">
        <f>_xlfn.MAXIFS(Levels!E:E,Levels!B:B,A142)</f>
        <v>4.08</v>
      </c>
      <c r="F142" s="6">
        <f>_xlfn.MAXIFS(Levels!F:F,Levels!B:B,A142)</f>
        <v>4.74</v>
      </c>
    </row>
    <row r="143" spans="1:6" x14ac:dyDescent="0.3">
      <c r="A143" t="s">
        <v>697</v>
      </c>
      <c r="B143" s="9">
        <f>COUNTIF(Levels!B:B,A143)</f>
        <v>1</v>
      </c>
      <c r="C143" s="9">
        <f>IFERROR(AVERAGEIF(Levels!B:B,A143,Levels!E:E),0)</f>
        <v>13.42</v>
      </c>
      <c r="D143" s="9">
        <f>IFERROR(AVERAGEIF(Levels!B:B,A143,Levels!F:F),0)</f>
        <v>5.89</v>
      </c>
      <c r="E143" s="9">
        <f>_xlfn.MAXIFS(Levels!E:E,Levels!B:B,A143)</f>
        <v>13.42</v>
      </c>
      <c r="F143" s="9">
        <f>_xlfn.MAXIFS(Levels!F:F,Levels!B:B,A143)</f>
        <v>5.89</v>
      </c>
    </row>
    <row r="144" spans="1:6" x14ac:dyDescent="0.3">
      <c r="A144" t="s">
        <v>700</v>
      </c>
      <c r="B144" s="6">
        <f>COUNTIF(Levels!B:B,A144)</f>
        <v>1</v>
      </c>
      <c r="C144" s="6">
        <f>IFERROR(AVERAGEIF(Levels!B:B,A144,Levels!E:E),0)</f>
        <v>4.24</v>
      </c>
      <c r="D144" s="6">
        <f>IFERROR(AVERAGEIF(Levels!B:B,A144,Levels!F:F),0)</f>
        <v>5.43</v>
      </c>
      <c r="E144" s="6">
        <f>_xlfn.MAXIFS(Levels!E:E,Levels!B:B,A144)</f>
        <v>4.24</v>
      </c>
      <c r="F144" s="6">
        <f>_xlfn.MAXIFS(Levels!F:F,Levels!B:B,A144)</f>
        <v>5.43</v>
      </c>
    </row>
    <row r="145" spans="1:6" x14ac:dyDescent="0.3">
      <c r="A145" t="s">
        <v>702</v>
      </c>
      <c r="B145" s="9">
        <f>COUNTIF(Levels!B:B,A145)</f>
        <v>1</v>
      </c>
      <c r="C145" s="9">
        <f>IFERROR(AVERAGEIF(Levels!B:B,A145,Levels!E:E),0)</f>
        <v>13.08</v>
      </c>
      <c r="D145" s="9">
        <f>IFERROR(AVERAGEIF(Levels!B:B,A145,Levels!F:F),0)</f>
        <v>5.58</v>
      </c>
      <c r="E145" s="9">
        <f>_xlfn.MAXIFS(Levels!E:E,Levels!B:B,A145)</f>
        <v>13.08</v>
      </c>
      <c r="F145" s="9">
        <f>_xlfn.MAXIFS(Levels!F:F,Levels!B:B,A145)</f>
        <v>5.58</v>
      </c>
    </row>
    <row r="146" spans="1:6" x14ac:dyDescent="0.3">
      <c r="A146" t="s">
        <v>706</v>
      </c>
      <c r="B146" s="6">
        <f>COUNTIF(Levels!B:B,A146)</f>
        <v>1</v>
      </c>
      <c r="C146" s="6">
        <f>IFERROR(AVERAGEIF(Levels!B:B,A146,Levels!E:E),0)</f>
        <v>1.86</v>
      </c>
      <c r="D146" s="6">
        <f>IFERROR(AVERAGEIF(Levels!B:B,A146,Levels!F:F),0)</f>
        <v>6.64</v>
      </c>
      <c r="E146" s="6">
        <f>_xlfn.MAXIFS(Levels!E:E,Levels!B:B,A146)</f>
        <v>1.86</v>
      </c>
      <c r="F146" s="6">
        <f>_xlfn.MAXIFS(Levels!F:F,Levels!B:B,A146)</f>
        <v>6.64</v>
      </c>
    </row>
    <row r="147" spans="1:6" x14ac:dyDescent="0.3">
      <c r="A147" t="s">
        <v>709</v>
      </c>
      <c r="B147" s="9">
        <f>COUNTIF(Levels!B:B,A147)</f>
        <v>5</v>
      </c>
      <c r="C147" s="9">
        <f>IFERROR(AVERAGEIF(Levels!B:B,A147,Levels!E:E),0)</f>
        <v>8.4459999999999997</v>
      </c>
      <c r="D147" s="9">
        <f>IFERROR(AVERAGEIF(Levels!B:B,A147,Levels!F:F),0)</f>
        <v>6.1480000000000006</v>
      </c>
      <c r="E147" s="9">
        <f>_xlfn.MAXIFS(Levels!E:E,Levels!B:B,A147)</f>
        <v>10.199999999999999</v>
      </c>
      <c r="F147" s="9">
        <f>_xlfn.MAXIFS(Levels!F:F,Levels!B:B,A147)</f>
        <v>7.5</v>
      </c>
    </row>
    <row r="148" spans="1:6" x14ac:dyDescent="0.3">
      <c r="A148" t="s">
        <v>712</v>
      </c>
      <c r="B148" s="6">
        <f>COUNTIF(Levels!B:B,A148)</f>
        <v>16</v>
      </c>
      <c r="C148" s="6">
        <f>IFERROR(AVERAGEIF(Levels!B:B,A148,Levels!E:E),0)</f>
        <v>13.376249999999999</v>
      </c>
      <c r="D148" s="6">
        <f>IFERROR(AVERAGEIF(Levels!B:B,A148,Levels!F:F),0)</f>
        <v>6.2725000000000009</v>
      </c>
      <c r="E148" s="6">
        <f>_xlfn.MAXIFS(Levels!E:E,Levels!B:B,A148)</f>
        <v>28</v>
      </c>
      <c r="F148" s="6">
        <f>_xlfn.MAXIFS(Levels!F:F,Levels!B:B,A148)</f>
        <v>8.5</v>
      </c>
    </row>
    <row r="149" spans="1:6" x14ac:dyDescent="0.3">
      <c r="A149" t="s">
        <v>722</v>
      </c>
      <c r="B149" s="9">
        <f>COUNTIF(Levels!B:B,A149)</f>
        <v>2</v>
      </c>
      <c r="C149" s="9">
        <f>IFERROR(AVERAGEIF(Levels!B:B,A149,Levels!E:E),0)</f>
        <v>1.9249999999999998</v>
      </c>
      <c r="D149" s="9">
        <f>IFERROR(AVERAGEIF(Levels!B:B,A149,Levels!F:F),0)</f>
        <v>5.95</v>
      </c>
      <c r="E149" s="9">
        <f>_xlfn.MAXIFS(Levels!E:E,Levels!B:B,A149)</f>
        <v>2.0499999999999998</v>
      </c>
      <c r="F149" s="9">
        <f>_xlfn.MAXIFS(Levels!F:F,Levels!B:B,A149)</f>
        <v>6.12</v>
      </c>
    </row>
    <row r="150" spans="1:6" x14ac:dyDescent="0.3">
      <c r="A150" t="s">
        <v>726</v>
      </c>
      <c r="B150" s="6">
        <f>COUNTIF(Levels!B:B,A150)</f>
        <v>1</v>
      </c>
      <c r="C150" s="6">
        <f>IFERROR(AVERAGEIF(Levels!B:B,A150,Levels!E:E),0)</f>
        <v>11.65</v>
      </c>
      <c r="D150" s="6">
        <f>IFERROR(AVERAGEIF(Levels!B:B,A150,Levels!F:F),0)</f>
        <v>4.38</v>
      </c>
      <c r="E150" s="6">
        <f>_xlfn.MAXIFS(Levels!E:E,Levels!B:B,A150)</f>
        <v>11.65</v>
      </c>
      <c r="F150" s="6">
        <f>_xlfn.MAXIFS(Levels!F:F,Levels!B:B,A150)</f>
        <v>4.38</v>
      </c>
    </row>
    <row r="151" spans="1:6" x14ac:dyDescent="0.3">
      <c r="A151" t="s">
        <v>733</v>
      </c>
      <c r="B151" s="9">
        <f>COUNTIF(Levels!B:B,A151)</f>
        <v>2</v>
      </c>
      <c r="C151" s="9">
        <f>IFERROR(AVERAGEIF(Levels!B:B,A151,Levels!E:E),0)</f>
        <v>7.2949999999999999</v>
      </c>
      <c r="D151" s="9">
        <f>IFERROR(AVERAGEIF(Levels!B:B,A151,Levels!F:F),0)</f>
        <v>6.8149999999999995</v>
      </c>
      <c r="E151" s="9">
        <f>_xlfn.MAXIFS(Levels!E:E,Levels!B:B,A151)</f>
        <v>8.0299999999999994</v>
      </c>
      <c r="F151" s="9">
        <f>_xlfn.MAXIFS(Levels!F:F,Levels!B:B,A151)</f>
        <v>7.46</v>
      </c>
    </row>
    <row r="152" spans="1:6" x14ac:dyDescent="0.3">
      <c r="A152" t="s">
        <v>743</v>
      </c>
      <c r="B152" s="6">
        <f>COUNTIF(Levels!B:B,A152)</f>
        <v>1</v>
      </c>
      <c r="C152" s="6">
        <f>IFERROR(AVERAGEIF(Levels!B:B,A152,Levels!E:E),0)</f>
        <v>4.54</v>
      </c>
      <c r="D152" s="6">
        <f>IFERROR(AVERAGEIF(Levels!B:B,A152,Levels!F:F),0)</f>
        <v>5.91</v>
      </c>
      <c r="E152" s="6">
        <f>_xlfn.MAXIFS(Levels!E:E,Levels!B:B,A152)</f>
        <v>4.54</v>
      </c>
      <c r="F152" s="6">
        <f>_xlfn.MAXIFS(Levels!F:F,Levels!B:B,A152)</f>
        <v>5.91</v>
      </c>
    </row>
    <row r="153" spans="1:6" x14ac:dyDescent="0.3">
      <c r="A153" t="s">
        <v>752</v>
      </c>
      <c r="B153" s="9">
        <f>COUNTIF(Levels!B:B,A153)</f>
        <v>4</v>
      </c>
      <c r="C153" s="9">
        <f>IFERROR(AVERAGEIF(Levels!B:B,A153,Levels!E:E),0)</f>
        <v>16.39</v>
      </c>
      <c r="D153" s="9">
        <f>IFERROR(AVERAGEIF(Levels!B:B,A153,Levels!F:F),0)</f>
        <v>5.3250000000000002</v>
      </c>
      <c r="E153" s="9">
        <f>_xlfn.MAXIFS(Levels!E:E,Levels!B:B,A153)</f>
        <v>24</v>
      </c>
      <c r="F153" s="9">
        <f>_xlfn.MAXIFS(Levels!F:F,Levels!B:B,A153)</f>
        <v>6.29</v>
      </c>
    </row>
    <row r="154" spans="1:6" x14ac:dyDescent="0.3">
      <c r="A154" t="s">
        <v>761</v>
      </c>
      <c r="B154" s="6">
        <f>COUNTIF(Levels!B:B,A154)</f>
        <v>17</v>
      </c>
      <c r="C154" s="6">
        <f>IFERROR(AVERAGEIF(Levels!B:B,A154,Levels!E:E),0)</f>
        <v>15.485882352941175</v>
      </c>
      <c r="D154" s="6">
        <f>IFERROR(AVERAGEIF(Levels!B:B,A154,Levels!F:F),0)</f>
        <v>7.0811764705882352</v>
      </c>
      <c r="E154" s="6">
        <f>_xlfn.MAXIFS(Levels!E:E,Levels!B:B,A154)</f>
        <v>22.5</v>
      </c>
      <c r="F154" s="6">
        <f>_xlfn.MAXIFS(Levels!F:F,Levels!B:B,A154)</f>
        <v>8.2899999999999991</v>
      </c>
    </row>
    <row r="155" spans="1:6" x14ac:dyDescent="0.3">
      <c r="A155" t="s">
        <v>764</v>
      </c>
      <c r="B155" s="9">
        <f>COUNTIF(Levels!B:B,A155)</f>
        <v>1</v>
      </c>
      <c r="C155" s="9">
        <f>IFERROR(AVERAGEIF(Levels!B:B,A155,Levels!E:E),0)</f>
        <v>1.97</v>
      </c>
      <c r="D155" s="9">
        <f>IFERROR(AVERAGEIF(Levels!B:B,A155,Levels!F:F),0)</f>
        <v>5.73</v>
      </c>
      <c r="E155" s="9">
        <f>_xlfn.MAXIFS(Levels!E:E,Levels!B:B,A155)</f>
        <v>1.97</v>
      </c>
      <c r="F155" s="9">
        <f>_xlfn.MAXIFS(Levels!F:F,Levels!B:B,A155)</f>
        <v>5.73</v>
      </c>
    </row>
    <row r="156" spans="1:6" x14ac:dyDescent="0.3">
      <c r="A156" t="s">
        <v>773</v>
      </c>
      <c r="B156" s="6">
        <f>COUNTIF(Levels!B:B,A156)</f>
        <v>5</v>
      </c>
      <c r="C156" s="6">
        <f>IFERROR(AVERAGEIF(Levels!B:B,A156,Levels!E:E),0)</f>
        <v>9.2040000000000006</v>
      </c>
      <c r="D156" s="6">
        <f>IFERROR(AVERAGEIF(Levels!B:B,A156,Levels!F:F),0)</f>
        <v>6.3179999999999996</v>
      </c>
      <c r="E156" s="6">
        <f>_xlfn.MAXIFS(Levels!E:E,Levels!B:B,A156)</f>
        <v>16.09</v>
      </c>
      <c r="F156" s="6">
        <f>_xlfn.MAXIFS(Levels!F:F,Levels!B:B,A156)</f>
        <v>6.63</v>
      </c>
    </row>
    <row r="157" spans="1:6" x14ac:dyDescent="0.3">
      <c r="A157" t="s">
        <v>776</v>
      </c>
      <c r="B157" s="9">
        <f>COUNTIF(Levels!B:B,A157)</f>
        <v>1</v>
      </c>
      <c r="C157" s="9">
        <f>IFERROR(AVERAGEIF(Levels!B:B,A157,Levels!E:E),0)</f>
        <v>11.84</v>
      </c>
      <c r="D157" s="9">
        <f>IFERROR(AVERAGEIF(Levels!B:B,A157,Levels!F:F),0)</f>
        <v>5.92</v>
      </c>
      <c r="E157" s="9">
        <f>_xlfn.MAXIFS(Levels!E:E,Levels!B:B,A157)</f>
        <v>11.84</v>
      </c>
      <c r="F157" s="9">
        <f>_xlfn.MAXIFS(Levels!F:F,Levels!B:B,A157)</f>
        <v>5.92</v>
      </c>
    </row>
    <row r="158" spans="1:6" x14ac:dyDescent="0.3">
      <c r="A158" t="s">
        <v>784</v>
      </c>
      <c r="B158" s="6">
        <f>COUNTIF(Levels!B:B,A158)</f>
        <v>1</v>
      </c>
      <c r="C158" s="6">
        <f>IFERROR(AVERAGEIF(Levels!B:B,A158,Levels!E:E),0)</f>
        <v>1.79</v>
      </c>
      <c r="D158" s="6">
        <f>IFERROR(AVERAGEIF(Levels!B:B,A158,Levels!F:F),0)</f>
        <v>6.41</v>
      </c>
      <c r="E158" s="6">
        <f>_xlfn.MAXIFS(Levels!E:E,Levels!B:B,A158)</f>
        <v>1.79</v>
      </c>
      <c r="F158" s="6">
        <f>_xlfn.MAXIFS(Levels!F:F,Levels!B:B,A158)</f>
        <v>6.41</v>
      </c>
    </row>
    <row r="159" spans="1:6" x14ac:dyDescent="0.3">
      <c r="A159" t="s">
        <v>787</v>
      </c>
      <c r="B159" s="9">
        <f>COUNTIF(Levels!B:B,A159)</f>
        <v>1</v>
      </c>
      <c r="C159" s="9">
        <f>IFERROR(AVERAGEIF(Levels!B:B,A159,Levels!E:E),0)</f>
        <v>5.42</v>
      </c>
      <c r="D159" s="9">
        <f>IFERROR(AVERAGEIF(Levels!B:B,A159,Levels!F:F),0)</f>
        <v>6.2</v>
      </c>
      <c r="E159" s="9">
        <f>_xlfn.MAXIFS(Levels!E:E,Levels!B:B,A159)</f>
        <v>5.42</v>
      </c>
      <c r="F159" s="9">
        <f>_xlfn.MAXIFS(Levels!F:F,Levels!B:B,A159)</f>
        <v>6.2</v>
      </c>
    </row>
    <row r="160" spans="1:6" x14ac:dyDescent="0.3">
      <c r="A160" t="s">
        <v>790</v>
      </c>
      <c r="B160" s="6">
        <f>COUNTIF(Levels!B:B,A160)</f>
        <v>2</v>
      </c>
      <c r="C160" s="6">
        <f>IFERROR(AVERAGEIF(Levels!B:B,A160,Levels!E:E),0)</f>
        <v>10.07</v>
      </c>
      <c r="D160" s="6">
        <f>IFERROR(AVERAGEIF(Levels!B:B,A160,Levels!F:F),0)</f>
        <v>6.2750000000000004</v>
      </c>
      <c r="E160" s="6">
        <f>_xlfn.MAXIFS(Levels!E:E,Levels!B:B,A160)</f>
        <v>15.67</v>
      </c>
      <c r="F160" s="6">
        <f>_xlfn.MAXIFS(Levels!F:F,Levels!B:B,A160)</f>
        <v>6.88</v>
      </c>
    </row>
    <row r="161" spans="1:6" x14ac:dyDescent="0.3">
      <c r="A161" t="s">
        <v>794</v>
      </c>
      <c r="B161" s="9">
        <f>COUNTIF(Levels!B:B,A161)</f>
        <v>1</v>
      </c>
      <c r="C161" s="9">
        <f>IFERROR(AVERAGEIF(Levels!B:B,A161,Levels!E:E),0)</f>
        <v>35</v>
      </c>
      <c r="D161" s="9">
        <f>IFERROR(AVERAGEIF(Levels!B:B,A161,Levels!F:F),0)</f>
        <v>5.5</v>
      </c>
      <c r="E161" s="9">
        <f>_xlfn.MAXIFS(Levels!E:E,Levels!B:B,A161)</f>
        <v>35</v>
      </c>
      <c r="F161" s="9">
        <f>_xlfn.MAXIFS(Levels!F:F,Levels!B:B,A161)</f>
        <v>5.5</v>
      </c>
    </row>
    <row r="162" spans="1:6" x14ac:dyDescent="0.3">
      <c r="A162" t="s">
        <v>796</v>
      </c>
      <c r="B162" s="6">
        <f>COUNTIF(Levels!B:B,A162)</f>
        <v>14</v>
      </c>
      <c r="C162" s="6">
        <f>IFERROR(AVERAGEIF(Levels!B:B,A162,Levels!E:E),0)</f>
        <v>15.037142857142857</v>
      </c>
      <c r="D162" s="6">
        <f>IFERROR(AVERAGEIF(Levels!B:B,A162,Levels!F:F),0)</f>
        <v>6.8185714285714285</v>
      </c>
      <c r="E162" s="6">
        <f>_xlfn.MAXIFS(Levels!E:E,Levels!B:B,A162)</f>
        <v>18.940000000000001</v>
      </c>
      <c r="F162" s="6">
        <f>_xlfn.MAXIFS(Levels!F:F,Levels!B:B,A162)</f>
        <v>8.56</v>
      </c>
    </row>
    <row r="163" spans="1:6" x14ac:dyDescent="0.3">
      <c r="A163" t="s">
        <v>801</v>
      </c>
      <c r="B163" s="9">
        <f>COUNTIF(Levels!B:B,A163)</f>
        <v>2</v>
      </c>
      <c r="C163" s="9">
        <f>IFERROR(AVERAGEIF(Levels!B:B,A163,Levels!E:E),0)</f>
        <v>4.2650000000000006</v>
      </c>
      <c r="D163" s="9">
        <f>IFERROR(AVERAGEIF(Levels!B:B,A163,Levels!F:F),0)</f>
        <v>6.4</v>
      </c>
      <c r="E163" s="9">
        <f>_xlfn.MAXIFS(Levels!E:E,Levels!B:B,A163)</f>
        <v>5.37</v>
      </c>
      <c r="F163" s="9">
        <f>_xlfn.MAXIFS(Levels!F:F,Levels!B:B,A163)</f>
        <v>6.5</v>
      </c>
    </row>
    <row r="164" spans="1:6" x14ac:dyDescent="0.3">
      <c r="A164" t="s">
        <v>803</v>
      </c>
      <c r="B164" s="6">
        <f>COUNTIF(Levels!B:B,A164)</f>
        <v>5</v>
      </c>
      <c r="C164" s="6">
        <f>IFERROR(AVERAGEIF(Levels!B:B,A164,Levels!E:E),0)</f>
        <v>9.2940000000000005</v>
      </c>
      <c r="D164" s="6">
        <f>IFERROR(AVERAGEIF(Levels!B:B,A164,Levels!F:F),0)</f>
        <v>6.2180000000000009</v>
      </c>
      <c r="E164" s="6">
        <f>_xlfn.MAXIFS(Levels!E:E,Levels!B:B,A164)</f>
        <v>13.63</v>
      </c>
      <c r="F164" s="6">
        <f>_xlfn.MAXIFS(Levels!F:F,Levels!B:B,A164)</f>
        <v>7.9</v>
      </c>
    </row>
    <row r="165" spans="1:6" x14ac:dyDescent="0.3">
      <c r="A165" t="s">
        <v>808</v>
      </c>
      <c r="B165" s="9">
        <f>COUNTIF(Levels!B:B,A165)</f>
        <v>5</v>
      </c>
      <c r="C165" s="9">
        <f>IFERROR(AVERAGEIF(Levels!B:B,A165,Levels!E:E),0)</f>
        <v>16.905999999999999</v>
      </c>
      <c r="D165" s="9">
        <f>IFERROR(AVERAGEIF(Levels!B:B,A165,Levels!F:F),0)</f>
        <v>5.3220000000000001</v>
      </c>
      <c r="E165" s="9">
        <f>_xlfn.MAXIFS(Levels!E:E,Levels!B:B,A165)</f>
        <v>24.5</v>
      </c>
      <c r="F165" s="9">
        <f>_xlfn.MAXIFS(Levels!F:F,Levels!B:B,A165)</f>
        <v>5.87</v>
      </c>
    </row>
    <row r="166" spans="1:6" x14ac:dyDescent="0.3">
      <c r="A166" t="s">
        <v>812</v>
      </c>
      <c r="B166" s="6">
        <f>COUNTIF(Levels!B:B,A166)</f>
        <v>1</v>
      </c>
      <c r="C166" s="6">
        <f>IFERROR(AVERAGEIF(Levels!B:B,A166,Levels!E:E),0)</f>
        <v>11.91</v>
      </c>
      <c r="D166" s="6">
        <f>IFERROR(AVERAGEIF(Levels!B:B,A166,Levels!F:F),0)</f>
        <v>5.2</v>
      </c>
      <c r="E166" s="6">
        <f>_xlfn.MAXIFS(Levels!E:E,Levels!B:B,A166)</f>
        <v>11.91</v>
      </c>
      <c r="F166" s="6">
        <f>_xlfn.MAXIFS(Levels!F:F,Levels!B:B,A166)</f>
        <v>5.2</v>
      </c>
    </row>
    <row r="167" spans="1:6" x14ac:dyDescent="0.3">
      <c r="A167" t="s">
        <v>815</v>
      </c>
      <c r="B167" s="9">
        <f>COUNTIF(Levels!B:B,A167)</f>
        <v>4</v>
      </c>
      <c r="C167" s="9">
        <f>IFERROR(AVERAGEIF(Levels!B:B,A167,Levels!E:E),0)</f>
        <v>5.1749999999999998</v>
      </c>
      <c r="D167" s="9">
        <f>IFERROR(AVERAGEIF(Levels!B:B,A167,Levels!F:F),0)</f>
        <v>5.4325000000000001</v>
      </c>
      <c r="E167" s="9">
        <f>_xlfn.MAXIFS(Levels!E:E,Levels!B:B,A167)</f>
        <v>7.6</v>
      </c>
      <c r="F167" s="9">
        <f>_xlfn.MAXIFS(Levels!F:F,Levels!B:B,A167)</f>
        <v>5.86</v>
      </c>
    </row>
    <row r="168" spans="1:6" x14ac:dyDescent="0.3">
      <c r="A168" t="s">
        <v>817</v>
      </c>
      <c r="B168" s="6">
        <f>COUNTIF(Levels!B:B,A168)</f>
        <v>2</v>
      </c>
      <c r="C168" s="6">
        <f>IFERROR(AVERAGEIF(Levels!B:B,A168,Levels!E:E),0)</f>
        <v>14.36</v>
      </c>
      <c r="D168" s="6">
        <f>IFERROR(AVERAGEIF(Levels!B:B,A168,Levels!F:F),0)</f>
        <v>5.77</v>
      </c>
      <c r="E168" s="6">
        <f>_xlfn.MAXIFS(Levels!E:E,Levels!B:B,A168)</f>
        <v>17.899999999999999</v>
      </c>
      <c r="F168" s="6">
        <f>_xlfn.MAXIFS(Levels!F:F,Levels!B:B,A168)</f>
        <v>6.56</v>
      </c>
    </row>
    <row r="169" spans="1:6" x14ac:dyDescent="0.3">
      <c r="A169" t="s">
        <v>822</v>
      </c>
      <c r="B169" s="9">
        <f>COUNTIF(Levels!B:B,A169)</f>
        <v>7</v>
      </c>
      <c r="C169" s="9">
        <f>IFERROR(AVERAGEIF(Levels!B:B,A169,Levels!E:E),0)</f>
        <v>11.508571428571429</v>
      </c>
      <c r="D169" s="9">
        <f>IFERROR(AVERAGEIF(Levels!B:B,A169,Levels!F:F),0)</f>
        <v>6.9171428571428564</v>
      </c>
      <c r="E169" s="9">
        <f>_xlfn.MAXIFS(Levels!E:E,Levels!B:B,A169)</f>
        <v>16.27</v>
      </c>
      <c r="F169" s="9">
        <f>_xlfn.MAXIFS(Levels!F:F,Levels!B:B,A169)</f>
        <v>7.87</v>
      </c>
    </row>
    <row r="170" spans="1:6" x14ac:dyDescent="0.3">
      <c r="A170" t="s">
        <v>826</v>
      </c>
      <c r="B170" s="6">
        <f>COUNTIF(Levels!B:B,A170)</f>
        <v>9</v>
      </c>
      <c r="C170" s="6">
        <f>IFERROR(AVERAGEIF(Levels!B:B,A170,Levels!E:E),0)</f>
        <v>15.721111111111112</v>
      </c>
      <c r="D170" s="6">
        <f>IFERROR(AVERAGEIF(Levels!B:B,A170,Levels!F:F),0)</f>
        <v>5.315555555555556</v>
      </c>
      <c r="E170" s="6">
        <f>_xlfn.MAXIFS(Levels!E:E,Levels!B:B,A170)</f>
        <v>17.66</v>
      </c>
      <c r="F170" s="6">
        <f>_xlfn.MAXIFS(Levels!F:F,Levels!B:B,A170)</f>
        <v>6.5</v>
      </c>
    </row>
    <row r="171" spans="1:6" x14ac:dyDescent="0.3">
      <c r="A171" t="s">
        <v>834</v>
      </c>
      <c r="B171" s="9">
        <f>COUNTIF(Levels!B:B,A171)</f>
        <v>2</v>
      </c>
      <c r="C171" s="9">
        <f>IFERROR(AVERAGEIF(Levels!B:B,A171,Levels!E:E),0)</f>
        <v>10.335000000000001</v>
      </c>
      <c r="D171" s="9">
        <f>IFERROR(AVERAGEIF(Levels!B:B,A171,Levels!F:F),0)</f>
        <v>5.48</v>
      </c>
      <c r="E171" s="9">
        <f>_xlfn.MAXIFS(Levels!E:E,Levels!B:B,A171)</f>
        <v>14.99</v>
      </c>
      <c r="F171" s="9">
        <f>_xlfn.MAXIFS(Levels!F:F,Levels!B:B,A171)</f>
        <v>6.38</v>
      </c>
    </row>
    <row r="172" spans="1:6" x14ac:dyDescent="0.3">
      <c r="A172" t="s">
        <v>840</v>
      </c>
      <c r="B172" s="6">
        <f>COUNTIF(Levels!B:B,A172)</f>
        <v>12</v>
      </c>
      <c r="C172" s="6">
        <f>IFERROR(AVERAGEIF(Levels!B:B,A172,Levels!E:E),0)</f>
        <v>8.0708333333333346</v>
      </c>
      <c r="D172" s="6">
        <f>IFERROR(AVERAGEIF(Levels!B:B,A172,Levels!F:F),0)</f>
        <v>5.6708333333333334</v>
      </c>
      <c r="E172" s="6">
        <f>_xlfn.MAXIFS(Levels!E:E,Levels!B:B,A172)</f>
        <v>13.79</v>
      </c>
      <c r="F172" s="6">
        <f>_xlfn.MAXIFS(Levels!F:F,Levels!B:B,A172)</f>
        <v>6.44</v>
      </c>
    </row>
    <row r="173" spans="1:6" x14ac:dyDescent="0.3">
      <c r="A173" t="s">
        <v>842</v>
      </c>
      <c r="B173" s="9">
        <f>COUNTIF(Levels!B:B,A173)</f>
        <v>1</v>
      </c>
      <c r="C173" s="9">
        <f>IFERROR(AVERAGEIF(Levels!B:B,A173,Levels!E:E),0)</f>
        <v>11.52</v>
      </c>
      <c r="D173" s="9">
        <f>IFERROR(AVERAGEIF(Levels!B:B,A173,Levels!F:F),0)</f>
        <v>6.71</v>
      </c>
      <c r="E173" s="9">
        <f>_xlfn.MAXIFS(Levels!E:E,Levels!B:B,A173)</f>
        <v>11.52</v>
      </c>
      <c r="F173" s="9">
        <f>_xlfn.MAXIFS(Levels!F:F,Levels!B:B,A173)</f>
        <v>6.71</v>
      </c>
    </row>
    <row r="174" spans="1:6" x14ac:dyDescent="0.3">
      <c r="A174" t="s">
        <v>849</v>
      </c>
      <c r="B174" s="6">
        <f>COUNTIF(Levels!B:B,A174)</f>
        <v>5</v>
      </c>
      <c r="C174" s="6">
        <f>IFERROR(AVERAGEIF(Levels!B:B,A174,Levels!E:E),0)</f>
        <v>4.8740000000000006</v>
      </c>
      <c r="D174" s="6">
        <f>IFERROR(AVERAGEIF(Levels!B:B,A174,Levels!F:F),0)</f>
        <v>5.6520000000000001</v>
      </c>
      <c r="E174" s="6">
        <f>_xlfn.MAXIFS(Levels!E:E,Levels!B:B,A174)</f>
        <v>6.8</v>
      </c>
      <c r="F174" s="6">
        <f>_xlfn.MAXIFS(Levels!F:F,Levels!B:B,A174)</f>
        <v>6.51</v>
      </c>
    </row>
    <row r="175" spans="1:6" x14ac:dyDescent="0.3">
      <c r="A175" t="s">
        <v>851</v>
      </c>
      <c r="B175" s="9">
        <f>COUNTIF(Levels!B:B,A175)</f>
        <v>1</v>
      </c>
      <c r="C175" s="9">
        <f>IFERROR(AVERAGEIF(Levels!B:B,A175,Levels!E:E),0)</f>
        <v>4.9000000000000004</v>
      </c>
      <c r="D175" s="9">
        <f>IFERROR(AVERAGEIF(Levels!B:B,A175,Levels!F:F),0)</f>
        <v>4.88</v>
      </c>
      <c r="E175" s="9">
        <f>_xlfn.MAXIFS(Levels!E:E,Levels!B:B,A175)</f>
        <v>4.9000000000000004</v>
      </c>
      <c r="F175" s="9">
        <f>_xlfn.MAXIFS(Levels!F:F,Levels!B:B,A175)</f>
        <v>4.88</v>
      </c>
    </row>
    <row r="176" spans="1:6" x14ac:dyDescent="0.3">
      <c r="A176" t="s">
        <v>854</v>
      </c>
      <c r="B176" s="6">
        <f>COUNTIF(Levels!B:B,A176)</f>
        <v>3</v>
      </c>
      <c r="C176" s="6">
        <f>IFERROR(AVERAGEIF(Levels!B:B,A176,Levels!E:E),0)</f>
        <v>3.6966666666666668</v>
      </c>
      <c r="D176" s="6">
        <f>IFERROR(AVERAGEIF(Levels!B:B,A176,Levels!F:F),0)</f>
        <v>6.13</v>
      </c>
      <c r="E176" s="6">
        <f>_xlfn.MAXIFS(Levels!E:E,Levels!B:B,A176)</f>
        <v>5.94</v>
      </c>
      <c r="F176" s="6">
        <f>_xlfn.MAXIFS(Levels!F:F,Levels!B:B,A176)</f>
        <v>6.91</v>
      </c>
    </row>
    <row r="177" spans="1:6" x14ac:dyDescent="0.3">
      <c r="A177" t="s">
        <v>862</v>
      </c>
      <c r="B177" s="9">
        <f>COUNTIF(Levels!B:B,A177)</f>
        <v>1</v>
      </c>
      <c r="C177" s="9">
        <f>IFERROR(AVERAGEIF(Levels!B:B,A177,Levels!E:E),0)</f>
        <v>10.73</v>
      </c>
      <c r="D177" s="9">
        <f>IFERROR(AVERAGEIF(Levels!B:B,A177,Levels!F:F),0)</f>
        <v>7.11</v>
      </c>
      <c r="E177" s="9">
        <f>_xlfn.MAXIFS(Levels!E:E,Levels!B:B,A177)</f>
        <v>10.73</v>
      </c>
      <c r="F177" s="9">
        <f>_xlfn.MAXIFS(Levels!F:F,Levels!B:B,A177)</f>
        <v>7.11</v>
      </c>
    </row>
    <row r="178" spans="1:6" x14ac:dyDescent="0.3">
      <c r="A178" t="s">
        <v>866</v>
      </c>
      <c r="B178" s="6">
        <f>COUNTIF(Levels!B:B,A178)</f>
        <v>3</v>
      </c>
      <c r="C178" s="6">
        <f>IFERROR(AVERAGEIF(Levels!B:B,A178,Levels!E:E),0)</f>
        <v>10.82</v>
      </c>
      <c r="D178" s="6">
        <f>IFERROR(AVERAGEIF(Levels!B:B,A178,Levels!F:F),0)</f>
        <v>5.4600000000000009</v>
      </c>
      <c r="E178" s="6">
        <f>_xlfn.MAXIFS(Levels!E:E,Levels!B:B,A178)</f>
        <v>13.14</v>
      </c>
      <c r="F178" s="6">
        <f>_xlfn.MAXIFS(Levels!F:F,Levels!B:B,A178)</f>
        <v>6.9</v>
      </c>
    </row>
    <row r="179" spans="1:6" x14ac:dyDescent="0.3">
      <c r="A179" t="s">
        <v>873</v>
      </c>
      <c r="B179" s="9">
        <f>COUNTIF(Levels!B:B,A179)</f>
        <v>4</v>
      </c>
      <c r="C179" s="9">
        <f>IFERROR(AVERAGEIF(Levels!B:B,A179,Levels!E:E),0)</f>
        <v>11.07</v>
      </c>
      <c r="D179" s="9">
        <f>IFERROR(AVERAGEIF(Levels!B:B,A179,Levels!F:F),0)</f>
        <v>5.5950000000000006</v>
      </c>
      <c r="E179" s="9">
        <f>_xlfn.MAXIFS(Levels!E:E,Levels!B:B,A179)</f>
        <v>17.850000000000001</v>
      </c>
      <c r="F179" s="9">
        <f>_xlfn.MAXIFS(Levels!F:F,Levels!B:B,A179)</f>
        <v>6.42</v>
      </c>
    </row>
    <row r="180" spans="1:6" x14ac:dyDescent="0.3">
      <c r="A180" t="s">
        <v>876</v>
      </c>
      <c r="B180" s="6">
        <f>COUNTIF(Levels!B:B,A180)</f>
        <v>1</v>
      </c>
      <c r="C180" s="6">
        <f>IFERROR(AVERAGEIF(Levels!B:B,A180,Levels!E:E),0)</f>
        <v>14.12</v>
      </c>
      <c r="D180" s="6">
        <f>IFERROR(AVERAGEIF(Levels!B:B,A180,Levels!F:F),0)</f>
        <v>6.4</v>
      </c>
      <c r="E180" s="6">
        <f>_xlfn.MAXIFS(Levels!E:E,Levels!B:B,A180)</f>
        <v>14.12</v>
      </c>
      <c r="F180" s="6">
        <f>_xlfn.MAXIFS(Levels!F:F,Levels!B:B,A180)</f>
        <v>6.4</v>
      </c>
    </row>
    <row r="181" spans="1:6" x14ac:dyDescent="0.3">
      <c r="A181" t="s">
        <v>887</v>
      </c>
      <c r="B181" s="9">
        <f>COUNTIF(Levels!B:B,A181)</f>
        <v>2</v>
      </c>
      <c r="C181" s="9">
        <f>IFERROR(AVERAGEIF(Levels!B:B,A181,Levels!E:E),0)</f>
        <v>7.7549999999999999</v>
      </c>
      <c r="D181" s="9">
        <f>IFERROR(AVERAGEIF(Levels!B:B,A181,Levels!F:F),0)</f>
        <v>6.73</v>
      </c>
      <c r="E181" s="9">
        <f>_xlfn.MAXIFS(Levels!E:E,Levels!B:B,A181)</f>
        <v>8.34</v>
      </c>
      <c r="F181" s="9">
        <f>_xlfn.MAXIFS(Levels!F:F,Levels!B:B,A181)</f>
        <v>6.75</v>
      </c>
    </row>
    <row r="182" spans="1:6" x14ac:dyDescent="0.3">
      <c r="A182" t="s">
        <v>889</v>
      </c>
      <c r="B182" s="6">
        <f>COUNTIF(Levels!B:B,A182)</f>
        <v>1</v>
      </c>
      <c r="C182" s="6">
        <f>IFERROR(AVERAGEIF(Levels!B:B,A182,Levels!E:E),0)</f>
        <v>7.56</v>
      </c>
      <c r="D182" s="6">
        <f>IFERROR(AVERAGEIF(Levels!B:B,A182,Levels!F:F),0)</f>
        <v>4.88</v>
      </c>
      <c r="E182" s="6">
        <f>_xlfn.MAXIFS(Levels!E:E,Levels!B:B,A182)</f>
        <v>7.56</v>
      </c>
      <c r="F182" s="6">
        <f>_xlfn.MAXIFS(Levels!F:F,Levels!B:B,A182)</f>
        <v>4.88</v>
      </c>
    </row>
    <row r="183" spans="1:6" x14ac:dyDescent="0.3">
      <c r="A183" t="s">
        <v>895</v>
      </c>
      <c r="B183" s="9">
        <f>COUNTIF(Levels!B:B,A183)</f>
        <v>3</v>
      </c>
      <c r="C183" s="9">
        <f>IFERROR(AVERAGEIF(Levels!B:B,A183,Levels!E:E),0)</f>
        <v>13.196666666666667</v>
      </c>
      <c r="D183" s="9">
        <f>IFERROR(AVERAGEIF(Levels!B:B,A183,Levels!F:F),0)</f>
        <v>5.1000000000000005</v>
      </c>
      <c r="E183" s="9">
        <f>_xlfn.MAXIFS(Levels!E:E,Levels!B:B,A183)</f>
        <v>17.46</v>
      </c>
      <c r="F183" s="9">
        <f>_xlfn.MAXIFS(Levels!F:F,Levels!B:B,A183)</f>
        <v>6.54</v>
      </c>
    </row>
    <row r="184" spans="1:6" x14ac:dyDescent="0.3">
      <c r="A184" t="s">
        <v>900</v>
      </c>
      <c r="B184" s="6">
        <f>COUNTIF(Levels!B:B,A184)</f>
        <v>18</v>
      </c>
      <c r="C184" s="6">
        <f>IFERROR(AVERAGEIF(Levels!B:B,A184,Levels!E:E),0)</f>
        <v>13.916666666666668</v>
      </c>
      <c r="D184" s="6">
        <f>IFERROR(AVERAGEIF(Levels!B:B,A184,Levels!F:F),0)</f>
        <v>6.4716666666666667</v>
      </c>
      <c r="E184" s="6">
        <f>_xlfn.MAXIFS(Levels!E:E,Levels!B:B,A184)</f>
        <v>29</v>
      </c>
      <c r="F184" s="6">
        <f>_xlfn.MAXIFS(Levels!F:F,Levels!B:B,A184)</f>
        <v>8.8000000000000007</v>
      </c>
    </row>
    <row r="185" spans="1:6" x14ac:dyDescent="0.3">
      <c r="A185" t="s">
        <v>906</v>
      </c>
      <c r="B185" s="9">
        <f>COUNTIF(Levels!B:B,A185)</f>
        <v>3</v>
      </c>
      <c r="C185" s="9">
        <f>IFERROR(AVERAGEIF(Levels!B:B,A185,Levels!E:E),0)</f>
        <v>5.9733333333333336</v>
      </c>
      <c r="D185" s="9">
        <f>IFERROR(AVERAGEIF(Levels!B:B,A185,Levels!F:F),0)</f>
        <v>6.1566666666666663</v>
      </c>
      <c r="E185" s="9">
        <f>_xlfn.MAXIFS(Levels!E:E,Levels!B:B,A185)</f>
        <v>9.8699999999999992</v>
      </c>
      <c r="F185" s="9">
        <f>_xlfn.MAXIFS(Levels!F:F,Levels!B:B,A185)</f>
        <v>6.53</v>
      </c>
    </row>
    <row r="186" spans="1:6" x14ac:dyDescent="0.3">
      <c r="A186" t="s">
        <v>909</v>
      </c>
      <c r="B186" s="6">
        <f>COUNTIF(Levels!B:B,A186)</f>
        <v>1</v>
      </c>
      <c r="C186" s="6">
        <f>IFERROR(AVERAGEIF(Levels!B:B,A186,Levels!E:E),0)</f>
        <v>8.35</v>
      </c>
      <c r="D186" s="6">
        <f>IFERROR(AVERAGEIF(Levels!B:B,A186,Levels!F:F),0)</f>
        <v>6.26</v>
      </c>
      <c r="E186" s="6">
        <f>_xlfn.MAXIFS(Levels!E:E,Levels!B:B,A186)</f>
        <v>8.35</v>
      </c>
      <c r="F186" s="6">
        <f>_xlfn.MAXIFS(Levels!F:F,Levels!B:B,A186)</f>
        <v>6.26</v>
      </c>
    </row>
    <row r="187" spans="1:6" x14ac:dyDescent="0.3">
      <c r="A187" t="s">
        <v>912</v>
      </c>
      <c r="B187" s="9">
        <f>COUNTIF(Levels!B:B,A187)</f>
        <v>1</v>
      </c>
      <c r="C187" s="9">
        <f>IFERROR(AVERAGEIF(Levels!B:B,A187,Levels!E:E),0)</f>
        <v>12</v>
      </c>
      <c r="D187" s="9">
        <f>IFERROR(AVERAGEIF(Levels!B:B,A187,Levels!F:F),0)</f>
        <v>2.67</v>
      </c>
      <c r="E187" s="9">
        <f>_xlfn.MAXIFS(Levels!E:E,Levels!B:B,A187)</f>
        <v>12</v>
      </c>
      <c r="F187" s="9">
        <f>_xlfn.MAXIFS(Levels!F:F,Levels!B:B,A187)</f>
        <v>2.67</v>
      </c>
    </row>
    <row r="188" spans="1:6" x14ac:dyDescent="0.3">
      <c r="A188" t="s">
        <v>922</v>
      </c>
      <c r="B188" s="6">
        <f>COUNTIF(Levels!B:B,A188)</f>
        <v>1</v>
      </c>
      <c r="C188" s="6">
        <f>IFERROR(AVERAGEIF(Levels!B:B,A188,Levels!E:E),0)</f>
        <v>16.170000000000002</v>
      </c>
      <c r="D188" s="6">
        <f>IFERROR(AVERAGEIF(Levels!B:B,A188,Levels!F:F),0)</f>
        <v>3.97</v>
      </c>
      <c r="E188" s="6">
        <f>_xlfn.MAXIFS(Levels!E:E,Levels!B:B,A188)</f>
        <v>16.170000000000002</v>
      </c>
      <c r="F188" s="6">
        <f>_xlfn.MAXIFS(Levels!F:F,Levels!B:B,A188)</f>
        <v>3.97</v>
      </c>
    </row>
    <row r="189" spans="1:6" x14ac:dyDescent="0.3">
      <c r="A189" t="s">
        <v>927</v>
      </c>
      <c r="B189" s="9">
        <f>COUNTIF(Levels!B:B,A189)</f>
        <v>1</v>
      </c>
      <c r="C189" s="9">
        <f>IFERROR(AVERAGEIF(Levels!B:B,A189,Levels!E:E),0)</f>
        <v>9.84</v>
      </c>
      <c r="D189" s="9">
        <f>IFERROR(AVERAGEIF(Levels!B:B,A189,Levels!F:F),0)</f>
        <v>4.5599999999999996</v>
      </c>
      <c r="E189" s="9">
        <f>_xlfn.MAXIFS(Levels!E:E,Levels!B:B,A189)</f>
        <v>9.84</v>
      </c>
      <c r="F189" s="9">
        <f>_xlfn.MAXIFS(Levels!F:F,Levels!B:B,A189)</f>
        <v>4.5599999999999996</v>
      </c>
    </row>
    <row r="190" spans="1:6" x14ac:dyDescent="0.3">
      <c r="A190" t="s">
        <v>931</v>
      </c>
      <c r="B190" s="6">
        <f>COUNTIF(Levels!B:B,A190)</f>
        <v>2</v>
      </c>
      <c r="C190" s="6">
        <f>IFERROR(AVERAGEIF(Levels!B:B,A190,Levels!E:E),0)</f>
        <v>15.515000000000001</v>
      </c>
      <c r="D190" s="6">
        <f>IFERROR(AVERAGEIF(Levels!B:B,A190,Levels!F:F),0)</f>
        <v>5.2050000000000001</v>
      </c>
      <c r="E190" s="6">
        <f>_xlfn.MAXIFS(Levels!E:E,Levels!B:B,A190)</f>
        <v>17.399999999999999</v>
      </c>
      <c r="F190" s="6">
        <f>_xlfn.MAXIFS(Levels!F:F,Levels!B:B,A190)</f>
        <v>5.81</v>
      </c>
    </row>
    <row r="191" spans="1:6" x14ac:dyDescent="0.3">
      <c r="A191" t="s">
        <v>935</v>
      </c>
      <c r="B191" s="9">
        <f>COUNTIF(Levels!B:B,A191)</f>
        <v>1</v>
      </c>
      <c r="C191" s="9">
        <f>IFERROR(AVERAGEIF(Levels!B:B,A191,Levels!E:E),0)</f>
        <v>10.9</v>
      </c>
      <c r="D191" s="9">
        <f>IFERROR(AVERAGEIF(Levels!B:B,A191,Levels!F:F),0)</f>
        <v>7.24</v>
      </c>
      <c r="E191" s="9">
        <f>_xlfn.MAXIFS(Levels!E:E,Levels!B:B,A191)</f>
        <v>10.9</v>
      </c>
      <c r="F191" s="9">
        <f>_xlfn.MAXIFS(Levels!F:F,Levels!B:B,A191)</f>
        <v>7.24</v>
      </c>
    </row>
    <row r="192" spans="1:6" x14ac:dyDescent="0.3">
      <c r="A192" t="s">
        <v>939</v>
      </c>
      <c r="B192" s="6">
        <f>COUNTIF(Levels!B:B,A192)</f>
        <v>2</v>
      </c>
      <c r="C192" s="6">
        <f>IFERROR(AVERAGEIF(Levels!B:B,A192,Levels!E:E),0)</f>
        <v>8.9450000000000003</v>
      </c>
      <c r="D192" s="6">
        <f>IFERROR(AVERAGEIF(Levels!B:B,A192,Levels!F:F),0)</f>
        <v>5.98</v>
      </c>
      <c r="E192" s="6">
        <f>_xlfn.MAXIFS(Levels!E:E,Levels!B:B,A192)</f>
        <v>11.19</v>
      </c>
      <c r="F192" s="6">
        <f>_xlfn.MAXIFS(Levels!F:F,Levels!B:B,A192)</f>
        <v>6.96</v>
      </c>
    </row>
    <row r="193" spans="1:6" x14ac:dyDescent="0.3">
      <c r="A193" t="s">
        <v>941</v>
      </c>
      <c r="B193" s="9">
        <f>COUNTIF(Levels!B:B,A193)</f>
        <v>3</v>
      </c>
      <c r="C193" s="9">
        <f>IFERROR(AVERAGEIF(Levels!B:B,A193,Levels!E:E),0)</f>
        <v>7.91</v>
      </c>
      <c r="D193" s="9">
        <f>IFERROR(AVERAGEIF(Levels!B:B,A193,Levels!F:F),0)</f>
        <v>6.31</v>
      </c>
      <c r="E193" s="9">
        <f>_xlfn.MAXIFS(Levels!E:E,Levels!B:B,A193)</f>
        <v>17</v>
      </c>
      <c r="F193" s="9">
        <f>_xlfn.MAXIFS(Levels!F:F,Levels!B:B,A193)</f>
        <v>7.38</v>
      </c>
    </row>
    <row r="194" spans="1:6" x14ac:dyDescent="0.3">
      <c r="A194" t="s">
        <v>948</v>
      </c>
      <c r="B194" s="6">
        <f>COUNTIF(Levels!B:B,A194)</f>
        <v>1</v>
      </c>
      <c r="C194" s="6">
        <f>IFERROR(AVERAGEIF(Levels!B:B,A194,Levels!E:E),0)</f>
        <v>16.440000000000001</v>
      </c>
      <c r="D194" s="6">
        <f>IFERROR(AVERAGEIF(Levels!B:B,A194,Levels!F:F),0)</f>
        <v>6</v>
      </c>
      <c r="E194" s="6">
        <f>_xlfn.MAXIFS(Levels!E:E,Levels!B:B,A194)</f>
        <v>16.440000000000001</v>
      </c>
      <c r="F194" s="6">
        <f>_xlfn.MAXIFS(Levels!F:F,Levels!B:B,A194)</f>
        <v>6</v>
      </c>
    </row>
    <row r="195" spans="1:6" x14ac:dyDescent="0.3">
      <c r="A195" t="s">
        <v>951</v>
      </c>
      <c r="B195" s="9">
        <f>COUNTIF(Levels!B:B,A195)</f>
        <v>15</v>
      </c>
      <c r="C195" s="9">
        <f>IFERROR(AVERAGEIF(Levels!B:B,A195,Levels!E:E),0)</f>
        <v>7.1919999999999984</v>
      </c>
      <c r="D195" s="9">
        <f>IFERROR(AVERAGEIF(Levels!B:B,A195,Levels!F:F),0)</f>
        <v>6.1040000000000001</v>
      </c>
      <c r="E195" s="9">
        <f>_xlfn.MAXIFS(Levels!E:E,Levels!B:B,A195)</f>
        <v>16.809999999999999</v>
      </c>
      <c r="F195" s="9">
        <f>_xlfn.MAXIFS(Levels!F:F,Levels!B:B,A195)</f>
        <v>7.1</v>
      </c>
    </row>
    <row r="196" spans="1:6" x14ac:dyDescent="0.3">
      <c r="A196" t="s">
        <v>955</v>
      </c>
      <c r="B196" s="6">
        <f>COUNTIF(Levels!B:B,A196)</f>
        <v>7</v>
      </c>
      <c r="C196" s="6">
        <f>IFERROR(AVERAGEIF(Levels!B:B,A196,Levels!E:E),0)</f>
        <v>6.589999999999999</v>
      </c>
      <c r="D196" s="6">
        <f>IFERROR(AVERAGEIF(Levels!B:B,A196,Levels!F:F),0)</f>
        <v>6.7928571428571436</v>
      </c>
      <c r="E196" s="6">
        <f>_xlfn.MAXIFS(Levels!E:E,Levels!B:B,A196)</f>
        <v>10</v>
      </c>
      <c r="F196" s="6">
        <f>_xlfn.MAXIFS(Levels!F:F,Levels!B:B,A196)</f>
        <v>8.6</v>
      </c>
    </row>
    <row r="197" spans="1:6" x14ac:dyDescent="0.3">
      <c r="A197" t="s">
        <v>965</v>
      </c>
      <c r="B197" s="9">
        <f>COUNTIF(Levels!B:B,A197)</f>
        <v>6</v>
      </c>
      <c r="C197" s="9">
        <f>IFERROR(AVERAGEIF(Levels!B:B,A197,Levels!E:E),0)</f>
        <v>14.463333333333336</v>
      </c>
      <c r="D197" s="9">
        <f>IFERROR(AVERAGEIF(Levels!B:B,A197,Levels!F:F),0)</f>
        <v>5.7650000000000006</v>
      </c>
      <c r="E197" s="9">
        <f>_xlfn.MAXIFS(Levels!E:E,Levels!B:B,A197)</f>
        <v>21.23</v>
      </c>
      <c r="F197" s="9">
        <f>_xlfn.MAXIFS(Levels!F:F,Levels!B:B,A197)</f>
        <v>6.6</v>
      </c>
    </row>
    <row r="198" spans="1:6" x14ac:dyDescent="0.3">
      <c r="A198" t="s">
        <v>968</v>
      </c>
      <c r="B198" s="6">
        <f>COUNTIF(Levels!B:B,A198)</f>
        <v>8</v>
      </c>
      <c r="C198" s="6">
        <f>IFERROR(AVERAGEIF(Levels!B:B,A198,Levels!E:E),0)</f>
        <v>8.0837500000000002</v>
      </c>
      <c r="D198" s="6">
        <f>IFERROR(AVERAGEIF(Levels!B:B,A198,Levels!F:F),0)</f>
        <v>6.6774999999999993</v>
      </c>
      <c r="E198" s="6">
        <f>_xlfn.MAXIFS(Levels!E:E,Levels!B:B,A198)</f>
        <v>13.85</v>
      </c>
      <c r="F198" s="6">
        <f>_xlfn.MAXIFS(Levels!F:F,Levels!B:B,A198)</f>
        <v>7.4</v>
      </c>
    </row>
    <row r="199" spans="1:6" x14ac:dyDescent="0.3">
      <c r="A199" t="s">
        <v>973</v>
      </c>
      <c r="B199" s="9">
        <f>COUNTIF(Levels!B:B,A199)</f>
        <v>2</v>
      </c>
      <c r="C199" s="9">
        <f>IFERROR(AVERAGEIF(Levels!B:B,A199,Levels!E:E),0)</f>
        <v>8.4250000000000007</v>
      </c>
      <c r="D199" s="9">
        <f>IFERROR(AVERAGEIF(Levels!B:B,A199,Levels!F:F),0)</f>
        <v>5.65</v>
      </c>
      <c r="E199" s="9">
        <f>_xlfn.MAXIFS(Levels!E:E,Levels!B:B,A199)</f>
        <v>15.81</v>
      </c>
      <c r="F199" s="9">
        <f>_xlfn.MAXIFS(Levels!F:F,Levels!B:B,A199)</f>
        <v>5.78</v>
      </c>
    </row>
    <row r="200" spans="1:6" x14ac:dyDescent="0.3">
      <c r="A200" t="s">
        <v>975</v>
      </c>
      <c r="B200" s="6">
        <f>COUNTIF(Levels!B:B,A200)</f>
        <v>3</v>
      </c>
      <c r="C200" s="6">
        <f>IFERROR(AVERAGEIF(Levels!B:B,A200,Levels!E:E),0)</f>
        <v>7.32</v>
      </c>
      <c r="D200" s="6">
        <f>IFERROR(AVERAGEIF(Levels!B:B,A200,Levels!F:F),0)</f>
        <v>6.4733333333333336</v>
      </c>
      <c r="E200" s="6">
        <f>_xlfn.MAXIFS(Levels!E:E,Levels!B:B,A200)</f>
        <v>8.15</v>
      </c>
      <c r="F200" s="6">
        <f>_xlfn.MAXIFS(Levels!F:F,Levels!B:B,A200)</f>
        <v>7</v>
      </c>
    </row>
    <row r="201" spans="1:6" x14ac:dyDescent="0.3">
      <c r="A201" t="s">
        <v>979</v>
      </c>
      <c r="B201" s="9">
        <f>COUNTIF(Levels!B:B,A201)</f>
        <v>2</v>
      </c>
      <c r="C201" s="9">
        <f>IFERROR(AVERAGEIF(Levels!B:B,A201,Levels!E:E),0)</f>
        <v>15.309999999999999</v>
      </c>
      <c r="D201" s="9">
        <f>IFERROR(AVERAGEIF(Levels!B:B,A201,Levels!F:F),0)</f>
        <v>5.68</v>
      </c>
      <c r="E201" s="9">
        <f>_xlfn.MAXIFS(Levels!E:E,Levels!B:B,A201)</f>
        <v>17.329999999999998</v>
      </c>
      <c r="F201" s="9">
        <f>_xlfn.MAXIFS(Levels!F:F,Levels!B:B,A201)</f>
        <v>6.86</v>
      </c>
    </row>
    <row r="202" spans="1:6" x14ac:dyDescent="0.3">
      <c r="A202" t="s">
        <v>984</v>
      </c>
      <c r="B202" s="6">
        <f>COUNTIF(Levels!B:B,A202)</f>
        <v>4</v>
      </c>
      <c r="C202" s="6">
        <f>IFERROR(AVERAGEIF(Levels!B:B,A202,Levels!E:E),0)</f>
        <v>15.105</v>
      </c>
      <c r="D202" s="6">
        <f>IFERROR(AVERAGEIF(Levels!B:B,A202,Levels!F:F),0)</f>
        <v>6.3725000000000005</v>
      </c>
      <c r="E202" s="6">
        <f>_xlfn.MAXIFS(Levels!E:E,Levels!B:B,A202)</f>
        <v>20.75</v>
      </c>
      <c r="F202" s="6">
        <f>_xlfn.MAXIFS(Levels!F:F,Levels!B:B,A202)</f>
        <v>7.6</v>
      </c>
    </row>
    <row r="203" spans="1:6" x14ac:dyDescent="0.3">
      <c r="A203" t="s">
        <v>985</v>
      </c>
      <c r="B203" s="9">
        <f>COUNTIF(Levels!B:B,A203)</f>
        <v>6</v>
      </c>
      <c r="C203" s="9">
        <f>IFERROR(AVERAGEIF(Levels!B:B,A203,Levels!E:E),0)</f>
        <v>11.716666666666667</v>
      </c>
      <c r="D203" s="9">
        <f>IFERROR(AVERAGEIF(Levels!B:B,A203,Levels!F:F),0)</f>
        <v>6.7</v>
      </c>
      <c r="E203" s="9">
        <f>_xlfn.MAXIFS(Levels!E:E,Levels!B:B,A203)</f>
        <v>13.5</v>
      </c>
      <c r="F203" s="9">
        <f>_xlfn.MAXIFS(Levels!F:F,Levels!B:B,A203)</f>
        <v>8.8000000000000007</v>
      </c>
    </row>
    <row r="204" spans="1:6" x14ac:dyDescent="0.3">
      <c r="A204" t="s">
        <v>997</v>
      </c>
      <c r="B204" s="6">
        <f>COUNTIF(Levels!B:B,A204)</f>
        <v>1</v>
      </c>
      <c r="C204" s="6">
        <f>IFERROR(AVERAGEIF(Levels!B:B,A204,Levels!E:E),0)</f>
        <v>12.01</v>
      </c>
      <c r="D204" s="6">
        <f>IFERROR(AVERAGEIF(Levels!B:B,A204,Levels!F:F),0)</f>
        <v>5.63</v>
      </c>
      <c r="E204" s="6">
        <f>_xlfn.MAXIFS(Levels!E:E,Levels!B:B,A204)</f>
        <v>12.01</v>
      </c>
      <c r="F204" s="6">
        <f>_xlfn.MAXIFS(Levels!F:F,Levels!B:B,A204)</f>
        <v>5.63</v>
      </c>
    </row>
    <row r="205" spans="1:6" x14ac:dyDescent="0.3">
      <c r="A205" t="s">
        <v>1000</v>
      </c>
      <c r="B205" s="9">
        <f>COUNTIF(Levels!B:B,A205)</f>
        <v>1</v>
      </c>
      <c r="C205" s="9">
        <f>IFERROR(AVERAGEIF(Levels!B:B,A205,Levels!E:E),0)</f>
        <v>17.190000000000001</v>
      </c>
      <c r="D205" s="9">
        <f>IFERROR(AVERAGEIF(Levels!B:B,A205,Levels!F:F),0)</f>
        <v>6.7</v>
      </c>
      <c r="E205" s="9">
        <f>_xlfn.MAXIFS(Levels!E:E,Levels!B:B,A205)</f>
        <v>17.190000000000001</v>
      </c>
      <c r="F205" s="9">
        <f>_xlfn.MAXIFS(Levels!F:F,Levels!B:B,A205)</f>
        <v>6.7</v>
      </c>
    </row>
    <row r="206" spans="1:6" x14ac:dyDescent="0.3">
      <c r="A206" t="s">
        <v>1003</v>
      </c>
      <c r="B206" s="6">
        <f>COUNTIF(Levels!B:B,A206)</f>
        <v>7</v>
      </c>
      <c r="C206" s="6">
        <f>IFERROR(AVERAGEIF(Levels!B:B,A206,Levels!E:E),0)</f>
        <v>7.2885714285714291</v>
      </c>
      <c r="D206" s="6">
        <f>IFERROR(AVERAGEIF(Levels!B:B,A206,Levels!F:F),0)</f>
        <v>6.9314285714285706</v>
      </c>
      <c r="E206" s="6">
        <f>_xlfn.MAXIFS(Levels!E:E,Levels!B:B,A206)</f>
        <v>11.18</v>
      </c>
      <c r="F206" s="6">
        <f>_xlfn.MAXIFS(Levels!F:F,Levels!B:B,A206)</f>
        <v>7.75</v>
      </c>
    </row>
    <row r="207" spans="1:6" x14ac:dyDescent="0.3">
      <c r="A207" t="s">
        <v>1007</v>
      </c>
      <c r="B207" s="9">
        <f>COUNTIF(Levels!B:B,A207)</f>
        <v>1</v>
      </c>
      <c r="C207" s="9">
        <f>IFERROR(AVERAGEIF(Levels!B:B,A207,Levels!E:E),0)</f>
        <v>6.23</v>
      </c>
      <c r="D207" s="9">
        <f>IFERROR(AVERAGEIF(Levels!B:B,A207,Levels!F:F),0)</f>
        <v>6.42</v>
      </c>
      <c r="E207" s="9">
        <f>_xlfn.MAXIFS(Levels!E:E,Levels!B:B,A207)</f>
        <v>6.23</v>
      </c>
      <c r="F207" s="9">
        <f>_xlfn.MAXIFS(Levels!F:F,Levels!B:B,A207)</f>
        <v>6.42</v>
      </c>
    </row>
    <row r="208" spans="1:6" x14ac:dyDescent="0.3">
      <c r="A208" t="s">
        <v>1010</v>
      </c>
      <c r="B208" s="6">
        <f>COUNTIF(Levels!B:B,A208)</f>
        <v>6</v>
      </c>
      <c r="C208" s="6">
        <f>IFERROR(AVERAGEIF(Levels!B:B,A208,Levels!E:E),0)</f>
        <v>9.0583333333333336</v>
      </c>
      <c r="D208" s="6">
        <f>IFERROR(AVERAGEIF(Levels!B:B,A208,Levels!F:F),0)</f>
        <v>6.3683333333333332</v>
      </c>
      <c r="E208" s="6">
        <f>_xlfn.MAXIFS(Levels!E:E,Levels!B:B,A208)</f>
        <v>19.940000000000001</v>
      </c>
      <c r="F208" s="6">
        <f>_xlfn.MAXIFS(Levels!F:F,Levels!B:B,A208)</f>
        <v>8.19</v>
      </c>
    </row>
    <row r="209" spans="1:6" x14ac:dyDescent="0.3">
      <c r="A209" t="s">
        <v>1014</v>
      </c>
      <c r="B209" s="9">
        <f>COUNTIF(Levels!B:B,A209)</f>
        <v>1</v>
      </c>
      <c r="C209" s="9">
        <f>IFERROR(AVERAGEIF(Levels!B:B,A209,Levels!E:E),0)</f>
        <v>8.24</v>
      </c>
      <c r="D209" s="9">
        <f>IFERROR(AVERAGEIF(Levels!B:B,A209,Levels!F:F),0)</f>
        <v>6</v>
      </c>
      <c r="E209" s="9">
        <f>_xlfn.MAXIFS(Levels!E:E,Levels!B:B,A209)</f>
        <v>8.24</v>
      </c>
      <c r="F209" s="9">
        <f>_xlfn.MAXIFS(Levels!F:F,Levels!B:B,A209)</f>
        <v>6</v>
      </c>
    </row>
    <row r="210" spans="1:6" x14ac:dyDescent="0.3">
      <c r="A210" t="s">
        <v>1017</v>
      </c>
      <c r="B210" s="6">
        <f>COUNTIF(Levels!B:B,A210)</f>
        <v>5</v>
      </c>
      <c r="C210" s="6">
        <f>IFERROR(AVERAGEIF(Levels!B:B,A210,Levels!E:E),0)</f>
        <v>9.2460000000000004</v>
      </c>
      <c r="D210" s="6">
        <f>IFERROR(AVERAGEIF(Levels!B:B,A210,Levels!F:F),0)</f>
        <v>6.3180000000000005</v>
      </c>
      <c r="E210" s="6">
        <f>_xlfn.MAXIFS(Levels!E:E,Levels!B:B,A210)</f>
        <v>12.78</v>
      </c>
      <c r="F210" s="6">
        <f>_xlfn.MAXIFS(Levels!F:F,Levels!B:B,A210)</f>
        <v>7.73</v>
      </c>
    </row>
    <row r="211" spans="1:6" x14ac:dyDescent="0.3">
      <c r="A211" t="s">
        <v>1020</v>
      </c>
      <c r="B211" s="9">
        <f>COUNTIF(Levels!B:B,A211)</f>
        <v>1</v>
      </c>
      <c r="C211" s="9">
        <f>IFERROR(AVERAGEIF(Levels!B:B,A211,Levels!E:E),0)</f>
        <v>5.13</v>
      </c>
      <c r="D211" s="9">
        <f>IFERROR(AVERAGEIF(Levels!B:B,A211,Levels!F:F),0)</f>
        <v>7.14</v>
      </c>
      <c r="E211" s="9">
        <f>_xlfn.MAXIFS(Levels!E:E,Levels!B:B,A211)</f>
        <v>5.13</v>
      </c>
      <c r="F211" s="9">
        <f>_xlfn.MAXIFS(Levels!F:F,Levels!B:B,A211)</f>
        <v>7.14</v>
      </c>
    </row>
    <row r="212" spans="1:6" x14ac:dyDescent="0.3">
      <c r="A212" t="s">
        <v>1023</v>
      </c>
      <c r="B212" s="6">
        <f>COUNTIF(Levels!B:B,A212)</f>
        <v>1</v>
      </c>
      <c r="C212" s="6">
        <f>IFERROR(AVERAGEIF(Levels!B:B,A212,Levels!E:E),0)</f>
        <v>7.2</v>
      </c>
      <c r="D212" s="6">
        <f>IFERROR(AVERAGEIF(Levels!B:B,A212,Levels!F:F),0)</f>
        <v>4.4000000000000004</v>
      </c>
      <c r="E212" s="6">
        <f>_xlfn.MAXIFS(Levels!E:E,Levels!B:B,A212)</f>
        <v>7.2</v>
      </c>
      <c r="F212" s="6">
        <f>_xlfn.MAXIFS(Levels!F:F,Levels!B:B,A212)</f>
        <v>4.4000000000000004</v>
      </c>
    </row>
    <row r="213" spans="1:6" x14ac:dyDescent="0.3">
      <c r="A213" t="s">
        <v>1037</v>
      </c>
      <c r="B213" s="9">
        <f>COUNTIF(Levels!B:B,A213)</f>
        <v>2</v>
      </c>
      <c r="C213" s="9">
        <f>IFERROR(AVERAGEIF(Levels!B:B,A213,Levels!E:E),0)</f>
        <v>15.065000000000001</v>
      </c>
      <c r="D213" s="9">
        <f>IFERROR(AVERAGEIF(Levels!B:B,A213,Levels!F:F),0)</f>
        <v>4.9249999999999998</v>
      </c>
      <c r="E213" s="9">
        <f>_xlfn.MAXIFS(Levels!E:E,Levels!B:B,A213)</f>
        <v>15.4</v>
      </c>
      <c r="F213" s="9">
        <f>_xlfn.MAXIFS(Levels!F:F,Levels!B:B,A213)</f>
        <v>5.52</v>
      </c>
    </row>
    <row r="214" spans="1:6" x14ac:dyDescent="0.3">
      <c r="A214" t="s">
        <v>1041</v>
      </c>
      <c r="B214" s="6">
        <f>COUNTIF(Levels!B:B,A214)</f>
        <v>3</v>
      </c>
      <c r="C214" s="6">
        <f>IFERROR(AVERAGEIF(Levels!B:B,A214,Levels!E:E),0)</f>
        <v>17.233333333333334</v>
      </c>
      <c r="D214" s="6">
        <f>IFERROR(AVERAGEIF(Levels!B:B,A214,Levels!F:F),0)</f>
        <v>5.8566666666666665</v>
      </c>
      <c r="E214" s="6">
        <f>_xlfn.MAXIFS(Levels!E:E,Levels!B:B,A214)</f>
        <v>20.6</v>
      </c>
      <c r="F214" s="6">
        <f>_xlfn.MAXIFS(Levels!F:F,Levels!B:B,A214)</f>
        <v>6.4</v>
      </c>
    </row>
    <row r="215" spans="1:6" x14ac:dyDescent="0.3">
      <c r="A215" t="s">
        <v>1048</v>
      </c>
      <c r="B215" s="9">
        <f>COUNTIF(Levels!B:B,A215)</f>
        <v>8</v>
      </c>
      <c r="C215" s="9">
        <f>IFERROR(AVERAGEIF(Levels!B:B,A215,Levels!E:E),0)</f>
        <v>9.8837499999999991</v>
      </c>
      <c r="D215" s="9">
        <f>IFERROR(AVERAGEIF(Levels!B:B,A215,Levels!F:F),0)</f>
        <v>7.01</v>
      </c>
      <c r="E215" s="9">
        <f>_xlfn.MAXIFS(Levels!E:E,Levels!B:B,A215)</f>
        <v>15.84</v>
      </c>
      <c r="F215" s="9">
        <f>_xlfn.MAXIFS(Levels!F:F,Levels!B:B,A215)</f>
        <v>7.88</v>
      </c>
    </row>
    <row r="216" spans="1:6" x14ac:dyDescent="0.3">
      <c r="A216" t="s">
        <v>1050</v>
      </c>
      <c r="B216" s="6">
        <f>COUNTIF(Levels!B:B,A216)</f>
        <v>5</v>
      </c>
      <c r="C216" s="6">
        <f>IFERROR(AVERAGEIF(Levels!B:B,A216,Levels!E:E),0)</f>
        <v>11.762</v>
      </c>
      <c r="D216" s="6">
        <f>IFERROR(AVERAGEIF(Levels!B:B,A216,Levels!F:F),0)</f>
        <v>4.9459999999999997</v>
      </c>
      <c r="E216" s="6">
        <f>_xlfn.MAXIFS(Levels!E:E,Levels!B:B,A216)</f>
        <v>21.36</v>
      </c>
      <c r="F216" s="6">
        <f>_xlfn.MAXIFS(Levels!F:F,Levels!B:B,A216)</f>
        <v>5.36</v>
      </c>
    </row>
    <row r="217" spans="1:6" x14ac:dyDescent="0.3">
      <c r="A217" t="s">
        <v>1053</v>
      </c>
      <c r="B217" s="9">
        <f>COUNTIF(Levels!B:B,A217)</f>
        <v>9</v>
      </c>
      <c r="C217" s="9">
        <f>IFERROR(AVERAGEIF(Levels!B:B,A217,Levels!E:E),0)</f>
        <v>14.586666666666666</v>
      </c>
      <c r="D217" s="9">
        <f>IFERROR(AVERAGEIF(Levels!B:B,A217,Levels!F:F),0)</f>
        <v>5.5111111111111102</v>
      </c>
      <c r="E217" s="9">
        <f>_xlfn.MAXIFS(Levels!E:E,Levels!B:B,A217)</f>
        <v>30</v>
      </c>
      <c r="F217" s="9">
        <f>_xlfn.MAXIFS(Levels!F:F,Levels!B:B,A217)</f>
        <v>7.14</v>
      </c>
    </row>
    <row r="218" spans="1:6" x14ac:dyDescent="0.3">
      <c r="A218" t="s">
        <v>1064</v>
      </c>
      <c r="B218" s="6">
        <f>COUNTIF(Levels!B:B,A218)</f>
        <v>3</v>
      </c>
      <c r="C218" s="6">
        <f>IFERROR(AVERAGEIF(Levels!B:B,A218,Levels!E:E),0)</f>
        <v>12.37</v>
      </c>
      <c r="D218" s="6">
        <f>IFERROR(AVERAGEIF(Levels!B:B,A218,Levels!F:F),0)</f>
        <v>4.6533333333333333</v>
      </c>
      <c r="E218" s="6">
        <f>_xlfn.MAXIFS(Levels!E:E,Levels!B:B,A218)</f>
        <v>13.18</v>
      </c>
      <c r="F218" s="6">
        <f>_xlfn.MAXIFS(Levels!F:F,Levels!B:B,A218)</f>
        <v>6.08</v>
      </c>
    </row>
    <row r="219" spans="1:6" x14ac:dyDescent="0.3">
      <c r="A219" t="s">
        <v>1068</v>
      </c>
      <c r="B219" s="9">
        <f>COUNTIF(Levels!B:B,A219)</f>
        <v>7</v>
      </c>
      <c r="C219" s="9">
        <f>IFERROR(AVERAGEIF(Levels!B:B,A219,Levels!E:E),0)</f>
        <v>12.728571428571428</v>
      </c>
      <c r="D219" s="9">
        <f>IFERROR(AVERAGEIF(Levels!B:B,A219,Levels!F:F),0)</f>
        <v>5.4428571428571439</v>
      </c>
      <c r="E219" s="9">
        <f>_xlfn.MAXIFS(Levels!E:E,Levels!B:B,A219)</f>
        <v>26</v>
      </c>
      <c r="F219" s="9">
        <f>_xlfn.MAXIFS(Levels!F:F,Levels!B:B,A219)</f>
        <v>6.67</v>
      </c>
    </row>
    <row r="220" spans="1:6" x14ac:dyDescent="0.3">
      <c r="A220" t="s">
        <v>1072</v>
      </c>
      <c r="B220" s="6">
        <f>COUNTIF(Levels!B:B,A220)</f>
        <v>1</v>
      </c>
      <c r="C220" s="6">
        <f>IFERROR(AVERAGEIF(Levels!B:B,A220,Levels!E:E),0)</f>
        <v>14.94</v>
      </c>
      <c r="D220" s="6">
        <f>IFERROR(AVERAGEIF(Levels!B:B,A220,Levels!F:F),0)</f>
        <v>3.46</v>
      </c>
      <c r="E220" s="6">
        <f>_xlfn.MAXIFS(Levels!E:E,Levels!B:B,A220)</f>
        <v>14.94</v>
      </c>
      <c r="F220" s="6">
        <f>_xlfn.MAXIFS(Levels!F:F,Levels!B:B,A220)</f>
        <v>3.46</v>
      </c>
    </row>
    <row r="221" spans="1:6" x14ac:dyDescent="0.3">
      <c r="A221" t="s">
        <v>1078</v>
      </c>
      <c r="B221" s="9">
        <f>COUNTIF(Levels!B:B,A221)</f>
        <v>1</v>
      </c>
      <c r="C221" s="9">
        <f>IFERROR(AVERAGEIF(Levels!B:B,A221,Levels!E:E),0)</f>
        <v>12.5</v>
      </c>
      <c r="D221" s="9">
        <f>IFERROR(AVERAGEIF(Levels!B:B,A221,Levels!F:F),0)</f>
        <v>7.5</v>
      </c>
      <c r="E221" s="9">
        <f>_xlfn.MAXIFS(Levels!E:E,Levels!B:B,A221)</f>
        <v>12.5</v>
      </c>
      <c r="F221" s="9">
        <f>_xlfn.MAXIFS(Levels!F:F,Levels!B:B,A221)</f>
        <v>7.5</v>
      </c>
    </row>
    <row r="222" spans="1:6" x14ac:dyDescent="0.3">
      <c r="A222" t="s">
        <v>1083</v>
      </c>
      <c r="B222" s="6">
        <f>COUNTIF(Levels!B:B,A222)</f>
        <v>12</v>
      </c>
      <c r="C222" s="6">
        <f>IFERROR(AVERAGEIF(Levels!B:B,A222,Levels!E:E),0)</f>
        <v>9.206666666666667</v>
      </c>
      <c r="D222" s="6">
        <f>IFERROR(AVERAGEIF(Levels!B:B,A222,Levels!F:F),0)</f>
        <v>6.4308333333333332</v>
      </c>
      <c r="E222" s="6">
        <f>_xlfn.MAXIFS(Levels!E:E,Levels!B:B,A222)</f>
        <v>20.04</v>
      </c>
      <c r="F222" s="6">
        <f>_xlfn.MAXIFS(Levels!F:F,Levels!B:B,A222)</f>
        <v>7.63</v>
      </c>
    </row>
    <row r="223" spans="1:6" x14ac:dyDescent="0.3">
      <c r="A223" t="s">
        <v>1089</v>
      </c>
      <c r="B223" s="9">
        <f>COUNTIF(Levels!B:B,A223)</f>
        <v>1</v>
      </c>
      <c r="C223" s="9">
        <f>IFERROR(AVERAGEIF(Levels!B:B,A223,Levels!E:E),0)</f>
        <v>12.44</v>
      </c>
      <c r="D223" s="9">
        <f>IFERROR(AVERAGEIF(Levels!B:B,A223,Levels!F:F),0)</f>
        <v>4.8099999999999996</v>
      </c>
      <c r="E223" s="9">
        <f>_xlfn.MAXIFS(Levels!E:E,Levels!B:B,A223)</f>
        <v>12.44</v>
      </c>
      <c r="F223" s="9">
        <f>_xlfn.MAXIFS(Levels!F:F,Levels!B:B,A223)</f>
        <v>4.8099999999999996</v>
      </c>
    </row>
    <row r="224" spans="1:6" x14ac:dyDescent="0.3">
      <c r="A224" t="s">
        <v>1092</v>
      </c>
      <c r="B224" s="6">
        <f>COUNTIF(Levels!B:B,A224)</f>
        <v>1</v>
      </c>
      <c r="C224" s="6">
        <f>IFERROR(AVERAGEIF(Levels!B:B,A224,Levels!E:E),0)</f>
        <v>7.18</v>
      </c>
      <c r="D224" s="6">
        <f>IFERROR(AVERAGEIF(Levels!B:B,A224,Levels!F:F),0)</f>
        <v>5.35</v>
      </c>
      <c r="E224" s="6">
        <f>_xlfn.MAXIFS(Levels!E:E,Levels!B:B,A224)</f>
        <v>7.18</v>
      </c>
      <c r="F224" s="6">
        <f>_xlfn.MAXIFS(Levels!F:F,Levels!B:B,A224)</f>
        <v>5.35</v>
      </c>
    </row>
    <row r="225" spans="1:6" x14ac:dyDescent="0.3">
      <c r="A225" t="s">
        <v>1095</v>
      </c>
      <c r="B225" s="9">
        <f>COUNTIF(Levels!B:B,A225)</f>
        <v>1</v>
      </c>
      <c r="C225" s="9">
        <f>IFERROR(AVERAGEIF(Levels!B:B,A225,Levels!E:E),0)</f>
        <v>13.98</v>
      </c>
      <c r="D225" s="9">
        <f>IFERROR(AVERAGEIF(Levels!B:B,A225,Levels!F:F),0)</f>
        <v>6.18</v>
      </c>
      <c r="E225" s="9">
        <f>_xlfn.MAXIFS(Levels!E:E,Levels!B:B,A225)</f>
        <v>13.98</v>
      </c>
      <c r="F225" s="9">
        <f>_xlfn.MAXIFS(Levels!F:F,Levels!B:B,A225)</f>
        <v>6.18</v>
      </c>
    </row>
    <row r="226" spans="1:6" x14ac:dyDescent="0.3">
      <c r="A226" t="s">
        <v>1097</v>
      </c>
      <c r="B226" s="6">
        <f>COUNTIF(Levels!B:B,A226)</f>
        <v>2</v>
      </c>
      <c r="C226" s="6">
        <f>IFERROR(AVERAGEIF(Levels!B:B,A226,Levels!E:E),0)</f>
        <v>10.635</v>
      </c>
      <c r="D226" s="6">
        <f>IFERROR(AVERAGEIF(Levels!B:B,A226,Levels!F:F),0)</f>
        <v>6.75</v>
      </c>
      <c r="E226" s="6">
        <f>_xlfn.MAXIFS(Levels!E:E,Levels!B:B,A226)</f>
        <v>14.39</v>
      </c>
      <c r="F226" s="6">
        <f>_xlfn.MAXIFS(Levels!F:F,Levels!B:B,A226)</f>
        <v>7.42</v>
      </c>
    </row>
    <row r="227" spans="1:6" x14ac:dyDescent="0.3">
      <c r="A227" t="s">
        <v>1106</v>
      </c>
      <c r="B227" s="9">
        <f>COUNTIF(Levels!B:B,A227)</f>
        <v>5</v>
      </c>
      <c r="C227" s="9">
        <f>IFERROR(AVERAGEIF(Levels!B:B,A227,Levels!E:E),0)</f>
        <v>13.394</v>
      </c>
      <c r="D227" s="9">
        <f>IFERROR(AVERAGEIF(Levels!B:B,A227,Levels!F:F),0)</f>
        <v>7.1340000000000003</v>
      </c>
      <c r="E227" s="9">
        <f>_xlfn.MAXIFS(Levels!E:E,Levels!B:B,A227)</f>
        <v>15.93</v>
      </c>
      <c r="F227" s="9">
        <f>_xlfn.MAXIFS(Levels!F:F,Levels!B:B,A227)</f>
        <v>8.43</v>
      </c>
    </row>
    <row r="228" spans="1:6" x14ac:dyDescent="0.3">
      <c r="A228" t="s">
        <v>1108</v>
      </c>
      <c r="B228" s="6">
        <f>COUNTIF(Levels!B:B,A228)</f>
        <v>4</v>
      </c>
      <c r="C228" s="6">
        <f>IFERROR(AVERAGEIF(Levels!B:B,A228,Levels!E:E),0)</f>
        <v>5.0875000000000004</v>
      </c>
      <c r="D228" s="6">
        <f>IFERROR(AVERAGEIF(Levels!B:B,A228,Levels!F:F),0)</f>
        <v>6.6425000000000001</v>
      </c>
      <c r="E228" s="6">
        <f>_xlfn.MAXIFS(Levels!E:E,Levels!B:B,A228)</f>
        <v>7.63</v>
      </c>
      <c r="F228" s="6">
        <f>_xlfn.MAXIFS(Levels!F:F,Levels!B:B,A228)</f>
        <v>7.13</v>
      </c>
    </row>
    <row r="229" spans="1:6" x14ac:dyDescent="0.3">
      <c r="A229" t="s">
        <v>1110</v>
      </c>
      <c r="B229" s="9">
        <f>COUNTIF(Levels!B:B,A229)</f>
        <v>16</v>
      </c>
      <c r="C229" s="9">
        <f>IFERROR(AVERAGEIF(Levels!B:B,A229,Levels!E:E),0)</f>
        <v>19.534375000000001</v>
      </c>
      <c r="D229" s="9">
        <f>IFERROR(AVERAGEIF(Levels!B:B,A229,Levels!F:F),0)</f>
        <v>6.7562499999999988</v>
      </c>
      <c r="E229" s="9">
        <f>_xlfn.MAXIFS(Levels!E:E,Levels!B:B,A229)</f>
        <v>33.200000000000003</v>
      </c>
      <c r="F229" s="9">
        <f>_xlfn.MAXIFS(Levels!F:F,Levels!B:B,A229)</f>
        <v>8.2200000000000006</v>
      </c>
    </row>
    <row r="230" spans="1:6" x14ac:dyDescent="0.3">
      <c r="A230" t="s">
        <v>1115</v>
      </c>
      <c r="B230" s="6">
        <f>COUNTIF(Levels!B:B,A230)</f>
        <v>2</v>
      </c>
      <c r="C230" s="6">
        <f>IFERROR(AVERAGEIF(Levels!B:B,A230,Levels!E:E),0)</f>
        <v>4.38</v>
      </c>
      <c r="D230" s="6">
        <f>IFERROR(AVERAGEIF(Levels!B:B,A230,Levels!F:F),0)</f>
        <v>6.57</v>
      </c>
      <c r="E230" s="6">
        <f>_xlfn.MAXIFS(Levels!E:E,Levels!B:B,A230)</f>
        <v>4.67</v>
      </c>
      <c r="F230" s="6">
        <f>_xlfn.MAXIFS(Levels!F:F,Levels!B:B,A230)</f>
        <v>6.78</v>
      </c>
    </row>
    <row r="231" spans="1:6" x14ac:dyDescent="0.3">
      <c r="A231" t="s">
        <v>1120</v>
      </c>
      <c r="B231" s="9">
        <f>COUNTIF(Levels!B:B,A231)</f>
        <v>1</v>
      </c>
      <c r="C231" s="9">
        <f>IFERROR(AVERAGEIF(Levels!B:B,A231,Levels!E:E),0)</f>
        <v>13.2</v>
      </c>
      <c r="D231" s="9">
        <f>IFERROR(AVERAGEIF(Levels!B:B,A231,Levels!F:F),0)</f>
        <v>7.2</v>
      </c>
      <c r="E231" s="9">
        <f>_xlfn.MAXIFS(Levels!E:E,Levels!B:B,A231)</f>
        <v>13.2</v>
      </c>
      <c r="F231" s="9">
        <f>_xlfn.MAXIFS(Levels!F:F,Levels!B:B,A231)</f>
        <v>7.2</v>
      </c>
    </row>
    <row r="232" spans="1:6" x14ac:dyDescent="0.3">
      <c r="A232" t="s">
        <v>1122</v>
      </c>
      <c r="B232" s="6">
        <f>COUNTIF(Levels!B:B,A232)</f>
        <v>3</v>
      </c>
      <c r="C232" s="6">
        <f>IFERROR(AVERAGEIF(Levels!B:B,A232,Levels!E:E),0)</f>
        <v>12.523333333333333</v>
      </c>
      <c r="D232" s="6">
        <f>IFERROR(AVERAGEIF(Levels!B:B,A232,Levels!F:F),0)</f>
        <v>5.1733333333333329</v>
      </c>
      <c r="E232" s="6">
        <f>_xlfn.MAXIFS(Levels!E:E,Levels!B:B,A232)</f>
        <v>24</v>
      </c>
      <c r="F232" s="6">
        <f>_xlfn.MAXIFS(Levels!F:F,Levels!B:B,A232)</f>
        <v>6</v>
      </c>
    </row>
    <row r="233" spans="1:6" x14ac:dyDescent="0.3">
      <c r="A233" t="s">
        <v>1127</v>
      </c>
      <c r="B233" s="9">
        <f>COUNTIF(Levels!B:B,A233)</f>
        <v>12</v>
      </c>
      <c r="C233" s="9">
        <f>IFERROR(AVERAGEIF(Levels!B:B,A233,Levels!E:E),0)</f>
        <v>15.025833333333331</v>
      </c>
      <c r="D233" s="9">
        <f>IFERROR(AVERAGEIF(Levels!B:B,A233,Levels!F:F),0)</f>
        <v>6.0033333333333339</v>
      </c>
      <c r="E233" s="9">
        <f>_xlfn.MAXIFS(Levels!E:E,Levels!B:B,A233)</f>
        <v>32</v>
      </c>
      <c r="F233" s="9">
        <f>_xlfn.MAXIFS(Levels!F:F,Levels!B:B,A233)</f>
        <v>7.43</v>
      </c>
    </row>
    <row r="234" spans="1:6" x14ac:dyDescent="0.3">
      <c r="A234" t="s">
        <v>1131</v>
      </c>
      <c r="B234" s="6">
        <f>COUNTIF(Levels!B:B,A234)</f>
        <v>5</v>
      </c>
      <c r="C234" s="6">
        <f>IFERROR(AVERAGEIF(Levels!B:B,A234,Levels!E:E),0)</f>
        <v>8.8060000000000009</v>
      </c>
      <c r="D234" s="6">
        <f>IFERROR(AVERAGEIF(Levels!B:B,A234,Levels!F:F),0)</f>
        <v>6.14</v>
      </c>
      <c r="E234" s="6">
        <f>_xlfn.MAXIFS(Levels!E:E,Levels!B:B,A234)</f>
        <v>11.9</v>
      </c>
      <c r="F234" s="6">
        <f>_xlfn.MAXIFS(Levels!F:F,Levels!B:B,A234)</f>
        <v>6.8</v>
      </c>
    </row>
    <row r="235" spans="1:6" x14ac:dyDescent="0.3">
      <c r="A235" t="s">
        <v>1135</v>
      </c>
      <c r="B235" s="9">
        <f>COUNTIF(Levels!B:B,A235)</f>
        <v>6</v>
      </c>
      <c r="C235" s="9">
        <f>IFERROR(AVERAGEIF(Levels!B:B,A235,Levels!E:E),0)</f>
        <v>14.88</v>
      </c>
      <c r="D235" s="9">
        <f>IFERROR(AVERAGEIF(Levels!B:B,A235,Levels!F:F),0)</f>
        <v>6.2333333333333334</v>
      </c>
      <c r="E235" s="9">
        <f>_xlfn.MAXIFS(Levels!E:E,Levels!B:B,A235)</f>
        <v>30</v>
      </c>
      <c r="F235" s="9">
        <f>_xlfn.MAXIFS(Levels!F:F,Levels!B:B,A235)</f>
        <v>8.4</v>
      </c>
    </row>
    <row r="236" spans="1:6" x14ac:dyDescent="0.3">
      <c r="A236" t="s">
        <v>1138</v>
      </c>
      <c r="B236" s="6">
        <f>COUNTIF(Levels!B:B,A236)</f>
        <v>1</v>
      </c>
      <c r="C236" s="6">
        <f>IFERROR(AVERAGEIF(Levels!B:B,A236,Levels!E:E),0)</f>
        <v>23.86</v>
      </c>
      <c r="D236" s="6">
        <f>IFERROR(AVERAGEIF(Levels!B:B,A236,Levels!F:F),0)</f>
        <v>5.18</v>
      </c>
      <c r="E236" s="6">
        <f>_xlfn.MAXIFS(Levels!E:E,Levels!B:B,A236)</f>
        <v>23.86</v>
      </c>
      <c r="F236" s="6">
        <f>_xlfn.MAXIFS(Levels!F:F,Levels!B:B,A236)</f>
        <v>5.18</v>
      </c>
    </row>
    <row r="237" spans="1:6" x14ac:dyDescent="0.3">
      <c r="A237" t="s">
        <v>1141</v>
      </c>
      <c r="B237" s="9">
        <f>COUNTIF(Levels!B:B,A237)</f>
        <v>11</v>
      </c>
      <c r="C237" s="9">
        <f>IFERROR(AVERAGEIF(Levels!B:B,A237,Levels!E:E),0)</f>
        <v>16.696363636363632</v>
      </c>
      <c r="D237" s="9">
        <f>IFERROR(AVERAGEIF(Levels!B:B,A237,Levels!F:F),0)</f>
        <v>6.0454545454545459</v>
      </c>
      <c r="E237" s="9">
        <f>_xlfn.MAXIFS(Levels!E:E,Levels!B:B,A237)</f>
        <v>23.07</v>
      </c>
      <c r="F237" s="9">
        <f>_xlfn.MAXIFS(Levels!F:F,Levels!B:B,A237)</f>
        <v>7.12</v>
      </c>
    </row>
    <row r="238" spans="1:6" x14ac:dyDescent="0.3">
      <c r="A238" t="s">
        <v>1144</v>
      </c>
      <c r="B238" s="6">
        <f>COUNTIF(Levels!B:B,A238)</f>
        <v>4</v>
      </c>
      <c r="C238" s="6">
        <f>IFERROR(AVERAGEIF(Levels!B:B,A238,Levels!E:E),0)</f>
        <v>17.455000000000002</v>
      </c>
      <c r="D238" s="6">
        <f>IFERROR(AVERAGEIF(Levels!B:B,A238,Levels!F:F),0)</f>
        <v>5.3149999999999995</v>
      </c>
      <c r="E238" s="6">
        <f>_xlfn.MAXIFS(Levels!E:E,Levels!B:B,A238)</f>
        <v>19</v>
      </c>
      <c r="F238" s="6">
        <f>_xlfn.MAXIFS(Levels!F:F,Levels!B:B,A238)</f>
        <v>5.57</v>
      </c>
    </row>
    <row r="239" spans="1:6" x14ac:dyDescent="0.3">
      <c r="A239" t="s">
        <v>1147</v>
      </c>
      <c r="B239" s="9">
        <f>COUNTIF(Levels!B:B,A239)</f>
        <v>9</v>
      </c>
      <c r="C239" s="9">
        <f>IFERROR(AVERAGEIF(Levels!B:B,A239,Levels!E:E),0)</f>
        <v>10.451111111111111</v>
      </c>
      <c r="D239" s="9">
        <f>IFERROR(AVERAGEIF(Levels!B:B,A239,Levels!F:F),0)</f>
        <v>6.4522222222222219</v>
      </c>
      <c r="E239" s="9">
        <f>_xlfn.MAXIFS(Levels!E:E,Levels!B:B,A239)</f>
        <v>28.38</v>
      </c>
      <c r="F239" s="9">
        <f>_xlfn.MAXIFS(Levels!F:F,Levels!B:B,A239)</f>
        <v>7.8</v>
      </c>
    </row>
    <row r="240" spans="1:6" x14ac:dyDescent="0.3">
      <c r="A240" t="s">
        <v>1150</v>
      </c>
      <c r="B240" s="6">
        <f>COUNTIF(Levels!B:B,A240)</f>
        <v>1</v>
      </c>
      <c r="C240" s="6">
        <f>IFERROR(AVERAGEIF(Levels!B:B,A240,Levels!E:E),0)</f>
        <v>11.89</v>
      </c>
      <c r="D240" s="6">
        <f>IFERROR(AVERAGEIF(Levels!B:B,A240,Levels!F:F),0)</f>
        <v>5</v>
      </c>
      <c r="E240" s="6">
        <f>_xlfn.MAXIFS(Levels!E:E,Levels!B:B,A240)</f>
        <v>11.89</v>
      </c>
      <c r="F240" s="6">
        <f>_xlfn.MAXIFS(Levels!F:F,Levels!B:B,A240)</f>
        <v>5</v>
      </c>
    </row>
    <row r="241" spans="1:6" x14ac:dyDescent="0.3">
      <c r="A241" t="s">
        <v>1154</v>
      </c>
      <c r="B241" s="9">
        <f>COUNTIF(Levels!B:B,A241)</f>
        <v>2</v>
      </c>
      <c r="C241" s="9">
        <f>IFERROR(AVERAGEIF(Levels!B:B,A241,Levels!E:E),0)</f>
        <v>3.68</v>
      </c>
      <c r="D241" s="9">
        <f>IFERROR(AVERAGEIF(Levels!B:B,A241,Levels!F:F),0)</f>
        <v>6.9849999999999994</v>
      </c>
      <c r="E241" s="9">
        <f>_xlfn.MAXIFS(Levels!E:E,Levels!B:B,A241)</f>
        <v>3.97</v>
      </c>
      <c r="F241" s="9">
        <f>_xlfn.MAXIFS(Levels!F:F,Levels!B:B,A241)</f>
        <v>7</v>
      </c>
    </row>
    <row r="242" spans="1:6" x14ac:dyDescent="0.3">
      <c r="A242" t="s">
        <v>1156</v>
      </c>
      <c r="B242" s="6">
        <f>COUNTIF(Levels!B:B,A242)</f>
        <v>4</v>
      </c>
      <c r="C242" s="6">
        <f>IFERROR(AVERAGEIF(Levels!B:B,A242,Levels!E:E),0)</f>
        <v>12.4175</v>
      </c>
      <c r="D242" s="6">
        <f>IFERROR(AVERAGEIF(Levels!B:B,A242,Levels!F:F),0)</f>
        <v>6.7649999999999997</v>
      </c>
      <c r="E242" s="6">
        <f>_xlfn.MAXIFS(Levels!E:E,Levels!B:B,A242)</f>
        <v>21.79</v>
      </c>
      <c r="F242" s="6">
        <f>_xlfn.MAXIFS(Levels!F:F,Levels!B:B,A242)</f>
        <v>8.4499999999999993</v>
      </c>
    </row>
    <row r="243" spans="1:6" x14ac:dyDescent="0.3">
      <c r="A243" t="s">
        <v>1159</v>
      </c>
      <c r="B243" s="9">
        <f>COUNTIF(Levels!B:B,A243)</f>
        <v>1</v>
      </c>
      <c r="C243" s="9">
        <f>IFERROR(AVERAGEIF(Levels!B:B,A243,Levels!E:E),0)</f>
        <v>7.77</v>
      </c>
      <c r="D243" s="9">
        <f>IFERROR(AVERAGEIF(Levels!B:B,A243,Levels!F:F),0)</f>
        <v>5.56</v>
      </c>
      <c r="E243" s="9">
        <f>_xlfn.MAXIFS(Levels!E:E,Levels!B:B,A243)</f>
        <v>7.77</v>
      </c>
      <c r="F243" s="9">
        <f>_xlfn.MAXIFS(Levels!F:F,Levels!B:B,A243)</f>
        <v>5.56</v>
      </c>
    </row>
    <row r="244" spans="1:6" x14ac:dyDescent="0.3">
      <c r="A244" t="s">
        <v>1164</v>
      </c>
      <c r="B244" s="6">
        <f>COUNTIF(Levels!B:B,A244)</f>
        <v>1</v>
      </c>
      <c r="C244" s="6">
        <f>IFERROR(AVERAGEIF(Levels!B:B,A244,Levels!E:E),0)</f>
        <v>6.72</v>
      </c>
      <c r="D244" s="6">
        <f>IFERROR(AVERAGEIF(Levels!B:B,A244,Levels!F:F),0)</f>
        <v>5.55</v>
      </c>
      <c r="E244" s="6">
        <f>_xlfn.MAXIFS(Levels!E:E,Levels!B:B,A244)</f>
        <v>6.72</v>
      </c>
      <c r="F244" s="6">
        <f>_xlfn.MAXIFS(Levels!F:F,Levels!B:B,A244)</f>
        <v>5.55</v>
      </c>
    </row>
    <row r="245" spans="1:6" x14ac:dyDescent="0.3">
      <c r="A245" t="s">
        <v>1167</v>
      </c>
      <c r="B245" s="9">
        <f>COUNTIF(Levels!B:B,A245)</f>
        <v>1</v>
      </c>
      <c r="C245" s="9">
        <f>IFERROR(AVERAGEIF(Levels!B:B,A245,Levels!E:E),0)</f>
        <v>11.1</v>
      </c>
      <c r="D245" s="9">
        <f>IFERROR(AVERAGEIF(Levels!B:B,A245,Levels!F:F),0)</f>
        <v>6.33</v>
      </c>
      <c r="E245" s="9">
        <f>_xlfn.MAXIFS(Levels!E:E,Levels!B:B,A245)</f>
        <v>11.1</v>
      </c>
      <c r="F245" s="9">
        <f>_xlfn.MAXIFS(Levels!F:F,Levels!B:B,A245)</f>
        <v>6.33</v>
      </c>
    </row>
    <row r="246" spans="1:6" x14ac:dyDescent="0.3">
      <c r="A246" t="s">
        <v>1173</v>
      </c>
      <c r="B246" s="6">
        <f>COUNTIF(Levels!B:B,A246)</f>
        <v>2</v>
      </c>
      <c r="C246" s="6">
        <f>IFERROR(AVERAGEIF(Levels!B:B,A246,Levels!E:E),0)</f>
        <v>15.375</v>
      </c>
      <c r="D246" s="6">
        <f>IFERROR(AVERAGEIF(Levels!B:B,A246,Levels!F:F),0)</f>
        <v>6.48</v>
      </c>
      <c r="E246" s="6">
        <f>_xlfn.MAXIFS(Levels!E:E,Levels!B:B,A246)</f>
        <v>16.75</v>
      </c>
      <c r="F246" s="6">
        <f>_xlfn.MAXIFS(Levels!F:F,Levels!B:B,A246)</f>
        <v>6.86</v>
      </c>
    </row>
    <row r="247" spans="1:6" x14ac:dyDescent="0.3">
      <c r="A247" t="s">
        <v>1178</v>
      </c>
      <c r="B247" s="9">
        <f>COUNTIF(Levels!B:B,A247)</f>
        <v>1</v>
      </c>
      <c r="C247" s="9">
        <f>IFERROR(AVERAGEIF(Levels!B:B,A247,Levels!E:E),0)</f>
        <v>3.79</v>
      </c>
      <c r="D247" s="9">
        <f>IFERROR(AVERAGEIF(Levels!B:B,A247,Levels!F:F),0)</f>
        <v>7.79</v>
      </c>
      <c r="E247" s="9">
        <f>_xlfn.MAXIFS(Levels!E:E,Levels!B:B,A247)</f>
        <v>3.79</v>
      </c>
      <c r="F247" s="9">
        <f>_xlfn.MAXIFS(Levels!F:F,Levels!B:B,A247)</f>
        <v>7.79</v>
      </c>
    </row>
    <row r="248" spans="1:6" x14ac:dyDescent="0.3">
      <c r="A248" t="s">
        <v>1180</v>
      </c>
      <c r="B248" s="6">
        <f>COUNTIF(Levels!B:B,A248)</f>
        <v>1</v>
      </c>
      <c r="C248" s="6">
        <f>IFERROR(AVERAGEIF(Levels!B:B,A248,Levels!E:E),0)</f>
        <v>9.26</v>
      </c>
      <c r="D248" s="6">
        <f>IFERROR(AVERAGEIF(Levels!B:B,A248,Levels!F:F),0)</f>
        <v>5.61</v>
      </c>
      <c r="E248" s="6">
        <f>_xlfn.MAXIFS(Levels!E:E,Levels!B:B,A248)</f>
        <v>9.26</v>
      </c>
      <c r="F248" s="6">
        <f>_xlfn.MAXIFS(Levels!F:F,Levels!B:B,A248)</f>
        <v>5.61</v>
      </c>
    </row>
    <row r="249" spans="1:6" x14ac:dyDescent="0.3">
      <c r="A249" t="s">
        <v>1187</v>
      </c>
      <c r="B249" s="9">
        <f>COUNTIF(Levels!B:B,A249)</f>
        <v>2</v>
      </c>
      <c r="C249" s="9">
        <f>IFERROR(AVERAGEIF(Levels!B:B,A249,Levels!E:E),0)</f>
        <v>6.13</v>
      </c>
      <c r="D249" s="9">
        <f>IFERROR(AVERAGEIF(Levels!B:B,A249,Levels!F:F),0)</f>
        <v>6.79</v>
      </c>
      <c r="E249" s="9">
        <f>_xlfn.MAXIFS(Levels!E:E,Levels!B:B,A249)</f>
        <v>6.6</v>
      </c>
      <c r="F249" s="9">
        <f>_xlfn.MAXIFS(Levels!F:F,Levels!B:B,A249)</f>
        <v>6.88</v>
      </c>
    </row>
    <row r="250" spans="1:6" x14ac:dyDescent="0.3">
      <c r="A250" t="s">
        <v>1191</v>
      </c>
      <c r="B250" s="6">
        <f>COUNTIF(Levels!B:B,A250)</f>
        <v>1</v>
      </c>
      <c r="C250" s="6">
        <f>IFERROR(AVERAGEIF(Levels!B:B,A250,Levels!E:E),0)</f>
        <v>8.3699999999999992</v>
      </c>
      <c r="D250" s="6">
        <f>IFERROR(AVERAGEIF(Levels!B:B,A250,Levels!F:F),0)</f>
        <v>5.76</v>
      </c>
      <c r="E250" s="6">
        <f>_xlfn.MAXIFS(Levels!E:E,Levels!B:B,A250)</f>
        <v>8.3699999999999992</v>
      </c>
      <c r="F250" s="6">
        <f>_xlfn.MAXIFS(Levels!F:F,Levels!B:B,A250)</f>
        <v>5.76</v>
      </c>
    </row>
    <row r="251" spans="1:6" x14ac:dyDescent="0.3">
      <c r="A251" t="s">
        <v>1196</v>
      </c>
      <c r="B251" s="9">
        <f>COUNTIF(Levels!B:B,A251)</f>
        <v>6</v>
      </c>
      <c r="C251" s="9">
        <f>IFERROR(AVERAGEIF(Levels!B:B,A251,Levels!E:E),0)</f>
        <v>7.6066666666666656</v>
      </c>
      <c r="D251" s="9">
        <f>IFERROR(AVERAGEIF(Levels!B:B,A251,Levels!F:F),0)</f>
        <v>6.4749999999999988</v>
      </c>
      <c r="E251" s="9">
        <f>_xlfn.MAXIFS(Levels!E:E,Levels!B:B,A251)</f>
        <v>12.18</v>
      </c>
      <c r="F251" s="9">
        <f>_xlfn.MAXIFS(Levels!F:F,Levels!B:B,A251)</f>
        <v>8.1999999999999993</v>
      </c>
    </row>
    <row r="252" spans="1:6" x14ac:dyDescent="0.3">
      <c r="A252" t="s">
        <v>1199</v>
      </c>
      <c r="B252" s="6">
        <f>COUNTIF(Levels!B:B,A252)</f>
        <v>4</v>
      </c>
      <c r="C252" s="6">
        <f>IFERROR(AVERAGEIF(Levels!B:B,A252,Levels!E:E),0)</f>
        <v>12.094999999999999</v>
      </c>
      <c r="D252" s="6">
        <f>IFERROR(AVERAGEIF(Levels!B:B,A252,Levels!F:F),0)</f>
        <v>5.8774999999999995</v>
      </c>
      <c r="E252" s="6">
        <f>_xlfn.MAXIFS(Levels!E:E,Levels!B:B,A252)</f>
        <v>18.2</v>
      </c>
      <c r="F252" s="6">
        <f>_xlfn.MAXIFS(Levels!F:F,Levels!B:B,A252)</f>
        <v>6.54</v>
      </c>
    </row>
    <row r="253" spans="1:6" x14ac:dyDescent="0.3">
      <c r="A253" t="s">
        <v>1202</v>
      </c>
      <c r="B253" s="9">
        <f>COUNTIF(Levels!B:B,A253)</f>
        <v>1</v>
      </c>
      <c r="C253" s="9">
        <f>IFERROR(AVERAGEIF(Levels!B:B,A253,Levels!E:E),0)</f>
        <v>11.83</v>
      </c>
      <c r="D253" s="9">
        <f>IFERROR(AVERAGEIF(Levels!B:B,A253,Levels!F:F),0)</f>
        <v>6.36</v>
      </c>
      <c r="E253" s="9">
        <f>_xlfn.MAXIFS(Levels!E:E,Levels!B:B,A253)</f>
        <v>11.83</v>
      </c>
      <c r="F253" s="9">
        <f>_xlfn.MAXIFS(Levels!F:F,Levels!B:B,A253)</f>
        <v>6.36</v>
      </c>
    </row>
    <row r="254" spans="1:6" x14ac:dyDescent="0.3">
      <c r="A254" t="s">
        <v>1208</v>
      </c>
      <c r="B254" s="6">
        <f>COUNTIF(Levels!B:B,A254)</f>
        <v>1</v>
      </c>
      <c r="C254" s="6">
        <f>IFERROR(AVERAGEIF(Levels!B:B,A254,Levels!E:E),0)</f>
        <v>8.57</v>
      </c>
      <c r="D254" s="6">
        <f>IFERROR(AVERAGEIF(Levels!B:B,A254,Levels!F:F),0)</f>
        <v>6.2</v>
      </c>
      <c r="E254" s="6">
        <f>_xlfn.MAXIFS(Levels!E:E,Levels!B:B,A254)</f>
        <v>8.57</v>
      </c>
      <c r="F254" s="6">
        <f>_xlfn.MAXIFS(Levels!F:F,Levels!B:B,A254)</f>
        <v>6.2</v>
      </c>
    </row>
    <row r="255" spans="1:6" x14ac:dyDescent="0.3">
      <c r="A255" t="s">
        <v>1210</v>
      </c>
      <c r="B255" s="9">
        <f>COUNTIF(Levels!B:B,A255)</f>
        <v>5</v>
      </c>
      <c r="C255" s="9">
        <f>IFERROR(AVERAGEIF(Levels!B:B,A255,Levels!E:E),0)</f>
        <v>7.604000000000001</v>
      </c>
      <c r="D255" s="9">
        <f>IFERROR(AVERAGEIF(Levels!B:B,A255,Levels!F:F),0)</f>
        <v>6.4539999999999988</v>
      </c>
      <c r="E255" s="9">
        <f>_xlfn.MAXIFS(Levels!E:E,Levels!B:B,A255)</f>
        <v>11.33</v>
      </c>
      <c r="F255" s="9">
        <f>_xlfn.MAXIFS(Levels!F:F,Levels!B:B,A255)</f>
        <v>8.1999999999999993</v>
      </c>
    </row>
    <row r="256" spans="1:6" x14ac:dyDescent="0.3">
      <c r="A256" t="s">
        <v>1215</v>
      </c>
      <c r="B256" s="6">
        <f>COUNTIF(Levels!B:B,A256)</f>
        <v>4</v>
      </c>
      <c r="C256" s="6">
        <f>IFERROR(AVERAGEIF(Levels!B:B,A256,Levels!E:E),0)</f>
        <v>6.0575000000000001</v>
      </c>
      <c r="D256" s="6">
        <f>IFERROR(AVERAGEIF(Levels!B:B,A256,Levels!F:F),0)</f>
        <v>5.2125000000000004</v>
      </c>
      <c r="E256" s="6">
        <f>_xlfn.MAXIFS(Levels!E:E,Levels!B:B,A256)</f>
        <v>7.11</v>
      </c>
      <c r="F256" s="6">
        <f>_xlfn.MAXIFS(Levels!F:F,Levels!B:B,A256)</f>
        <v>6.53</v>
      </c>
    </row>
    <row r="257" spans="1:6" x14ac:dyDescent="0.3">
      <c r="A257" t="s">
        <v>1217</v>
      </c>
      <c r="B257" s="9">
        <f>COUNTIF(Levels!B:B,A257)</f>
        <v>3</v>
      </c>
      <c r="C257" s="9">
        <f>IFERROR(AVERAGEIF(Levels!B:B,A257,Levels!E:E),0)</f>
        <v>10.926666666666668</v>
      </c>
      <c r="D257" s="9">
        <f>IFERROR(AVERAGEIF(Levels!B:B,A257,Levels!F:F),0)</f>
        <v>5.0100000000000007</v>
      </c>
      <c r="E257" s="9">
        <f>_xlfn.MAXIFS(Levels!E:E,Levels!B:B,A257)</f>
        <v>12.38</v>
      </c>
      <c r="F257" s="9">
        <f>_xlfn.MAXIFS(Levels!F:F,Levels!B:B,A257)</f>
        <v>5.5</v>
      </c>
    </row>
    <row r="258" spans="1:6" x14ac:dyDescent="0.3">
      <c r="A258" t="s">
        <v>1219</v>
      </c>
      <c r="B258" s="6">
        <f>COUNTIF(Levels!B:B,A258)</f>
        <v>4</v>
      </c>
      <c r="C258" s="6">
        <f>IFERROR(AVERAGEIF(Levels!B:B,A258,Levels!E:E),0)</f>
        <v>12.1325</v>
      </c>
      <c r="D258" s="6">
        <f>IFERROR(AVERAGEIF(Levels!B:B,A258,Levels!F:F),0)</f>
        <v>5.7</v>
      </c>
      <c r="E258" s="6">
        <f>_xlfn.MAXIFS(Levels!E:E,Levels!B:B,A258)</f>
        <v>21.79</v>
      </c>
      <c r="F258" s="6">
        <f>_xlfn.MAXIFS(Levels!F:F,Levels!B:B,A258)</f>
        <v>6.14</v>
      </c>
    </row>
    <row r="259" spans="1:6" x14ac:dyDescent="0.3">
      <c r="A259" t="s">
        <v>1223</v>
      </c>
      <c r="B259" s="9">
        <f>COUNTIF(Levels!B:B,A259)</f>
        <v>4</v>
      </c>
      <c r="C259" s="9">
        <f>IFERROR(AVERAGEIF(Levels!B:B,A259,Levels!E:E),0)</f>
        <v>12.855</v>
      </c>
      <c r="D259" s="9">
        <f>IFERROR(AVERAGEIF(Levels!B:B,A259,Levels!F:F),0)</f>
        <v>6.5449999999999999</v>
      </c>
      <c r="E259" s="9">
        <f>_xlfn.MAXIFS(Levels!E:E,Levels!B:B,A259)</f>
        <v>14.22</v>
      </c>
      <c r="F259" s="9">
        <f>_xlfn.MAXIFS(Levels!F:F,Levels!B:B,A259)</f>
        <v>7.67</v>
      </c>
    </row>
    <row r="260" spans="1:6" x14ac:dyDescent="0.3">
      <c r="A260" t="s">
        <v>1227</v>
      </c>
      <c r="B260" s="6">
        <f>COUNTIF(Levels!B:B,A260)</f>
        <v>17</v>
      </c>
      <c r="C260" s="6">
        <f>IFERROR(AVERAGEIF(Levels!B:B,A260,Levels!E:E),0)</f>
        <v>13.398749999999998</v>
      </c>
      <c r="D260" s="6">
        <f>IFERROR(AVERAGEIF(Levels!B:B,A260,Levels!F:F),0)</f>
        <v>6.5299999999999994</v>
      </c>
      <c r="E260" s="6">
        <f>_xlfn.MAXIFS(Levels!E:E,Levels!B:B,A260)</f>
        <v>26.9</v>
      </c>
      <c r="F260" s="6">
        <f>_xlfn.MAXIFS(Levels!F:F,Levels!B:B,A260)</f>
        <v>7.63</v>
      </c>
    </row>
    <row r="261" spans="1:6" x14ac:dyDescent="0.3">
      <c r="A261" t="s">
        <v>1230</v>
      </c>
      <c r="B261" s="9">
        <f>COUNTIF(Levels!B:B,A261)</f>
        <v>6</v>
      </c>
      <c r="C261" s="9">
        <f>IFERROR(AVERAGEIF(Levels!B:B,A261,Levels!E:E),0)</f>
        <v>7.424999999999998</v>
      </c>
      <c r="D261" s="9">
        <f>IFERROR(AVERAGEIF(Levels!B:B,A261,Levels!F:F),0)</f>
        <v>6.2299999999999995</v>
      </c>
      <c r="E261" s="9">
        <f>_xlfn.MAXIFS(Levels!E:E,Levels!B:B,A261)</f>
        <v>11.78</v>
      </c>
      <c r="F261" s="9">
        <f>_xlfn.MAXIFS(Levels!F:F,Levels!B:B,A261)</f>
        <v>7.64</v>
      </c>
    </row>
    <row r="262" spans="1:6" x14ac:dyDescent="0.3">
      <c r="A262" t="s">
        <v>1233</v>
      </c>
      <c r="B262" s="6">
        <f>COUNTIF(Levels!B:B,A262)</f>
        <v>2</v>
      </c>
      <c r="C262" s="6">
        <f>IFERROR(AVERAGEIF(Levels!B:B,A262,Levels!E:E),0)</f>
        <v>4.5600000000000005</v>
      </c>
      <c r="D262" s="6">
        <f>IFERROR(AVERAGEIF(Levels!B:B,A262,Levels!F:F),0)</f>
        <v>6.2149999999999999</v>
      </c>
      <c r="E262" s="6">
        <f>_xlfn.MAXIFS(Levels!E:E,Levels!B:B,A262)</f>
        <v>4.82</v>
      </c>
      <c r="F262" s="6">
        <f>_xlfn.MAXIFS(Levels!F:F,Levels!B:B,A262)</f>
        <v>6.43</v>
      </c>
    </row>
    <row r="263" spans="1:6" x14ac:dyDescent="0.3">
      <c r="A263" t="s">
        <v>1235</v>
      </c>
      <c r="B263" s="9">
        <f>COUNTIF(Levels!B:B,A263)</f>
        <v>2</v>
      </c>
      <c r="C263" s="9">
        <f>IFERROR(AVERAGEIF(Levels!B:B,A263,Levels!E:E),0)</f>
        <v>18.555</v>
      </c>
      <c r="D263" s="9">
        <f>IFERROR(AVERAGEIF(Levels!B:B,A263,Levels!F:F),0)</f>
        <v>3.74</v>
      </c>
      <c r="E263" s="9">
        <f>_xlfn.MAXIFS(Levels!E:E,Levels!B:B,A263)</f>
        <v>20.11</v>
      </c>
      <c r="F263" s="9">
        <f>_xlfn.MAXIFS(Levels!F:F,Levels!B:B,A263)</f>
        <v>4.33</v>
      </c>
    </row>
    <row r="264" spans="1:6" x14ac:dyDescent="0.3">
      <c r="A264" t="s">
        <v>1238</v>
      </c>
      <c r="B264" s="6">
        <f>COUNTIF(Levels!B:B,A264)</f>
        <v>4</v>
      </c>
      <c r="C264" s="6">
        <f>IFERROR(AVERAGEIF(Levels!B:B,A264,Levels!E:E),0)</f>
        <v>18.23</v>
      </c>
      <c r="D264" s="6">
        <f>IFERROR(AVERAGEIF(Levels!B:B,A264,Levels!F:F),0)</f>
        <v>5.15</v>
      </c>
      <c r="E264" s="6">
        <f>_xlfn.MAXIFS(Levels!E:E,Levels!B:B,A264)</f>
        <v>25.98</v>
      </c>
      <c r="F264" s="6">
        <f>_xlfn.MAXIFS(Levels!F:F,Levels!B:B,A264)</f>
        <v>6.78</v>
      </c>
    </row>
    <row r="265" spans="1:6" x14ac:dyDescent="0.3">
      <c r="A265" t="s">
        <v>1244</v>
      </c>
      <c r="B265" s="9">
        <f>COUNTIF(Levels!B:B,A265)</f>
        <v>6</v>
      </c>
      <c r="C265" s="9">
        <f>IFERROR(AVERAGEIF(Levels!B:B,A265,Levels!E:E),0)</f>
        <v>13.618333333333332</v>
      </c>
      <c r="D265" s="9">
        <f>IFERROR(AVERAGEIF(Levels!B:B,A265,Levels!F:F),0)</f>
        <v>6.2383333333333342</v>
      </c>
      <c r="E265" s="9">
        <f>_xlfn.MAXIFS(Levels!E:E,Levels!B:B,A265)</f>
        <v>19.690000000000001</v>
      </c>
      <c r="F265" s="9">
        <f>_xlfn.MAXIFS(Levels!F:F,Levels!B:B,A265)</f>
        <v>7.8</v>
      </c>
    </row>
    <row r="266" spans="1:6" x14ac:dyDescent="0.3">
      <c r="A266" t="s">
        <v>1250</v>
      </c>
      <c r="B266" s="6">
        <f>COUNTIF(Levels!B:B,A266)</f>
        <v>1</v>
      </c>
      <c r="C266" s="6">
        <f>IFERROR(AVERAGEIF(Levels!B:B,A266,Levels!E:E),0)</f>
        <v>14.66</v>
      </c>
      <c r="D266" s="6">
        <f>IFERROR(AVERAGEIF(Levels!B:B,A266,Levels!F:F),0)</f>
        <v>4.4400000000000004</v>
      </c>
      <c r="E266" s="6">
        <f>_xlfn.MAXIFS(Levels!E:E,Levels!B:B,A266)</f>
        <v>14.66</v>
      </c>
      <c r="F266" s="6">
        <f>_xlfn.MAXIFS(Levels!F:F,Levels!B:B,A266)</f>
        <v>4.4400000000000004</v>
      </c>
    </row>
    <row r="267" spans="1:6" x14ac:dyDescent="0.3">
      <c r="A267" t="s">
        <v>1253</v>
      </c>
      <c r="B267" s="9">
        <f>COUNTIF(Levels!B:B,A267)</f>
        <v>1</v>
      </c>
      <c r="C267" s="9">
        <f>IFERROR(AVERAGEIF(Levels!B:B,A267,Levels!E:E),0)</f>
        <v>3.85</v>
      </c>
      <c r="D267" s="9">
        <f>IFERROR(AVERAGEIF(Levels!B:B,A267,Levels!F:F),0)</f>
        <v>6.72</v>
      </c>
      <c r="E267" s="9">
        <f>_xlfn.MAXIFS(Levels!E:E,Levels!B:B,A267)</f>
        <v>3.85</v>
      </c>
      <c r="F267" s="9">
        <f>_xlfn.MAXIFS(Levels!F:F,Levels!B:B,A267)</f>
        <v>6.72</v>
      </c>
    </row>
    <row r="268" spans="1:6" x14ac:dyDescent="0.3">
      <c r="A268" t="s">
        <v>1259</v>
      </c>
      <c r="B268" s="6">
        <f>COUNTIF(Levels!B:B,A268)</f>
        <v>14</v>
      </c>
      <c r="C268" s="6">
        <f>IFERROR(AVERAGEIF(Levels!B:B,A268,Levels!E:E),0)</f>
        <v>11.836428571428572</v>
      </c>
      <c r="D268" s="6">
        <f>IFERROR(AVERAGEIF(Levels!B:B,A268,Levels!F:F),0)</f>
        <v>6.3928571428571415</v>
      </c>
      <c r="E268" s="6">
        <f>_xlfn.MAXIFS(Levels!E:E,Levels!B:B,A268)</f>
        <v>18.02</v>
      </c>
      <c r="F268" s="6">
        <f>_xlfn.MAXIFS(Levels!F:F,Levels!B:B,A268)</f>
        <v>7.64</v>
      </c>
    </row>
    <row r="269" spans="1:6" x14ac:dyDescent="0.3">
      <c r="A269" t="s">
        <v>1262</v>
      </c>
      <c r="B269" s="9">
        <f>COUNTIF(Levels!B:B,A269)</f>
        <v>2</v>
      </c>
      <c r="C269" s="9">
        <f>IFERROR(AVERAGEIF(Levels!B:B,A269,Levels!E:E),0)</f>
        <v>16.850000000000001</v>
      </c>
      <c r="D269" s="9">
        <f>IFERROR(AVERAGEIF(Levels!B:B,A269,Levels!F:F),0)</f>
        <v>6.57</v>
      </c>
      <c r="E269" s="9">
        <f>_xlfn.MAXIFS(Levels!E:E,Levels!B:B,A269)</f>
        <v>17.82</v>
      </c>
      <c r="F269" s="9">
        <f>_xlfn.MAXIFS(Levels!F:F,Levels!B:B,A269)</f>
        <v>6.67</v>
      </c>
    </row>
    <row r="270" spans="1:6" x14ac:dyDescent="0.3">
      <c r="A270" t="s">
        <v>1265</v>
      </c>
      <c r="B270" s="6">
        <f>COUNTIF(Levels!B:B,A270)</f>
        <v>23</v>
      </c>
      <c r="C270" s="6">
        <f>IFERROR(AVERAGEIF(Levels!B:B,A270,Levels!E:E),0)</f>
        <v>19.190000000000001</v>
      </c>
      <c r="D270" s="6">
        <f>IFERROR(AVERAGEIF(Levels!B:B,A270,Levels!F:F),0)</f>
        <v>7.0517391304347825</v>
      </c>
      <c r="E270" s="6">
        <f>_xlfn.MAXIFS(Levels!E:E,Levels!B:B,A270)</f>
        <v>29.17</v>
      </c>
      <c r="F270" s="6">
        <f>_xlfn.MAXIFS(Levels!F:F,Levels!B:B,A270)</f>
        <v>8.83</v>
      </c>
    </row>
    <row r="271" spans="1:6" x14ac:dyDescent="0.3">
      <c r="A271" t="s">
        <v>1271</v>
      </c>
      <c r="B271" s="9">
        <f>COUNTIF(Levels!B:B,A271)</f>
        <v>1</v>
      </c>
      <c r="C271" s="9">
        <f>IFERROR(AVERAGEIF(Levels!B:B,A271,Levels!E:E),0)</f>
        <v>12.33</v>
      </c>
      <c r="D271" s="9">
        <f>IFERROR(AVERAGEIF(Levels!B:B,A271,Levels!F:F),0)</f>
        <v>4</v>
      </c>
      <c r="E271" s="9">
        <f>_xlfn.MAXIFS(Levels!E:E,Levels!B:B,A271)</f>
        <v>12.33</v>
      </c>
      <c r="F271" s="9">
        <f>_xlfn.MAXIFS(Levels!F:F,Levels!B:B,A271)</f>
        <v>4</v>
      </c>
    </row>
    <row r="272" spans="1:6" x14ac:dyDescent="0.3">
      <c r="A272" t="s">
        <v>1273</v>
      </c>
      <c r="B272" s="6">
        <f>COUNTIF(Levels!B:B,A272)</f>
        <v>1</v>
      </c>
      <c r="C272" s="6">
        <f>IFERROR(AVERAGEIF(Levels!B:B,A272,Levels!E:E),0)</f>
        <v>18.98</v>
      </c>
      <c r="D272" s="6">
        <f>IFERROR(AVERAGEIF(Levels!B:B,A272,Levels!F:F),0)</f>
        <v>5.34</v>
      </c>
      <c r="E272" s="6">
        <f>_xlfn.MAXIFS(Levels!E:E,Levels!B:B,A272)</f>
        <v>18.98</v>
      </c>
      <c r="F272" s="6">
        <f>_xlfn.MAXIFS(Levels!F:F,Levels!B:B,A272)</f>
        <v>5.34</v>
      </c>
    </row>
    <row r="273" spans="1:6" x14ac:dyDescent="0.3">
      <c r="A273" t="s">
        <v>1276</v>
      </c>
      <c r="B273" s="9">
        <f>COUNTIF(Levels!B:B,A273)</f>
        <v>14</v>
      </c>
      <c r="C273" s="9">
        <f>IFERROR(AVERAGEIF(Levels!B:B,A273,Levels!E:E),0)</f>
        <v>12.51357142857143</v>
      </c>
      <c r="D273" s="9">
        <f>IFERROR(AVERAGEIF(Levels!B:B,A273,Levels!F:F),0)</f>
        <v>6.6657142857142855</v>
      </c>
      <c r="E273" s="9">
        <f>_xlfn.MAXIFS(Levels!E:E,Levels!B:B,A273)</f>
        <v>27.81</v>
      </c>
      <c r="F273" s="9">
        <f>_xlfn.MAXIFS(Levels!F:F,Levels!B:B,A273)</f>
        <v>8.3000000000000007</v>
      </c>
    </row>
    <row r="274" spans="1:6" x14ac:dyDescent="0.3">
      <c r="A274" t="s">
        <v>1279</v>
      </c>
      <c r="B274" s="6">
        <f>COUNTIF(Levels!B:B,A274)</f>
        <v>4</v>
      </c>
      <c r="C274" s="6">
        <f>IFERROR(AVERAGEIF(Levels!B:B,A274,Levels!E:E),0)</f>
        <v>14.4475</v>
      </c>
      <c r="D274" s="6">
        <f>IFERROR(AVERAGEIF(Levels!B:B,A274,Levels!F:F),0)</f>
        <v>6.7549999999999999</v>
      </c>
      <c r="E274" s="6">
        <f>_xlfn.MAXIFS(Levels!E:E,Levels!B:B,A274)</f>
        <v>18.399999999999999</v>
      </c>
      <c r="F274" s="6">
        <f>_xlfn.MAXIFS(Levels!F:F,Levels!B:B,A274)</f>
        <v>7.8</v>
      </c>
    </row>
    <row r="275" spans="1:6" x14ac:dyDescent="0.3">
      <c r="A275" t="s">
        <v>1281</v>
      </c>
      <c r="B275" s="9">
        <f>COUNTIF(Levels!B:B,A275)</f>
        <v>2</v>
      </c>
      <c r="C275" s="9">
        <f>IFERROR(AVERAGEIF(Levels!B:B,A275,Levels!E:E),0)</f>
        <v>11.995000000000001</v>
      </c>
      <c r="D275" s="9">
        <f>IFERROR(AVERAGEIF(Levels!B:B,A275,Levels!F:F),0)</f>
        <v>5.8049999999999997</v>
      </c>
      <c r="E275" s="9">
        <f>_xlfn.MAXIFS(Levels!E:E,Levels!B:B,A275)</f>
        <v>15.86</v>
      </c>
      <c r="F275" s="9">
        <f>_xlfn.MAXIFS(Levels!F:F,Levels!B:B,A275)</f>
        <v>6</v>
      </c>
    </row>
    <row r="276" spans="1:6" x14ac:dyDescent="0.3">
      <c r="A276" t="s">
        <v>1285</v>
      </c>
      <c r="B276" s="6">
        <f>COUNTIF(Levels!B:B,A276)</f>
        <v>3</v>
      </c>
      <c r="C276" s="6">
        <f>IFERROR(AVERAGEIF(Levels!B:B,A276,Levels!E:E),0)</f>
        <v>21.486666666666665</v>
      </c>
      <c r="D276" s="6">
        <f>IFERROR(AVERAGEIF(Levels!B:B,A276,Levels!F:F),0)</f>
        <v>7.4366666666666665</v>
      </c>
      <c r="E276" s="6">
        <f>_xlfn.MAXIFS(Levels!E:E,Levels!B:B,A276)</f>
        <v>26</v>
      </c>
      <c r="F276" s="6">
        <f>_xlfn.MAXIFS(Levels!F:F,Levels!B:B,A276)</f>
        <v>7.7</v>
      </c>
    </row>
    <row r="277" spans="1:6" x14ac:dyDescent="0.3">
      <c r="A277" t="s">
        <v>1288</v>
      </c>
      <c r="B277" s="9">
        <f>COUNTIF(Levels!B:B,A277)</f>
        <v>2</v>
      </c>
      <c r="C277" s="9">
        <f>IFERROR(AVERAGEIF(Levels!B:B,A277,Levels!E:E),0)</f>
        <v>12.555</v>
      </c>
      <c r="D277" s="9">
        <f>IFERROR(AVERAGEIF(Levels!B:B,A277,Levels!F:F),0)</f>
        <v>7.0649999999999995</v>
      </c>
      <c r="E277" s="9">
        <f>_xlfn.MAXIFS(Levels!E:E,Levels!B:B,A277)</f>
        <v>14.11</v>
      </c>
      <c r="F277" s="9">
        <f>_xlfn.MAXIFS(Levels!F:F,Levels!B:B,A277)</f>
        <v>7.88</v>
      </c>
    </row>
    <row r="278" spans="1:6" x14ac:dyDescent="0.3">
      <c r="A278" t="s">
        <v>1290</v>
      </c>
      <c r="B278" s="6">
        <f>COUNTIF(Levels!B:B,A278)</f>
        <v>1</v>
      </c>
      <c r="C278" s="6">
        <f>IFERROR(AVERAGEIF(Levels!B:B,A278,Levels!E:E),0)</f>
        <v>13</v>
      </c>
      <c r="D278" s="6">
        <f>IFERROR(AVERAGEIF(Levels!B:B,A278,Levels!F:F),0)</f>
        <v>8</v>
      </c>
      <c r="E278" s="6">
        <f>_xlfn.MAXIFS(Levels!E:E,Levels!B:B,A278)</f>
        <v>13</v>
      </c>
      <c r="F278" s="6">
        <f>_xlfn.MAXIFS(Levels!F:F,Levels!B:B,A278)</f>
        <v>8</v>
      </c>
    </row>
    <row r="279" spans="1:6" x14ac:dyDescent="0.3">
      <c r="A279" t="s">
        <v>1292</v>
      </c>
      <c r="B279" s="9">
        <f>COUNTIF(Levels!B:B,A279)</f>
        <v>2</v>
      </c>
      <c r="C279" s="9">
        <f>IFERROR(AVERAGEIF(Levels!B:B,A279,Levels!E:E),0)</f>
        <v>11.355</v>
      </c>
      <c r="D279" s="9">
        <f>IFERROR(AVERAGEIF(Levels!B:B,A279,Levels!F:F),0)</f>
        <v>5.18</v>
      </c>
      <c r="E279" s="9">
        <f>_xlfn.MAXIFS(Levels!E:E,Levels!B:B,A279)</f>
        <v>11.71</v>
      </c>
      <c r="F279" s="9">
        <f>_xlfn.MAXIFS(Levels!F:F,Levels!B:B,A279)</f>
        <v>5.36</v>
      </c>
    </row>
    <row r="280" spans="1:6" x14ac:dyDescent="0.3">
      <c r="A280" t="s">
        <v>1295</v>
      </c>
      <c r="B280" s="6">
        <f>COUNTIF(Levels!B:B,A280)</f>
        <v>1</v>
      </c>
      <c r="C280" s="6">
        <f>IFERROR(AVERAGEIF(Levels!B:B,A280,Levels!E:E),0)</f>
        <v>6.85</v>
      </c>
      <c r="D280" s="6">
        <f>IFERROR(AVERAGEIF(Levels!B:B,A280,Levels!F:F),0)</f>
        <v>5.9</v>
      </c>
      <c r="E280" s="6">
        <f>_xlfn.MAXIFS(Levels!E:E,Levels!B:B,A280)</f>
        <v>6.85</v>
      </c>
      <c r="F280" s="6">
        <f>_xlfn.MAXIFS(Levels!F:F,Levels!B:B,A280)</f>
        <v>5.9</v>
      </c>
    </row>
    <row r="281" spans="1:6" x14ac:dyDescent="0.3">
      <c r="A281" t="s">
        <v>1299</v>
      </c>
      <c r="B281" s="9">
        <f>COUNTIF(Levels!B:B,A281)</f>
        <v>3</v>
      </c>
      <c r="C281" s="9">
        <f>IFERROR(AVERAGEIF(Levels!B:B,A281,Levels!E:E),0)</f>
        <v>25.47</v>
      </c>
      <c r="D281" s="9">
        <f>IFERROR(AVERAGEIF(Levels!B:B,A281,Levels!F:F),0)</f>
        <v>6.666666666666667</v>
      </c>
      <c r="E281" s="9">
        <f>_xlfn.MAXIFS(Levels!E:E,Levels!B:B,A281)</f>
        <v>30</v>
      </c>
      <c r="F281" s="9">
        <f>_xlfn.MAXIFS(Levels!F:F,Levels!B:B,A281)</f>
        <v>8</v>
      </c>
    </row>
    <row r="282" spans="1:6" x14ac:dyDescent="0.3">
      <c r="A282" t="s">
        <v>1305</v>
      </c>
      <c r="B282" s="6">
        <f>COUNTIF(Levels!B:B,A282)</f>
        <v>7</v>
      </c>
      <c r="C282" s="6">
        <f>IFERROR(AVERAGEIF(Levels!B:B,A282,Levels!E:E),0)</f>
        <v>10.552857142857144</v>
      </c>
      <c r="D282" s="6">
        <f>IFERROR(AVERAGEIF(Levels!B:B,A282,Levels!F:F),0)</f>
        <v>6.677142857142857</v>
      </c>
      <c r="E282" s="6">
        <f>_xlfn.MAXIFS(Levels!E:E,Levels!B:B,A282)</f>
        <v>16</v>
      </c>
      <c r="F282" s="6">
        <f>_xlfn.MAXIFS(Levels!F:F,Levels!B:B,A282)</f>
        <v>7.9</v>
      </c>
    </row>
    <row r="283" spans="1:6" x14ac:dyDescent="0.3">
      <c r="A283" t="s">
        <v>1314</v>
      </c>
      <c r="B283" s="9">
        <f>COUNTIF(Levels!B:B,A283)</f>
        <v>1</v>
      </c>
      <c r="C283" s="9">
        <f>IFERROR(AVERAGEIF(Levels!B:B,A283,Levels!E:E),0)</f>
        <v>12.67</v>
      </c>
      <c r="D283" s="9">
        <f>IFERROR(AVERAGEIF(Levels!B:B,A283,Levels!F:F),0)</f>
        <v>4.33</v>
      </c>
      <c r="E283" s="9">
        <f>_xlfn.MAXIFS(Levels!E:E,Levels!B:B,A283)</f>
        <v>12.67</v>
      </c>
      <c r="F283" s="9">
        <f>_xlfn.MAXIFS(Levels!F:F,Levels!B:B,A283)</f>
        <v>4.33</v>
      </c>
    </row>
    <row r="284" spans="1:6" x14ac:dyDescent="0.3">
      <c r="A284" t="s">
        <v>1316</v>
      </c>
      <c r="B284" s="6">
        <f>COUNTIF(Levels!B:B,A284)</f>
        <v>1</v>
      </c>
      <c r="C284" s="6">
        <f>IFERROR(AVERAGEIF(Levels!B:B,A284,Levels!E:E),0)</f>
        <v>13.73</v>
      </c>
      <c r="D284" s="6">
        <f>IFERROR(AVERAGEIF(Levels!B:B,A284,Levels!F:F),0)</f>
        <v>6.85</v>
      </c>
      <c r="E284" s="6">
        <f>_xlfn.MAXIFS(Levels!E:E,Levels!B:B,A284)</f>
        <v>13.73</v>
      </c>
      <c r="F284" s="6">
        <f>_xlfn.MAXIFS(Levels!F:F,Levels!B:B,A284)</f>
        <v>6.85</v>
      </c>
    </row>
    <row r="285" spans="1:6" x14ac:dyDescent="0.3">
      <c r="A285" t="s">
        <v>1319</v>
      </c>
      <c r="B285" s="9">
        <f>COUNTIF(Levels!B:B,A285)</f>
        <v>2</v>
      </c>
      <c r="C285" s="9">
        <f>IFERROR(AVERAGEIF(Levels!B:B,A285,Levels!E:E),0)</f>
        <v>11.594999999999999</v>
      </c>
      <c r="D285" s="9">
        <f>IFERROR(AVERAGEIF(Levels!B:B,A285,Levels!F:F),0)</f>
        <v>4.2750000000000004</v>
      </c>
      <c r="E285" s="9">
        <f>_xlfn.MAXIFS(Levels!E:E,Levels!B:B,A285)</f>
        <v>15.94</v>
      </c>
      <c r="F285" s="9">
        <f>_xlfn.MAXIFS(Levels!F:F,Levels!B:B,A285)</f>
        <v>5.22</v>
      </c>
    </row>
    <row r="286" spans="1:6" x14ac:dyDescent="0.3">
      <c r="A286" t="s">
        <v>1322</v>
      </c>
      <c r="B286" s="6">
        <f>COUNTIF(Levels!B:B,A286)</f>
        <v>7</v>
      </c>
      <c r="C286" s="6">
        <f>IFERROR(AVERAGEIF(Levels!B:B,A286,Levels!E:E),0)</f>
        <v>5.3357142857142863</v>
      </c>
      <c r="D286" s="6">
        <f>IFERROR(AVERAGEIF(Levels!B:B,A286,Levels!F:F),0)</f>
        <v>6.1128571428571439</v>
      </c>
      <c r="E286" s="6">
        <f>_xlfn.MAXIFS(Levels!E:E,Levels!B:B,A286)</f>
        <v>7.24</v>
      </c>
      <c r="F286" s="6">
        <f>_xlfn.MAXIFS(Levels!F:F,Levels!B:B,A286)</f>
        <v>7.28</v>
      </c>
    </row>
    <row r="287" spans="1:6" x14ac:dyDescent="0.3">
      <c r="A287" t="s">
        <v>1325</v>
      </c>
      <c r="B287" s="9">
        <f>COUNTIF(Levels!B:B,A287)</f>
        <v>1</v>
      </c>
      <c r="C287" s="9">
        <f>IFERROR(AVERAGEIF(Levels!B:B,A287,Levels!E:E),0)</f>
        <v>11.84</v>
      </c>
      <c r="D287" s="9">
        <f>IFERROR(AVERAGEIF(Levels!B:B,A287,Levels!F:F),0)</f>
        <v>6.88</v>
      </c>
      <c r="E287" s="9">
        <f>_xlfn.MAXIFS(Levels!E:E,Levels!B:B,A287)</f>
        <v>11.84</v>
      </c>
      <c r="F287" s="9">
        <f>_xlfn.MAXIFS(Levels!F:F,Levels!B:B,A287)</f>
        <v>6.88</v>
      </c>
    </row>
    <row r="288" spans="1:6" x14ac:dyDescent="0.3">
      <c r="A288" t="s">
        <v>1328</v>
      </c>
      <c r="B288" s="6">
        <f>COUNTIF(Levels!B:B,A288)</f>
        <v>1</v>
      </c>
      <c r="C288" s="6">
        <f>IFERROR(AVERAGEIF(Levels!B:B,A288,Levels!E:E),0)</f>
        <v>11</v>
      </c>
      <c r="D288" s="6">
        <f>IFERROR(AVERAGEIF(Levels!B:B,A288,Levels!F:F),0)</f>
        <v>7</v>
      </c>
      <c r="E288" s="6">
        <f>_xlfn.MAXIFS(Levels!E:E,Levels!B:B,A288)</f>
        <v>11</v>
      </c>
      <c r="F288" s="6">
        <f>_xlfn.MAXIFS(Levels!F:F,Levels!B:B,A288)</f>
        <v>7</v>
      </c>
    </row>
    <row r="289" spans="1:6" x14ac:dyDescent="0.3">
      <c r="A289" t="s">
        <v>1331</v>
      </c>
      <c r="B289" s="9">
        <f>COUNTIF(Levels!B:B,A289)</f>
        <v>5</v>
      </c>
      <c r="C289" s="9">
        <f>IFERROR(AVERAGEIF(Levels!B:B,A289,Levels!E:E),0)</f>
        <v>21.942</v>
      </c>
      <c r="D289" s="9">
        <f>IFERROR(AVERAGEIF(Levels!B:B,A289,Levels!F:F),0)</f>
        <v>6.1959999999999997</v>
      </c>
      <c r="E289" s="9">
        <f>_xlfn.MAXIFS(Levels!E:E,Levels!B:B,A289)</f>
        <v>31.96</v>
      </c>
      <c r="F289" s="9">
        <f>_xlfn.MAXIFS(Levels!F:F,Levels!B:B,A289)</f>
        <v>6.9</v>
      </c>
    </row>
    <row r="290" spans="1:6" x14ac:dyDescent="0.3">
      <c r="A290" t="s">
        <v>1334</v>
      </c>
      <c r="B290" s="6">
        <f>COUNTIF(Levels!B:B,A290)</f>
        <v>1</v>
      </c>
      <c r="C290" s="6">
        <f>IFERROR(AVERAGEIF(Levels!B:B,A290,Levels!E:E),0)</f>
        <v>11.99</v>
      </c>
      <c r="D290" s="6">
        <f>IFERROR(AVERAGEIF(Levels!B:B,A290,Levels!F:F),0)</f>
        <v>7</v>
      </c>
      <c r="E290" s="6">
        <f>_xlfn.MAXIFS(Levels!E:E,Levels!B:B,A290)</f>
        <v>11.99</v>
      </c>
      <c r="F290" s="6">
        <f>_xlfn.MAXIFS(Levels!F:F,Levels!B:B,A290)</f>
        <v>7</v>
      </c>
    </row>
    <row r="291" spans="1:6" x14ac:dyDescent="0.3">
      <c r="A291" t="s">
        <v>1338</v>
      </c>
      <c r="B291" s="9">
        <f>COUNTIF(Levels!B:B,A291)</f>
        <v>1</v>
      </c>
      <c r="C291" s="9">
        <f>IFERROR(AVERAGEIF(Levels!B:B,A291,Levels!E:E),0)</f>
        <v>7.22</v>
      </c>
      <c r="D291" s="9">
        <f>IFERROR(AVERAGEIF(Levels!B:B,A291,Levels!F:F),0)</f>
        <v>6.5</v>
      </c>
      <c r="E291" s="9">
        <f>_xlfn.MAXIFS(Levels!E:E,Levels!B:B,A291)</f>
        <v>7.22</v>
      </c>
      <c r="F291" s="9">
        <f>_xlfn.MAXIFS(Levels!F:F,Levels!B:B,A291)</f>
        <v>6.5</v>
      </c>
    </row>
    <row r="292" spans="1:6" x14ac:dyDescent="0.3">
      <c r="A292" t="s">
        <v>1340</v>
      </c>
      <c r="B292" s="6">
        <f>COUNTIF(Levels!B:B,A292)</f>
        <v>1</v>
      </c>
      <c r="C292" s="6">
        <f>IFERROR(AVERAGEIF(Levels!B:B,A292,Levels!E:E),0)</f>
        <v>5.94</v>
      </c>
      <c r="D292" s="6">
        <f>IFERROR(AVERAGEIF(Levels!B:B,A292,Levels!F:F),0)</f>
        <v>5.57</v>
      </c>
      <c r="E292" s="6">
        <f>_xlfn.MAXIFS(Levels!E:E,Levels!B:B,A292)</f>
        <v>5.94</v>
      </c>
      <c r="F292" s="6">
        <f>_xlfn.MAXIFS(Levels!F:F,Levels!B:B,A292)</f>
        <v>5.57</v>
      </c>
    </row>
    <row r="293" spans="1:6" x14ac:dyDescent="0.3">
      <c r="A293" t="s">
        <v>1343</v>
      </c>
      <c r="B293" s="9">
        <f>COUNTIF(Levels!B:B,A293)</f>
        <v>1</v>
      </c>
      <c r="C293" s="9">
        <f>IFERROR(AVERAGEIF(Levels!B:B,A293,Levels!E:E),0)</f>
        <v>4.12</v>
      </c>
      <c r="D293" s="9">
        <f>IFERROR(AVERAGEIF(Levels!B:B,A293,Levels!F:F),0)</f>
        <v>5.39</v>
      </c>
      <c r="E293" s="9">
        <f>_xlfn.MAXIFS(Levels!E:E,Levels!B:B,A293)</f>
        <v>4.12</v>
      </c>
      <c r="F293" s="9">
        <f>_xlfn.MAXIFS(Levels!F:F,Levels!B:B,A293)</f>
        <v>5.39</v>
      </c>
    </row>
    <row r="294" spans="1:6" x14ac:dyDescent="0.3">
      <c r="A294" t="s">
        <v>1345</v>
      </c>
      <c r="B294" s="6">
        <f>COUNTIF(Levels!B:B,A294)</f>
        <v>1</v>
      </c>
      <c r="C294" s="6">
        <f>IFERROR(AVERAGEIF(Levels!B:B,A294,Levels!E:E),0)</f>
        <v>6.07</v>
      </c>
      <c r="D294" s="6">
        <f>IFERROR(AVERAGEIF(Levels!B:B,A294,Levels!F:F),0)</f>
        <v>6.05</v>
      </c>
      <c r="E294" s="6">
        <f>_xlfn.MAXIFS(Levels!E:E,Levels!B:B,A294)</f>
        <v>6.07</v>
      </c>
      <c r="F294" s="6">
        <f>_xlfn.MAXIFS(Levels!F:F,Levels!B:B,A294)</f>
        <v>6.05</v>
      </c>
    </row>
    <row r="295" spans="1:6" x14ac:dyDescent="0.3">
      <c r="A295" t="s">
        <v>1348</v>
      </c>
      <c r="B295" s="9">
        <f>COUNTIF(Levels!B:B,A295)</f>
        <v>1</v>
      </c>
      <c r="C295" s="9">
        <f>IFERROR(AVERAGEIF(Levels!B:B,A295,Levels!E:E),0)</f>
        <v>14.93</v>
      </c>
      <c r="D295" s="9">
        <f>IFERROR(AVERAGEIF(Levels!B:B,A295,Levels!F:F),0)</f>
        <v>4.95</v>
      </c>
      <c r="E295" s="9">
        <f>_xlfn.MAXIFS(Levels!E:E,Levels!B:B,A295)</f>
        <v>14.93</v>
      </c>
      <c r="F295" s="9">
        <f>_xlfn.MAXIFS(Levels!F:F,Levels!B:B,A295)</f>
        <v>4.95</v>
      </c>
    </row>
    <row r="296" spans="1:6" x14ac:dyDescent="0.3">
      <c r="A296" t="s">
        <v>1358</v>
      </c>
      <c r="B296" s="6">
        <f>COUNTIF(Levels!B:B,A296)</f>
        <v>3</v>
      </c>
      <c r="C296" s="6">
        <f>IFERROR(AVERAGEIF(Levels!B:B,A296,Levels!E:E),0)</f>
        <v>11.486666666666666</v>
      </c>
      <c r="D296" s="6">
        <f>IFERROR(AVERAGEIF(Levels!B:B,A296,Levels!F:F),0)</f>
        <v>7.6733333333333329</v>
      </c>
      <c r="E296" s="6">
        <f>_xlfn.MAXIFS(Levels!E:E,Levels!B:B,A296)</f>
        <v>26.03</v>
      </c>
      <c r="F296" s="6">
        <f>_xlfn.MAXIFS(Levels!F:F,Levels!B:B,A296)</f>
        <v>8.2899999999999991</v>
      </c>
    </row>
    <row r="297" spans="1:6" x14ac:dyDescent="0.3">
      <c r="A297" t="s">
        <v>1361</v>
      </c>
      <c r="B297" s="9">
        <f>COUNTIF(Levels!B:B,A297)</f>
        <v>5</v>
      </c>
      <c r="C297" s="9">
        <f>IFERROR(AVERAGEIF(Levels!B:B,A297,Levels!E:E),0)</f>
        <v>6.3860000000000001</v>
      </c>
      <c r="D297" s="9">
        <f>IFERROR(AVERAGEIF(Levels!B:B,A297,Levels!F:F),0)</f>
        <v>7.4120000000000008</v>
      </c>
      <c r="E297" s="9">
        <f>_xlfn.MAXIFS(Levels!E:E,Levels!B:B,A297)</f>
        <v>13.67</v>
      </c>
      <c r="F297" s="9">
        <f>_xlfn.MAXIFS(Levels!F:F,Levels!B:B,A297)</f>
        <v>7.91</v>
      </c>
    </row>
    <row r="298" spans="1:6" x14ac:dyDescent="0.3">
      <c r="A298" t="s">
        <v>1363</v>
      </c>
      <c r="B298" s="6">
        <f>COUNTIF(Levels!B:B,A298)</f>
        <v>1</v>
      </c>
      <c r="C298" s="6">
        <f>IFERROR(AVERAGEIF(Levels!B:B,A298,Levels!E:E),0)</f>
        <v>8.67</v>
      </c>
      <c r="D298" s="6">
        <f>IFERROR(AVERAGEIF(Levels!B:B,A298,Levels!F:F),0)</f>
        <v>6.75</v>
      </c>
      <c r="E298" s="6">
        <f>_xlfn.MAXIFS(Levels!E:E,Levels!B:B,A298)</f>
        <v>8.67</v>
      </c>
      <c r="F298" s="6">
        <f>_xlfn.MAXIFS(Levels!F:F,Levels!B:B,A298)</f>
        <v>6.75</v>
      </c>
    </row>
    <row r="299" spans="1:6" x14ac:dyDescent="0.3">
      <c r="A299" t="s">
        <v>1367</v>
      </c>
      <c r="B299" s="9">
        <f>COUNTIF(Levels!B:B,A299)</f>
        <v>1</v>
      </c>
      <c r="C299" s="9">
        <f>IFERROR(AVERAGEIF(Levels!B:B,A299,Levels!E:E),0)</f>
        <v>3.23</v>
      </c>
      <c r="D299" s="9">
        <f>IFERROR(AVERAGEIF(Levels!B:B,A299,Levels!F:F),0)</f>
        <v>5.7</v>
      </c>
      <c r="E299" s="9">
        <f>_xlfn.MAXIFS(Levels!E:E,Levels!B:B,A299)</f>
        <v>3.23</v>
      </c>
      <c r="F299" s="9">
        <f>_xlfn.MAXIFS(Levels!F:F,Levels!B:B,A299)</f>
        <v>5.7</v>
      </c>
    </row>
    <row r="300" spans="1:6" x14ac:dyDescent="0.3">
      <c r="A300" t="s">
        <v>1372</v>
      </c>
      <c r="B300" s="6">
        <f>COUNTIF(Levels!B:B,A300)</f>
        <v>1</v>
      </c>
      <c r="C300" s="6">
        <f>IFERROR(AVERAGEIF(Levels!B:B,A300,Levels!E:E),0)</f>
        <v>12.17</v>
      </c>
      <c r="D300" s="6">
        <f>IFERROR(AVERAGEIF(Levels!B:B,A300,Levels!F:F),0)</f>
        <v>4.71</v>
      </c>
      <c r="E300" s="6">
        <f>_xlfn.MAXIFS(Levels!E:E,Levels!B:B,A300)</f>
        <v>12.17</v>
      </c>
      <c r="F300" s="6">
        <f>_xlfn.MAXIFS(Levels!F:F,Levels!B:B,A300)</f>
        <v>4.71</v>
      </c>
    </row>
    <row r="301" spans="1:6" x14ac:dyDescent="0.3">
      <c r="A301" t="s">
        <v>1374</v>
      </c>
      <c r="B301" s="9">
        <f>COUNTIF(Levels!B:B,A301)</f>
        <v>1</v>
      </c>
      <c r="C301" s="9">
        <f>IFERROR(AVERAGEIF(Levels!B:B,A301,Levels!E:E),0)</f>
        <v>15.99</v>
      </c>
      <c r="D301" s="9">
        <f>IFERROR(AVERAGEIF(Levels!B:B,A301,Levels!F:F),0)</f>
        <v>6.25</v>
      </c>
      <c r="E301" s="9">
        <f>_xlfn.MAXIFS(Levels!E:E,Levels!B:B,A301)</f>
        <v>15.99</v>
      </c>
      <c r="F301" s="9">
        <f>_xlfn.MAXIFS(Levels!F:F,Levels!B:B,A301)</f>
        <v>6.25</v>
      </c>
    </row>
    <row r="302" spans="1:6" x14ac:dyDescent="0.3">
      <c r="A302" t="s">
        <v>1378</v>
      </c>
      <c r="B302" s="6">
        <f>COUNTIF(Levels!B:B,A302)</f>
        <v>2</v>
      </c>
      <c r="C302" s="6">
        <f>IFERROR(AVERAGEIF(Levels!B:B,A302,Levels!E:E),0)</f>
        <v>13.4</v>
      </c>
      <c r="D302" s="6">
        <f>IFERROR(AVERAGEIF(Levels!B:B,A302,Levels!F:F),0)</f>
        <v>6.1850000000000005</v>
      </c>
      <c r="E302" s="6">
        <f>_xlfn.MAXIFS(Levels!E:E,Levels!B:B,A302)</f>
        <v>13.8</v>
      </c>
      <c r="F302" s="6">
        <f>_xlfn.MAXIFS(Levels!F:F,Levels!B:B,A302)</f>
        <v>6.67</v>
      </c>
    </row>
    <row r="303" spans="1:6" x14ac:dyDescent="0.3">
      <c r="A303" t="s">
        <v>1380</v>
      </c>
      <c r="B303" s="9">
        <f>COUNTIF(Levels!B:B,A303)</f>
        <v>1</v>
      </c>
      <c r="C303" s="9">
        <f>IFERROR(AVERAGEIF(Levels!B:B,A303,Levels!E:E),0)</f>
        <v>11.08</v>
      </c>
      <c r="D303" s="9">
        <f>IFERROR(AVERAGEIF(Levels!B:B,A303,Levels!F:F),0)</f>
        <v>7.7</v>
      </c>
      <c r="E303" s="9">
        <f>_xlfn.MAXIFS(Levels!E:E,Levels!B:B,A303)</f>
        <v>11.08</v>
      </c>
      <c r="F303" s="9">
        <f>_xlfn.MAXIFS(Levels!F:F,Levels!B:B,A303)</f>
        <v>7.7</v>
      </c>
    </row>
    <row r="304" spans="1:6" x14ac:dyDescent="0.3">
      <c r="A304" t="s">
        <v>342</v>
      </c>
      <c r="B304" s="6">
        <f>COUNTIF(Levels!B:B,A304)</f>
        <v>3</v>
      </c>
      <c r="C304" s="6">
        <f>IFERROR(AVERAGEIF(Levels!B:B,A304,Levels!E:E),0)</f>
        <v>24.366666666666664</v>
      </c>
      <c r="D304" s="6">
        <f>IFERROR(AVERAGEIF(Levels!B:B,A304,Levels!F:F),0)</f>
        <v>5.3999999999999995</v>
      </c>
      <c r="E304" s="6">
        <f>_xlfn.MAXIFS(Levels!E:E,Levels!B:B,A304)</f>
        <v>27.16</v>
      </c>
      <c r="F304" s="6">
        <f>_xlfn.MAXIFS(Levels!F:F,Levels!B:B,A304)</f>
        <v>5.85</v>
      </c>
    </row>
    <row r="305" spans="1:6" x14ac:dyDescent="0.3">
      <c r="A305" t="s">
        <v>1385</v>
      </c>
      <c r="B305" s="9">
        <f>COUNTIF(Levels!B:B,A305)</f>
        <v>7</v>
      </c>
      <c r="C305" s="9">
        <f>IFERROR(AVERAGEIF(Levels!B:B,A305,Levels!E:E),0)</f>
        <v>4.6185714285714283</v>
      </c>
      <c r="D305" s="9">
        <f>IFERROR(AVERAGEIF(Levels!B:B,A305,Levels!F:F),0)</f>
        <v>6.3128571428571423</v>
      </c>
      <c r="E305" s="9">
        <f>_xlfn.MAXIFS(Levels!E:E,Levels!B:B,A305)</f>
        <v>8.25</v>
      </c>
      <c r="F305" s="9">
        <f>_xlfn.MAXIFS(Levels!F:F,Levels!B:B,A305)</f>
        <v>8.43</v>
      </c>
    </row>
    <row r="306" spans="1:6" x14ac:dyDescent="0.3">
      <c r="A306" t="s">
        <v>1394</v>
      </c>
      <c r="B306" s="6">
        <f>COUNTIF(Levels!B:B,A306)</f>
        <v>8</v>
      </c>
      <c r="C306" s="6">
        <f>IFERROR(AVERAGEIF(Levels!B:B,A306,Levels!E:E),0)</f>
        <v>8.40625</v>
      </c>
      <c r="D306" s="6">
        <f>IFERROR(AVERAGEIF(Levels!B:B,A306,Levels!F:F),0)</f>
        <v>7.0687500000000005</v>
      </c>
      <c r="E306" s="6">
        <f>_xlfn.MAXIFS(Levels!E:E,Levels!B:B,A306)</f>
        <v>15.09</v>
      </c>
      <c r="F306" s="6">
        <f>_xlfn.MAXIFS(Levels!F:F,Levels!B:B,A306)</f>
        <v>8.83</v>
      </c>
    </row>
    <row r="307" spans="1:6" x14ac:dyDescent="0.3">
      <c r="A307" t="s">
        <v>1399</v>
      </c>
      <c r="B307" s="9">
        <f>COUNTIF(Levels!B:B,A307)</f>
        <v>1</v>
      </c>
      <c r="C307" s="9">
        <f>IFERROR(AVERAGEIF(Levels!B:B,A307,Levels!E:E),0)</f>
        <v>14.09</v>
      </c>
      <c r="D307" s="9">
        <f>IFERROR(AVERAGEIF(Levels!B:B,A307,Levels!F:F),0)</f>
        <v>4.4800000000000004</v>
      </c>
      <c r="E307" s="9">
        <f>_xlfn.MAXIFS(Levels!E:E,Levels!B:B,A307)</f>
        <v>14.09</v>
      </c>
      <c r="F307" s="9">
        <f>_xlfn.MAXIFS(Levels!F:F,Levels!B:B,A307)</f>
        <v>4.4800000000000004</v>
      </c>
    </row>
    <row r="308" spans="1:6" x14ac:dyDescent="0.3">
      <c r="A308" t="s">
        <v>1403</v>
      </c>
      <c r="B308" s="6">
        <f>COUNTIF(Levels!B:B,A308)</f>
        <v>1</v>
      </c>
      <c r="C308" s="6">
        <f>IFERROR(AVERAGEIF(Levels!B:B,A308,Levels!E:E),0)</f>
        <v>7.39</v>
      </c>
      <c r="D308" s="6">
        <f>IFERROR(AVERAGEIF(Levels!B:B,A308,Levels!F:F),0)</f>
        <v>5.87</v>
      </c>
      <c r="E308" s="6">
        <f>_xlfn.MAXIFS(Levels!E:E,Levels!B:B,A308)</f>
        <v>7.39</v>
      </c>
      <c r="F308" s="6">
        <f>_xlfn.MAXIFS(Levels!F:F,Levels!B:B,A308)</f>
        <v>5.87</v>
      </c>
    </row>
    <row r="309" spans="1:6" x14ac:dyDescent="0.3">
      <c r="A309" t="s">
        <v>1407</v>
      </c>
      <c r="B309" s="9">
        <f>COUNTIF(Levels!B:B,A309)</f>
        <v>2</v>
      </c>
      <c r="C309" s="9">
        <f>IFERROR(AVERAGEIF(Levels!B:B,A309,Levels!E:E),0)</f>
        <v>7.45</v>
      </c>
      <c r="D309" s="9">
        <f>IFERROR(AVERAGEIF(Levels!B:B,A309,Levels!F:F),0)</f>
        <v>5.2850000000000001</v>
      </c>
      <c r="E309" s="9">
        <f>_xlfn.MAXIFS(Levels!E:E,Levels!B:B,A309)</f>
        <v>8.07</v>
      </c>
      <c r="F309" s="9">
        <f>_xlfn.MAXIFS(Levels!F:F,Levels!B:B,A309)</f>
        <v>5.57</v>
      </c>
    </row>
    <row r="310" spans="1:6" x14ac:dyDescent="0.3">
      <c r="A310" t="s">
        <v>1410</v>
      </c>
      <c r="B310" s="6">
        <f>COUNTIF(Levels!B:B,A310)</f>
        <v>1</v>
      </c>
      <c r="C310" s="6">
        <f>IFERROR(AVERAGEIF(Levels!B:B,A310,Levels!E:E),0)</f>
        <v>5.85</v>
      </c>
      <c r="D310" s="6">
        <f>IFERROR(AVERAGEIF(Levels!B:B,A310,Levels!F:F),0)</f>
        <v>7.33</v>
      </c>
      <c r="E310" s="6">
        <f>_xlfn.MAXIFS(Levels!E:E,Levels!B:B,A310)</f>
        <v>5.85</v>
      </c>
      <c r="F310" s="6">
        <f>_xlfn.MAXIFS(Levels!F:F,Levels!B:B,A310)</f>
        <v>7.33</v>
      </c>
    </row>
    <row r="311" spans="1:6" x14ac:dyDescent="0.3">
      <c r="A311" t="s">
        <v>1415</v>
      </c>
      <c r="B311" s="9">
        <f>COUNTIF(Levels!B:B,A311)</f>
        <v>6</v>
      </c>
      <c r="C311" s="9">
        <f>IFERROR(AVERAGEIF(Levels!B:B,A311,Levels!E:E),0)</f>
        <v>10.511666666666667</v>
      </c>
      <c r="D311" s="9">
        <f>IFERROR(AVERAGEIF(Levels!B:B,A311,Levels!F:F),0)</f>
        <v>4.8600000000000003</v>
      </c>
      <c r="E311" s="9">
        <f>_xlfn.MAXIFS(Levels!E:E,Levels!B:B,A311)</f>
        <v>28</v>
      </c>
      <c r="F311" s="9">
        <f>_xlfn.MAXIFS(Levels!F:F,Levels!B:B,A311)</f>
        <v>6.41</v>
      </c>
    </row>
    <row r="312" spans="1:6" x14ac:dyDescent="0.3">
      <c r="A312" t="s">
        <v>1417</v>
      </c>
      <c r="B312" s="6">
        <f>COUNTIF(Levels!B:B,A312)</f>
        <v>3</v>
      </c>
      <c r="C312" s="6">
        <f>IFERROR(AVERAGEIF(Levels!B:B,A312,Levels!E:E),0)</f>
        <v>6.413333333333334</v>
      </c>
      <c r="D312" s="6">
        <f>IFERROR(AVERAGEIF(Levels!B:B,A312,Levels!F:F),0)</f>
        <v>6.6000000000000005</v>
      </c>
      <c r="E312" s="6">
        <f>_xlfn.MAXIFS(Levels!E:E,Levels!B:B,A312)</f>
        <v>9.26</v>
      </c>
      <c r="F312" s="6">
        <f>_xlfn.MAXIFS(Levels!F:F,Levels!B:B,A312)</f>
        <v>7.36</v>
      </c>
    </row>
    <row r="313" spans="1:6" x14ac:dyDescent="0.3">
      <c r="A313" t="s">
        <v>1422</v>
      </c>
      <c r="B313" s="9">
        <f>COUNTIF(Levels!B:B,A313)</f>
        <v>1</v>
      </c>
      <c r="C313" s="9">
        <f>IFERROR(AVERAGEIF(Levels!B:B,A313,Levels!E:E),0)</f>
        <v>6</v>
      </c>
      <c r="D313" s="9">
        <f>IFERROR(AVERAGEIF(Levels!B:B,A313,Levels!F:F),0)</f>
        <v>4</v>
      </c>
      <c r="E313" s="9">
        <f>_xlfn.MAXIFS(Levels!E:E,Levels!B:B,A313)</f>
        <v>6</v>
      </c>
      <c r="F313" s="9">
        <f>_xlfn.MAXIFS(Levels!F:F,Levels!B:B,A313)</f>
        <v>4</v>
      </c>
    </row>
    <row r="314" spans="1:6" x14ac:dyDescent="0.3">
      <c r="A314" t="s">
        <v>1427</v>
      </c>
      <c r="B314" s="6">
        <f>COUNTIF(Levels!B:B,A314)</f>
        <v>1</v>
      </c>
      <c r="C314" s="6">
        <f>IFERROR(AVERAGEIF(Levels!B:B,A314,Levels!E:E),0)</f>
        <v>11.69</v>
      </c>
      <c r="D314" s="6">
        <f>IFERROR(AVERAGEIF(Levels!B:B,A314,Levels!F:F),0)</f>
        <v>4.46</v>
      </c>
      <c r="E314" s="6">
        <f>_xlfn.MAXIFS(Levels!E:E,Levels!B:B,A314)</f>
        <v>11.69</v>
      </c>
      <c r="F314" s="6">
        <f>_xlfn.MAXIFS(Levels!F:F,Levels!B:B,A314)</f>
        <v>4.46</v>
      </c>
    </row>
    <row r="315" spans="1:6" x14ac:dyDescent="0.3">
      <c r="A315" t="s">
        <v>1429</v>
      </c>
      <c r="B315" s="9">
        <f>COUNTIF(Levels!B:B,A315)</f>
        <v>1</v>
      </c>
      <c r="C315" s="9">
        <f>IFERROR(AVERAGEIF(Levels!B:B,A315,Levels!E:E),0)</f>
        <v>17.86</v>
      </c>
      <c r="D315" s="9">
        <f>IFERROR(AVERAGEIF(Levels!B:B,A315,Levels!F:F),0)</f>
        <v>4.38</v>
      </c>
      <c r="E315" s="9">
        <f>_xlfn.MAXIFS(Levels!E:E,Levels!B:B,A315)</f>
        <v>17.86</v>
      </c>
      <c r="F315" s="9">
        <f>_xlfn.MAXIFS(Levels!F:F,Levels!B:B,A315)</f>
        <v>4.38</v>
      </c>
    </row>
    <row r="316" spans="1:6" x14ac:dyDescent="0.3">
      <c r="A316" t="s">
        <v>1432</v>
      </c>
      <c r="B316" s="6">
        <f>COUNTIF(Levels!B:B,A316)</f>
        <v>2</v>
      </c>
      <c r="C316" s="6">
        <f>IFERROR(AVERAGEIF(Levels!B:B,A316,Levels!E:E),0)</f>
        <v>8.7199999999999989</v>
      </c>
      <c r="D316" s="6">
        <f>IFERROR(AVERAGEIF(Levels!B:B,A316,Levels!F:F),0)</f>
        <v>5.58</v>
      </c>
      <c r="E316" s="6">
        <f>_xlfn.MAXIFS(Levels!E:E,Levels!B:B,A316)</f>
        <v>11.54</v>
      </c>
      <c r="F316" s="6">
        <f>_xlfn.MAXIFS(Levels!F:F,Levels!B:B,A316)</f>
        <v>6.25</v>
      </c>
    </row>
    <row r="317" spans="1:6" x14ac:dyDescent="0.3">
      <c r="A317" t="s">
        <v>1438</v>
      </c>
      <c r="B317" s="9">
        <f>COUNTIF(Levels!B:B,A317)</f>
        <v>1</v>
      </c>
      <c r="C317" s="9">
        <f>IFERROR(AVERAGEIF(Levels!B:B,A317,Levels!E:E),0)</f>
        <v>4.03</v>
      </c>
      <c r="D317" s="9">
        <f>IFERROR(AVERAGEIF(Levels!B:B,A317,Levels!F:F),0)</f>
        <v>4.8099999999999996</v>
      </c>
      <c r="E317" s="9">
        <f>_xlfn.MAXIFS(Levels!E:E,Levels!B:B,A317)</f>
        <v>4.03</v>
      </c>
      <c r="F317" s="9">
        <f>_xlfn.MAXIFS(Levels!F:F,Levels!B:B,A317)</f>
        <v>4.8099999999999996</v>
      </c>
    </row>
    <row r="318" spans="1:6" x14ac:dyDescent="0.3">
      <c r="A318" t="s">
        <v>1440</v>
      </c>
      <c r="B318" s="6">
        <f>COUNTIF(Levels!B:B,A318)</f>
        <v>2</v>
      </c>
      <c r="C318" s="6">
        <f>IFERROR(AVERAGEIF(Levels!B:B,A318,Levels!E:E),0)</f>
        <v>14.925000000000001</v>
      </c>
      <c r="D318" s="6">
        <f>IFERROR(AVERAGEIF(Levels!B:B,A318,Levels!F:F),0)</f>
        <v>7.1</v>
      </c>
      <c r="E318" s="6">
        <f>_xlfn.MAXIFS(Levels!E:E,Levels!B:B,A318)</f>
        <v>17.760000000000002</v>
      </c>
      <c r="F318" s="6">
        <f>_xlfn.MAXIFS(Levels!F:F,Levels!B:B,A318)</f>
        <v>8</v>
      </c>
    </row>
    <row r="319" spans="1:6" x14ac:dyDescent="0.3">
      <c r="A319" t="s">
        <v>1443</v>
      </c>
      <c r="B319" s="9">
        <f>COUNTIF(Levels!B:B,A319)</f>
        <v>3</v>
      </c>
      <c r="C319" s="9">
        <f>IFERROR(AVERAGEIF(Levels!B:B,A319,Levels!E:E),0)</f>
        <v>9.3033333333333328</v>
      </c>
      <c r="D319" s="9">
        <f>IFERROR(AVERAGEIF(Levels!B:B,A319,Levels!F:F),0)</f>
        <v>6.1833333333333336</v>
      </c>
      <c r="E319" s="9">
        <f>_xlfn.MAXIFS(Levels!E:E,Levels!B:B,A319)</f>
        <v>17</v>
      </c>
      <c r="F319" s="9">
        <f>_xlfn.MAXIFS(Levels!F:F,Levels!B:B,A319)</f>
        <v>7</v>
      </c>
    </row>
    <row r="320" spans="1:6" x14ac:dyDescent="0.3">
      <c r="A320" t="s">
        <v>1446</v>
      </c>
      <c r="B320" s="6">
        <f>COUNTIF(Levels!B:B,A320)</f>
        <v>2</v>
      </c>
      <c r="C320" s="6">
        <f>IFERROR(AVERAGEIF(Levels!B:B,A320,Levels!E:E),0)</f>
        <v>10.45</v>
      </c>
      <c r="D320" s="6">
        <f>IFERROR(AVERAGEIF(Levels!B:B,A320,Levels!F:F),0)</f>
        <v>5.3100000000000005</v>
      </c>
      <c r="E320" s="6">
        <f>_xlfn.MAXIFS(Levels!E:E,Levels!B:B,A320)</f>
        <v>10.57</v>
      </c>
      <c r="F320" s="6">
        <f>_xlfn.MAXIFS(Levels!F:F,Levels!B:B,A320)</f>
        <v>6.33</v>
      </c>
    </row>
    <row r="321" spans="1:6" x14ac:dyDescent="0.3">
      <c r="A321" t="s">
        <v>1448</v>
      </c>
      <c r="B321" s="9">
        <f>COUNTIF(Levels!B:B,A321)</f>
        <v>1</v>
      </c>
      <c r="C321" s="9">
        <f>IFERROR(AVERAGEIF(Levels!B:B,A321,Levels!E:E),0)</f>
        <v>6.42</v>
      </c>
      <c r="D321" s="9">
        <f>IFERROR(AVERAGEIF(Levels!B:B,A321,Levels!F:F),0)</f>
        <v>5.47</v>
      </c>
      <c r="E321" s="9">
        <f>_xlfn.MAXIFS(Levels!E:E,Levels!B:B,A321)</f>
        <v>6.42</v>
      </c>
      <c r="F321" s="9">
        <f>_xlfn.MAXIFS(Levels!F:F,Levels!B:B,A321)</f>
        <v>5.47</v>
      </c>
    </row>
    <row r="322" spans="1:6" x14ac:dyDescent="0.3">
      <c r="A322" t="s">
        <v>1450</v>
      </c>
      <c r="B322" s="6">
        <f>COUNTIF(Levels!B:B,A322)</f>
        <v>4</v>
      </c>
      <c r="C322" s="6">
        <f>IFERROR(AVERAGEIF(Levels!B:B,A322,Levels!E:E),0)</f>
        <v>8.5625</v>
      </c>
      <c r="D322" s="6">
        <f>IFERROR(AVERAGEIF(Levels!B:B,A322,Levels!F:F),0)</f>
        <v>5.8525</v>
      </c>
      <c r="E322" s="6">
        <f>_xlfn.MAXIFS(Levels!E:E,Levels!B:B,A322)</f>
        <v>14.44</v>
      </c>
      <c r="F322" s="6">
        <f>_xlfn.MAXIFS(Levels!F:F,Levels!B:B,A322)</f>
        <v>7.8</v>
      </c>
    </row>
    <row r="323" spans="1:6" x14ac:dyDescent="0.3">
      <c r="A323" t="s">
        <v>1454</v>
      </c>
      <c r="B323" s="9">
        <f>COUNTIF(Levels!B:B,A323)</f>
        <v>2</v>
      </c>
      <c r="C323" s="9">
        <f>IFERROR(AVERAGEIF(Levels!B:B,A323,Levels!E:E),0)</f>
        <v>18.939999999999998</v>
      </c>
      <c r="D323" s="9">
        <f>IFERROR(AVERAGEIF(Levels!B:B,A323,Levels!F:F),0)</f>
        <v>5.125</v>
      </c>
      <c r="E323" s="9">
        <f>_xlfn.MAXIFS(Levels!E:E,Levels!B:B,A323)</f>
        <v>20.5</v>
      </c>
      <c r="F323" s="9">
        <f>_xlfn.MAXIFS(Levels!F:F,Levels!B:B,A323)</f>
        <v>6</v>
      </c>
    </row>
    <row r="324" spans="1:6" x14ac:dyDescent="0.3">
      <c r="A324" t="s">
        <v>1464</v>
      </c>
      <c r="B324" s="6">
        <f>COUNTIF(Levels!B:B,A324)</f>
        <v>2</v>
      </c>
      <c r="C324" s="6">
        <f>IFERROR(AVERAGEIF(Levels!B:B,A324,Levels!E:E),0)</f>
        <v>11.85</v>
      </c>
      <c r="D324" s="6">
        <f>IFERROR(AVERAGEIF(Levels!B:B,A324,Levels!F:F),0)</f>
        <v>5.98</v>
      </c>
      <c r="E324" s="6">
        <f>_xlfn.MAXIFS(Levels!E:E,Levels!B:B,A324)</f>
        <v>15.75</v>
      </c>
      <c r="F324" s="6">
        <f>_xlfn.MAXIFS(Levels!F:F,Levels!B:B,A324)</f>
        <v>7.71</v>
      </c>
    </row>
    <row r="325" spans="1:6" x14ac:dyDescent="0.3">
      <c r="A325" t="s">
        <v>1470</v>
      </c>
      <c r="B325" s="9">
        <f>COUNTIF(Levels!B:B,A325)</f>
        <v>1</v>
      </c>
      <c r="C325" s="9">
        <f>IFERROR(AVERAGEIF(Levels!B:B,A325,Levels!E:E),0)</f>
        <v>6.4</v>
      </c>
      <c r="D325" s="9">
        <f>IFERROR(AVERAGEIF(Levels!B:B,A325,Levels!F:F),0)</f>
        <v>5.67</v>
      </c>
      <c r="E325" s="9">
        <f>_xlfn.MAXIFS(Levels!E:E,Levels!B:B,A325)</f>
        <v>6.4</v>
      </c>
      <c r="F325" s="9">
        <f>_xlfn.MAXIFS(Levels!F:F,Levels!B:B,A325)</f>
        <v>5.67</v>
      </c>
    </row>
    <row r="326" spans="1:6" x14ac:dyDescent="0.3">
      <c r="A326" t="s">
        <v>1473</v>
      </c>
      <c r="B326" s="6">
        <f>COUNTIF(Levels!B:B,A326)</f>
        <v>1</v>
      </c>
      <c r="C326" s="6">
        <f>IFERROR(AVERAGEIF(Levels!B:B,A326,Levels!E:E),0)</f>
        <v>11.67</v>
      </c>
      <c r="D326" s="6">
        <f>IFERROR(AVERAGEIF(Levels!B:B,A326,Levels!F:F),0)</f>
        <v>6</v>
      </c>
      <c r="E326" s="6">
        <f>_xlfn.MAXIFS(Levels!E:E,Levels!B:B,A326)</f>
        <v>11.67</v>
      </c>
      <c r="F326" s="6">
        <f>_xlfn.MAXIFS(Levels!F:F,Levels!B:B,A326)</f>
        <v>6</v>
      </c>
    </row>
    <row r="327" spans="1:6" x14ac:dyDescent="0.3">
      <c r="A327" t="s">
        <v>1477</v>
      </c>
      <c r="B327" s="9">
        <f>COUNTIF(Levels!B:B,A327)</f>
        <v>29</v>
      </c>
      <c r="C327" s="9">
        <f>IFERROR(AVERAGEIF(Levels!B:B,A327,Levels!E:E),0)</f>
        <v>12.371785714285716</v>
      </c>
      <c r="D327" s="9">
        <f>IFERROR(AVERAGEIF(Levels!B:B,A327,Levels!F:F),0)</f>
        <v>6.2617241379310364</v>
      </c>
      <c r="E327" s="9">
        <f>_xlfn.MAXIFS(Levels!E:E,Levels!B:B,A327)</f>
        <v>24.99</v>
      </c>
      <c r="F327" s="9">
        <f>_xlfn.MAXIFS(Levels!F:F,Levels!B:B,A327)</f>
        <v>8.5</v>
      </c>
    </row>
    <row r="328" spans="1:6" x14ac:dyDescent="0.3">
      <c r="A328" t="s">
        <v>1479</v>
      </c>
      <c r="B328" s="6">
        <f>COUNTIF(Levels!B:B,A328)</f>
        <v>6</v>
      </c>
      <c r="C328" s="6">
        <f>IFERROR(AVERAGEIF(Levels!B:B,A328,Levels!E:E),0)</f>
        <v>11.089999999999998</v>
      </c>
      <c r="D328" s="6">
        <f>IFERROR(AVERAGEIF(Levels!B:B,A328,Levels!F:F),0)</f>
        <v>5.9733333333333336</v>
      </c>
      <c r="E328" s="6">
        <f>_xlfn.MAXIFS(Levels!E:E,Levels!B:B,A328)</f>
        <v>24</v>
      </c>
      <c r="F328" s="6">
        <f>_xlfn.MAXIFS(Levels!F:F,Levels!B:B,A328)</f>
        <v>6.81</v>
      </c>
    </row>
    <row r="329" spans="1:6" x14ac:dyDescent="0.3">
      <c r="A329" t="s">
        <v>1485</v>
      </c>
      <c r="B329" s="9">
        <f>COUNTIF(Levels!B:B,A329)</f>
        <v>6</v>
      </c>
      <c r="C329" s="9">
        <f>IFERROR(AVERAGEIF(Levels!B:B,A329,Levels!E:E),0)</f>
        <v>5.7549999999999999</v>
      </c>
      <c r="D329" s="9">
        <f>IFERROR(AVERAGEIF(Levels!B:B,A329,Levels!F:F),0)</f>
        <v>5.5583333333333327</v>
      </c>
      <c r="E329" s="9">
        <f>_xlfn.MAXIFS(Levels!E:E,Levels!B:B,A329)</f>
        <v>8.86</v>
      </c>
      <c r="F329" s="9">
        <f>_xlfn.MAXIFS(Levels!F:F,Levels!B:B,A329)</f>
        <v>6.43</v>
      </c>
    </row>
    <row r="330" spans="1:6" x14ac:dyDescent="0.3">
      <c r="A330" t="s">
        <v>1487</v>
      </c>
      <c r="B330" s="6">
        <f>COUNTIF(Levels!B:B,A330)</f>
        <v>1</v>
      </c>
      <c r="C330" s="6">
        <f>IFERROR(AVERAGEIF(Levels!B:B,A330,Levels!E:E),0)</f>
        <v>12.43</v>
      </c>
      <c r="D330" s="6">
        <f>IFERROR(AVERAGEIF(Levels!B:B,A330,Levels!F:F),0)</f>
        <v>5.57</v>
      </c>
      <c r="E330" s="6">
        <f>_xlfn.MAXIFS(Levels!E:E,Levels!B:B,A330)</f>
        <v>12.43</v>
      </c>
      <c r="F330" s="6">
        <f>_xlfn.MAXIFS(Levels!F:F,Levels!B:B,A330)</f>
        <v>5.57</v>
      </c>
    </row>
    <row r="331" spans="1:6" x14ac:dyDescent="0.3">
      <c r="A331" t="s">
        <v>1493</v>
      </c>
      <c r="B331" s="9">
        <f>COUNTIF(Levels!B:B,A331)</f>
        <v>2</v>
      </c>
      <c r="C331" s="9">
        <f>IFERROR(AVERAGEIF(Levels!B:B,A331,Levels!E:E),0)</f>
        <v>8.39</v>
      </c>
      <c r="D331" s="9">
        <f>IFERROR(AVERAGEIF(Levels!B:B,A331,Levels!F:F),0)</f>
        <v>6.3049999999999997</v>
      </c>
      <c r="E331" s="9">
        <f>_xlfn.MAXIFS(Levels!E:E,Levels!B:B,A331)</f>
        <v>12.83</v>
      </c>
      <c r="F331" s="9">
        <f>_xlfn.MAXIFS(Levels!F:F,Levels!B:B,A331)</f>
        <v>7</v>
      </c>
    </row>
    <row r="332" spans="1:6" x14ac:dyDescent="0.3">
      <c r="A332" t="s">
        <v>1497</v>
      </c>
      <c r="B332" s="6">
        <f>COUNTIF(Levels!B:B,A332)</f>
        <v>2</v>
      </c>
      <c r="C332" s="6">
        <f>IFERROR(AVERAGEIF(Levels!B:B,A332,Levels!E:E),0)</f>
        <v>8.0250000000000004</v>
      </c>
      <c r="D332" s="6">
        <f>IFERROR(AVERAGEIF(Levels!B:B,A332,Levels!F:F),0)</f>
        <v>6.375</v>
      </c>
      <c r="E332" s="6">
        <f>_xlfn.MAXIFS(Levels!E:E,Levels!B:B,A332)</f>
        <v>9.17</v>
      </c>
      <c r="F332" s="6">
        <f>_xlfn.MAXIFS(Levels!F:F,Levels!B:B,A332)</f>
        <v>6.5</v>
      </c>
    </row>
    <row r="333" spans="1:6" x14ac:dyDescent="0.3">
      <c r="A333" t="s">
        <v>1502</v>
      </c>
      <c r="B333" s="9">
        <f>COUNTIF(Levels!B:B,A333)</f>
        <v>1</v>
      </c>
      <c r="C333" s="9">
        <f>IFERROR(AVERAGEIF(Levels!B:B,A333,Levels!E:E),0)</f>
        <v>12.82</v>
      </c>
      <c r="D333" s="9">
        <f>IFERROR(AVERAGEIF(Levels!B:B,A333,Levels!F:F),0)</f>
        <v>5.0999999999999996</v>
      </c>
      <c r="E333" s="9">
        <f>_xlfn.MAXIFS(Levels!E:E,Levels!B:B,A333)</f>
        <v>12.82</v>
      </c>
      <c r="F333" s="9">
        <f>_xlfn.MAXIFS(Levels!F:F,Levels!B:B,A333)</f>
        <v>5.0999999999999996</v>
      </c>
    </row>
    <row r="334" spans="1:6" x14ac:dyDescent="0.3">
      <c r="A334" t="s">
        <v>1508</v>
      </c>
      <c r="B334" s="6">
        <f>COUNTIF(Levels!B:B,A334)</f>
        <v>1</v>
      </c>
      <c r="C334" s="6">
        <f>IFERROR(AVERAGEIF(Levels!B:B,A334,Levels!E:E),0)</f>
        <v>16.62</v>
      </c>
      <c r="D334" s="6">
        <f>IFERROR(AVERAGEIF(Levels!B:B,A334,Levels!F:F),0)</f>
        <v>4.8099999999999996</v>
      </c>
      <c r="E334" s="6">
        <f>_xlfn.MAXIFS(Levels!E:E,Levels!B:B,A334)</f>
        <v>16.62</v>
      </c>
      <c r="F334" s="6">
        <f>_xlfn.MAXIFS(Levels!F:F,Levels!B:B,A334)</f>
        <v>4.8099999999999996</v>
      </c>
    </row>
    <row r="335" spans="1:6" x14ac:dyDescent="0.3">
      <c r="A335" t="s">
        <v>1513</v>
      </c>
      <c r="B335" s="9">
        <f>COUNTIF(Levels!B:B,A335)</f>
        <v>13</v>
      </c>
      <c r="C335" s="9">
        <f>IFERROR(AVERAGEIF(Levels!B:B,A335,Levels!E:E),0)</f>
        <v>9.1499999999999986</v>
      </c>
      <c r="D335" s="9">
        <f>IFERROR(AVERAGEIF(Levels!B:B,A335,Levels!F:F),0)</f>
        <v>5.5707692307692307</v>
      </c>
      <c r="E335" s="9">
        <f>_xlfn.MAXIFS(Levels!E:E,Levels!B:B,A335)</f>
        <v>26.5</v>
      </c>
      <c r="F335" s="9">
        <f>_xlfn.MAXIFS(Levels!F:F,Levels!B:B,A335)</f>
        <v>6.93</v>
      </c>
    </row>
    <row r="336" spans="1:6" x14ac:dyDescent="0.3">
      <c r="A336" t="s">
        <v>1516</v>
      </c>
      <c r="B336" s="6">
        <f>COUNTIF(Levels!B:B,A336)</f>
        <v>2</v>
      </c>
      <c r="C336" s="6">
        <f>IFERROR(AVERAGEIF(Levels!B:B,A336,Levels!E:E),0)</f>
        <v>13.664999999999999</v>
      </c>
      <c r="D336" s="6">
        <f>IFERROR(AVERAGEIF(Levels!B:B,A336,Levels!F:F),0)</f>
        <v>6.665</v>
      </c>
      <c r="E336" s="6">
        <f>_xlfn.MAXIFS(Levels!E:E,Levels!B:B,A336)</f>
        <v>16</v>
      </c>
      <c r="F336" s="6">
        <f>_xlfn.MAXIFS(Levels!F:F,Levels!B:B,A336)</f>
        <v>7.33</v>
      </c>
    </row>
    <row r="337" spans="1:6" x14ac:dyDescent="0.3">
      <c r="A337" t="s">
        <v>1518</v>
      </c>
      <c r="B337" s="9">
        <f>COUNTIF(Levels!B:B,A337)</f>
        <v>1</v>
      </c>
      <c r="C337" s="9">
        <f>IFERROR(AVERAGEIF(Levels!B:B,A337,Levels!E:E),0)</f>
        <v>11.91</v>
      </c>
      <c r="D337" s="9">
        <f>IFERROR(AVERAGEIF(Levels!B:B,A337,Levels!F:F),0)</f>
        <v>5.17</v>
      </c>
      <c r="E337" s="9">
        <f>_xlfn.MAXIFS(Levels!E:E,Levels!B:B,A337)</f>
        <v>11.91</v>
      </c>
      <c r="F337" s="9">
        <f>_xlfn.MAXIFS(Levels!F:F,Levels!B:B,A337)</f>
        <v>5.17</v>
      </c>
    </row>
    <row r="338" spans="1:6" x14ac:dyDescent="0.3">
      <c r="A338" t="s">
        <v>1520</v>
      </c>
      <c r="B338" s="6">
        <f>COUNTIF(Levels!B:B,A338)</f>
        <v>4</v>
      </c>
      <c r="C338" s="6">
        <f>IFERROR(AVERAGEIF(Levels!B:B,A338,Levels!E:E),0)</f>
        <v>7.7774999999999999</v>
      </c>
      <c r="D338" s="6">
        <f>IFERROR(AVERAGEIF(Levels!B:B,A338,Levels!F:F),0)</f>
        <v>5.5724999999999998</v>
      </c>
      <c r="E338" s="6">
        <f>_xlfn.MAXIFS(Levels!E:E,Levels!B:B,A338)</f>
        <v>11.67</v>
      </c>
      <c r="F338" s="6">
        <f>_xlfn.MAXIFS(Levels!F:F,Levels!B:B,A338)</f>
        <v>7</v>
      </c>
    </row>
    <row r="339" spans="1:6" x14ac:dyDescent="0.3">
      <c r="A339" t="s">
        <v>1524</v>
      </c>
      <c r="B339" s="9">
        <f>COUNTIF(Levels!B:B,A339)</f>
        <v>1</v>
      </c>
      <c r="C339" s="9">
        <f>IFERROR(AVERAGEIF(Levels!B:B,A339,Levels!E:E),0)</f>
        <v>6.66</v>
      </c>
      <c r="D339" s="9">
        <f>IFERROR(AVERAGEIF(Levels!B:B,A339,Levels!F:F),0)</f>
        <v>5.67</v>
      </c>
      <c r="E339" s="9">
        <f>_xlfn.MAXIFS(Levels!E:E,Levels!B:B,A339)</f>
        <v>6.66</v>
      </c>
      <c r="F339" s="9">
        <f>_xlfn.MAXIFS(Levels!F:F,Levels!B:B,A339)</f>
        <v>5.67</v>
      </c>
    </row>
    <row r="340" spans="1:6" x14ac:dyDescent="0.3">
      <c r="A340" t="s">
        <v>1526</v>
      </c>
      <c r="B340" s="6">
        <f>COUNTIF(Levels!B:B,A340)</f>
        <v>1</v>
      </c>
      <c r="C340" s="6">
        <f>IFERROR(AVERAGEIF(Levels!B:B,A340,Levels!E:E),0)</f>
        <v>8.0299999999999994</v>
      </c>
      <c r="D340" s="6">
        <f>IFERROR(AVERAGEIF(Levels!B:B,A340,Levels!F:F),0)</f>
        <v>6.2</v>
      </c>
      <c r="E340" s="6">
        <f>_xlfn.MAXIFS(Levels!E:E,Levels!B:B,A340)</f>
        <v>8.0299999999999994</v>
      </c>
      <c r="F340" s="6">
        <f>_xlfn.MAXIFS(Levels!F:F,Levels!B:B,A340)</f>
        <v>6.2</v>
      </c>
    </row>
    <row r="341" spans="1:6" x14ac:dyDescent="0.3">
      <c r="A341" t="s">
        <v>1530</v>
      </c>
      <c r="B341" s="9">
        <f>COUNTIF(Levels!B:B,A341)</f>
        <v>2</v>
      </c>
      <c r="C341" s="9">
        <f>IFERROR(AVERAGEIF(Levels!B:B,A341,Levels!E:E),0)</f>
        <v>15.51</v>
      </c>
      <c r="D341" s="9">
        <f>IFERROR(AVERAGEIF(Levels!B:B,A341,Levels!F:F),0)</f>
        <v>6.73</v>
      </c>
      <c r="E341" s="9">
        <f>_xlfn.MAXIFS(Levels!E:E,Levels!B:B,A341)</f>
        <v>17.43</v>
      </c>
      <c r="F341" s="9">
        <f>_xlfn.MAXIFS(Levels!F:F,Levels!B:B,A341)</f>
        <v>6.83</v>
      </c>
    </row>
    <row r="342" spans="1:6" x14ac:dyDescent="0.3">
      <c r="A342" t="s">
        <v>1533</v>
      </c>
      <c r="B342" s="6">
        <f>COUNTIF(Levels!B:B,A342)</f>
        <v>2</v>
      </c>
      <c r="C342" s="6">
        <f>IFERROR(AVERAGEIF(Levels!B:B,A342,Levels!E:E),0)</f>
        <v>7.0150000000000006</v>
      </c>
      <c r="D342" s="6">
        <f>IFERROR(AVERAGEIF(Levels!B:B,A342,Levels!F:F),0)</f>
        <v>5.9649999999999999</v>
      </c>
      <c r="E342" s="6">
        <f>_xlfn.MAXIFS(Levels!E:E,Levels!B:B,A342)</f>
        <v>9</v>
      </c>
      <c r="F342" s="6">
        <f>_xlfn.MAXIFS(Levels!F:F,Levels!B:B,A342)</f>
        <v>6.18</v>
      </c>
    </row>
    <row r="343" spans="1:6" x14ac:dyDescent="0.3">
      <c r="A343" t="s">
        <v>1535</v>
      </c>
      <c r="B343" s="9">
        <f>COUNTIF(Levels!B:B,A343)</f>
        <v>1</v>
      </c>
      <c r="C343" s="9">
        <f>IFERROR(AVERAGEIF(Levels!B:B,A343,Levels!E:E),0)</f>
        <v>15.57</v>
      </c>
      <c r="D343" s="9">
        <f>IFERROR(AVERAGEIF(Levels!B:B,A343,Levels!F:F),0)</f>
        <v>5.75</v>
      </c>
      <c r="E343" s="9">
        <f>_xlfn.MAXIFS(Levels!E:E,Levels!B:B,A343)</f>
        <v>15.57</v>
      </c>
      <c r="F343" s="9">
        <f>_xlfn.MAXIFS(Levels!F:F,Levels!B:B,A343)</f>
        <v>5.75</v>
      </c>
    </row>
    <row r="344" spans="1:6" x14ac:dyDescent="0.3">
      <c r="A344" t="s">
        <v>1540</v>
      </c>
      <c r="B344" s="6">
        <f>COUNTIF(Levels!B:B,A344)</f>
        <v>1</v>
      </c>
      <c r="C344" s="6">
        <f>IFERROR(AVERAGEIF(Levels!B:B,A344,Levels!E:E),0)</f>
        <v>15.82</v>
      </c>
      <c r="D344" s="6">
        <f>IFERROR(AVERAGEIF(Levels!B:B,A344,Levels!F:F),0)</f>
        <v>4.2699999999999996</v>
      </c>
      <c r="E344" s="6">
        <f>_xlfn.MAXIFS(Levels!E:E,Levels!B:B,A344)</f>
        <v>15.82</v>
      </c>
      <c r="F344" s="6">
        <f>_xlfn.MAXIFS(Levels!F:F,Levels!B:B,A344)</f>
        <v>4.2699999999999996</v>
      </c>
    </row>
    <row r="345" spans="1:6" x14ac:dyDescent="0.3">
      <c r="A345" t="s">
        <v>1543</v>
      </c>
      <c r="B345" s="9">
        <f>COUNTIF(Levels!B:B,A345)</f>
        <v>2</v>
      </c>
      <c r="C345" s="9">
        <f>IFERROR(AVERAGEIF(Levels!B:B,A345,Levels!E:E),0)</f>
        <v>8.9400000000000013</v>
      </c>
      <c r="D345" s="9">
        <f>IFERROR(AVERAGEIF(Levels!B:B,A345,Levels!F:F),0)</f>
        <v>7.2799999999999994</v>
      </c>
      <c r="E345" s="9">
        <f>_xlfn.MAXIFS(Levels!E:E,Levels!B:B,A345)</f>
        <v>10.38</v>
      </c>
      <c r="F345" s="9">
        <f>_xlfn.MAXIFS(Levels!F:F,Levels!B:B,A345)</f>
        <v>7.89</v>
      </c>
    </row>
    <row r="346" spans="1:6" x14ac:dyDescent="0.3">
      <c r="A346" t="s">
        <v>1547</v>
      </c>
      <c r="B346" s="6">
        <f>COUNTIF(Levels!B:B,A346)</f>
        <v>4</v>
      </c>
      <c r="C346" s="6">
        <f>IFERROR(AVERAGEIF(Levels!B:B,A346,Levels!E:E),0)</f>
        <v>12.2775</v>
      </c>
      <c r="D346" s="6">
        <f>IFERROR(AVERAGEIF(Levels!B:B,A346,Levels!F:F),0)</f>
        <v>6.1450000000000005</v>
      </c>
      <c r="E346" s="6">
        <f>_xlfn.MAXIFS(Levels!E:E,Levels!B:B,A346)</f>
        <v>17.11</v>
      </c>
      <c r="F346" s="6">
        <f>_xlfn.MAXIFS(Levels!F:F,Levels!B:B,A346)</f>
        <v>6.71</v>
      </c>
    </row>
    <row r="347" spans="1:6" x14ac:dyDescent="0.3">
      <c r="A347" t="s">
        <v>1554</v>
      </c>
      <c r="B347" s="9">
        <f>COUNTIF(Levels!B:B,A347)</f>
        <v>7</v>
      </c>
      <c r="C347" s="9">
        <f>IFERROR(AVERAGEIF(Levels!B:B,A347,Levels!E:E),0)</f>
        <v>24.631428571428575</v>
      </c>
      <c r="D347" s="9">
        <f>IFERROR(AVERAGEIF(Levels!B:B,A347,Levels!F:F),0)</f>
        <v>5.7928571428571427</v>
      </c>
      <c r="E347" s="9">
        <f>_xlfn.MAXIFS(Levels!E:E,Levels!B:B,A347)</f>
        <v>32</v>
      </c>
      <c r="F347" s="9">
        <f>_xlfn.MAXIFS(Levels!F:F,Levels!B:B,A347)</f>
        <v>7</v>
      </c>
    </row>
    <row r="348" spans="1:6" x14ac:dyDescent="0.3">
      <c r="A348" t="s">
        <v>1557</v>
      </c>
      <c r="B348" s="6">
        <f>COUNTIF(Levels!B:B,A348)</f>
        <v>2</v>
      </c>
      <c r="C348" s="6">
        <f>IFERROR(AVERAGEIF(Levels!B:B,A348,Levels!E:E),0)</f>
        <v>20.740000000000002</v>
      </c>
      <c r="D348" s="6">
        <f>IFERROR(AVERAGEIF(Levels!B:B,A348,Levels!F:F),0)</f>
        <v>5.4649999999999999</v>
      </c>
      <c r="E348" s="6">
        <f>_xlfn.MAXIFS(Levels!E:E,Levels!B:B,A348)</f>
        <v>28.5</v>
      </c>
      <c r="F348" s="6">
        <f>_xlfn.MAXIFS(Levels!F:F,Levels!B:B,A348)</f>
        <v>6.6</v>
      </c>
    </row>
    <row r="349" spans="1:6" x14ac:dyDescent="0.3">
      <c r="A349" t="s">
        <v>1559</v>
      </c>
      <c r="B349" s="9">
        <f>COUNTIF(Levels!B:B,A349)</f>
        <v>4</v>
      </c>
      <c r="C349" s="9">
        <f>IFERROR(AVERAGEIF(Levels!B:B,A349,Levels!E:E),0)</f>
        <v>5.07</v>
      </c>
      <c r="D349" s="9">
        <f>IFERROR(AVERAGEIF(Levels!B:B,A349,Levels!F:F),0)</f>
        <v>6.0225</v>
      </c>
      <c r="E349" s="9">
        <f>_xlfn.MAXIFS(Levels!E:E,Levels!B:B,A349)</f>
        <v>7</v>
      </c>
      <c r="F349" s="9">
        <f>_xlfn.MAXIFS(Levels!F:F,Levels!B:B,A349)</f>
        <v>6.54</v>
      </c>
    </row>
    <row r="350" spans="1:6" x14ac:dyDescent="0.3">
      <c r="A350" t="s">
        <v>1568</v>
      </c>
      <c r="B350" s="6">
        <f>COUNTIF(Levels!B:B,A350)</f>
        <v>1</v>
      </c>
      <c r="C350" s="6">
        <f>IFERROR(AVERAGEIF(Levels!B:B,A350,Levels!E:E),0)</f>
        <v>11</v>
      </c>
      <c r="D350" s="6">
        <f>IFERROR(AVERAGEIF(Levels!B:B,A350,Levels!F:F),0)</f>
        <v>6.25</v>
      </c>
      <c r="E350" s="6">
        <f>_xlfn.MAXIFS(Levels!E:E,Levels!B:B,A350)</f>
        <v>11</v>
      </c>
      <c r="F350" s="6">
        <f>_xlfn.MAXIFS(Levels!F:F,Levels!B:B,A350)</f>
        <v>6.25</v>
      </c>
    </row>
    <row r="351" spans="1:6" x14ac:dyDescent="0.3">
      <c r="A351" t="s">
        <v>1570</v>
      </c>
      <c r="B351" s="9">
        <f>COUNTIF(Levels!B:B,A351)</f>
        <v>2</v>
      </c>
      <c r="C351" s="9">
        <f>IFERROR(AVERAGEIF(Levels!B:B,A351,Levels!E:E),0)</f>
        <v>8.8350000000000009</v>
      </c>
      <c r="D351" s="9">
        <f>IFERROR(AVERAGEIF(Levels!B:B,A351,Levels!F:F),0)</f>
        <v>4.3550000000000004</v>
      </c>
      <c r="E351" s="9">
        <f>_xlfn.MAXIFS(Levels!E:E,Levels!B:B,A351)</f>
        <v>9.6199999999999992</v>
      </c>
      <c r="F351" s="9">
        <f>_xlfn.MAXIFS(Levels!F:F,Levels!B:B,A351)</f>
        <v>4.71</v>
      </c>
    </row>
    <row r="352" spans="1:6" x14ac:dyDescent="0.3">
      <c r="A352" t="s">
        <v>1572</v>
      </c>
      <c r="B352" s="6">
        <f>COUNTIF(Levels!B:B,A352)</f>
        <v>3</v>
      </c>
      <c r="C352" s="6">
        <f>IFERROR(AVERAGEIF(Levels!B:B,A352,Levels!E:E),0)</f>
        <v>10.660000000000002</v>
      </c>
      <c r="D352" s="6">
        <f>IFERROR(AVERAGEIF(Levels!B:B,A352,Levels!F:F),0)</f>
        <v>5.7399999999999993</v>
      </c>
      <c r="E352" s="6">
        <f>_xlfn.MAXIFS(Levels!E:E,Levels!B:B,A352)</f>
        <v>11.63</v>
      </c>
      <c r="F352" s="6">
        <f>_xlfn.MAXIFS(Levels!F:F,Levels!B:B,A352)</f>
        <v>6</v>
      </c>
    </row>
    <row r="353" spans="1:6" x14ac:dyDescent="0.3">
      <c r="A353" t="s">
        <v>1576</v>
      </c>
      <c r="B353" s="9">
        <f>COUNTIF(Levels!B:B,A353)</f>
        <v>28</v>
      </c>
      <c r="C353" s="9">
        <f>IFERROR(AVERAGEIF(Levels!B:B,A353,Levels!E:E),0)</f>
        <v>8.8411538461538459</v>
      </c>
      <c r="D353" s="9">
        <f>IFERROR(AVERAGEIF(Levels!B:B,A353,Levels!F:F),0)</f>
        <v>6.2432142857142869</v>
      </c>
      <c r="E353" s="9">
        <f>_xlfn.MAXIFS(Levels!E:E,Levels!B:B,A353)</f>
        <v>30</v>
      </c>
      <c r="F353" s="9">
        <f>_xlfn.MAXIFS(Levels!F:F,Levels!B:B,A353)</f>
        <v>7.77</v>
      </c>
    </row>
    <row r="354" spans="1:6" x14ac:dyDescent="0.3">
      <c r="A354" t="s">
        <v>1584</v>
      </c>
      <c r="B354" s="6">
        <f>COUNTIF(Levels!B:B,A354)</f>
        <v>9</v>
      </c>
      <c r="C354" s="6">
        <f>IFERROR(AVERAGEIF(Levels!B:B,A354,Levels!E:E),0)</f>
        <v>16.87222222222222</v>
      </c>
      <c r="D354" s="6">
        <f>IFERROR(AVERAGEIF(Levels!B:B,A354,Levels!F:F),0)</f>
        <v>7.0933333333333337</v>
      </c>
      <c r="E354" s="6">
        <f>_xlfn.MAXIFS(Levels!E:E,Levels!B:B,A354)</f>
        <v>33.33</v>
      </c>
      <c r="F354" s="6">
        <f>_xlfn.MAXIFS(Levels!F:F,Levels!B:B,A354)</f>
        <v>8.17</v>
      </c>
    </row>
    <row r="355" spans="1:6" x14ac:dyDescent="0.3">
      <c r="A355" t="s">
        <v>1587</v>
      </c>
      <c r="B355" s="9">
        <f>COUNTIF(Levels!B:B,A355)</f>
        <v>3</v>
      </c>
      <c r="C355" s="9">
        <f>IFERROR(AVERAGEIF(Levels!B:B,A355,Levels!E:E),0)</f>
        <v>10.483333333333333</v>
      </c>
      <c r="D355" s="9">
        <f>IFERROR(AVERAGEIF(Levels!B:B,A355,Levels!F:F),0)</f>
        <v>4.3466666666666667</v>
      </c>
      <c r="E355" s="9">
        <f>_xlfn.MAXIFS(Levels!E:E,Levels!B:B,A355)</f>
        <v>22.18</v>
      </c>
      <c r="F355" s="9">
        <f>_xlfn.MAXIFS(Levels!F:F,Levels!B:B,A355)</f>
        <v>4.82</v>
      </c>
    </row>
    <row r="356" spans="1:6" x14ac:dyDescent="0.3">
      <c r="A356" t="s">
        <v>1589</v>
      </c>
      <c r="B356" s="6">
        <f>COUNTIF(Levels!B:B,A356)</f>
        <v>23</v>
      </c>
      <c r="C356" s="6">
        <f>IFERROR(AVERAGEIF(Levels!B:B,A356,Levels!E:E),0)</f>
        <v>9.0604347826086951</v>
      </c>
      <c r="D356" s="6">
        <f>IFERROR(AVERAGEIF(Levels!B:B,A356,Levels!F:F),0)</f>
        <v>5.8686956521739129</v>
      </c>
      <c r="E356" s="6">
        <f>_xlfn.MAXIFS(Levels!E:E,Levels!B:B,A356)</f>
        <v>28</v>
      </c>
      <c r="F356" s="6">
        <f>_xlfn.MAXIFS(Levels!F:F,Levels!B:B,A356)</f>
        <v>8.67</v>
      </c>
    </row>
    <row r="357" spans="1:6" x14ac:dyDescent="0.3">
      <c r="A357" t="s">
        <v>1591</v>
      </c>
      <c r="B357" s="9">
        <f>COUNTIF(Levels!B:B,A357)</f>
        <v>1</v>
      </c>
      <c r="C357" s="9">
        <f>IFERROR(AVERAGEIF(Levels!B:B,A357,Levels!E:E),0)</f>
        <v>18.82</v>
      </c>
      <c r="D357" s="9">
        <f>IFERROR(AVERAGEIF(Levels!B:B,A357,Levels!F:F),0)</f>
        <v>7</v>
      </c>
      <c r="E357" s="9">
        <f>_xlfn.MAXIFS(Levels!E:E,Levels!B:B,A357)</f>
        <v>18.82</v>
      </c>
      <c r="F357" s="9">
        <f>_xlfn.MAXIFS(Levels!F:F,Levels!B:B,A357)</f>
        <v>7</v>
      </c>
    </row>
    <row r="358" spans="1:6" x14ac:dyDescent="0.3">
      <c r="A358" t="s">
        <v>1597</v>
      </c>
      <c r="B358" s="6">
        <f>COUNTIF(Levels!B:B,A358)</f>
        <v>2</v>
      </c>
      <c r="C358" s="6">
        <f>IFERROR(AVERAGEIF(Levels!B:B,A358,Levels!E:E),0)</f>
        <v>12.08</v>
      </c>
      <c r="D358" s="6">
        <f>IFERROR(AVERAGEIF(Levels!B:B,A358,Levels!F:F),0)</f>
        <v>6.79</v>
      </c>
      <c r="E358" s="6">
        <f>_xlfn.MAXIFS(Levels!E:E,Levels!B:B,A358)</f>
        <v>13</v>
      </c>
      <c r="F358" s="6">
        <f>_xlfn.MAXIFS(Levels!F:F,Levels!B:B,A358)</f>
        <v>7.08</v>
      </c>
    </row>
    <row r="359" spans="1:6" x14ac:dyDescent="0.3">
      <c r="A359" t="s">
        <v>1600</v>
      </c>
      <c r="B359" s="9">
        <f>COUNTIF(Levels!B:B,A359)</f>
        <v>1</v>
      </c>
      <c r="C359" s="9">
        <f>IFERROR(AVERAGEIF(Levels!B:B,A359,Levels!E:E),0)</f>
        <v>6.22</v>
      </c>
      <c r="D359" s="9">
        <f>IFERROR(AVERAGEIF(Levels!B:B,A359,Levels!F:F),0)</f>
        <v>7.5</v>
      </c>
      <c r="E359" s="9">
        <f>_xlfn.MAXIFS(Levels!E:E,Levels!B:B,A359)</f>
        <v>6.22</v>
      </c>
      <c r="F359" s="9">
        <f>_xlfn.MAXIFS(Levels!F:F,Levels!B:B,A359)</f>
        <v>7.5</v>
      </c>
    </row>
    <row r="360" spans="1:6" x14ac:dyDescent="0.3">
      <c r="A360" t="s">
        <v>1605</v>
      </c>
      <c r="B360" s="6">
        <f>COUNTIF(Levels!B:B,A360)</f>
        <v>16</v>
      </c>
      <c r="C360" s="6">
        <f>IFERROR(AVERAGEIF(Levels!B:B,A360,Levels!E:E),0)</f>
        <v>10.34375</v>
      </c>
      <c r="D360" s="6">
        <f>IFERROR(AVERAGEIF(Levels!B:B,A360,Levels!F:F),0)</f>
        <v>6.6425000000000001</v>
      </c>
      <c r="E360" s="6">
        <f>_xlfn.MAXIFS(Levels!E:E,Levels!B:B,A360)</f>
        <v>17.5</v>
      </c>
      <c r="F360" s="6">
        <f>_xlfn.MAXIFS(Levels!F:F,Levels!B:B,A360)</f>
        <v>8</v>
      </c>
    </row>
    <row r="361" spans="1:6" x14ac:dyDescent="0.3">
      <c r="A361" t="s">
        <v>1608</v>
      </c>
      <c r="B361" s="9">
        <f>COUNTIF(Levels!B:B,A361)</f>
        <v>1</v>
      </c>
      <c r="C361" s="9">
        <f>IFERROR(AVERAGEIF(Levels!B:B,A361,Levels!E:E),0)</f>
        <v>10.67</v>
      </c>
      <c r="D361" s="9">
        <f>IFERROR(AVERAGEIF(Levels!B:B,A361,Levels!F:F),0)</f>
        <v>5.43</v>
      </c>
      <c r="E361" s="9">
        <f>_xlfn.MAXIFS(Levels!E:E,Levels!B:B,A361)</f>
        <v>10.67</v>
      </c>
      <c r="F361" s="9">
        <f>_xlfn.MAXIFS(Levels!F:F,Levels!B:B,A361)</f>
        <v>5.43</v>
      </c>
    </row>
    <row r="362" spans="1:6" x14ac:dyDescent="0.3">
      <c r="A362" t="s">
        <v>1614</v>
      </c>
      <c r="B362" s="6">
        <f>COUNTIF(Levels!B:B,A362)</f>
        <v>2</v>
      </c>
      <c r="C362" s="6">
        <f>IFERROR(AVERAGEIF(Levels!B:B,A362,Levels!E:E),0)</f>
        <v>8.2750000000000004</v>
      </c>
      <c r="D362" s="6">
        <f>IFERROR(AVERAGEIF(Levels!B:B,A362,Levels!F:F),0)</f>
        <v>5.6950000000000003</v>
      </c>
      <c r="E362" s="6">
        <f>_xlfn.MAXIFS(Levels!E:E,Levels!B:B,A362)</f>
        <v>12.15</v>
      </c>
      <c r="F362" s="6">
        <f>_xlfn.MAXIFS(Levels!F:F,Levels!B:B,A362)</f>
        <v>7.6</v>
      </c>
    </row>
    <row r="363" spans="1:6" x14ac:dyDescent="0.3">
      <c r="A363" t="s">
        <v>1620</v>
      </c>
      <c r="B363" s="9">
        <f>COUNTIF(Levels!B:B,A363)</f>
        <v>1</v>
      </c>
      <c r="C363" s="9">
        <f>IFERROR(AVERAGEIF(Levels!B:B,A363,Levels!E:E),0)</f>
        <v>16.329999999999998</v>
      </c>
      <c r="D363" s="9">
        <f>IFERROR(AVERAGEIF(Levels!B:B,A363,Levels!F:F),0)</f>
        <v>1.5</v>
      </c>
      <c r="E363" s="9">
        <f>_xlfn.MAXIFS(Levels!E:E,Levels!B:B,A363)</f>
        <v>16.329999999999998</v>
      </c>
      <c r="F363" s="9">
        <f>_xlfn.MAXIFS(Levels!F:F,Levels!B:B,A363)</f>
        <v>1.5</v>
      </c>
    </row>
    <row r="364" spans="1:6" x14ac:dyDescent="0.3">
      <c r="A364" t="s">
        <v>1622</v>
      </c>
      <c r="B364" s="6">
        <f>COUNTIF(Levels!B:B,A364)</f>
        <v>1</v>
      </c>
      <c r="C364" s="6">
        <f>IFERROR(AVERAGEIF(Levels!B:B,A364,Levels!E:E),0)</f>
        <v>1.95</v>
      </c>
      <c r="D364" s="6">
        <f>IFERROR(AVERAGEIF(Levels!B:B,A364,Levels!F:F),0)</f>
        <v>4.17</v>
      </c>
      <c r="E364" s="6">
        <f>_xlfn.MAXIFS(Levels!E:E,Levels!B:B,A364)</f>
        <v>1.95</v>
      </c>
      <c r="F364" s="6">
        <f>_xlfn.MAXIFS(Levels!F:F,Levels!B:B,A364)</f>
        <v>4.17</v>
      </c>
    </row>
    <row r="365" spans="1:6" x14ac:dyDescent="0.3">
      <c r="A365" t="s">
        <v>1624</v>
      </c>
      <c r="B365" s="9">
        <f>COUNTIF(Levels!B:B,A365)</f>
        <v>1</v>
      </c>
      <c r="C365" s="9">
        <f>IFERROR(AVERAGEIF(Levels!B:B,A365,Levels!E:E),0)</f>
        <v>10.88</v>
      </c>
      <c r="D365" s="9">
        <f>IFERROR(AVERAGEIF(Levels!B:B,A365,Levels!F:F),0)</f>
        <v>6.71</v>
      </c>
      <c r="E365" s="9">
        <f>_xlfn.MAXIFS(Levels!E:E,Levels!B:B,A365)</f>
        <v>10.88</v>
      </c>
      <c r="F365" s="9">
        <f>_xlfn.MAXIFS(Levels!F:F,Levels!B:B,A365)</f>
        <v>6.71</v>
      </c>
    </row>
    <row r="366" spans="1:6" x14ac:dyDescent="0.3">
      <c r="A366" t="s">
        <v>1627</v>
      </c>
      <c r="B366" s="6">
        <f>COUNTIF(Levels!B:B,A366)</f>
        <v>3</v>
      </c>
      <c r="C366" s="6">
        <f>IFERROR(AVERAGEIF(Levels!B:B,A366,Levels!E:E),0)</f>
        <v>15.460000000000003</v>
      </c>
      <c r="D366" s="6">
        <f>IFERROR(AVERAGEIF(Levels!B:B,A366,Levels!F:F),0)</f>
        <v>6.003333333333333</v>
      </c>
      <c r="E366" s="6">
        <f>_xlfn.MAXIFS(Levels!E:E,Levels!B:B,A366)</f>
        <v>16.670000000000002</v>
      </c>
      <c r="F366" s="6">
        <f>_xlfn.MAXIFS(Levels!F:F,Levels!B:B,A366)</f>
        <v>6.22</v>
      </c>
    </row>
    <row r="367" spans="1:6" x14ac:dyDescent="0.3">
      <c r="A367" t="s">
        <v>1629</v>
      </c>
      <c r="B367" s="9">
        <f>COUNTIF(Levels!B:B,A367)</f>
        <v>1</v>
      </c>
      <c r="C367" s="9">
        <f>IFERROR(AVERAGEIF(Levels!B:B,A367,Levels!E:E),0)</f>
        <v>13</v>
      </c>
      <c r="D367" s="9">
        <f>IFERROR(AVERAGEIF(Levels!B:B,A367,Levels!F:F),0)</f>
        <v>6.6</v>
      </c>
      <c r="E367" s="9">
        <f>_xlfn.MAXIFS(Levels!E:E,Levels!B:B,A367)</f>
        <v>13</v>
      </c>
      <c r="F367" s="9">
        <f>_xlfn.MAXIFS(Levels!F:F,Levels!B:B,A367)</f>
        <v>6.6</v>
      </c>
    </row>
    <row r="368" spans="1:6" x14ac:dyDescent="0.3">
      <c r="A368" t="s">
        <v>1634</v>
      </c>
      <c r="B368" s="6">
        <f>COUNTIF(Levels!B:B,A368)</f>
        <v>8</v>
      </c>
      <c r="C368" s="6">
        <f>IFERROR(AVERAGEIF(Levels!B:B,A368,Levels!E:E),0)</f>
        <v>9.7799999999999994</v>
      </c>
      <c r="D368" s="6">
        <f>IFERROR(AVERAGEIF(Levels!B:B,A368,Levels!F:F),0)</f>
        <v>7.9375000000000009</v>
      </c>
      <c r="E368" s="6">
        <f>_xlfn.MAXIFS(Levels!E:E,Levels!B:B,A368)</f>
        <v>12.59</v>
      </c>
      <c r="F368" s="6">
        <f>_xlfn.MAXIFS(Levels!F:F,Levels!B:B,A368)</f>
        <v>8.81</v>
      </c>
    </row>
    <row r="369" spans="1:6" x14ac:dyDescent="0.3">
      <c r="A369" t="s">
        <v>1642</v>
      </c>
      <c r="B369" s="9">
        <f>COUNTIF(Levels!B:B,A369)</f>
        <v>2</v>
      </c>
      <c r="C369" s="9">
        <f>IFERROR(AVERAGEIF(Levels!B:B,A369,Levels!E:E),0)</f>
        <v>7.9550000000000001</v>
      </c>
      <c r="D369" s="9">
        <f>IFERROR(AVERAGEIF(Levels!B:B,A369,Levels!F:F),0)</f>
        <v>7.07</v>
      </c>
      <c r="E369" s="9">
        <f>_xlfn.MAXIFS(Levels!E:E,Levels!B:B,A369)</f>
        <v>8.5299999999999994</v>
      </c>
      <c r="F369" s="9">
        <f>_xlfn.MAXIFS(Levels!F:F,Levels!B:B,A369)</f>
        <v>7.25</v>
      </c>
    </row>
    <row r="370" spans="1:6" x14ac:dyDescent="0.3">
      <c r="A370" t="s">
        <v>1644</v>
      </c>
      <c r="B370" s="6">
        <f>COUNTIF(Levels!B:B,A370)</f>
        <v>1</v>
      </c>
      <c r="C370" s="6">
        <f>IFERROR(AVERAGEIF(Levels!B:B,A370,Levels!E:E),0)</f>
        <v>19.43</v>
      </c>
      <c r="D370" s="6">
        <f>IFERROR(AVERAGEIF(Levels!B:B,A370,Levels!F:F),0)</f>
        <v>3.18</v>
      </c>
      <c r="E370" s="6">
        <f>_xlfn.MAXIFS(Levels!E:E,Levels!B:B,A370)</f>
        <v>19.43</v>
      </c>
      <c r="F370" s="6">
        <f>_xlfn.MAXIFS(Levels!F:F,Levels!B:B,A370)</f>
        <v>3.18</v>
      </c>
    </row>
    <row r="371" spans="1:6" x14ac:dyDescent="0.3">
      <c r="A371" t="s">
        <v>1646</v>
      </c>
      <c r="B371" s="9">
        <f>COUNTIF(Levels!B:B,A371)</f>
        <v>1</v>
      </c>
      <c r="C371" s="9">
        <f>IFERROR(AVERAGEIF(Levels!B:B,A371,Levels!E:E),0)</f>
        <v>11.5</v>
      </c>
      <c r="D371" s="9">
        <f>IFERROR(AVERAGEIF(Levels!B:B,A371,Levels!F:F),0)</f>
        <v>7.67</v>
      </c>
      <c r="E371" s="9">
        <f>_xlfn.MAXIFS(Levels!E:E,Levels!B:B,A371)</f>
        <v>11.5</v>
      </c>
      <c r="F371" s="9">
        <f>_xlfn.MAXIFS(Levels!F:F,Levels!B:B,A371)</f>
        <v>7.67</v>
      </c>
    </row>
    <row r="372" spans="1:6" x14ac:dyDescent="0.3">
      <c r="A372" t="s">
        <v>1649</v>
      </c>
      <c r="B372" s="6">
        <f>COUNTIF(Levels!B:B,A372)</f>
        <v>1</v>
      </c>
      <c r="C372" s="6">
        <f>IFERROR(AVERAGEIF(Levels!B:B,A372,Levels!E:E),0)</f>
        <v>11.11</v>
      </c>
      <c r="D372" s="6">
        <f>IFERROR(AVERAGEIF(Levels!B:B,A372,Levels!F:F),0)</f>
        <v>7.24</v>
      </c>
      <c r="E372" s="6">
        <f>_xlfn.MAXIFS(Levels!E:E,Levels!B:B,A372)</f>
        <v>11.11</v>
      </c>
      <c r="F372" s="6">
        <f>_xlfn.MAXIFS(Levels!F:F,Levels!B:B,A372)</f>
        <v>7.24</v>
      </c>
    </row>
    <row r="373" spans="1:6" x14ac:dyDescent="0.3">
      <c r="A373" t="s">
        <v>1652</v>
      </c>
      <c r="B373" s="9">
        <f>COUNTIF(Levels!B:B,A373)</f>
        <v>1</v>
      </c>
      <c r="C373" s="9">
        <f>IFERROR(AVERAGEIF(Levels!B:B,A373,Levels!E:E),0)</f>
        <v>7.78</v>
      </c>
      <c r="D373" s="9">
        <f>IFERROR(AVERAGEIF(Levels!B:B,A373,Levels!F:F),0)</f>
        <v>5.5</v>
      </c>
      <c r="E373" s="9">
        <f>_xlfn.MAXIFS(Levels!E:E,Levels!B:B,A373)</f>
        <v>7.78</v>
      </c>
      <c r="F373" s="9">
        <f>_xlfn.MAXIFS(Levels!F:F,Levels!B:B,A373)</f>
        <v>5.5</v>
      </c>
    </row>
    <row r="374" spans="1:6" x14ac:dyDescent="0.3">
      <c r="A374" t="s">
        <v>1655</v>
      </c>
      <c r="B374" s="6">
        <f>COUNTIF(Levels!B:B,A374)</f>
        <v>2</v>
      </c>
      <c r="C374" s="6">
        <f>IFERROR(AVERAGEIF(Levels!B:B,A374,Levels!E:E),0)</f>
        <v>10.58</v>
      </c>
      <c r="D374" s="6">
        <f>IFERROR(AVERAGEIF(Levels!B:B,A374,Levels!F:F),0)</f>
        <v>7.6449999999999996</v>
      </c>
      <c r="E374" s="6">
        <f>_xlfn.MAXIFS(Levels!E:E,Levels!B:B,A374)</f>
        <v>13.47</v>
      </c>
      <c r="F374" s="6">
        <f>_xlfn.MAXIFS(Levels!F:F,Levels!B:B,A374)</f>
        <v>8.65</v>
      </c>
    </row>
    <row r="375" spans="1:6" x14ac:dyDescent="0.3">
      <c r="A375" t="s">
        <v>1657</v>
      </c>
      <c r="B375" s="9">
        <f>COUNTIF(Levels!B:B,A375)</f>
        <v>1</v>
      </c>
      <c r="C375" s="9">
        <f>IFERROR(AVERAGEIF(Levels!B:B,A375,Levels!E:E),0)</f>
        <v>16.91</v>
      </c>
      <c r="D375" s="9">
        <f>IFERROR(AVERAGEIF(Levels!B:B,A375,Levels!F:F),0)</f>
        <v>6.55</v>
      </c>
      <c r="E375" s="9">
        <f>_xlfn.MAXIFS(Levels!E:E,Levels!B:B,A375)</f>
        <v>16.91</v>
      </c>
      <c r="F375" s="9">
        <f>_xlfn.MAXIFS(Levels!F:F,Levels!B:B,A375)</f>
        <v>6.55</v>
      </c>
    </row>
    <row r="376" spans="1:6" x14ac:dyDescent="0.3">
      <c r="A376" t="s">
        <v>1661</v>
      </c>
      <c r="B376" s="6">
        <f>COUNTIF(Levels!B:B,A376)</f>
        <v>2</v>
      </c>
      <c r="C376" s="6">
        <f>IFERROR(AVERAGEIF(Levels!B:B,A376,Levels!E:E),0)</f>
        <v>14.945</v>
      </c>
      <c r="D376" s="6">
        <f>IFERROR(AVERAGEIF(Levels!B:B,A376,Levels!F:F),0)</f>
        <v>5.8</v>
      </c>
      <c r="E376" s="6">
        <f>_xlfn.MAXIFS(Levels!E:E,Levels!B:B,A376)</f>
        <v>16.75</v>
      </c>
      <c r="F376" s="6">
        <f>_xlfn.MAXIFS(Levels!F:F,Levels!B:B,A376)</f>
        <v>7</v>
      </c>
    </row>
    <row r="377" spans="1:6" x14ac:dyDescent="0.3">
      <c r="A377" t="s">
        <v>1663</v>
      </c>
      <c r="B377" s="9">
        <f>COUNTIF(Levels!B:B,A377)</f>
        <v>9</v>
      </c>
      <c r="C377" s="9">
        <f>IFERROR(AVERAGEIF(Levels!B:B,A377,Levels!E:E),0)</f>
        <v>17.817777777777778</v>
      </c>
      <c r="D377" s="9">
        <f>IFERROR(AVERAGEIF(Levels!B:B,A377,Levels!F:F),0)</f>
        <v>6.2155555555555555</v>
      </c>
      <c r="E377" s="9">
        <f>_xlfn.MAXIFS(Levels!E:E,Levels!B:B,A377)</f>
        <v>32.840000000000003</v>
      </c>
      <c r="F377" s="9">
        <f>_xlfn.MAXIFS(Levels!F:F,Levels!B:B,A377)</f>
        <v>8.83</v>
      </c>
    </row>
    <row r="378" spans="1:6" x14ac:dyDescent="0.3">
      <c r="A378" t="s">
        <v>1666</v>
      </c>
      <c r="B378" s="6">
        <f>COUNTIF(Levels!B:B,A378)</f>
        <v>4</v>
      </c>
      <c r="C378" s="6">
        <f>IFERROR(AVERAGEIF(Levels!B:B,A378,Levels!E:E),0)</f>
        <v>11.3475</v>
      </c>
      <c r="D378" s="6">
        <f>IFERROR(AVERAGEIF(Levels!B:B,A378,Levels!F:F),0)</f>
        <v>6.9450000000000003</v>
      </c>
      <c r="E378" s="6">
        <f>_xlfn.MAXIFS(Levels!E:E,Levels!B:B,A378)</f>
        <v>15.02</v>
      </c>
      <c r="F378" s="6">
        <f>_xlfn.MAXIFS(Levels!F:F,Levels!B:B,A378)</f>
        <v>8.33</v>
      </c>
    </row>
    <row r="379" spans="1:6" x14ac:dyDescent="0.3">
      <c r="A379" t="s">
        <v>1671</v>
      </c>
      <c r="B379" s="9">
        <f>COUNTIF(Levels!B:B,A379)</f>
        <v>1</v>
      </c>
      <c r="C379" s="9">
        <f>IFERROR(AVERAGEIF(Levels!B:B,A379,Levels!E:E),0)</f>
        <v>8.27</v>
      </c>
      <c r="D379" s="9">
        <f>IFERROR(AVERAGEIF(Levels!B:B,A379,Levels!F:F),0)</f>
        <v>4</v>
      </c>
      <c r="E379" s="9">
        <f>_xlfn.MAXIFS(Levels!E:E,Levels!B:B,A379)</f>
        <v>8.27</v>
      </c>
      <c r="F379" s="9">
        <f>_xlfn.MAXIFS(Levels!F:F,Levels!B:B,A379)</f>
        <v>4</v>
      </c>
    </row>
    <row r="380" spans="1:6" x14ac:dyDescent="0.3">
      <c r="A380" t="s">
        <v>1673</v>
      </c>
      <c r="B380" s="6">
        <f>COUNTIF(Levels!B:B,A380)</f>
        <v>1</v>
      </c>
      <c r="C380" s="6">
        <f>IFERROR(AVERAGEIF(Levels!B:B,A380,Levels!E:E),0)</f>
        <v>6.7</v>
      </c>
      <c r="D380" s="6">
        <f>IFERROR(AVERAGEIF(Levels!B:B,A380,Levels!F:F),0)</f>
        <v>4.71</v>
      </c>
      <c r="E380" s="6">
        <f>_xlfn.MAXIFS(Levels!E:E,Levels!B:B,A380)</f>
        <v>6.7</v>
      </c>
      <c r="F380" s="6">
        <f>_xlfn.MAXIFS(Levels!F:F,Levels!B:B,A380)</f>
        <v>4.71</v>
      </c>
    </row>
    <row r="381" spans="1:6" x14ac:dyDescent="0.3">
      <c r="A381" t="s">
        <v>1677</v>
      </c>
      <c r="B381" s="9">
        <f>COUNTIF(Levels!B:B,A381)</f>
        <v>1</v>
      </c>
      <c r="C381" s="9">
        <f>IFERROR(AVERAGEIF(Levels!B:B,A381,Levels!E:E),0)</f>
        <v>11.04</v>
      </c>
      <c r="D381" s="9">
        <f>IFERROR(AVERAGEIF(Levels!B:B,A381,Levels!F:F),0)</f>
        <v>6</v>
      </c>
      <c r="E381" s="9">
        <f>_xlfn.MAXIFS(Levels!E:E,Levels!B:B,A381)</f>
        <v>11.04</v>
      </c>
      <c r="F381" s="9">
        <f>_xlfn.MAXIFS(Levels!F:F,Levels!B:B,A381)</f>
        <v>6</v>
      </c>
    </row>
    <row r="382" spans="1:6" x14ac:dyDescent="0.3">
      <c r="A382" t="s">
        <v>1682</v>
      </c>
      <c r="B382" s="6">
        <f>COUNTIF(Levels!B:B,A382)</f>
        <v>1</v>
      </c>
      <c r="C382" s="6">
        <f>IFERROR(AVERAGEIF(Levels!B:B,A382,Levels!E:E),0)</f>
        <v>13</v>
      </c>
      <c r="D382" s="6">
        <f>IFERROR(AVERAGEIF(Levels!B:B,A382,Levels!F:F),0)</f>
        <v>5.13</v>
      </c>
      <c r="E382" s="6">
        <f>_xlfn.MAXIFS(Levels!E:E,Levels!B:B,A382)</f>
        <v>13</v>
      </c>
      <c r="F382" s="6">
        <f>_xlfn.MAXIFS(Levels!F:F,Levels!B:B,A382)</f>
        <v>5.13</v>
      </c>
    </row>
    <row r="383" spans="1:6" x14ac:dyDescent="0.3">
      <c r="A383" t="s">
        <v>1684</v>
      </c>
      <c r="B383" s="9">
        <f>COUNTIF(Levels!B:B,A383)</f>
        <v>1</v>
      </c>
      <c r="C383" s="9">
        <f>IFERROR(AVERAGEIF(Levels!B:B,A383,Levels!E:E),0)</f>
        <v>7</v>
      </c>
      <c r="D383" s="9">
        <f>IFERROR(AVERAGEIF(Levels!B:B,A383,Levels!F:F),0)</f>
        <v>5</v>
      </c>
      <c r="E383" s="9">
        <f>_xlfn.MAXIFS(Levels!E:E,Levels!B:B,A383)</f>
        <v>7</v>
      </c>
      <c r="F383" s="9">
        <f>_xlfn.MAXIFS(Levels!F:F,Levels!B:B,A383)</f>
        <v>5</v>
      </c>
    </row>
    <row r="384" spans="1:6" x14ac:dyDescent="0.3">
      <c r="A384" t="s">
        <v>1686</v>
      </c>
      <c r="B384" s="6">
        <f>COUNTIF(Levels!B:B,A384)</f>
        <v>1</v>
      </c>
      <c r="C384" s="6">
        <f>IFERROR(AVERAGEIF(Levels!B:B,A384,Levels!E:E),0)</f>
        <v>10.14</v>
      </c>
      <c r="D384" s="6">
        <f>IFERROR(AVERAGEIF(Levels!B:B,A384,Levels!F:F),0)</f>
        <v>7</v>
      </c>
      <c r="E384" s="6">
        <f>_xlfn.MAXIFS(Levels!E:E,Levels!B:B,A384)</f>
        <v>10.14</v>
      </c>
      <c r="F384" s="6">
        <f>_xlfn.MAXIFS(Levels!F:F,Levels!B:B,A384)</f>
        <v>7</v>
      </c>
    </row>
    <row r="385" spans="1:6" x14ac:dyDescent="0.3">
      <c r="A385" t="s">
        <v>1688</v>
      </c>
      <c r="B385" s="9">
        <f>COUNTIF(Levels!B:B,A385)</f>
        <v>2</v>
      </c>
      <c r="C385" s="9">
        <f>IFERROR(AVERAGEIF(Levels!B:B,A385,Levels!E:E),0)</f>
        <v>8.0350000000000001</v>
      </c>
      <c r="D385" s="9">
        <f>IFERROR(AVERAGEIF(Levels!B:B,A385,Levels!F:F),0)</f>
        <v>4.6100000000000003</v>
      </c>
      <c r="E385" s="9">
        <f>_xlfn.MAXIFS(Levels!E:E,Levels!B:B,A385)</f>
        <v>8.07</v>
      </c>
      <c r="F385" s="9">
        <f>_xlfn.MAXIFS(Levels!F:F,Levels!B:B,A385)</f>
        <v>5.33</v>
      </c>
    </row>
    <row r="386" spans="1:6" x14ac:dyDescent="0.3">
      <c r="A386" t="s">
        <v>1691</v>
      </c>
      <c r="B386" s="6">
        <f>COUNTIF(Levels!B:B,A386)</f>
        <v>13</v>
      </c>
      <c r="C386" s="6">
        <f>IFERROR(AVERAGEIF(Levels!B:B,A386,Levels!E:E),0)</f>
        <v>6.3915384615384614</v>
      </c>
      <c r="D386" s="6">
        <f>IFERROR(AVERAGEIF(Levels!B:B,A386,Levels!F:F),0)</f>
        <v>5.2446153846153845</v>
      </c>
      <c r="E386" s="6">
        <f>_xlfn.MAXIFS(Levels!E:E,Levels!B:B,A386)</f>
        <v>9.49</v>
      </c>
      <c r="F386" s="6">
        <f>_xlfn.MAXIFS(Levels!F:F,Levels!B:B,A386)</f>
        <v>6.6</v>
      </c>
    </row>
    <row r="387" spans="1:6" x14ac:dyDescent="0.3">
      <c r="A387" t="s">
        <v>1693</v>
      </c>
      <c r="B387" s="9">
        <f>COUNTIF(Levels!B:B,A387)</f>
        <v>6</v>
      </c>
      <c r="C387" s="9">
        <f>IFERROR(AVERAGEIF(Levels!B:B,A387,Levels!E:E),0)</f>
        <v>10.125</v>
      </c>
      <c r="D387" s="9">
        <f>IFERROR(AVERAGEIF(Levels!B:B,A387,Levels!F:F),0)</f>
        <v>6.8933333333333335</v>
      </c>
      <c r="E387" s="9">
        <f>_xlfn.MAXIFS(Levels!E:E,Levels!B:B,A387)</f>
        <v>17.03</v>
      </c>
      <c r="F387" s="9">
        <f>_xlfn.MAXIFS(Levels!F:F,Levels!B:B,A387)</f>
        <v>7.94</v>
      </c>
    </row>
    <row r="388" spans="1:6" x14ac:dyDescent="0.3">
      <c r="A388" t="s">
        <v>1696</v>
      </c>
      <c r="B388" s="6">
        <f>COUNTIF(Levels!B:B,A388)</f>
        <v>2</v>
      </c>
      <c r="C388" s="6">
        <f>IFERROR(AVERAGEIF(Levels!B:B,A388,Levels!E:E),0)</f>
        <v>14.86</v>
      </c>
      <c r="D388" s="6">
        <f>IFERROR(AVERAGEIF(Levels!B:B,A388,Levels!F:F),0)</f>
        <v>6.8849999999999998</v>
      </c>
      <c r="E388" s="6">
        <f>_xlfn.MAXIFS(Levels!E:E,Levels!B:B,A388)</f>
        <v>15.62</v>
      </c>
      <c r="F388" s="6">
        <f>_xlfn.MAXIFS(Levels!F:F,Levels!B:B,A388)</f>
        <v>7.42</v>
      </c>
    </row>
    <row r="389" spans="1:6" x14ac:dyDescent="0.3">
      <c r="A389" t="s">
        <v>1699</v>
      </c>
      <c r="B389" s="9">
        <f>COUNTIF(Levels!B:B,A389)</f>
        <v>1</v>
      </c>
      <c r="C389" s="9">
        <f>IFERROR(AVERAGEIF(Levels!B:B,A389,Levels!E:E),0)</f>
        <v>20.32</v>
      </c>
      <c r="D389" s="9">
        <f>IFERROR(AVERAGEIF(Levels!B:B,A389,Levels!F:F),0)</f>
        <v>3.94</v>
      </c>
      <c r="E389" s="9">
        <f>_xlfn.MAXIFS(Levels!E:E,Levels!B:B,A389)</f>
        <v>20.32</v>
      </c>
      <c r="F389" s="9">
        <f>_xlfn.MAXIFS(Levels!F:F,Levels!B:B,A389)</f>
        <v>3.94</v>
      </c>
    </row>
    <row r="390" spans="1:6" x14ac:dyDescent="0.3">
      <c r="A390" t="s">
        <v>1701</v>
      </c>
      <c r="B390" s="6">
        <f>COUNTIF(Levels!B:B,A390)</f>
        <v>2</v>
      </c>
      <c r="C390" s="6">
        <f>IFERROR(AVERAGEIF(Levels!B:B,A390,Levels!E:E),0)</f>
        <v>8.76</v>
      </c>
      <c r="D390" s="6">
        <f>IFERROR(AVERAGEIF(Levels!B:B,A390,Levels!F:F),0)</f>
        <v>5.17</v>
      </c>
      <c r="E390" s="6">
        <f>_xlfn.MAXIFS(Levels!E:E,Levels!B:B,A390)</f>
        <v>10.32</v>
      </c>
      <c r="F390" s="6">
        <f>_xlfn.MAXIFS(Levels!F:F,Levels!B:B,A390)</f>
        <v>6.34</v>
      </c>
    </row>
    <row r="391" spans="1:6" x14ac:dyDescent="0.3">
      <c r="A391" t="s">
        <v>1705</v>
      </c>
      <c r="B391" s="9">
        <f>COUNTIF(Levels!B:B,A391)</f>
        <v>4</v>
      </c>
      <c r="C391" s="9">
        <f>IFERROR(AVERAGEIF(Levels!B:B,A391,Levels!E:E),0)</f>
        <v>13.780000000000001</v>
      </c>
      <c r="D391" s="9">
        <f>IFERROR(AVERAGEIF(Levels!B:B,A391,Levels!F:F),0)</f>
        <v>4.8125</v>
      </c>
      <c r="E391" s="9">
        <f>_xlfn.MAXIFS(Levels!E:E,Levels!B:B,A391)</f>
        <v>19</v>
      </c>
      <c r="F391" s="9">
        <f>_xlfn.MAXIFS(Levels!F:F,Levels!B:B,A391)</f>
        <v>6</v>
      </c>
    </row>
    <row r="392" spans="1:6" x14ac:dyDescent="0.3">
      <c r="A392" t="s">
        <v>1707</v>
      </c>
      <c r="B392" s="6">
        <f>COUNTIF(Levels!B:B,A392)</f>
        <v>3</v>
      </c>
      <c r="C392" s="6">
        <f>IFERROR(AVERAGEIF(Levels!B:B,A392,Levels!E:E),0)</f>
        <v>16.426666666666666</v>
      </c>
      <c r="D392" s="6">
        <f>IFERROR(AVERAGEIF(Levels!B:B,A392,Levels!F:F),0)</f>
        <v>6.706666666666667</v>
      </c>
      <c r="E392" s="6">
        <f>_xlfn.MAXIFS(Levels!E:E,Levels!B:B,A392)</f>
        <v>17.5</v>
      </c>
      <c r="F392" s="6">
        <f>_xlfn.MAXIFS(Levels!F:F,Levels!B:B,A392)</f>
        <v>7.44</v>
      </c>
    </row>
    <row r="393" spans="1:6" x14ac:dyDescent="0.3">
      <c r="A393" t="s">
        <v>1709</v>
      </c>
      <c r="B393" s="9">
        <f>COUNTIF(Levels!B:B,A393)</f>
        <v>1</v>
      </c>
      <c r="C393" s="9">
        <f>IFERROR(AVERAGEIF(Levels!B:B,A393,Levels!E:E),0)</f>
        <v>12.11</v>
      </c>
      <c r="D393" s="9">
        <f>IFERROR(AVERAGEIF(Levels!B:B,A393,Levels!F:F),0)</f>
        <v>6</v>
      </c>
      <c r="E393" s="9">
        <f>_xlfn.MAXIFS(Levels!E:E,Levels!B:B,A393)</f>
        <v>12.11</v>
      </c>
      <c r="F393" s="9">
        <f>_xlfn.MAXIFS(Levels!F:F,Levels!B:B,A393)</f>
        <v>6</v>
      </c>
    </row>
    <row r="394" spans="1:6" x14ac:dyDescent="0.3">
      <c r="A394" t="s">
        <v>1722</v>
      </c>
      <c r="B394" s="6">
        <f>COUNTIF(Levels!B:B,A394)</f>
        <v>1</v>
      </c>
      <c r="C394" s="6">
        <f>IFERROR(AVERAGEIF(Levels!B:B,A394,Levels!E:E),0)</f>
        <v>7.8</v>
      </c>
      <c r="D394" s="6">
        <f>IFERROR(AVERAGEIF(Levels!B:B,A394,Levels!F:F),0)</f>
        <v>5.2</v>
      </c>
      <c r="E394" s="6">
        <f>_xlfn.MAXIFS(Levels!E:E,Levels!B:B,A394)</f>
        <v>7.8</v>
      </c>
      <c r="F394" s="6">
        <f>_xlfn.MAXIFS(Levels!F:F,Levels!B:B,A394)</f>
        <v>5.2</v>
      </c>
    </row>
    <row r="395" spans="1:6" x14ac:dyDescent="0.3">
      <c r="A395" t="s">
        <v>1723</v>
      </c>
      <c r="B395" s="9">
        <f>COUNTIF(Levels!B:B,A395)</f>
        <v>1</v>
      </c>
      <c r="C395" s="9">
        <f>IFERROR(AVERAGEIF(Levels!B:B,A395,Levels!E:E),0)</f>
        <v>9.5500000000000007</v>
      </c>
      <c r="D395" s="9">
        <f>IFERROR(AVERAGEIF(Levels!B:B,A395,Levels!F:F),0)</f>
        <v>4.5599999999999996</v>
      </c>
      <c r="E395" s="9">
        <f>_xlfn.MAXIFS(Levels!E:E,Levels!B:B,A395)</f>
        <v>9.5500000000000007</v>
      </c>
      <c r="F395" s="9">
        <f>_xlfn.MAXIFS(Levels!F:F,Levels!B:B,A395)</f>
        <v>4.5599999999999996</v>
      </c>
    </row>
    <row r="396" spans="1:6" x14ac:dyDescent="0.3">
      <c r="A396" t="s">
        <v>1725</v>
      </c>
      <c r="B396" s="6">
        <f>COUNTIF(Levels!B:B,A396)</f>
        <v>5</v>
      </c>
      <c r="C396" s="6">
        <f>IFERROR(AVERAGEIF(Levels!B:B,A396,Levels!E:E),0)</f>
        <v>12.763999999999999</v>
      </c>
      <c r="D396" s="6">
        <f>IFERROR(AVERAGEIF(Levels!B:B,A396,Levels!F:F),0)</f>
        <v>6.3680000000000003</v>
      </c>
      <c r="E396" s="6">
        <f>_xlfn.MAXIFS(Levels!E:E,Levels!B:B,A396)</f>
        <v>15.75</v>
      </c>
      <c r="F396" s="6">
        <f>_xlfn.MAXIFS(Levels!F:F,Levels!B:B,A396)</f>
        <v>7.2</v>
      </c>
    </row>
    <row r="397" spans="1:6" x14ac:dyDescent="0.3">
      <c r="A397" t="s">
        <v>1729</v>
      </c>
      <c r="B397" s="9">
        <f>COUNTIF(Levels!B:B,A397)</f>
        <v>5</v>
      </c>
      <c r="C397" s="9">
        <f>IFERROR(AVERAGEIF(Levels!B:B,A397,Levels!E:E),0)</f>
        <v>10.082000000000001</v>
      </c>
      <c r="D397" s="9">
        <f>IFERROR(AVERAGEIF(Levels!B:B,A397,Levels!F:F),0)</f>
        <v>6.3860000000000001</v>
      </c>
      <c r="E397" s="9">
        <f>_xlfn.MAXIFS(Levels!E:E,Levels!B:B,A397)</f>
        <v>12.25</v>
      </c>
      <c r="F397" s="9">
        <f>_xlfn.MAXIFS(Levels!F:F,Levels!B:B,A397)</f>
        <v>7.33</v>
      </c>
    </row>
    <row r="398" spans="1:6" x14ac:dyDescent="0.3">
      <c r="A398" t="s">
        <v>1732</v>
      </c>
      <c r="B398" s="6">
        <f>COUNTIF(Levels!B:B,A398)</f>
        <v>5</v>
      </c>
      <c r="C398" s="6">
        <f>IFERROR(AVERAGEIF(Levels!B:B,A398,Levels!E:E),0)</f>
        <v>12.79</v>
      </c>
      <c r="D398" s="6">
        <f>IFERROR(AVERAGEIF(Levels!B:B,A398,Levels!F:F),0)</f>
        <v>6.04</v>
      </c>
      <c r="E398" s="6">
        <f>_xlfn.MAXIFS(Levels!E:E,Levels!B:B,A398)</f>
        <v>15.83</v>
      </c>
      <c r="F398" s="6">
        <f>_xlfn.MAXIFS(Levels!F:F,Levels!B:B,A398)</f>
        <v>7.4</v>
      </c>
    </row>
    <row r="399" spans="1:6" x14ac:dyDescent="0.3">
      <c r="A399" t="s">
        <v>1736</v>
      </c>
      <c r="B399" s="9">
        <f>COUNTIF(Levels!B:B,A399)</f>
        <v>6</v>
      </c>
      <c r="C399" s="9">
        <f>IFERROR(AVERAGEIF(Levels!B:B,A399,Levels!E:E),0)</f>
        <v>15.648333333333333</v>
      </c>
      <c r="D399" s="9">
        <f>IFERROR(AVERAGEIF(Levels!B:B,A399,Levels!F:F),0)</f>
        <v>6.6350000000000007</v>
      </c>
      <c r="E399" s="9">
        <f>_xlfn.MAXIFS(Levels!E:E,Levels!B:B,A399)</f>
        <v>25</v>
      </c>
      <c r="F399" s="9">
        <f>_xlfn.MAXIFS(Levels!F:F,Levels!B:B,A399)</f>
        <v>8.5</v>
      </c>
    </row>
    <row r="400" spans="1:6" x14ac:dyDescent="0.3">
      <c r="A400" t="s">
        <v>1741</v>
      </c>
      <c r="B400" s="6">
        <f>COUNTIF(Levels!B:B,A400)</f>
        <v>1</v>
      </c>
      <c r="C400" s="6">
        <f>IFERROR(AVERAGEIF(Levels!B:B,A400,Levels!E:E),0)</f>
        <v>6</v>
      </c>
      <c r="D400" s="6">
        <f>IFERROR(AVERAGEIF(Levels!B:B,A400,Levels!F:F),0)</f>
        <v>5.5</v>
      </c>
      <c r="E400" s="6">
        <f>_xlfn.MAXIFS(Levels!E:E,Levels!B:B,A400)</f>
        <v>6</v>
      </c>
      <c r="F400" s="6">
        <f>_xlfn.MAXIFS(Levels!F:F,Levels!B:B,A400)</f>
        <v>5.5</v>
      </c>
    </row>
    <row r="401" spans="1:6" x14ac:dyDescent="0.3">
      <c r="A401" t="s">
        <v>1742</v>
      </c>
      <c r="B401" s="9">
        <f>COUNTIF(Levels!B:B,A401)</f>
        <v>2</v>
      </c>
      <c r="C401" s="9">
        <f>IFERROR(AVERAGEIF(Levels!B:B,A401,Levels!E:E),0)</f>
        <v>15.03</v>
      </c>
      <c r="D401" s="9">
        <f>IFERROR(AVERAGEIF(Levels!B:B,A401,Levels!F:F),0)</f>
        <v>4.9800000000000004</v>
      </c>
      <c r="E401" s="9">
        <f>_xlfn.MAXIFS(Levels!E:E,Levels!B:B,A401)</f>
        <v>15.95</v>
      </c>
      <c r="F401" s="9">
        <f>_xlfn.MAXIFS(Levels!F:F,Levels!B:B,A401)</f>
        <v>5.29</v>
      </c>
    </row>
    <row r="402" spans="1:6" x14ac:dyDescent="0.3">
      <c r="A402" t="s">
        <v>1744</v>
      </c>
      <c r="B402" s="6">
        <f>COUNTIF(Levels!B:B,A402)</f>
        <v>3</v>
      </c>
      <c r="C402" s="6">
        <f>IFERROR(AVERAGEIF(Levels!B:B,A402,Levels!E:E),0)</f>
        <v>10.039999999999999</v>
      </c>
      <c r="D402" s="6">
        <f>IFERROR(AVERAGEIF(Levels!B:B,A402,Levels!F:F),0)</f>
        <v>6.586666666666666</v>
      </c>
      <c r="E402" s="6">
        <f>_xlfn.MAXIFS(Levels!E:E,Levels!B:B,A402)</f>
        <v>17.73</v>
      </c>
      <c r="F402" s="6">
        <f>_xlfn.MAXIFS(Levels!F:F,Levels!B:B,A402)</f>
        <v>7.09</v>
      </c>
    </row>
    <row r="403" spans="1:6" x14ac:dyDescent="0.3">
      <c r="A403" t="s">
        <v>1754</v>
      </c>
      <c r="B403" s="9">
        <f>COUNTIF(Levels!B:B,A403)</f>
        <v>1</v>
      </c>
      <c r="C403" s="9">
        <f>IFERROR(AVERAGEIF(Levels!B:B,A403,Levels!E:E),0)</f>
        <v>12.57</v>
      </c>
      <c r="D403" s="9">
        <f>IFERROR(AVERAGEIF(Levels!B:B,A403,Levels!F:F),0)</f>
        <v>8.17</v>
      </c>
      <c r="E403" s="9">
        <f>_xlfn.MAXIFS(Levels!E:E,Levels!B:B,A403)</f>
        <v>12.57</v>
      </c>
      <c r="F403" s="9">
        <f>_xlfn.MAXIFS(Levels!F:F,Levels!B:B,A403)</f>
        <v>8.17</v>
      </c>
    </row>
    <row r="404" spans="1:6" x14ac:dyDescent="0.3">
      <c r="A404" t="s">
        <v>1758</v>
      </c>
      <c r="B404" s="6">
        <f>COUNTIF(Levels!B:B,A404)</f>
        <v>10</v>
      </c>
      <c r="C404" s="6">
        <f>IFERROR(AVERAGEIF(Levels!B:B,A404,Levels!E:E),0)</f>
        <v>12.658000000000001</v>
      </c>
      <c r="D404" s="6">
        <f>IFERROR(AVERAGEIF(Levels!B:B,A404,Levels!F:F),0)</f>
        <v>5.2549999999999999</v>
      </c>
      <c r="E404" s="6">
        <f>_xlfn.MAXIFS(Levels!E:E,Levels!B:B,A404)</f>
        <v>29.15</v>
      </c>
      <c r="F404" s="6">
        <f>_xlfn.MAXIFS(Levels!F:F,Levels!B:B,A404)</f>
        <v>6.33</v>
      </c>
    </row>
    <row r="405" spans="1:6" x14ac:dyDescent="0.3">
      <c r="A405" t="s">
        <v>1768</v>
      </c>
      <c r="B405" s="9">
        <f>COUNTIF(Levels!B:B,A405)</f>
        <v>1</v>
      </c>
      <c r="C405" s="9">
        <f>IFERROR(AVERAGEIF(Levels!B:B,A405,Levels!E:E),0)</f>
        <v>5</v>
      </c>
      <c r="D405" s="9">
        <f>IFERROR(AVERAGEIF(Levels!B:B,A405,Levels!F:F),0)</f>
        <v>5</v>
      </c>
      <c r="E405" s="9">
        <f>_xlfn.MAXIFS(Levels!E:E,Levels!B:B,A405)</f>
        <v>5</v>
      </c>
      <c r="F405" s="9">
        <f>_xlfn.MAXIFS(Levels!F:F,Levels!B:B,A405)</f>
        <v>5</v>
      </c>
    </row>
    <row r="406" spans="1:6" x14ac:dyDescent="0.3">
      <c r="A406" t="s">
        <v>1770</v>
      </c>
      <c r="B406" s="6">
        <f>COUNTIF(Levels!B:B,A406)</f>
        <v>2</v>
      </c>
      <c r="C406" s="6">
        <f>IFERROR(AVERAGEIF(Levels!B:B,A406,Levels!E:E),0)</f>
        <v>12.125</v>
      </c>
      <c r="D406" s="6">
        <f>IFERROR(AVERAGEIF(Levels!B:B,A406,Levels!F:F),0)</f>
        <v>4.8149999999999995</v>
      </c>
      <c r="E406" s="6">
        <f>_xlfn.MAXIFS(Levels!E:E,Levels!B:B,A406)</f>
        <v>13.25</v>
      </c>
      <c r="F406" s="6">
        <f>_xlfn.MAXIFS(Levels!F:F,Levels!B:B,A406)</f>
        <v>5.63</v>
      </c>
    </row>
    <row r="407" spans="1:6" x14ac:dyDescent="0.3">
      <c r="A407" t="s">
        <v>1775</v>
      </c>
      <c r="B407" s="9">
        <f>COUNTIF(Levels!B:B,A407)</f>
        <v>5</v>
      </c>
      <c r="C407" s="9">
        <f>IFERROR(AVERAGEIF(Levels!B:B,A407,Levels!E:E),0)</f>
        <v>7.5139999999999985</v>
      </c>
      <c r="D407" s="9">
        <f>IFERROR(AVERAGEIF(Levels!B:B,A407,Levels!F:F),0)</f>
        <v>6.0739999999999998</v>
      </c>
      <c r="E407" s="9">
        <f>_xlfn.MAXIFS(Levels!E:E,Levels!B:B,A407)</f>
        <v>11.6</v>
      </c>
      <c r="F407" s="9">
        <f>_xlfn.MAXIFS(Levels!F:F,Levels!B:B,A407)</f>
        <v>8.25</v>
      </c>
    </row>
    <row r="408" spans="1:6" x14ac:dyDescent="0.3">
      <c r="A408" t="s">
        <v>1780</v>
      </c>
      <c r="B408" s="6">
        <f>COUNTIF(Levels!B:B,A408)</f>
        <v>1</v>
      </c>
      <c r="C408" s="6">
        <f>IFERROR(AVERAGEIF(Levels!B:B,A408,Levels!E:E),0)</f>
        <v>8.9499999999999993</v>
      </c>
      <c r="D408" s="6">
        <f>IFERROR(AVERAGEIF(Levels!B:B,A408,Levels!F:F),0)</f>
        <v>4.78</v>
      </c>
      <c r="E408" s="6">
        <f>_xlfn.MAXIFS(Levels!E:E,Levels!B:B,A408)</f>
        <v>8.9499999999999993</v>
      </c>
      <c r="F408" s="6">
        <f>_xlfn.MAXIFS(Levels!F:F,Levels!B:B,A408)</f>
        <v>4.78</v>
      </c>
    </row>
    <row r="409" spans="1:6" x14ac:dyDescent="0.3">
      <c r="A409" t="s">
        <v>1786</v>
      </c>
      <c r="B409" s="9">
        <f>COUNTIF(Levels!B:B,A409)</f>
        <v>1</v>
      </c>
      <c r="C409" s="9">
        <f>IFERROR(AVERAGEIF(Levels!B:B,A409,Levels!E:E),0)</f>
        <v>11.6</v>
      </c>
      <c r="D409" s="9">
        <f>IFERROR(AVERAGEIF(Levels!B:B,A409,Levels!F:F),0)</f>
        <v>6.91</v>
      </c>
      <c r="E409" s="9">
        <f>_xlfn.MAXIFS(Levels!E:E,Levels!B:B,A409)</f>
        <v>11.6</v>
      </c>
      <c r="F409" s="9">
        <f>_xlfn.MAXIFS(Levels!F:F,Levels!B:B,A409)</f>
        <v>6.91</v>
      </c>
    </row>
    <row r="410" spans="1:6" x14ac:dyDescent="0.3">
      <c r="A410" t="s">
        <v>1789</v>
      </c>
      <c r="B410" s="6">
        <f>COUNTIF(Levels!B:B,A410)</f>
        <v>2</v>
      </c>
      <c r="C410" s="6">
        <f>IFERROR(AVERAGEIF(Levels!B:B,A410,Levels!E:E),0)</f>
        <v>14.375</v>
      </c>
      <c r="D410" s="6">
        <f>IFERROR(AVERAGEIF(Levels!B:B,A410,Levels!F:F),0)</f>
        <v>6.5350000000000001</v>
      </c>
      <c r="E410" s="6">
        <f>_xlfn.MAXIFS(Levels!E:E,Levels!B:B,A410)</f>
        <v>17.420000000000002</v>
      </c>
      <c r="F410" s="6">
        <f>_xlfn.MAXIFS(Levels!F:F,Levels!B:B,A410)</f>
        <v>8.4</v>
      </c>
    </row>
    <row r="411" spans="1:6" x14ac:dyDescent="0.3">
      <c r="A411" t="s">
        <v>1792</v>
      </c>
      <c r="B411" s="9">
        <f>COUNTIF(Levels!B:B,A411)</f>
        <v>3</v>
      </c>
      <c r="C411" s="9">
        <f>IFERROR(AVERAGEIF(Levels!B:B,A411,Levels!E:E),0)</f>
        <v>13.43</v>
      </c>
      <c r="D411" s="9">
        <f>IFERROR(AVERAGEIF(Levels!B:B,A411,Levels!F:F),0)</f>
        <v>6.1566666666666663</v>
      </c>
      <c r="E411" s="9">
        <f>_xlfn.MAXIFS(Levels!E:E,Levels!B:B,A411)</f>
        <v>15.34</v>
      </c>
      <c r="F411" s="9">
        <f>_xlfn.MAXIFS(Levels!F:F,Levels!B:B,A411)</f>
        <v>7.8</v>
      </c>
    </row>
    <row r="412" spans="1:6" x14ac:dyDescent="0.3">
      <c r="A412" t="s">
        <v>1794</v>
      </c>
      <c r="B412" s="6">
        <f>COUNTIF(Levels!B:B,A412)</f>
        <v>10</v>
      </c>
      <c r="C412" s="6">
        <f>IFERROR(AVERAGEIF(Levels!B:B,A412,Levels!E:E),0)</f>
        <v>6.5449999999999999</v>
      </c>
      <c r="D412" s="6">
        <f>IFERROR(AVERAGEIF(Levels!B:B,A412,Levels!F:F),0)</f>
        <v>6.6489999999999991</v>
      </c>
      <c r="E412" s="6">
        <f>_xlfn.MAXIFS(Levels!E:E,Levels!B:B,A412)</f>
        <v>12.11</v>
      </c>
      <c r="F412" s="6">
        <f>_xlfn.MAXIFS(Levels!F:F,Levels!B:B,A412)</f>
        <v>7.21</v>
      </c>
    </row>
    <row r="413" spans="1:6" x14ac:dyDescent="0.3">
      <c r="A413" t="s">
        <v>1797</v>
      </c>
      <c r="B413" s="9">
        <f>COUNTIF(Levels!B:B,A413)</f>
        <v>1</v>
      </c>
      <c r="C413" s="9">
        <f>IFERROR(AVERAGEIF(Levels!B:B,A413,Levels!E:E),0)</f>
        <v>8.2899999999999991</v>
      </c>
      <c r="D413" s="9">
        <f>IFERROR(AVERAGEIF(Levels!B:B,A413,Levels!F:F),0)</f>
        <v>4.58</v>
      </c>
      <c r="E413" s="9">
        <f>_xlfn.MAXIFS(Levels!E:E,Levels!B:B,A413)</f>
        <v>8.2899999999999991</v>
      </c>
      <c r="F413" s="9">
        <f>_xlfn.MAXIFS(Levels!F:F,Levels!B:B,A413)</f>
        <v>4.58</v>
      </c>
    </row>
    <row r="414" spans="1:6" x14ac:dyDescent="0.3">
      <c r="A414" t="s">
        <v>1799</v>
      </c>
      <c r="B414" s="6">
        <f>COUNTIF(Levels!B:B,A414)</f>
        <v>6</v>
      </c>
      <c r="C414" s="6">
        <f>IFERROR(AVERAGEIF(Levels!B:B,A414,Levels!E:E),0)</f>
        <v>11.308333333333332</v>
      </c>
      <c r="D414" s="6">
        <f>IFERROR(AVERAGEIF(Levels!B:B,A414,Levels!F:F),0)</f>
        <v>6.9249999999999998</v>
      </c>
      <c r="E414" s="6">
        <f>_xlfn.MAXIFS(Levels!E:E,Levels!B:B,A414)</f>
        <v>19.7</v>
      </c>
      <c r="F414" s="6">
        <f>_xlfn.MAXIFS(Levels!F:F,Levels!B:B,A414)</f>
        <v>8.36</v>
      </c>
    </row>
    <row r="415" spans="1:6" x14ac:dyDescent="0.3">
      <c r="A415" t="s">
        <v>1805</v>
      </c>
      <c r="B415" s="9">
        <f>COUNTIF(Levels!B:B,A415)</f>
        <v>5</v>
      </c>
      <c r="C415" s="9">
        <f>IFERROR(AVERAGEIF(Levels!B:B,A415,Levels!E:E),0)</f>
        <v>10.006</v>
      </c>
      <c r="D415" s="9">
        <f>IFERROR(AVERAGEIF(Levels!B:B,A415,Levels!F:F),0)</f>
        <v>6.8860000000000001</v>
      </c>
      <c r="E415" s="9">
        <f>_xlfn.MAXIFS(Levels!E:E,Levels!B:B,A415)</f>
        <v>16</v>
      </c>
      <c r="F415" s="9">
        <f>_xlfn.MAXIFS(Levels!F:F,Levels!B:B,A415)</f>
        <v>8</v>
      </c>
    </row>
    <row r="416" spans="1:6" x14ac:dyDescent="0.3">
      <c r="A416" t="s">
        <v>1807</v>
      </c>
      <c r="B416" s="6">
        <f>COUNTIF(Levels!B:B,A416)</f>
        <v>2</v>
      </c>
      <c r="C416" s="6">
        <f>IFERROR(AVERAGEIF(Levels!B:B,A416,Levels!E:E),0)</f>
        <v>11.39</v>
      </c>
      <c r="D416" s="6">
        <f>IFERROR(AVERAGEIF(Levels!B:B,A416,Levels!F:F),0)</f>
        <v>5.87</v>
      </c>
      <c r="E416" s="6">
        <f>_xlfn.MAXIFS(Levels!E:E,Levels!B:B,A416)</f>
        <v>14</v>
      </c>
      <c r="F416" s="6">
        <f>_xlfn.MAXIFS(Levels!F:F,Levels!B:B,A416)</f>
        <v>5.88</v>
      </c>
    </row>
    <row r="417" spans="1:6" x14ac:dyDescent="0.3">
      <c r="A417" t="s">
        <v>1809</v>
      </c>
      <c r="B417" s="9">
        <f>COUNTIF(Levels!B:B,A417)</f>
        <v>1</v>
      </c>
      <c r="C417" s="9">
        <f>IFERROR(AVERAGEIF(Levels!B:B,A417,Levels!E:E),0)</f>
        <v>9</v>
      </c>
      <c r="D417" s="9">
        <f>IFERROR(AVERAGEIF(Levels!B:B,A417,Levels!F:F),0)</f>
        <v>4.5</v>
      </c>
      <c r="E417" s="9">
        <f>_xlfn.MAXIFS(Levels!E:E,Levels!B:B,A417)</f>
        <v>9</v>
      </c>
      <c r="F417" s="9">
        <f>_xlfn.MAXIFS(Levels!F:F,Levels!B:B,A417)</f>
        <v>4.5</v>
      </c>
    </row>
    <row r="418" spans="1:6" x14ac:dyDescent="0.3">
      <c r="A418" t="s">
        <v>1812</v>
      </c>
      <c r="B418" s="6">
        <f>COUNTIF(Levels!B:B,A418)</f>
        <v>1</v>
      </c>
      <c r="C418" s="6">
        <f>IFERROR(AVERAGEIF(Levels!B:B,A418,Levels!E:E),0)</f>
        <v>10.87</v>
      </c>
      <c r="D418" s="6">
        <f>IFERROR(AVERAGEIF(Levels!B:B,A418,Levels!F:F),0)</f>
        <v>4.5999999999999996</v>
      </c>
      <c r="E418" s="6">
        <f>_xlfn.MAXIFS(Levels!E:E,Levels!B:B,A418)</f>
        <v>10.87</v>
      </c>
      <c r="F418" s="6">
        <f>_xlfn.MAXIFS(Levels!F:F,Levels!B:B,A418)</f>
        <v>4.5999999999999996</v>
      </c>
    </row>
    <row r="419" spans="1:6" x14ac:dyDescent="0.3">
      <c r="A419" t="s">
        <v>1814</v>
      </c>
      <c r="B419" s="9">
        <f>COUNTIF(Levels!B:B,A419)</f>
        <v>1</v>
      </c>
      <c r="C419" s="9">
        <f>IFERROR(AVERAGEIF(Levels!B:B,A419,Levels!E:E),0)</f>
        <v>5.8</v>
      </c>
      <c r="D419" s="9">
        <f>IFERROR(AVERAGEIF(Levels!B:B,A419,Levels!F:F),0)</f>
        <v>6</v>
      </c>
      <c r="E419" s="9">
        <f>_xlfn.MAXIFS(Levels!E:E,Levels!B:B,A419)</f>
        <v>5.8</v>
      </c>
      <c r="F419" s="9">
        <f>_xlfn.MAXIFS(Levels!F:F,Levels!B:B,A419)</f>
        <v>6</v>
      </c>
    </row>
    <row r="420" spans="1:6" x14ac:dyDescent="0.3">
      <c r="A420" t="s">
        <v>1817</v>
      </c>
      <c r="B420" s="6">
        <f>COUNTIF(Levels!B:B,A420)</f>
        <v>2</v>
      </c>
      <c r="C420" s="6">
        <f>IFERROR(AVERAGEIF(Levels!B:B,A420,Levels!E:E),0)</f>
        <v>13.17</v>
      </c>
      <c r="D420" s="6">
        <f>IFERROR(AVERAGEIF(Levels!B:B,A420,Levels!F:F),0)</f>
        <v>7.77</v>
      </c>
      <c r="E420" s="6">
        <f>_xlfn.MAXIFS(Levels!E:E,Levels!B:B,A420)</f>
        <v>14.14</v>
      </c>
      <c r="F420" s="6">
        <f>_xlfn.MAXIFS(Levels!F:F,Levels!B:B,A420)</f>
        <v>8.25</v>
      </c>
    </row>
    <row r="421" spans="1:6" x14ac:dyDescent="0.3">
      <c r="A421" t="s">
        <v>1819</v>
      </c>
      <c r="B421" s="9">
        <f>COUNTIF(Levels!B:B,A421)</f>
        <v>1</v>
      </c>
      <c r="C421" s="9">
        <f>IFERROR(AVERAGEIF(Levels!B:B,A421,Levels!E:E),0)</f>
        <v>5.43</v>
      </c>
      <c r="D421" s="9">
        <f>IFERROR(AVERAGEIF(Levels!B:B,A421,Levels!F:F),0)</f>
        <v>6.56</v>
      </c>
      <c r="E421" s="9">
        <f>_xlfn.MAXIFS(Levels!E:E,Levels!B:B,A421)</f>
        <v>5.43</v>
      </c>
      <c r="F421" s="9">
        <f>_xlfn.MAXIFS(Levels!F:F,Levels!B:B,A421)</f>
        <v>6.56</v>
      </c>
    </row>
    <row r="422" spans="1:6" x14ac:dyDescent="0.3">
      <c r="A422" t="s">
        <v>1821</v>
      </c>
      <c r="B422" s="6">
        <f>COUNTIF(Levels!B:B,A422)</f>
        <v>1</v>
      </c>
      <c r="C422" s="6">
        <f>IFERROR(AVERAGEIF(Levels!B:B,A422,Levels!E:E),0)</f>
        <v>12.14</v>
      </c>
      <c r="D422" s="6">
        <f>IFERROR(AVERAGEIF(Levels!B:B,A422,Levels!F:F),0)</f>
        <v>5</v>
      </c>
      <c r="E422" s="6">
        <f>_xlfn.MAXIFS(Levels!E:E,Levels!B:B,A422)</f>
        <v>12.14</v>
      </c>
      <c r="F422" s="6">
        <f>_xlfn.MAXIFS(Levels!F:F,Levels!B:B,A422)</f>
        <v>5</v>
      </c>
    </row>
    <row r="423" spans="1:6" x14ac:dyDescent="0.3">
      <c r="A423" t="s">
        <v>1824</v>
      </c>
      <c r="B423" s="9">
        <f>COUNTIF(Levels!B:B,A423)</f>
        <v>15</v>
      </c>
      <c r="C423" s="9">
        <f>IFERROR(AVERAGEIF(Levels!B:B,A423,Levels!E:E),0)</f>
        <v>21.82</v>
      </c>
      <c r="D423" s="9">
        <f>IFERROR(AVERAGEIF(Levels!B:B,A423,Levels!F:F),0)</f>
        <v>5.9479999999999995</v>
      </c>
      <c r="E423" s="9">
        <f>_xlfn.MAXIFS(Levels!E:E,Levels!B:B,A423)</f>
        <v>29.82</v>
      </c>
      <c r="F423" s="9">
        <f>_xlfn.MAXIFS(Levels!F:F,Levels!B:B,A423)</f>
        <v>7.33</v>
      </c>
    </row>
    <row r="424" spans="1:6" x14ac:dyDescent="0.3">
      <c r="A424" t="s">
        <v>1826</v>
      </c>
      <c r="B424" s="6">
        <f>COUNTIF(Levels!B:B,A424)</f>
        <v>2</v>
      </c>
      <c r="C424" s="6">
        <f>IFERROR(AVERAGEIF(Levels!B:B,A424,Levels!E:E),0)</f>
        <v>13.19</v>
      </c>
      <c r="D424" s="6">
        <f>IFERROR(AVERAGEIF(Levels!B:B,A424,Levels!F:F),0)</f>
        <v>6.585</v>
      </c>
      <c r="E424" s="6">
        <f>_xlfn.MAXIFS(Levels!E:E,Levels!B:B,A424)</f>
        <v>19.43</v>
      </c>
      <c r="F424" s="6">
        <f>_xlfn.MAXIFS(Levels!F:F,Levels!B:B,A424)</f>
        <v>7.46</v>
      </c>
    </row>
    <row r="425" spans="1:6" x14ac:dyDescent="0.3">
      <c r="A425" t="s">
        <v>1828</v>
      </c>
      <c r="B425" s="9">
        <f>COUNTIF(Levels!B:B,A425)</f>
        <v>2</v>
      </c>
      <c r="C425" s="9">
        <f>IFERROR(AVERAGEIF(Levels!B:B,A425,Levels!E:E),0)</f>
        <v>12.414999999999999</v>
      </c>
      <c r="D425" s="9">
        <f>IFERROR(AVERAGEIF(Levels!B:B,A425,Levels!F:F),0)</f>
        <v>5.165</v>
      </c>
      <c r="E425" s="9">
        <f>_xlfn.MAXIFS(Levels!E:E,Levels!B:B,A425)</f>
        <v>12.5</v>
      </c>
      <c r="F425" s="9">
        <f>_xlfn.MAXIFS(Levels!F:F,Levels!B:B,A425)</f>
        <v>6</v>
      </c>
    </row>
    <row r="426" spans="1:6" x14ac:dyDescent="0.3">
      <c r="A426" t="s">
        <v>1834</v>
      </c>
      <c r="B426" s="6">
        <f>COUNTIF(Levels!B:B,A426)</f>
        <v>4</v>
      </c>
      <c r="C426" s="6">
        <f>IFERROR(AVERAGEIF(Levels!B:B,A426,Levels!E:E),0)</f>
        <v>7.6749999999999998</v>
      </c>
      <c r="D426" s="6">
        <f>IFERROR(AVERAGEIF(Levels!B:B,A426,Levels!F:F),0)</f>
        <v>6.8324999999999996</v>
      </c>
      <c r="E426" s="6">
        <f>_xlfn.MAXIFS(Levels!E:E,Levels!B:B,A426)</f>
        <v>11.88</v>
      </c>
      <c r="F426" s="6">
        <f>_xlfn.MAXIFS(Levels!F:F,Levels!B:B,A426)</f>
        <v>7.5</v>
      </c>
    </row>
    <row r="427" spans="1:6" x14ac:dyDescent="0.3">
      <c r="A427" t="s">
        <v>1836</v>
      </c>
      <c r="B427" s="9">
        <f>COUNTIF(Levels!B:B,A427)</f>
        <v>1</v>
      </c>
      <c r="C427" s="9">
        <f>IFERROR(AVERAGEIF(Levels!B:B,A427,Levels!E:E),0)</f>
        <v>9.17</v>
      </c>
      <c r="D427" s="9">
        <f>IFERROR(AVERAGEIF(Levels!B:B,A427,Levels!F:F),0)</f>
        <v>5.9</v>
      </c>
      <c r="E427" s="9">
        <f>_xlfn.MAXIFS(Levels!E:E,Levels!B:B,A427)</f>
        <v>9.17</v>
      </c>
      <c r="F427" s="9">
        <f>_xlfn.MAXIFS(Levels!F:F,Levels!B:B,A427)</f>
        <v>5.9</v>
      </c>
    </row>
    <row r="428" spans="1:6" x14ac:dyDescent="0.3">
      <c r="A428" t="s">
        <v>1839</v>
      </c>
      <c r="B428" s="6">
        <f>COUNTIF(Levels!B:B,A428)</f>
        <v>1</v>
      </c>
      <c r="C428" s="6">
        <f>IFERROR(AVERAGEIF(Levels!B:B,A428,Levels!E:E),0)</f>
        <v>12.98</v>
      </c>
      <c r="D428" s="6">
        <f>IFERROR(AVERAGEIF(Levels!B:B,A428,Levels!F:F),0)</f>
        <v>5.57</v>
      </c>
      <c r="E428" s="6">
        <f>_xlfn.MAXIFS(Levels!E:E,Levels!B:B,A428)</f>
        <v>12.98</v>
      </c>
      <c r="F428" s="6">
        <f>_xlfn.MAXIFS(Levels!F:F,Levels!B:B,A428)</f>
        <v>5.57</v>
      </c>
    </row>
    <row r="429" spans="1:6" x14ac:dyDescent="0.3">
      <c r="A429" t="s">
        <v>1842</v>
      </c>
      <c r="B429" s="9">
        <f>COUNTIF(Levels!B:B,A429)</f>
        <v>5</v>
      </c>
      <c r="C429" s="9">
        <f>IFERROR(AVERAGEIF(Levels!B:B,A429,Levels!E:E),0)</f>
        <v>10.068000000000001</v>
      </c>
      <c r="D429" s="9">
        <f>IFERROR(AVERAGEIF(Levels!B:B,A429,Levels!F:F),0)</f>
        <v>6.2859999999999996</v>
      </c>
      <c r="E429" s="9">
        <f>_xlfn.MAXIFS(Levels!E:E,Levels!B:B,A429)</f>
        <v>15.8</v>
      </c>
      <c r="F429" s="9">
        <f>_xlfn.MAXIFS(Levels!F:F,Levels!B:B,A429)</f>
        <v>7.4</v>
      </c>
    </row>
    <row r="430" spans="1:6" x14ac:dyDescent="0.3">
      <c r="A430" t="s">
        <v>1845</v>
      </c>
      <c r="B430" s="6">
        <f>COUNTIF(Levels!B:B,A430)</f>
        <v>1</v>
      </c>
      <c r="C430" s="6">
        <f>IFERROR(AVERAGEIF(Levels!B:B,A430,Levels!E:E),0)</f>
        <v>13</v>
      </c>
      <c r="D430" s="6">
        <f>IFERROR(AVERAGEIF(Levels!B:B,A430,Levels!F:F),0)</f>
        <v>7.13</v>
      </c>
      <c r="E430" s="6">
        <f>_xlfn.MAXIFS(Levels!E:E,Levels!B:B,A430)</f>
        <v>13</v>
      </c>
      <c r="F430" s="6">
        <f>_xlfn.MAXIFS(Levels!F:F,Levels!B:B,A430)</f>
        <v>7.13</v>
      </c>
    </row>
    <row r="431" spans="1:6" x14ac:dyDescent="0.3">
      <c r="A431" t="s">
        <v>1847</v>
      </c>
      <c r="B431" s="9">
        <f>COUNTIF(Levels!B:B,A431)</f>
        <v>4</v>
      </c>
      <c r="C431" s="9">
        <f>IFERROR(AVERAGEIF(Levels!B:B,A431,Levels!E:E),0)</f>
        <v>8.5775000000000006</v>
      </c>
      <c r="D431" s="9">
        <f>IFERROR(AVERAGEIF(Levels!B:B,A431,Levels!F:F),0)</f>
        <v>6.5724999999999998</v>
      </c>
      <c r="E431" s="9">
        <f>_xlfn.MAXIFS(Levels!E:E,Levels!B:B,A431)</f>
        <v>11.29</v>
      </c>
      <c r="F431" s="9">
        <f>_xlfn.MAXIFS(Levels!F:F,Levels!B:B,A431)</f>
        <v>7.33</v>
      </c>
    </row>
    <row r="432" spans="1:6" x14ac:dyDescent="0.3">
      <c r="A432" t="s">
        <v>1852</v>
      </c>
      <c r="B432" s="6">
        <f>COUNTIF(Levels!B:B,A432)</f>
        <v>1</v>
      </c>
      <c r="C432" s="6">
        <f>IFERROR(AVERAGEIF(Levels!B:B,A432,Levels!E:E),0)</f>
        <v>13.47</v>
      </c>
      <c r="D432" s="6">
        <f>IFERROR(AVERAGEIF(Levels!B:B,A432,Levels!F:F),0)</f>
        <v>5.8</v>
      </c>
      <c r="E432" s="6">
        <f>_xlfn.MAXIFS(Levels!E:E,Levels!B:B,A432)</f>
        <v>13.47</v>
      </c>
      <c r="F432" s="6">
        <f>_xlfn.MAXIFS(Levels!F:F,Levels!B:B,A432)</f>
        <v>5.8</v>
      </c>
    </row>
    <row r="433" spans="1:6" x14ac:dyDescent="0.3">
      <c r="A433" t="s">
        <v>1853</v>
      </c>
      <c r="B433" s="9">
        <f>COUNTIF(Levels!B:B,A433)</f>
        <v>7</v>
      </c>
      <c r="C433" s="9">
        <f>IFERROR(AVERAGEIF(Levels!B:B,A433,Levels!E:E),0)</f>
        <v>10.752857142857142</v>
      </c>
      <c r="D433" s="9">
        <f>IFERROR(AVERAGEIF(Levels!B:B,A433,Levels!F:F),0)</f>
        <v>7.0257142857142858</v>
      </c>
      <c r="E433" s="9">
        <f>_xlfn.MAXIFS(Levels!E:E,Levels!B:B,A433)</f>
        <v>23.65</v>
      </c>
      <c r="F433" s="9">
        <f>_xlfn.MAXIFS(Levels!F:F,Levels!B:B,A433)</f>
        <v>7.85</v>
      </c>
    </row>
    <row r="434" spans="1:6" x14ac:dyDescent="0.3">
      <c r="A434" t="s">
        <v>1861</v>
      </c>
      <c r="B434" s="6">
        <f>COUNTIF(Levels!B:B,A434)</f>
        <v>1</v>
      </c>
      <c r="C434" s="6">
        <f>IFERROR(AVERAGEIF(Levels!B:B,A434,Levels!E:E),0)</f>
        <v>18.829999999999998</v>
      </c>
      <c r="D434" s="6">
        <f>IFERROR(AVERAGEIF(Levels!B:B,A434,Levels!F:F),0)</f>
        <v>5.8</v>
      </c>
      <c r="E434" s="6">
        <f>_xlfn.MAXIFS(Levels!E:E,Levels!B:B,A434)</f>
        <v>18.829999999999998</v>
      </c>
      <c r="F434" s="6">
        <f>_xlfn.MAXIFS(Levels!F:F,Levels!B:B,A434)</f>
        <v>5.8</v>
      </c>
    </row>
    <row r="435" spans="1:6" x14ac:dyDescent="0.3">
      <c r="A435" t="s">
        <v>1863</v>
      </c>
      <c r="B435" s="9">
        <f>COUNTIF(Levels!B:B,A435)</f>
        <v>6</v>
      </c>
      <c r="C435" s="9">
        <f>IFERROR(AVERAGEIF(Levels!B:B,A435,Levels!E:E),0)</f>
        <v>7.4399999999999986</v>
      </c>
      <c r="D435" s="9">
        <f>IFERROR(AVERAGEIF(Levels!B:B,A435,Levels!F:F),0)</f>
        <v>5.3866666666666667</v>
      </c>
      <c r="E435" s="9">
        <f>_xlfn.MAXIFS(Levels!E:E,Levels!B:B,A435)</f>
        <v>17.93</v>
      </c>
      <c r="F435" s="9">
        <f>_xlfn.MAXIFS(Levels!F:F,Levels!B:B,A435)</f>
        <v>7.26</v>
      </c>
    </row>
    <row r="436" spans="1:6" x14ac:dyDescent="0.3">
      <c r="A436" t="s">
        <v>1865</v>
      </c>
      <c r="B436" s="6">
        <f>COUNTIF(Levels!B:B,A436)</f>
        <v>6</v>
      </c>
      <c r="C436" s="6">
        <f>IFERROR(AVERAGEIF(Levels!B:B,A436,Levels!E:E),0)</f>
        <v>14.176666666666668</v>
      </c>
      <c r="D436" s="6">
        <f>IFERROR(AVERAGEIF(Levels!B:B,A436,Levels!F:F),0)</f>
        <v>6.3466666666666667</v>
      </c>
      <c r="E436" s="6">
        <f>_xlfn.MAXIFS(Levels!E:E,Levels!B:B,A436)</f>
        <v>23.6</v>
      </c>
      <c r="F436" s="6">
        <f>_xlfn.MAXIFS(Levels!F:F,Levels!B:B,A436)</f>
        <v>7.9</v>
      </c>
    </row>
    <row r="437" spans="1:6" x14ac:dyDescent="0.3">
      <c r="A437" t="s">
        <v>1869</v>
      </c>
      <c r="B437" s="9">
        <f>COUNTIF(Levels!B:B,A437)</f>
        <v>1</v>
      </c>
      <c r="C437" s="9">
        <f>IFERROR(AVERAGEIF(Levels!B:B,A437,Levels!E:E),0)</f>
        <v>10.8</v>
      </c>
      <c r="D437" s="9">
        <f>IFERROR(AVERAGEIF(Levels!B:B,A437,Levels!F:F),0)</f>
        <v>8.75</v>
      </c>
      <c r="E437" s="9">
        <f>_xlfn.MAXIFS(Levels!E:E,Levels!B:B,A437)</f>
        <v>10.8</v>
      </c>
      <c r="F437" s="9">
        <f>_xlfn.MAXIFS(Levels!F:F,Levels!B:B,A437)</f>
        <v>8.75</v>
      </c>
    </row>
    <row r="438" spans="1:6" x14ac:dyDescent="0.3">
      <c r="A438" t="s">
        <v>1870</v>
      </c>
      <c r="B438" s="6">
        <f>COUNTIF(Levels!B:B,A438)</f>
        <v>1</v>
      </c>
      <c r="C438" s="6">
        <f>IFERROR(AVERAGEIF(Levels!B:B,A438,Levels!E:E),0)</f>
        <v>2.6</v>
      </c>
      <c r="D438" s="6">
        <f>IFERROR(AVERAGEIF(Levels!B:B,A438,Levels!F:F),0)</f>
        <v>5.24</v>
      </c>
      <c r="E438" s="6">
        <f>_xlfn.MAXIFS(Levels!E:E,Levels!B:B,A438)</f>
        <v>2.6</v>
      </c>
      <c r="F438" s="6">
        <f>_xlfn.MAXIFS(Levels!F:F,Levels!B:B,A438)</f>
        <v>5.24</v>
      </c>
    </row>
    <row r="439" spans="1:6" x14ac:dyDescent="0.3">
      <c r="A439" t="s">
        <v>1872</v>
      </c>
      <c r="B439" s="9">
        <f>COUNTIF(Levels!B:B,A439)</f>
        <v>3</v>
      </c>
      <c r="C439" s="9">
        <f>IFERROR(AVERAGEIF(Levels!B:B,A439,Levels!E:E),0)</f>
        <v>5.2666666666666666</v>
      </c>
      <c r="D439" s="9">
        <f>IFERROR(AVERAGEIF(Levels!B:B,A439,Levels!F:F),0)</f>
        <v>6.0066666666666668</v>
      </c>
      <c r="E439" s="9">
        <f>_xlfn.MAXIFS(Levels!E:E,Levels!B:B,A439)</f>
        <v>7</v>
      </c>
      <c r="F439" s="9">
        <f>_xlfn.MAXIFS(Levels!F:F,Levels!B:B,A439)</f>
        <v>6.36</v>
      </c>
    </row>
    <row r="440" spans="1:6" x14ac:dyDescent="0.3">
      <c r="A440" t="s">
        <v>1877</v>
      </c>
      <c r="B440" s="6">
        <f>COUNTIF(Levels!B:B,A440)</f>
        <v>1</v>
      </c>
      <c r="C440" s="6">
        <f>IFERROR(AVERAGEIF(Levels!B:B,A440,Levels!E:E),0)</f>
        <v>11.13</v>
      </c>
      <c r="D440" s="6">
        <f>IFERROR(AVERAGEIF(Levels!B:B,A440,Levels!F:F),0)</f>
        <v>6.11</v>
      </c>
      <c r="E440" s="6">
        <f>_xlfn.MAXIFS(Levels!E:E,Levels!B:B,A440)</f>
        <v>11.13</v>
      </c>
      <c r="F440" s="6">
        <f>_xlfn.MAXIFS(Levels!F:F,Levels!B:B,A440)</f>
        <v>6.11</v>
      </c>
    </row>
    <row r="441" spans="1:6" x14ac:dyDescent="0.3">
      <c r="A441" t="s">
        <v>1881</v>
      </c>
      <c r="B441" s="9">
        <f>COUNTIF(Levels!B:B,A441)</f>
        <v>4</v>
      </c>
      <c r="C441" s="9">
        <f>IFERROR(AVERAGEIF(Levels!B:B,A441,Levels!E:E),0)</f>
        <v>9.4600000000000009</v>
      </c>
      <c r="D441" s="9">
        <f>IFERROR(AVERAGEIF(Levels!B:B,A441,Levels!F:F),0)</f>
        <v>5.5</v>
      </c>
      <c r="E441" s="9">
        <f>_xlfn.MAXIFS(Levels!E:E,Levels!B:B,A441)</f>
        <v>13.8</v>
      </c>
      <c r="F441" s="9">
        <f>_xlfn.MAXIFS(Levels!F:F,Levels!B:B,A441)</f>
        <v>7.7</v>
      </c>
    </row>
    <row r="442" spans="1:6" x14ac:dyDescent="0.3">
      <c r="A442" t="s">
        <v>1884</v>
      </c>
      <c r="B442" s="6">
        <f>COUNTIF(Levels!B:B,A442)</f>
        <v>1</v>
      </c>
      <c r="C442" s="6">
        <f>IFERROR(AVERAGEIF(Levels!B:B,A442,Levels!E:E),0)</f>
        <v>9.8000000000000007</v>
      </c>
      <c r="D442" s="6">
        <f>IFERROR(AVERAGEIF(Levels!B:B,A442,Levels!F:F),0)</f>
        <v>7.25</v>
      </c>
      <c r="E442" s="6">
        <f>_xlfn.MAXIFS(Levels!E:E,Levels!B:B,A442)</f>
        <v>9.8000000000000007</v>
      </c>
      <c r="F442" s="6">
        <f>_xlfn.MAXIFS(Levels!F:F,Levels!B:B,A442)</f>
        <v>7.25</v>
      </c>
    </row>
    <row r="443" spans="1:6" x14ac:dyDescent="0.3">
      <c r="A443" t="s">
        <v>1887</v>
      </c>
      <c r="B443" s="9">
        <f>COUNTIF(Levels!B:B,A443)</f>
        <v>2</v>
      </c>
      <c r="C443" s="9">
        <f>IFERROR(AVERAGEIF(Levels!B:B,A443,Levels!E:E),0)</f>
        <v>8.2100000000000009</v>
      </c>
      <c r="D443" s="9">
        <f>IFERROR(AVERAGEIF(Levels!B:B,A443,Levels!F:F),0)</f>
        <v>5.9249999999999998</v>
      </c>
      <c r="E443" s="9">
        <f>_xlfn.MAXIFS(Levels!E:E,Levels!B:B,A443)</f>
        <v>8.24</v>
      </c>
      <c r="F443" s="9">
        <f>_xlfn.MAXIFS(Levels!F:F,Levels!B:B,A443)</f>
        <v>7.42</v>
      </c>
    </row>
    <row r="444" spans="1:6" x14ac:dyDescent="0.3">
      <c r="A444" t="s">
        <v>1890</v>
      </c>
      <c r="B444" s="6">
        <f>COUNTIF(Levels!B:B,A444)</f>
        <v>9</v>
      </c>
      <c r="C444" s="6">
        <f>IFERROR(AVERAGEIF(Levels!B:B,A444,Levels!E:E),0)</f>
        <v>15.378888888888888</v>
      </c>
      <c r="D444" s="6">
        <f>IFERROR(AVERAGEIF(Levels!B:B,A444,Levels!F:F),0)</f>
        <v>6.0133333333333328</v>
      </c>
      <c r="E444" s="6">
        <f>_xlfn.MAXIFS(Levels!E:E,Levels!B:B,A444)</f>
        <v>27</v>
      </c>
      <c r="F444" s="6">
        <f>_xlfn.MAXIFS(Levels!F:F,Levels!B:B,A444)</f>
        <v>7.71</v>
      </c>
    </row>
    <row r="445" spans="1:6" x14ac:dyDescent="0.3">
      <c r="A445" t="s">
        <v>1892</v>
      </c>
      <c r="B445" s="9">
        <f>COUNTIF(Levels!B:B,A445)</f>
        <v>3</v>
      </c>
      <c r="C445" s="9">
        <f>IFERROR(AVERAGEIF(Levels!B:B,A445,Levels!E:E),0)</f>
        <v>14.793333333333331</v>
      </c>
      <c r="D445" s="9">
        <f>IFERROR(AVERAGEIF(Levels!B:B,A445,Levels!F:F),0)</f>
        <v>5.046666666666666</v>
      </c>
      <c r="E445" s="9">
        <f>_xlfn.MAXIFS(Levels!E:E,Levels!B:B,A445)</f>
        <v>21.11</v>
      </c>
      <c r="F445" s="9">
        <f>_xlfn.MAXIFS(Levels!F:F,Levels!B:B,A445)</f>
        <v>5.49</v>
      </c>
    </row>
    <row r="446" spans="1:6" x14ac:dyDescent="0.3">
      <c r="A446" t="s">
        <v>1899</v>
      </c>
      <c r="B446" s="6">
        <f>COUNTIF(Levels!B:B,A446)</f>
        <v>8</v>
      </c>
      <c r="C446" s="6">
        <f>IFERROR(AVERAGEIF(Levels!B:B,A446,Levels!E:E),0)</f>
        <v>6.6212499999999999</v>
      </c>
      <c r="D446" s="6">
        <f>IFERROR(AVERAGEIF(Levels!B:B,A446,Levels!F:F),0)</f>
        <v>5.6325000000000003</v>
      </c>
      <c r="E446" s="6">
        <f>_xlfn.MAXIFS(Levels!E:E,Levels!B:B,A446)</f>
        <v>14.47</v>
      </c>
      <c r="F446" s="6">
        <f>_xlfn.MAXIFS(Levels!F:F,Levels!B:B,A446)</f>
        <v>7.63</v>
      </c>
    </row>
    <row r="447" spans="1:6" x14ac:dyDescent="0.3">
      <c r="A447" t="s">
        <v>1901</v>
      </c>
      <c r="B447" s="9">
        <f>COUNTIF(Levels!B:B,A447)</f>
        <v>2</v>
      </c>
      <c r="C447" s="9">
        <f>IFERROR(AVERAGEIF(Levels!B:B,A447,Levels!E:E),0)</f>
        <v>3.3600000000000003</v>
      </c>
      <c r="D447" s="9">
        <f>IFERROR(AVERAGEIF(Levels!B:B,A447,Levels!F:F),0)</f>
        <v>5.73</v>
      </c>
      <c r="E447" s="9">
        <f>_xlfn.MAXIFS(Levels!E:E,Levels!B:B,A447)</f>
        <v>3.79</v>
      </c>
      <c r="F447" s="9">
        <f>_xlfn.MAXIFS(Levels!F:F,Levels!B:B,A447)</f>
        <v>6</v>
      </c>
    </row>
    <row r="448" spans="1:6" x14ac:dyDescent="0.3">
      <c r="A448" t="s">
        <v>1906</v>
      </c>
      <c r="B448" s="6">
        <f>COUNTIF(Levels!B:B,A448)</f>
        <v>1</v>
      </c>
      <c r="C448" s="6">
        <f>IFERROR(AVERAGEIF(Levels!B:B,A448,Levels!E:E),0)</f>
        <v>16.55</v>
      </c>
      <c r="D448" s="6">
        <f>IFERROR(AVERAGEIF(Levels!B:B,A448,Levels!F:F),0)</f>
        <v>5.33</v>
      </c>
      <c r="E448" s="6">
        <f>_xlfn.MAXIFS(Levels!E:E,Levels!B:B,A448)</f>
        <v>16.55</v>
      </c>
      <c r="F448" s="6">
        <f>_xlfn.MAXIFS(Levels!F:F,Levels!B:B,A448)</f>
        <v>5.33</v>
      </c>
    </row>
    <row r="449" spans="1:6" x14ac:dyDescent="0.3">
      <c r="A449" t="s">
        <v>1911</v>
      </c>
      <c r="B449" s="9">
        <f>COUNTIF(Levels!B:B,A449)</f>
        <v>4</v>
      </c>
      <c r="C449" s="9">
        <f>IFERROR(AVERAGEIF(Levels!B:B,A449,Levels!E:E),0)</f>
        <v>7.9649999999999999</v>
      </c>
      <c r="D449" s="9">
        <f>IFERROR(AVERAGEIF(Levels!B:B,A449,Levels!F:F),0)</f>
        <v>6.125</v>
      </c>
      <c r="E449" s="9">
        <f>_xlfn.MAXIFS(Levels!E:E,Levels!B:B,A449)</f>
        <v>13.57</v>
      </c>
      <c r="F449" s="9">
        <f>_xlfn.MAXIFS(Levels!F:F,Levels!B:B,A449)</f>
        <v>6.86</v>
      </c>
    </row>
    <row r="450" spans="1:6" x14ac:dyDescent="0.3">
      <c r="A450" t="s">
        <v>1913</v>
      </c>
      <c r="B450" s="6">
        <f>COUNTIF(Levels!B:B,A450)</f>
        <v>1</v>
      </c>
      <c r="C450" s="6">
        <f>IFERROR(AVERAGEIF(Levels!B:B,A450,Levels!E:E),0)</f>
        <v>12.63</v>
      </c>
      <c r="D450" s="6">
        <f>IFERROR(AVERAGEIF(Levels!B:B,A450,Levels!F:F),0)</f>
        <v>2.6</v>
      </c>
      <c r="E450" s="6">
        <f>_xlfn.MAXIFS(Levels!E:E,Levels!B:B,A450)</f>
        <v>12.63</v>
      </c>
      <c r="F450" s="6">
        <f>_xlfn.MAXIFS(Levels!F:F,Levels!B:B,A450)</f>
        <v>2.6</v>
      </c>
    </row>
    <row r="451" spans="1:6" x14ac:dyDescent="0.3">
      <c r="A451" t="s">
        <v>1916</v>
      </c>
      <c r="B451" s="9">
        <f>COUNTIF(Levels!B:B,A451)</f>
        <v>1</v>
      </c>
      <c r="C451" s="9">
        <f>IFERROR(AVERAGEIF(Levels!B:B,A451,Levels!E:E),0)</f>
        <v>12.13</v>
      </c>
      <c r="D451" s="9">
        <f>IFERROR(AVERAGEIF(Levels!B:B,A451,Levels!F:F),0)</f>
        <v>5.58</v>
      </c>
      <c r="E451" s="9">
        <f>_xlfn.MAXIFS(Levels!E:E,Levels!B:B,A451)</f>
        <v>12.13</v>
      </c>
      <c r="F451" s="9">
        <f>_xlfn.MAXIFS(Levels!F:F,Levels!B:B,A451)</f>
        <v>5.58</v>
      </c>
    </row>
    <row r="452" spans="1:6" x14ac:dyDescent="0.3">
      <c r="A452" t="s">
        <v>1919</v>
      </c>
      <c r="B452" s="6">
        <f>COUNTIF(Levels!B:B,A452)</f>
        <v>1</v>
      </c>
      <c r="C452" s="6">
        <f>IFERROR(AVERAGEIF(Levels!B:B,A452,Levels!E:E),0)</f>
        <v>20.75</v>
      </c>
      <c r="D452" s="6">
        <f>IFERROR(AVERAGEIF(Levels!B:B,A452,Levels!F:F),0)</f>
        <v>5.67</v>
      </c>
      <c r="E452" s="6">
        <f>_xlfn.MAXIFS(Levels!E:E,Levels!B:B,A452)</f>
        <v>20.75</v>
      </c>
      <c r="F452" s="6">
        <f>_xlfn.MAXIFS(Levels!F:F,Levels!B:B,A452)</f>
        <v>5.67</v>
      </c>
    </row>
    <row r="453" spans="1:6" x14ac:dyDescent="0.3">
      <c r="A453" t="s">
        <v>1923</v>
      </c>
      <c r="B453" s="9">
        <f>COUNTIF(Levels!B:B,A453)</f>
        <v>3</v>
      </c>
      <c r="C453" s="9">
        <f>IFERROR(AVERAGEIF(Levels!B:B,A453,Levels!E:E),0)</f>
        <v>13.16</v>
      </c>
      <c r="D453" s="9">
        <f>IFERROR(AVERAGEIF(Levels!B:B,A453,Levels!F:F),0)</f>
        <v>6.79</v>
      </c>
      <c r="E453" s="9">
        <f>_xlfn.MAXIFS(Levels!E:E,Levels!B:B,A453)</f>
        <v>13.16</v>
      </c>
      <c r="F453" s="9">
        <f>_xlfn.MAXIFS(Levels!F:F,Levels!B:B,A453)</f>
        <v>6.94</v>
      </c>
    </row>
    <row r="454" spans="1:6" x14ac:dyDescent="0.3">
      <c r="A454" t="s">
        <v>1926</v>
      </c>
      <c r="B454" s="6">
        <f>COUNTIF(Levels!B:B,A454)</f>
        <v>6</v>
      </c>
      <c r="C454" s="6">
        <f>IFERROR(AVERAGEIF(Levels!B:B,A454,Levels!E:E),0)</f>
        <v>12.193333333333333</v>
      </c>
      <c r="D454" s="6">
        <f>IFERROR(AVERAGEIF(Levels!B:B,A454,Levels!F:F),0)</f>
        <v>6.2266666666666666</v>
      </c>
      <c r="E454" s="6">
        <f>_xlfn.MAXIFS(Levels!E:E,Levels!B:B,A454)</f>
        <v>16.25</v>
      </c>
      <c r="F454" s="6">
        <f>_xlfn.MAXIFS(Levels!F:F,Levels!B:B,A454)</f>
        <v>7.63</v>
      </c>
    </row>
    <row r="455" spans="1:6" x14ac:dyDescent="0.3">
      <c r="A455" t="s">
        <v>1929</v>
      </c>
      <c r="B455" s="9">
        <f>COUNTIF(Levels!B:B,A455)</f>
        <v>1</v>
      </c>
      <c r="C455" s="9">
        <f>IFERROR(AVERAGEIF(Levels!B:B,A455,Levels!E:E),0)</f>
        <v>9.43</v>
      </c>
      <c r="D455" s="9">
        <f>IFERROR(AVERAGEIF(Levels!B:B,A455,Levels!F:F),0)</f>
        <v>5.73</v>
      </c>
      <c r="E455" s="9">
        <f>_xlfn.MAXIFS(Levels!E:E,Levels!B:B,A455)</f>
        <v>9.43</v>
      </c>
      <c r="F455" s="9">
        <f>_xlfn.MAXIFS(Levels!F:F,Levels!B:B,A455)</f>
        <v>5.73</v>
      </c>
    </row>
    <row r="456" spans="1:6" x14ac:dyDescent="0.3">
      <c r="A456" t="s">
        <v>1942</v>
      </c>
      <c r="B456" s="6">
        <f>COUNTIF(Levels!B:B,A456)</f>
        <v>1</v>
      </c>
      <c r="C456" s="6">
        <f>IFERROR(AVERAGEIF(Levels!B:B,A456,Levels!E:E),0)</f>
        <v>6.27</v>
      </c>
      <c r="D456" s="6">
        <f>IFERROR(AVERAGEIF(Levels!B:B,A456,Levels!F:F),0)</f>
        <v>7.54</v>
      </c>
      <c r="E456" s="6">
        <f>_xlfn.MAXIFS(Levels!E:E,Levels!B:B,A456)</f>
        <v>6.27</v>
      </c>
      <c r="F456" s="6">
        <f>_xlfn.MAXIFS(Levels!F:F,Levels!B:B,A456)</f>
        <v>7.54</v>
      </c>
    </row>
    <row r="457" spans="1:6" x14ac:dyDescent="0.3">
      <c r="A457" t="s">
        <v>1947</v>
      </c>
      <c r="B457" s="9">
        <f>COUNTIF(Levels!B:B,A457)</f>
        <v>1</v>
      </c>
      <c r="C457" s="9">
        <f>IFERROR(AVERAGEIF(Levels!B:B,A457,Levels!E:E),0)</f>
        <v>7.06</v>
      </c>
      <c r="D457" s="9">
        <f>IFERROR(AVERAGEIF(Levels!B:B,A457,Levels!F:F),0)</f>
        <v>5.5</v>
      </c>
      <c r="E457" s="9">
        <f>_xlfn.MAXIFS(Levels!E:E,Levels!B:B,A457)</f>
        <v>7.06</v>
      </c>
      <c r="F457" s="9">
        <f>_xlfn.MAXIFS(Levels!F:F,Levels!B:B,A457)</f>
        <v>5.5</v>
      </c>
    </row>
    <row r="458" spans="1:6" x14ac:dyDescent="0.3">
      <c r="A458" t="s">
        <v>1950</v>
      </c>
      <c r="B458" s="6">
        <f>COUNTIF(Levels!B:B,A458)</f>
        <v>2</v>
      </c>
      <c r="C458" s="6">
        <f>IFERROR(AVERAGEIF(Levels!B:B,A458,Levels!E:E),0)</f>
        <v>19.79</v>
      </c>
      <c r="D458" s="6">
        <f>IFERROR(AVERAGEIF(Levels!B:B,A458,Levels!F:F),0)</f>
        <v>6.7650000000000006</v>
      </c>
      <c r="E458" s="6">
        <f>_xlfn.MAXIFS(Levels!E:E,Levels!B:B,A458)</f>
        <v>28.91</v>
      </c>
      <c r="F458" s="6">
        <f>_xlfn.MAXIFS(Levels!F:F,Levels!B:B,A458)</f>
        <v>7.13</v>
      </c>
    </row>
    <row r="459" spans="1:6" x14ac:dyDescent="0.3">
      <c r="A459" t="s">
        <v>1953</v>
      </c>
      <c r="B459" s="9">
        <f>COUNTIF(Levels!B:B,A459)</f>
        <v>3</v>
      </c>
      <c r="C459" s="9">
        <f>IFERROR(AVERAGEIF(Levels!B:B,A459,Levels!E:E),0)</f>
        <v>23.51</v>
      </c>
      <c r="D459" s="9">
        <f>IFERROR(AVERAGEIF(Levels!B:B,A459,Levels!F:F),0)</f>
        <v>5.7399999999999993</v>
      </c>
      <c r="E459" s="9">
        <f>_xlfn.MAXIFS(Levels!E:E,Levels!B:B,A459)</f>
        <v>23.93</v>
      </c>
      <c r="F459" s="9">
        <f>_xlfn.MAXIFS(Levels!F:F,Levels!B:B,A459)</f>
        <v>6</v>
      </c>
    </row>
    <row r="460" spans="1:6" x14ac:dyDescent="0.3">
      <c r="A460" t="s">
        <v>1956</v>
      </c>
      <c r="B460" s="6">
        <f>COUNTIF(Levels!B:B,A460)</f>
        <v>1</v>
      </c>
      <c r="C460" s="6">
        <f>IFERROR(AVERAGEIF(Levels!B:B,A460,Levels!E:E),0)</f>
        <v>12.25</v>
      </c>
      <c r="D460" s="6">
        <f>IFERROR(AVERAGEIF(Levels!B:B,A460,Levels!F:F),0)</f>
        <v>4.25</v>
      </c>
      <c r="E460" s="6">
        <f>_xlfn.MAXIFS(Levels!E:E,Levels!B:B,A460)</f>
        <v>12.25</v>
      </c>
      <c r="F460" s="6">
        <f>_xlfn.MAXIFS(Levels!F:F,Levels!B:B,A460)</f>
        <v>4.25</v>
      </c>
    </row>
    <row r="461" spans="1:6" x14ac:dyDescent="0.3">
      <c r="A461" t="s">
        <v>1958</v>
      </c>
      <c r="B461" s="9">
        <f>COUNTIF(Levels!B:B,A461)</f>
        <v>5</v>
      </c>
      <c r="C461" s="9">
        <f>IFERROR(AVERAGEIF(Levels!B:B,A461,Levels!E:E),0)</f>
        <v>18.945</v>
      </c>
      <c r="D461" s="9">
        <f>IFERROR(AVERAGEIF(Levels!B:B,A461,Levels!F:F),0)</f>
        <v>6.8925000000000001</v>
      </c>
      <c r="E461" s="9">
        <f>_xlfn.MAXIFS(Levels!E:E,Levels!B:B,A461)</f>
        <v>30</v>
      </c>
      <c r="F461" s="9">
        <f>_xlfn.MAXIFS(Levels!F:F,Levels!B:B,A461)</f>
        <v>7.8</v>
      </c>
    </row>
    <row r="462" spans="1:6" x14ac:dyDescent="0.3">
      <c r="A462" t="s">
        <v>1960</v>
      </c>
      <c r="B462" s="6">
        <f>COUNTIF(Levels!B:B,A462)</f>
        <v>1</v>
      </c>
      <c r="C462" s="6">
        <f>IFERROR(AVERAGEIF(Levels!B:B,A462,Levels!E:E),0)</f>
        <v>12.05</v>
      </c>
      <c r="D462" s="6">
        <f>IFERROR(AVERAGEIF(Levels!B:B,A462,Levels!F:F),0)</f>
        <v>4.75</v>
      </c>
      <c r="E462" s="6">
        <f>_xlfn.MAXIFS(Levels!E:E,Levels!B:B,A462)</f>
        <v>12.05</v>
      </c>
      <c r="F462" s="6">
        <f>_xlfn.MAXIFS(Levels!F:F,Levels!B:B,A462)</f>
        <v>4.75</v>
      </c>
    </row>
    <row r="463" spans="1:6" x14ac:dyDescent="0.3">
      <c r="A463" t="s">
        <v>1962</v>
      </c>
      <c r="B463" s="9">
        <f>COUNTIF(Levels!B:B,A463)</f>
        <v>6</v>
      </c>
      <c r="C463" s="9">
        <f>IFERROR(AVERAGEIF(Levels!B:B,A463,Levels!E:E),0)</f>
        <v>6.11</v>
      </c>
      <c r="D463" s="9">
        <f>IFERROR(AVERAGEIF(Levels!B:B,A463,Levels!F:F),0)</f>
        <v>5.9116666666666662</v>
      </c>
      <c r="E463" s="9">
        <f>_xlfn.MAXIFS(Levels!E:E,Levels!B:B,A463)</f>
        <v>10.75</v>
      </c>
      <c r="F463" s="9">
        <f>_xlfn.MAXIFS(Levels!F:F,Levels!B:B,A463)</f>
        <v>6.9</v>
      </c>
    </row>
    <row r="464" spans="1:6" x14ac:dyDescent="0.3">
      <c r="A464" t="s">
        <v>1976</v>
      </c>
      <c r="B464" s="6">
        <f>COUNTIF(Levels!B:B,A464)</f>
        <v>2</v>
      </c>
      <c r="C464" s="6">
        <f>IFERROR(AVERAGEIF(Levels!B:B,A464,Levels!E:E),0)</f>
        <v>4.8100000000000005</v>
      </c>
      <c r="D464" s="6">
        <f>IFERROR(AVERAGEIF(Levels!B:B,A464,Levels!F:F),0)</f>
        <v>5.165</v>
      </c>
      <c r="E464" s="6">
        <f>_xlfn.MAXIFS(Levels!E:E,Levels!B:B,A464)</f>
        <v>7</v>
      </c>
      <c r="F464" s="6">
        <f>_xlfn.MAXIFS(Levels!F:F,Levels!B:B,A464)</f>
        <v>6.33</v>
      </c>
    </row>
    <row r="465" spans="1:6" x14ac:dyDescent="0.3">
      <c r="A465" t="s">
        <v>1979</v>
      </c>
      <c r="B465" s="9">
        <f>COUNTIF(Levels!B:B,A465)</f>
        <v>1</v>
      </c>
      <c r="C465" s="9">
        <f>IFERROR(AVERAGEIF(Levels!B:B,A465,Levels!E:E),0)</f>
        <v>8</v>
      </c>
      <c r="D465" s="9">
        <f>IFERROR(AVERAGEIF(Levels!B:B,A465,Levels!F:F),0)</f>
        <v>5.25</v>
      </c>
      <c r="E465" s="9">
        <f>_xlfn.MAXIFS(Levels!E:E,Levels!B:B,A465)</f>
        <v>8</v>
      </c>
      <c r="F465" s="9">
        <f>_xlfn.MAXIFS(Levels!F:F,Levels!B:B,A465)</f>
        <v>5.25</v>
      </c>
    </row>
    <row r="466" spans="1:6" x14ac:dyDescent="0.3">
      <c r="A466" t="s">
        <v>1980</v>
      </c>
      <c r="B466" s="6">
        <f>COUNTIF(Levels!B:B,A466)</f>
        <v>3</v>
      </c>
      <c r="C466" s="6">
        <f>IFERROR(AVERAGEIF(Levels!B:B,A466,Levels!E:E),0)</f>
        <v>10.213333333333333</v>
      </c>
      <c r="D466" s="6">
        <f>IFERROR(AVERAGEIF(Levels!B:B,A466,Levels!F:F),0)</f>
        <v>7.1099999999999994</v>
      </c>
      <c r="E466" s="6">
        <f>_xlfn.MAXIFS(Levels!E:E,Levels!B:B,A466)</f>
        <v>12.2</v>
      </c>
      <c r="F466" s="6">
        <f>_xlfn.MAXIFS(Levels!F:F,Levels!B:B,A466)</f>
        <v>8.5</v>
      </c>
    </row>
    <row r="467" spans="1:6" x14ac:dyDescent="0.3">
      <c r="A467" t="s">
        <v>1984</v>
      </c>
      <c r="B467" s="9">
        <f>COUNTIF(Levels!B:B,A467)</f>
        <v>5</v>
      </c>
      <c r="C467" s="9">
        <f>IFERROR(AVERAGEIF(Levels!B:B,A467,Levels!E:E),0)</f>
        <v>24.401999999999997</v>
      </c>
      <c r="D467" s="9">
        <f>IFERROR(AVERAGEIF(Levels!B:B,A467,Levels!F:F),0)</f>
        <v>5.2879999999999994</v>
      </c>
      <c r="E467" s="9">
        <f>_xlfn.MAXIFS(Levels!E:E,Levels!B:B,A467)</f>
        <v>32.119999999999997</v>
      </c>
      <c r="F467" s="9">
        <f>_xlfn.MAXIFS(Levels!F:F,Levels!B:B,A467)</f>
        <v>8</v>
      </c>
    </row>
    <row r="468" spans="1:6" x14ac:dyDescent="0.3">
      <c r="A468" t="s">
        <v>1986</v>
      </c>
      <c r="B468" s="6">
        <f>COUNTIF(Levels!B:B,A468)</f>
        <v>4</v>
      </c>
      <c r="C468" s="6">
        <f>IFERROR(AVERAGEIF(Levels!B:B,A468,Levels!E:E),0)</f>
        <v>7.0925000000000002</v>
      </c>
      <c r="D468" s="6">
        <f>IFERROR(AVERAGEIF(Levels!B:B,A468,Levels!F:F),0)</f>
        <v>5.7650000000000006</v>
      </c>
      <c r="E468" s="6">
        <f>_xlfn.MAXIFS(Levels!E:E,Levels!B:B,A468)</f>
        <v>8.25</v>
      </c>
      <c r="F468" s="6">
        <f>_xlfn.MAXIFS(Levels!F:F,Levels!B:B,A468)</f>
        <v>7.24</v>
      </c>
    </row>
    <row r="469" spans="1:6" x14ac:dyDescent="0.3">
      <c r="A469" t="s">
        <v>1988</v>
      </c>
      <c r="B469" s="9">
        <f>COUNTIF(Levels!B:B,A469)</f>
        <v>1</v>
      </c>
      <c r="C469" s="9">
        <f>IFERROR(AVERAGEIF(Levels!B:B,A469,Levels!E:E),0)</f>
        <v>18.5</v>
      </c>
      <c r="D469" s="9">
        <f>IFERROR(AVERAGEIF(Levels!B:B,A469,Levels!F:F),0)</f>
        <v>3.5</v>
      </c>
      <c r="E469" s="9">
        <f>_xlfn.MAXIFS(Levels!E:E,Levels!B:B,A469)</f>
        <v>18.5</v>
      </c>
      <c r="F469" s="9">
        <f>_xlfn.MAXIFS(Levels!F:F,Levels!B:B,A469)</f>
        <v>3.5</v>
      </c>
    </row>
    <row r="470" spans="1:6" x14ac:dyDescent="0.3">
      <c r="A470" t="s">
        <v>1990</v>
      </c>
      <c r="B470" s="6">
        <f>COUNTIF(Levels!B:B,A470)</f>
        <v>7</v>
      </c>
      <c r="C470" s="6">
        <f>IFERROR(AVERAGEIF(Levels!B:B,A470,Levels!E:E),0)</f>
        <v>6.9785714285714278</v>
      </c>
      <c r="D470" s="6">
        <f>IFERROR(AVERAGEIF(Levels!B:B,A470,Levels!F:F),0)</f>
        <v>5.8285714285714283</v>
      </c>
      <c r="E470" s="6">
        <f>_xlfn.MAXIFS(Levels!E:E,Levels!B:B,A470)</f>
        <v>13.76</v>
      </c>
      <c r="F470" s="6">
        <f>_xlfn.MAXIFS(Levels!F:F,Levels!B:B,A470)</f>
        <v>7.61</v>
      </c>
    </row>
    <row r="471" spans="1:6" x14ac:dyDescent="0.3">
      <c r="A471" t="s">
        <v>1993</v>
      </c>
      <c r="B471" s="9">
        <f>COUNTIF(Levels!B:B,A471)</f>
        <v>1</v>
      </c>
      <c r="C471" s="9">
        <f>IFERROR(AVERAGEIF(Levels!B:B,A471,Levels!E:E),0)</f>
        <v>12.24</v>
      </c>
      <c r="D471" s="9">
        <f>IFERROR(AVERAGEIF(Levels!B:B,A471,Levels!F:F),0)</f>
        <v>4.71</v>
      </c>
      <c r="E471" s="9">
        <f>_xlfn.MAXIFS(Levels!E:E,Levels!B:B,A471)</f>
        <v>12.24</v>
      </c>
      <c r="F471" s="9">
        <f>_xlfn.MAXIFS(Levels!F:F,Levels!B:B,A471)</f>
        <v>4.71</v>
      </c>
    </row>
    <row r="472" spans="1:6" x14ac:dyDescent="0.3">
      <c r="A472" t="s">
        <v>1996</v>
      </c>
      <c r="B472" s="6">
        <f>COUNTIF(Levels!B:B,A472)</f>
        <v>23</v>
      </c>
      <c r="C472" s="6">
        <f>IFERROR(AVERAGEIF(Levels!B:B,A472,Levels!E:E),0)</f>
        <v>8.5939130434782616</v>
      </c>
      <c r="D472" s="6">
        <f>IFERROR(AVERAGEIF(Levels!B:B,A472,Levels!F:F),0)</f>
        <v>6.5104347826086961</v>
      </c>
      <c r="E472" s="6">
        <f>_xlfn.MAXIFS(Levels!E:E,Levels!B:B,A472)</f>
        <v>28.81</v>
      </c>
      <c r="F472" s="6">
        <f>_xlfn.MAXIFS(Levels!F:F,Levels!B:B,A472)</f>
        <v>8.23</v>
      </c>
    </row>
    <row r="473" spans="1:6" x14ac:dyDescent="0.3">
      <c r="A473" t="s">
        <v>2000</v>
      </c>
      <c r="B473" s="9">
        <f>COUNTIF(Levels!B:B,A473)</f>
        <v>2</v>
      </c>
      <c r="C473" s="9">
        <f>IFERROR(AVERAGEIF(Levels!B:B,A473,Levels!E:E),0)</f>
        <v>16.085000000000001</v>
      </c>
      <c r="D473" s="9">
        <f>IFERROR(AVERAGEIF(Levels!B:B,A473,Levels!F:F),0)</f>
        <v>5.5299999999999994</v>
      </c>
      <c r="E473" s="9">
        <f>_xlfn.MAXIFS(Levels!E:E,Levels!B:B,A473)</f>
        <v>16.170000000000002</v>
      </c>
      <c r="F473" s="9">
        <f>_xlfn.MAXIFS(Levels!F:F,Levels!B:B,A473)</f>
        <v>5.75</v>
      </c>
    </row>
    <row r="474" spans="1:6" x14ac:dyDescent="0.3">
      <c r="A474" t="s">
        <v>2012</v>
      </c>
      <c r="B474" s="6">
        <f>COUNTIF(Levels!B:B,A474)</f>
        <v>1</v>
      </c>
      <c r="C474" s="6">
        <f>IFERROR(AVERAGEIF(Levels!B:B,A474,Levels!E:E),0)</f>
        <v>10.49</v>
      </c>
      <c r="D474" s="6">
        <f>IFERROR(AVERAGEIF(Levels!B:B,A474,Levels!F:F),0)</f>
        <v>5.5</v>
      </c>
      <c r="E474" s="6">
        <f>_xlfn.MAXIFS(Levels!E:E,Levels!B:B,A474)</f>
        <v>10.49</v>
      </c>
      <c r="F474" s="6">
        <f>_xlfn.MAXIFS(Levels!F:F,Levels!B:B,A474)</f>
        <v>5.5</v>
      </c>
    </row>
    <row r="475" spans="1:6" x14ac:dyDescent="0.3">
      <c r="A475" t="s">
        <v>2018</v>
      </c>
      <c r="B475" s="9">
        <f>COUNTIF(Levels!B:B,A475)</f>
        <v>5</v>
      </c>
      <c r="C475" s="9">
        <f>IFERROR(AVERAGEIF(Levels!B:B,A475,Levels!E:E),0)</f>
        <v>6.99</v>
      </c>
      <c r="D475" s="9">
        <f>IFERROR(AVERAGEIF(Levels!B:B,A475,Levels!F:F),0)</f>
        <v>5.952</v>
      </c>
      <c r="E475" s="9">
        <f>_xlfn.MAXIFS(Levels!E:E,Levels!B:B,A475)</f>
        <v>20.25</v>
      </c>
      <c r="F475" s="9">
        <f>_xlfn.MAXIFS(Levels!F:F,Levels!B:B,A475)</f>
        <v>7.35</v>
      </c>
    </row>
    <row r="476" spans="1:6" x14ac:dyDescent="0.3">
      <c r="A476" t="s">
        <v>2022</v>
      </c>
      <c r="B476" s="6">
        <f>COUNTIF(Levels!B:B,A476)</f>
        <v>1</v>
      </c>
      <c r="C476" s="6">
        <f>IFERROR(AVERAGEIF(Levels!B:B,A476,Levels!E:E),0)</f>
        <v>3.82</v>
      </c>
      <c r="D476" s="6">
        <f>IFERROR(AVERAGEIF(Levels!B:B,A476,Levels!F:F),0)</f>
        <v>5.93</v>
      </c>
      <c r="E476" s="6">
        <f>_xlfn.MAXIFS(Levels!E:E,Levels!B:B,A476)</f>
        <v>3.82</v>
      </c>
      <c r="F476" s="6">
        <f>_xlfn.MAXIFS(Levels!F:F,Levels!B:B,A476)</f>
        <v>5.93</v>
      </c>
    </row>
    <row r="477" spans="1:6" x14ac:dyDescent="0.3">
      <c r="A477" t="s">
        <v>2032</v>
      </c>
      <c r="B477" s="9">
        <f>COUNTIF(Levels!B:B,A477)</f>
        <v>5</v>
      </c>
      <c r="C477" s="9">
        <f>IFERROR(AVERAGEIF(Levels!B:B,A477,Levels!E:E),0)</f>
        <v>7.9420000000000002</v>
      </c>
      <c r="D477" s="9">
        <f>IFERROR(AVERAGEIF(Levels!B:B,A477,Levels!F:F),0)</f>
        <v>6.76</v>
      </c>
      <c r="E477" s="9">
        <f>_xlfn.MAXIFS(Levels!E:E,Levels!B:B,A477)</f>
        <v>12.84</v>
      </c>
      <c r="F477" s="9">
        <f>_xlfn.MAXIFS(Levels!F:F,Levels!B:B,A477)</f>
        <v>7.59</v>
      </c>
    </row>
    <row r="478" spans="1:6" x14ac:dyDescent="0.3">
      <c r="A478" t="s">
        <v>2035</v>
      </c>
      <c r="B478" s="6">
        <f>COUNTIF(Levels!B:B,A478)</f>
        <v>2</v>
      </c>
      <c r="C478" s="6">
        <f>IFERROR(AVERAGEIF(Levels!B:B,A478,Levels!E:E),0)</f>
        <v>9.5</v>
      </c>
      <c r="D478" s="6">
        <f>IFERROR(AVERAGEIF(Levels!B:B,A478,Levels!F:F),0)</f>
        <v>5.9950000000000001</v>
      </c>
      <c r="E478" s="6">
        <f>_xlfn.MAXIFS(Levels!E:E,Levels!B:B,A478)</f>
        <v>14.75</v>
      </c>
      <c r="F478" s="6">
        <f>_xlfn.MAXIFS(Levels!F:F,Levels!B:B,A478)</f>
        <v>7.08</v>
      </c>
    </row>
    <row r="479" spans="1:6" x14ac:dyDescent="0.3">
      <c r="A479" t="s">
        <v>2042</v>
      </c>
      <c r="B479" s="9">
        <f>COUNTIF(Levels!B:B,A479)</f>
        <v>4</v>
      </c>
      <c r="C479" s="9">
        <f>IFERROR(AVERAGEIF(Levels!B:B,A479,Levels!E:E),0)</f>
        <v>8.9849999999999994</v>
      </c>
      <c r="D479" s="9">
        <f>IFERROR(AVERAGEIF(Levels!B:B,A479,Levels!F:F),0)</f>
        <v>5.7824999999999998</v>
      </c>
      <c r="E479" s="9">
        <f>_xlfn.MAXIFS(Levels!E:E,Levels!B:B,A479)</f>
        <v>10.17</v>
      </c>
      <c r="F479" s="9">
        <f>_xlfn.MAXIFS(Levels!F:F,Levels!B:B,A479)</f>
        <v>7</v>
      </c>
    </row>
    <row r="480" spans="1:6" x14ac:dyDescent="0.3">
      <c r="A480" t="s">
        <v>2043</v>
      </c>
      <c r="B480" s="6">
        <f>COUNTIF(Levels!B:B,A480)</f>
        <v>4</v>
      </c>
      <c r="C480" s="6">
        <f>IFERROR(AVERAGEIF(Levels!B:B,A480,Levels!E:E),0)</f>
        <v>9.504999999999999</v>
      </c>
      <c r="D480" s="6">
        <f>IFERROR(AVERAGEIF(Levels!B:B,A480,Levels!F:F),0)</f>
        <v>7.2425000000000006</v>
      </c>
      <c r="E480" s="6">
        <f>_xlfn.MAXIFS(Levels!E:E,Levels!B:B,A480)</f>
        <v>21.33</v>
      </c>
      <c r="F480" s="6">
        <f>_xlfn.MAXIFS(Levels!F:F,Levels!B:B,A480)</f>
        <v>8.3000000000000007</v>
      </c>
    </row>
    <row r="481" spans="1:6" x14ac:dyDescent="0.3">
      <c r="A481" t="s">
        <v>2046</v>
      </c>
      <c r="B481" s="9">
        <f>COUNTIF(Levels!B:B,A481)</f>
        <v>1</v>
      </c>
      <c r="C481" s="9">
        <f>IFERROR(AVERAGEIF(Levels!B:B,A481,Levels!E:E),0)</f>
        <v>15.51</v>
      </c>
      <c r="D481" s="9">
        <f>IFERROR(AVERAGEIF(Levels!B:B,A481,Levels!F:F),0)</f>
        <v>5.86</v>
      </c>
      <c r="E481" s="9">
        <f>_xlfn.MAXIFS(Levels!E:E,Levels!B:B,A481)</f>
        <v>15.51</v>
      </c>
      <c r="F481" s="9">
        <f>_xlfn.MAXIFS(Levels!F:F,Levels!B:B,A481)</f>
        <v>5.86</v>
      </c>
    </row>
    <row r="482" spans="1:6" x14ac:dyDescent="0.3">
      <c r="A482" t="s">
        <v>2048</v>
      </c>
      <c r="B482" s="6">
        <f>COUNTIF(Levels!B:B,A482)</f>
        <v>2</v>
      </c>
      <c r="C482" s="6">
        <f>IFERROR(AVERAGEIF(Levels!B:B,A482,Levels!E:E),0)</f>
        <v>8.81</v>
      </c>
      <c r="D482" s="6">
        <f>IFERROR(AVERAGEIF(Levels!B:B,A482,Levels!F:F),0)</f>
        <v>6.4249999999999998</v>
      </c>
      <c r="E482" s="6">
        <f>_xlfn.MAXIFS(Levels!E:E,Levels!B:B,A482)</f>
        <v>10.99</v>
      </c>
      <c r="F482" s="6">
        <f>_xlfn.MAXIFS(Levels!F:F,Levels!B:B,A482)</f>
        <v>6.71</v>
      </c>
    </row>
    <row r="483" spans="1:6" x14ac:dyDescent="0.3">
      <c r="A483" t="s">
        <v>2053</v>
      </c>
      <c r="B483" s="9">
        <f>COUNTIF(Levels!B:B,A483)</f>
        <v>10</v>
      </c>
      <c r="C483" s="9">
        <f>IFERROR(AVERAGEIF(Levels!B:B,A483,Levels!E:E),0)</f>
        <v>14.365</v>
      </c>
      <c r="D483" s="9">
        <f>IFERROR(AVERAGEIF(Levels!B:B,A483,Levels!F:F),0)</f>
        <v>6.7480000000000002</v>
      </c>
      <c r="E483" s="9">
        <f>_xlfn.MAXIFS(Levels!E:E,Levels!B:B,A483)</f>
        <v>18.350000000000001</v>
      </c>
      <c r="F483" s="9">
        <f>_xlfn.MAXIFS(Levels!F:F,Levels!B:B,A483)</f>
        <v>8.44</v>
      </c>
    </row>
    <row r="484" spans="1:6" x14ac:dyDescent="0.3">
      <c r="A484" t="s">
        <v>2055</v>
      </c>
      <c r="B484" s="6">
        <f>COUNTIF(Levels!B:B,A484)</f>
        <v>1</v>
      </c>
      <c r="C484" s="6">
        <f>IFERROR(AVERAGEIF(Levels!B:B,A484,Levels!E:E),0)</f>
        <v>11.25</v>
      </c>
      <c r="D484" s="6">
        <f>IFERROR(AVERAGEIF(Levels!B:B,A484,Levels!F:F),0)</f>
        <v>7.25</v>
      </c>
      <c r="E484" s="6">
        <f>_xlfn.MAXIFS(Levels!E:E,Levels!B:B,A484)</f>
        <v>11.25</v>
      </c>
      <c r="F484" s="6">
        <f>_xlfn.MAXIFS(Levels!F:F,Levels!B:B,A484)</f>
        <v>7.25</v>
      </c>
    </row>
    <row r="485" spans="1:6" x14ac:dyDescent="0.3">
      <c r="A485" t="s">
        <v>2058</v>
      </c>
      <c r="B485" s="9">
        <f>COUNTIF(Levels!B:B,A485)</f>
        <v>1</v>
      </c>
      <c r="C485" s="9">
        <f>IFERROR(AVERAGEIF(Levels!B:B,A485,Levels!E:E),0)</f>
        <v>9.4</v>
      </c>
      <c r="D485" s="9">
        <f>IFERROR(AVERAGEIF(Levels!B:B,A485,Levels!F:F),0)</f>
        <v>7</v>
      </c>
      <c r="E485" s="9">
        <f>_xlfn.MAXIFS(Levels!E:E,Levels!B:B,A485)</f>
        <v>9.4</v>
      </c>
      <c r="F485" s="9">
        <f>_xlfn.MAXIFS(Levels!F:F,Levels!B:B,A485)</f>
        <v>7</v>
      </c>
    </row>
    <row r="486" spans="1:6" x14ac:dyDescent="0.3">
      <c r="A486" t="s">
        <v>2062</v>
      </c>
      <c r="B486" s="6">
        <f>COUNTIF(Levels!B:B,A486)</f>
        <v>1</v>
      </c>
      <c r="C486" s="6">
        <f>IFERROR(AVERAGEIF(Levels!B:B,A486,Levels!E:E),0)</f>
        <v>4.5999999999999996</v>
      </c>
      <c r="D486" s="6">
        <f>IFERROR(AVERAGEIF(Levels!B:B,A486,Levels!F:F),0)</f>
        <v>5.61</v>
      </c>
      <c r="E486" s="6">
        <f>_xlfn.MAXIFS(Levels!E:E,Levels!B:B,A486)</f>
        <v>4.5999999999999996</v>
      </c>
      <c r="F486" s="6">
        <f>_xlfn.MAXIFS(Levels!F:F,Levels!B:B,A486)</f>
        <v>5.61</v>
      </c>
    </row>
    <row r="487" spans="1:6" x14ac:dyDescent="0.3">
      <c r="A487" t="s">
        <v>2070</v>
      </c>
      <c r="B487" s="9">
        <f>COUNTIF(Levels!B:B,A487)</f>
        <v>3</v>
      </c>
      <c r="C487" s="9">
        <f>IFERROR(AVERAGEIF(Levels!B:B,A487,Levels!E:E),0)</f>
        <v>5.1133333333333333</v>
      </c>
      <c r="D487" s="9">
        <f>IFERROR(AVERAGEIF(Levels!B:B,A487,Levels!F:F),0)</f>
        <v>6.669999999999999</v>
      </c>
      <c r="E487" s="9">
        <f>_xlfn.MAXIFS(Levels!E:E,Levels!B:B,A487)</f>
        <v>8.77</v>
      </c>
      <c r="F487" s="9">
        <f>_xlfn.MAXIFS(Levels!F:F,Levels!B:B,A487)</f>
        <v>7.5</v>
      </c>
    </row>
    <row r="488" spans="1:6" x14ac:dyDescent="0.3">
      <c r="A488" t="s">
        <v>2073</v>
      </c>
      <c r="B488" s="6">
        <f>COUNTIF(Levels!B:B,A488)</f>
        <v>1</v>
      </c>
      <c r="C488" s="6">
        <f>IFERROR(AVERAGEIF(Levels!B:B,A488,Levels!E:E),0)</f>
        <v>18</v>
      </c>
      <c r="D488" s="6">
        <f>IFERROR(AVERAGEIF(Levels!B:B,A488,Levels!F:F),0)</f>
        <v>6.06</v>
      </c>
      <c r="E488" s="6">
        <f>_xlfn.MAXIFS(Levels!E:E,Levels!B:B,A488)</f>
        <v>18</v>
      </c>
      <c r="F488" s="6">
        <f>_xlfn.MAXIFS(Levels!F:F,Levels!B:B,A488)</f>
        <v>6.06</v>
      </c>
    </row>
    <row r="489" spans="1:6" x14ac:dyDescent="0.3">
      <c r="A489" t="s">
        <v>2075</v>
      </c>
      <c r="B489" s="9">
        <f>COUNTIF(Levels!B:B,A489)</f>
        <v>1</v>
      </c>
      <c r="C489" s="9">
        <f>IFERROR(AVERAGEIF(Levels!B:B,A489,Levels!E:E),0)</f>
        <v>12.2</v>
      </c>
      <c r="D489" s="9">
        <f>IFERROR(AVERAGEIF(Levels!B:B,A489,Levels!F:F),0)</f>
        <v>5.6</v>
      </c>
      <c r="E489" s="9">
        <f>_xlfn.MAXIFS(Levels!E:E,Levels!B:B,A489)</f>
        <v>12.2</v>
      </c>
      <c r="F489" s="9">
        <f>_xlfn.MAXIFS(Levels!F:F,Levels!B:B,A489)</f>
        <v>5.6</v>
      </c>
    </row>
    <row r="490" spans="1:6" x14ac:dyDescent="0.3">
      <c r="A490" t="s">
        <v>2081</v>
      </c>
      <c r="B490" s="6">
        <f>COUNTIF(Levels!B:B,A490)</f>
        <v>1</v>
      </c>
      <c r="C490" s="6">
        <f>IFERROR(AVERAGEIF(Levels!B:B,A490,Levels!E:E),0)</f>
        <v>10.6</v>
      </c>
      <c r="D490" s="6">
        <f>IFERROR(AVERAGEIF(Levels!B:B,A490,Levels!F:F),0)</f>
        <v>7.67</v>
      </c>
      <c r="E490" s="6">
        <f>_xlfn.MAXIFS(Levels!E:E,Levels!B:B,A490)</f>
        <v>10.6</v>
      </c>
      <c r="F490" s="6">
        <f>_xlfn.MAXIFS(Levels!F:F,Levels!B:B,A490)</f>
        <v>7.67</v>
      </c>
    </row>
    <row r="491" spans="1:6" x14ac:dyDescent="0.3">
      <c r="A491" t="s">
        <v>2088</v>
      </c>
      <c r="B491" s="9">
        <f>COUNTIF(Levels!B:B,A491)</f>
        <v>3</v>
      </c>
      <c r="C491" s="9">
        <f>IFERROR(AVERAGEIF(Levels!B:B,A491,Levels!E:E),0)</f>
        <v>7.4799999999999995</v>
      </c>
      <c r="D491" s="9">
        <f>IFERROR(AVERAGEIF(Levels!B:B,A491,Levels!F:F),0)</f>
        <v>5.043333333333333</v>
      </c>
      <c r="E491" s="9">
        <f>_xlfn.MAXIFS(Levels!E:E,Levels!B:B,A491)</f>
        <v>14</v>
      </c>
      <c r="F491" s="9">
        <f>_xlfn.MAXIFS(Levels!F:F,Levels!B:B,A491)</f>
        <v>6.25</v>
      </c>
    </row>
    <row r="492" spans="1:6" x14ac:dyDescent="0.3">
      <c r="A492" t="s">
        <v>2094</v>
      </c>
      <c r="B492" s="6">
        <f>COUNTIF(Levels!B:B,A492)</f>
        <v>1</v>
      </c>
      <c r="C492" s="6">
        <f>IFERROR(AVERAGEIF(Levels!B:B,A492,Levels!E:E),0)</f>
        <v>15.68</v>
      </c>
      <c r="D492" s="6">
        <f>IFERROR(AVERAGEIF(Levels!B:B,A492,Levels!F:F),0)</f>
        <v>6.56</v>
      </c>
      <c r="E492" s="6">
        <f>_xlfn.MAXIFS(Levels!E:E,Levels!B:B,A492)</f>
        <v>15.68</v>
      </c>
      <c r="F492" s="6">
        <f>_xlfn.MAXIFS(Levels!F:F,Levels!B:B,A492)</f>
        <v>6.56</v>
      </c>
    </row>
    <row r="493" spans="1:6" x14ac:dyDescent="0.3">
      <c r="A493" t="s">
        <v>2095</v>
      </c>
      <c r="B493" s="9">
        <f>COUNTIF(Levels!B:B,A493)</f>
        <v>1</v>
      </c>
      <c r="C493" s="9">
        <f>IFERROR(AVERAGEIF(Levels!B:B,A493,Levels!E:E),0)</f>
        <v>9.27</v>
      </c>
      <c r="D493" s="9">
        <f>IFERROR(AVERAGEIF(Levels!B:B,A493,Levels!F:F),0)</f>
        <v>4.63</v>
      </c>
      <c r="E493" s="9">
        <f>_xlfn.MAXIFS(Levels!E:E,Levels!B:B,A493)</f>
        <v>9.27</v>
      </c>
      <c r="F493" s="9">
        <f>_xlfn.MAXIFS(Levels!F:F,Levels!B:B,A493)</f>
        <v>4.63</v>
      </c>
    </row>
    <row r="494" spans="1:6" x14ac:dyDescent="0.3">
      <c r="A494" t="s">
        <v>2097</v>
      </c>
      <c r="B494" s="6">
        <f>COUNTIF(Levels!B:B,A494)</f>
        <v>1</v>
      </c>
      <c r="C494" s="6">
        <f>IFERROR(AVERAGEIF(Levels!B:B,A494,Levels!E:E),0)</f>
        <v>8.5</v>
      </c>
      <c r="D494" s="6">
        <f>IFERROR(AVERAGEIF(Levels!B:B,A494,Levels!F:F),0)</f>
        <v>7</v>
      </c>
      <c r="E494" s="6">
        <f>_xlfn.MAXIFS(Levels!E:E,Levels!B:B,A494)</f>
        <v>8.5</v>
      </c>
      <c r="F494" s="6">
        <f>_xlfn.MAXIFS(Levels!F:F,Levels!B:B,A494)</f>
        <v>7</v>
      </c>
    </row>
    <row r="495" spans="1:6" x14ac:dyDescent="0.3">
      <c r="A495" t="s">
        <v>2101</v>
      </c>
      <c r="B495" s="9">
        <f>COUNTIF(Levels!B:B,A495)</f>
        <v>5</v>
      </c>
      <c r="C495" s="9">
        <f>IFERROR(AVERAGEIF(Levels!B:B,A495,Levels!E:E),0)</f>
        <v>14.955</v>
      </c>
      <c r="D495" s="9">
        <f>IFERROR(AVERAGEIF(Levels!B:B,A495,Levels!F:F),0)</f>
        <v>6.3875000000000002</v>
      </c>
      <c r="E495" s="9">
        <f>_xlfn.MAXIFS(Levels!E:E,Levels!B:B,A495)</f>
        <v>17.82</v>
      </c>
      <c r="F495" s="9">
        <f>_xlfn.MAXIFS(Levels!F:F,Levels!B:B,A495)</f>
        <v>8</v>
      </c>
    </row>
    <row r="496" spans="1:6" x14ac:dyDescent="0.3">
      <c r="A496" t="s">
        <v>2108</v>
      </c>
      <c r="B496" s="6">
        <f>COUNTIF(Levels!B:B,A496)</f>
        <v>1</v>
      </c>
      <c r="C496" s="6">
        <f>IFERROR(AVERAGEIF(Levels!B:B,A496,Levels!E:E),0)</f>
        <v>11.03</v>
      </c>
      <c r="D496" s="6">
        <f>IFERROR(AVERAGEIF(Levels!B:B,A496,Levels!F:F),0)</f>
        <v>7.83</v>
      </c>
      <c r="E496" s="6">
        <f>_xlfn.MAXIFS(Levels!E:E,Levels!B:B,A496)</f>
        <v>11.03</v>
      </c>
      <c r="F496" s="6">
        <f>_xlfn.MAXIFS(Levels!F:F,Levels!B:B,A496)</f>
        <v>7.83</v>
      </c>
    </row>
    <row r="497" spans="1:6" x14ac:dyDescent="0.3">
      <c r="A497" t="s">
        <v>2120</v>
      </c>
      <c r="B497" s="9">
        <f>COUNTIF(Levels!B:B,A497)</f>
        <v>1</v>
      </c>
      <c r="C497" s="9">
        <f>IFERROR(AVERAGEIF(Levels!B:B,A497,Levels!E:E),0)</f>
        <v>14.36</v>
      </c>
      <c r="D497" s="9">
        <f>IFERROR(AVERAGEIF(Levels!B:B,A497,Levels!F:F),0)</f>
        <v>6.37</v>
      </c>
      <c r="E497" s="9">
        <f>_xlfn.MAXIFS(Levels!E:E,Levels!B:B,A497)</f>
        <v>14.36</v>
      </c>
      <c r="F497" s="9">
        <f>_xlfn.MAXIFS(Levels!F:F,Levels!B:B,A497)</f>
        <v>6.37</v>
      </c>
    </row>
    <row r="498" spans="1:6" x14ac:dyDescent="0.3">
      <c r="A498" t="s">
        <v>2124</v>
      </c>
      <c r="B498" s="6">
        <f>COUNTIF(Levels!B:B,A498)</f>
        <v>1</v>
      </c>
      <c r="C498" s="6">
        <f>IFERROR(AVERAGEIF(Levels!B:B,A498,Levels!E:E),0)</f>
        <v>8.5</v>
      </c>
      <c r="D498" s="6">
        <f>IFERROR(AVERAGEIF(Levels!B:B,A498,Levels!F:F),0)</f>
        <v>5</v>
      </c>
      <c r="E498" s="6">
        <f>_xlfn.MAXIFS(Levels!E:E,Levels!B:B,A498)</f>
        <v>8.5</v>
      </c>
      <c r="F498" s="6">
        <f>_xlfn.MAXIFS(Levels!F:F,Levels!B:B,A498)</f>
        <v>5</v>
      </c>
    </row>
    <row r="499" spans="1:6" x14ac:dyDescent="0.3">
      <c r="A499" t="s">
        <v>2126</v>
      </c>
      <c r="B499" s="9">
        <f>COUNTIF(Levels!B:B,A499)</f>
        <v>6</v>
      </c>
      <c r="C499" s="9">
        <f>IFERROR(AVERAGEIF(Levels!B:B,A499,Levels!E:E),0)</f>
        <v>6.4833333333333334</v>
      </c>
      <c r="D499" s="9">
        <f>IFERROR(AVERAGEIF(Levels!B:B,A499,Levels!F:F),0)</f>
        <v>6.9966666666666661</v>
      </c>
      <c r="E499" s="9">
        <f>_xlfn.MAXIFS(Levels!E:E,Levels!B:B,A499)</f>
        <v>14.67</v>
      </c>
      <c r="F499" s="9">
        <f>_xlfn.MAXIFS(Levels!F:F,Levels!B:B,A499)</f>
        <v>8.1999999999999993</v>
      </c>
    </row>
    <row r="500" spans="1:6" x14ac:dyDescent="0.3">
      <c r="A500" t="s">
        <v>2129</v>
      </c>
      <c r="B500" s="6">
        <f>COUNTIF(Levels!B:B,A500)</f>
        <v>1</v>
      </c>
      <c r="C500" s="6">
        <f>IFERROR(AVERAGEIF(Levels!B:B,A500,Levels!E:E),0)</f>
        <v>12.4</v>
      </c>
      <c r="D500" s="6">
        <f>IFERROR(AVERAGEIF(Levels!B:B,A500,Levels!F:F),0)</f>
        <v>5.5</v>
      </c>
      <c r="E500" s="6">
        <f>_xlfn.MAXIFS(Levels!E:E,Levels!B:B,A500)</f>
        <v>12.4</v>
      </c>
      <c r="F500" s="6">
        <f>_xlfn.MAXIFS(Levels!F:F,Levels!B:B,A500)</f>
        <v>5.5</v>
      </c>
    </row>
    <row r="501" spans="1:6" x14ac:dyDescent="0.3">
      <c r="A501" t="s">
        <v>2133</v>
      </c>
      <c r="B501" s="9">
        <f>COUNTIF(Levels!B:B,A501)</f>
        <v>9</v>
      </c>
      <c r="C501" s="9">
        <f>IFERROR(AVERAGEIF(Levels!B:B,A501,Levels!E:E),0)</f>
        <v>5.7177777777777781</v>
      </c>
      <c r="D501" s="9">
        <f>IFERROR(AVERAGEIF(Levels!B:B,A501,Levels!F:F),0)</f>
        <v>6.8644444444444446</v>
      </c>
      <c r="E501" s="9">
        <f>_xlfn.MAXIFS(Levels!E:E,Levels!B:B,A501)</f>
        <v>11.36</v>
      </c>
      <c r="F501" s="9">
        <f>_xlfn.MAXIFS(Levels!F:F,Levels!B:B,A501)</f>
        <v>7.61</v>
      </c>
    </row>
    <row r="502" spans="1:6" x14ac:dyDescent="0.3">
      <c r="A502" t="s">
        <v>2145</v>
      </c>
      <c r="B502" s="6">
        <f>COUNTIF(Levels!B:B,A502)</f>
        <v>1</v>
      </c>
      <c r="C502" s="6">
        <f>IFERROR(AVERAGEIF(Levels!B:B,A502,Levels!E:E),0)</f>
        <v>7.08</v>
      </c>
      <c r="D502" s="6">
        <f>IFERROR(AVERAGEIF(Levels!B:B,A502,Levels!F:F),0)</f>
        <v>6.29</v>
      </c>
      <c r="E502" s="6">
        <f>_xlfn.MAXIFS(Levels!E:E,Levels!B:B,A502)</f>
        <v>7.08</v>
      </c>
      <c r="F502" s="6">
        <f>_xlfn.MAXIFS(Levels!F:F,Levels!B:B,A502)</f>
        <v>6.29</v>
      </c>
    </row>
    <row r="503" spans="1:6" x14ac:dyDescent="0.3">
      <c r="A503" t="s">
        <v>2148</v>
      </c>
      <c r="B503" s="9">
        <f>COUNTIF(Levels!B:B,A503)</f>
        <v>2</v>
      </c>
      <c r="C503" s="9">
        <f>IFERROR(AVERAGEIF(Levels!B:B,A503,Levels!E:E),0)</f>
        <v>7.68</v>
      </c>
      <c r="D503" s="9">
        <f>IFERROR(AVERAGEIF(Levels!B:B,A503,Levels!F:F),0)</f>
        <v>5.58</v>
      </c>
      <c r="E503" s="9">
        <f>_xlfn.MAXIFS(Levels!E:E,Levels!B:B,A503)</f>
        <v>8.36</v>
      </c>
      <c r="F503" s="9">
        <f>_xlfn.MAXIFS(Levels!F:F,Levels!B:B,A503)</f>
        <v>5.83</v>
      </c>
    </row>
    <row r="504" spans="1:6" x14ac:dyDescent="0.3">
      <c r="A504" t="s">
        <v>2151</v>
      </c>
      <c r="B504" s="6">
        <f>COUNTIF(Levels!B:B,A504)</f>
        <v>3</v>
      </c>
      <c r="C504" s="6">
        <f>IFERROR(AVERAGEIF(Levels!B:B,A504,Levels!E:E),0)</f>
        <v>6.6866666666666665</v>
      </c>
      <c r="D504" s="6">
        <f>IFERROR(AVERAGEIF(Levels!B:B,A504,Levels!F:F),0)</f>
        <v>6.9466666666666663</v>
      </c>
      <c r="E504" s="6">
        <f>_xlfn.MAXIFS(Levels!E:E,Levels!B:B,A504)</f>
        <v>7.67</v>
      </c>
      <c r="F504" s="6">
        <f>_xlfn.MAXIFS(Levels!F:F,Levels!B:B,A504)</f>
        <v>7.17</v>
      </c>
    </row>
    <row r="505" spans="1:6" x14ac:dyDescent="0.3">
      <c r="A505" t="s">
        <v>2153</v>
      </c>
      <c r="B505" s="9">
        <f>COUNTIF(Levels!B:B,A505)</f>
        <v>1</v>
      </c>
      <c r="C505" s="9">
        <f>IFERROR(AVERAGEIF(Levels!B:B,A505,Levels!E:E),0)</f>
        <v>15.72</v>
      </c>
      <c r="D505" s="9">
        <f>IFERROR(AVERAGEIF(Levels!B:B,A505,Levels!F:F),0)</f>
        <v>5.8</v>
      </c>
      <c r="E505" s="9">
        <f>_xlfn.MAXIFS(Levels!E:E,Levels!B:B,A505)</f>
        <v>15.72</v>
      </c>
      <c r="F505" s="9">
        <f>_xlfn.MAXIFS(Levels!F:F,Levels!B:B,A505)</f>
        <v>5.8</v>
      </c>
    </row>
    <row r="506" spans="1:6" x14ac:dyDescent="0.3">
      <c r="A506" t="s">
        <v>2161</v>
      </c>
      <c r="B506" s="6">
        <f>COUNTIF(Levels!B:B,A506)</f>
        <v>2</v>
      </c>
      <c r="C506" s="6">
        <f>IFERROR(AVERAGEIF(Levels!B:B,A506,Levels!E:E),0)</f>
        <v>9.73</v>
      </c>
      <c r="D506" s="6">
        <f>IFERROR(AVERAGEIF(Levels!B:B,A506,Levels!F:F),0)</f>
        <v>7.3550000000000004</v>
      </c>
      <c r="E506" s="6">
        <f>_xlfn.MAXIFS(Levels!E:E,Levels!B:B,A506)</f>
        <v>11.85</v>
      </c>
      <c r="F506" s="6">
        <f>_xlfn.MAXIFS(Levels!F:F,Levels!B:B,A506)</f>
        <v>8</v>
      </c>
    </row>
    <row r="507" spans="1:6" x14ac:dyDescent="0.3">
      <c r="A507" t="s">
        <v>2163</v>
      </c>
      <c r="B507" s="9">
        <f>COUNTIF(Levels!B:B,A507)</f>
        <v>2</v>
      </c>
      <c r="C507" s="9">
        <f>IFERROR(AVERAGEIF(Levels!B:B,A507,Levels!E:E),0)</f>
        <v>7.57</v>
      </c>
      <c r="D507" s="9">
        <f>IFERROR(AVERAGEIF(Levels!B:B,A507,Levels!F:F),0)</f>
        <v>5.835</v>
      </c>
      <c r="E507" s="9">
        <f>_xlfn.MAXIFS(Levels!E:E,Levels!B:B,A507)</f>
        <v>9.14</v>
      </c>
      <c r="F507" s="9">
        <f>_xlfn.MAXIFS(Levels!F:F,Levels!B:B,A507)</f>
        <v>6</v>
      </c>
    </row>
    <row r="508" spans="1:6" x14ac:dyDescent="0.3">
      <c r="A508" t="s">
        <v>2166</v>
      </c>
      <c r="B508" s="6">
        <f>COUNTIF(Levels!B:B,A508)</f>
        <v>15</v>
      </c>
      <c r="C508" s="6">
        <f>IFERROR(AVERAGEIF(Levels!B:B,A508,Levels!E:E),0)</f>
        <v>21.965333333333334</v>
      </c>
      <c r="D508" s="6">
        <f>IFERROR(AVERAGEIF(Levels!B:B,A508,Levels!F:F),0)</f>
        <v>6.4153333333333338</v>
      </c>
      <c r="E508" s="6">
        <f>_xlfn.MAXIFS(Levels!E:E,Levels!B:B,A508)</f>
        <v>32</v>
      </c>
      <c r="F508" s="6">
        <f>_xlfn.MAXIFS(Levels!F:F,Levels!B:B,A508)</f>
        <v>9</v>
      </c>
    </row>
    <row r="509" spans="1:6" x14ac:dyDescent="0.3">
      <c r="A509" t="s">
        <v>2171</v>
      </c>
      <c r="B509" s="9">
        <f>COUNTIF(Levels!B:B,A509)</f>
        <v>1</v>
      </c>
      <c r="C509" s="9">
        <f>IFERROR(AVERAGEIF(Levels!B:B,A509,Levels!E:E),0)</f>
        <v>19.329999999999998</v>
      </c>
      <c r="D509" s="9">
        <f>IFERROR(AVERAGEIF(Levels!B:B,A509,Levels!F:F),0)</f>
        <v>3.89</v>
      </c>
      <c r="E509" s="9">
        <f>_xlfn.MAXIFS(Levels!E:E,Levels!B:B,A509)</f>
        <v>19.329999999999998</v>
      </c>
      <c r="F509" s="9">
        <f>_xlfn.MAXIFS(Levels!F:F,Levels!B:B,A509)</f>
        <v>3.89</v>
      </c>
    </row>
    <row r="510" spans="1:6" x14ac:dyDescent="0.3">
      <c r="A510" t="s">
        <v>2173</v>
      </c>
      <c r="B510" s="6">
        <f>COUNTIF(Levels!B:B,A510)</f>
        <v>3</v>
      </c>
      <c r="C510" s="6">
        <f>IFERROR(AVERAGEIF(Levels!B:B,A510,Levels!E:E),0)</f>
        <v>11.600000000000001</v>
      </c>
      <c r="D510" s="6">
        <f>IFERROR(AVERAGEIF(Levels!B:B,A510,Levels!F:F),0)</f>
        <v>5.1833333333333336</v>
      </c>
      <c r="E510" s="6">
        <f>_xlfn.MAXIFS(Levels!E:E,Levels!B:B,A510)</f>
        <v>16.670000000000002</v>
      </c>
      <c r="F510" s="6">
        <f>_xlfn.MAXIFS(Levels!F:F,Levels!B:B,A510)</f>
        <v>6.67</v>
      </c>
    </row>
    <row r="511" spans="1:6" x14ac:dyDescent="0.3">
      <c r="A511" t="s">
        <v>2179</v>
      </c>
      <c r="B511" s="9">
        <f>COUNTIF(Levels!B:B,A511)</f>
        <v>1</v>
      </c>
      <c r="C511" s="9">
        <f>IFERROR(AVERAGEIF(Levels!B:B,A511,Levels!E:E),0)</f>
        <v>10.6</v>
      </c>
      <c r="D511" s="9">
        <f>IFERROR(AVERAGEIF(Levels!B:B,A511,Levels!F:F),0)</f>
        <v>5.6</v>
      </c>
      <c r="E511" s="9">
        <f>_xlfn.MAXIFS(Levels!E:E,Levels!B:B,A511)</f>
        <v>10.6</v>
      </c>
      <c r="F511" s="9">
        <f>_xlfn.MAXIFS(Levels!F:F,Levels!B:B,A511)</f>
        <v>5.6</v>
      </c>
    </row>
    <row r="512" spans="1:6" x14ac:dyDescent="0.3">
      <c r="A512" t="s">
        <v>2193</v>
      </c>
      <c r="B512" s="6">
        <f>COUNTIF(Levels!B:B,A512)</f>
        <v>8</v>
      </c>
      <c r="C512" s="6">
        <f>IFERROR(AVERAGEIF(Levels!B:B,A512,Levels!E:E),0)</f>
        <v>10.675000000000001</v>
      </c>
      <c r="D512" s="6">
        <f>IFERROR(AVERAGEIF(Levels!B:B,A512,Levels!F:F),0)</f>
        <v>6.7762500000000001</v>
      </c>
      <c r="E512" s="6">
        <f>_xlfn.MAXIFS(Levels!E:E,Levels!B:B,A512)</f>
        <v>17.8</v>
      </c>
      <c r="F512" s="6">
        <f>_xlfn.MAXIFS(Levels!F:F,Levels!B:B,A512)</f>
        <v>7.8</v>
      </c>
    </row>
    <row r="513" spans="1:6" x14ac:dyDescent="0.3">
      <c r="A513" t="s">
        <v>2199</v>
      </c>
      <c r="B513" s="9">
        <f>COUNTIF(Levels!B:B,A513)</f>
        <v>15</v>
      </c>
      <c r="C513" s="9">
        <f>IFERROR(AVERAGEIF(Levels!B:B,A513,Levels!E:E),0)</f>
        <v>13.054</v>
      </c>
      <c r="D513" s="9">
        <f>IFERROR(AVERAGEIF(Levels!B:B,A513,Levels!F:F),0)</f>
        <v>6.7166666666666677</v>
      </c>
      <c r="E513" s="9">
        <f>_xlfn.MAXIFS(Levels!E:E,Levels!B:B,A513)</f>
        <v>22.1</v>
      </c>
      <c r="F513" s="9">
        <f>_xlfn.MAXIFS(Levels!F:F,Levels!B:B,A513)</f>
        <v>8.64</v>
      </c>
    </row>
    <row r="514" spans="1:6" x14ac:dyDescent="0.3">
      <c r="A514" t="s">
        <v>2203</v>
      </c>
      <c r="B514" s="6">
        <f>COUNTIF(Levels!B:B,A514)</f>
        <v>18</v>
      </c>
      <c r="C514" s="6">
        <f>IFERROR(AVERAGEIF(Levels!B:B,A514,Levels!E:E),0)</f>
        <v>11.057058823529413</v>
      </c>
      <c r="D514" s="6">
        <f>IFERROR(AVERAGEIF(Levels!B:B,A514,Levels!F:F),0)</f>
        <v>5.1182352941176461</v>
      </c>
      <c r="E514" s="6">
        <f>_xlfn.MAXIFS(Levels!E:E,Levels!B:B,A514)</f>
        <v>22.75</v>
      </c>
      <c r="F514" s="6">
        <f>_xlfn.MAXIFS(Levels!F:F,Levels!B:B,A514)</f>
        <v>7.25</v>
      </c>
    </row>
    <row r="515" spans="1:6" x14ac:dyDescent="0.3">
      <c r="A515" t="s">
        <v>2205</v>
      </c>
      <c r="B515" s="9">
        <f>COUNTIF(Levels!B:B,A515)</f>
        <v>3</v>
      </c>
      <c r="C515" s="9">
        <f>IFERROR(AVERAGEIF(Levels!B:B,A515,Levels!E:E),0)</f>
        <v>9.7566666666666659</v>
      </c>
      <c r="D515" s="9">
        <f>IFERROR(AVERAGEIF(Levels!B:B,A515,Levels!F:F),0)</f>
        <v>7.6099999999999994</v>
      </c>
      <c r="E515" s="9">
        <f>_xlfn.MAXIFS(Levels!E:E,Levels!B:B,A515)</f>
        <v>12.5</v>
      </c>
      <c r="F515" s="9">
        <f>_xlfn.MAXIFS(Levels!F:F,Levels!B:B,A515)</f>
        <v>8.33</v>
      </c>
    </row>
    <row r="516" spans="1:6" x14ac:dyDescent="0.3">
      <c r="A516" t="s">
        <v>2209</v>
      </c>
      <c r="B516" s="6">
        <f>COUNTIF(Levels!B:B,A516)</f>
        <v>1</v>
      </c>
      <c r="C516" s="6">
        <f>IFERROR(AVERAGEIF(Levels!B:B,A516,Levels!E:E),0)</f>
        <v>10.89</v>
      </c>
      <c r="D516" s="6">
        <f>IFERROR(AVERAGEIF(Levels!B:B,A516,Levels!F:F),0)</f>
        <v>4.87</v>
      </c>
      <c r="E516" s="6">
        <f>_xlfn.MAXIFS(Levels!E:E,Levels!B:B,A516)</f>
        <v>10.89</v>
      </c>
      <c r="F516" s="6">
        <f>_xlfn.MAXIFS(Levels!F:F,Levels!B:B,A516)</f>
        <v>4.87</v>
      </c>
    </row>
    <row r="517" spans="1:6" x14ac:dyDescent="0.3">
      <c r="A517" t="s">
        <v>2216</v>
      </c>
      <c r="B517" s="9">
        <f>COUNTIF(Levels!B:B,A517)</f>
        <v>3</v>
      </c>
      <c r="C517" s="9">
        <f>IFERROR(AVERAGEIF(Levels!B:B,A517,Levels!E:E),0)</f>
        <v>18.010000000000002</v>
      </c>
      <c r="D517" s="9">
        <f>IFERROR(AVERAGEIF(Levels!B:B,A517,Levels!F:F),0)</f>
        <v>7.2733333333333334</v>
      </c>
      <c r="E517" s="9">
        <f>_xlfn.MAXIFS(Levels!E:E,Levels!B:B,A517)</f>
        <v>23.06</v>
      </c>
      <c r="F517" s="9">
        <f>_xlfn.MAXIFS(Levels!F:F,Levels!B:B,A517)</f>
        <v>8.15</v>
      </c>
    </row>
    <row r="518" spans="1:6" x14ac:dyDescent="0.3">
      <c r="A518" t="s">
        <v>2219</v>
      </c>
      <c r="B518" s="6">
        <f>COUNTIF(Levels!B:B,A518)</f>
        <v>1</v>
      </c>
      <c r="C518" s="6">
        <f>IFERROR(AVERAGEIF(Levels!B:B,A518,Levels!E:E),0)</f>
        <v>5.8</v>
      </c>
      <c r="D518" s="6">
        <f>IFERROR(AVERAGEIF(Levels!B:B,A518,Levels!F:F),0)</f>
        <v>4.2</v>
      </c>
      <c r="E518" s="6">
        <f>_xlfn.MAXIFS(Levels!E:E,Levels!B:B,A518)</f>
        <v>5.8</v>
      </c>
      <c r="F518" s="6">
        <f>_xlfn.MAXIFS(Levels!F:F,Levels!B:B,A518)</f>
        <v>4.2</v>
      </c>
    </row>
    <row r="519" spans="1:6" x14ac:dyDescent="0.3">
      <c r="A519" t="s">
        <v>2228</v>
      </c>
      <c r="B519" s="9">
        <f>COUNTIF(Levels!B:B,A519)</f>
        <v>13</v>
      </c>
      <c r="C519" s="9">
        <f>IFERROR(AVERAGEIF(Levels!B:B,A519,Levels!E:E),0)</f>
        <v>14.436923076923076</v>
      </c>
      <c r="D519" s="9">
        <f>IFERROR(AVERAGEIF(Levels!B:B,A519,Levels!F:F),0)</f>
        <v>6.6069230769230778</v>
      </c>
      <c r="E519" s="9">
        <f>_xlfn.MAXIFS(Levels!E:E,Levels!B:B,A519)</f>
        <v>27</v>
      </c>
      <c r="F519" s="9">
        <f>_xlfn.MAXIFS(Levels!F:F,Levels!B:B,A519)</f>
        <v>7.98</v>
      </c>
    </row>
    <row r="520" spans="1:6" x14ac:dyDescent="0.3">
      <c r="A520" t="s">
        <v>2250</v>
      </c>
      <c r="B520" s="6">
        <f>COUNTIF(Levels!B:B,A520)</f>
        <v>2</v>
      </c>
      <c r="C520" s="6">
        <f>IFERROR(AVERAGEIF(Levels!B:B,A520,Levels!E:E),0)</f>
        <v>22.4</v>
      </c>
      <c r="D520" s="6">
        <f>IFERROR(AVERAGEIF(Levels!B:B,A520,Levels!F:F),0)</f>
        <v>7.2649999999999997</v>
      </c>
      <c r="E520" s="6">
        <f>_xlfn.MAXIFS(Levels!E:E,Levels!B:B,A520)</f>
        <v>33</v>
      </c>
      <c r="F520" s="6">
        <f>_xlfn.MAXIFS(Levels!F:F,Levels!B:B,A520)</f>
        <v>8.6</v>
      </c>
    </row>
    <row r="521" spans="1:6" x14ac:dyDescent="0.3">
      <c r="A521" t="s">
        <v>2253</v>
      </c>
      <c r="B521" s="9">
        <f>COUNTIF(Levels!B:B,A521)</f>
        <v>2</v>
      </c>
      <c r="C521" s="9">
        <f>IFERROR(AVERAGEIF(Levels!B:B,A521,Levels!E:E),0)</f>
        <v>16.785</v>
      </c>
      <c r="D521" s="9">
        <f>IFERROR(AVERAGEIF(Levels!B:B,A521,Levels!F:F),0)</f>
        <v>3.93</v>
      </c>
      <c r="E521" s="9">
        <f>_xlfn.MAXIFS(Levels!E:E,Levels!B:B,A521)</f>
        <v>19</v>
      </c>
      <c r="F521" s="9">
        <f>_xlfn.MAXIFS(Levels!F:F,Levels!B:B,A521)</f>
        <v>7.86</v>
      </c>
    </row>
    <row r="522" spans="1:6" x14ac:dyDescent="0.3">
      <c r="A522" t="s">
        <v>2257</v>
      </c>
      <c r="B522" s="6">
        <f>COUNTIF(Levels!B:B,A522)</f>
        <v>1</v>
      </c>
      <c r="C522" s="6">
        <f>IFERROR(AVERAGEIF(Levels!B:B,A522,Levels!E:E),0)</f>
        <v>10.43</v>
      </c>
      <c r="D522" s="6">
        <f>IFERROR(AVERAGEIF(Levels!B:B,A522,Levels!F:F),0)</f>
        <v>6.57</v>
      </c>
      <c r="E522" s="6">
        <f>_xlfn.MAXIFS(Levels!E:E,Levels!B:B,A522)</f>
        <v>10.43</v>
      </c>
      <c r="F522" s="6">
        <f>_xlfn.MAXIFS(Levels!F:F,Levels!B:B,A522)</f>
        <v>6.57</v>
      </c>
    </row>
    <row r="523" spans="1:6" x14ac:dyDescent="0.3">
      <c r="A523" t="s">
        <v>2260</v>
      </c>
      <c r="B523" s="9">
        <f>COUNTIF(Levels!B:B,A523)</f>
        <v>1</v>
      </c>
      <c r="C523" s="9">
        <f>IFERROR(AVERAGEIF(Levels!B:B,A523,Levels!E:E),0)</f>
        <v>8.4</v>
      </c>
      <c r="D523" s="9">
        <f>IFERROR(AVERAGEIF(Levels!B:B,A523,Levels!F:F),0)</f>
        <v>7.78</v>
      </c>
      <c r="E523" s="9">
        <f>_xlfn.MAXIFS(Levels!E:E,Levels!B:B,A523)</f>
        <v>8.4</v>
      </c>
      <c r="F523" s="9">
        <f>_xlfn.MAXIFS(Levels!F:F,Levels!B:B,A523)</f>
        <v>7.78</v>
      </c>
    </row>
    <row r="524" spans="1:6" x14ac:dyDescent="0.3">
      <c r="A524" t="s">
        <v>2262</v>
      </c>
      <c r="B524" s="6">
        <f>COUNTIF(Levels!B:B,A524)</f>
        <v>1</v>
      </c>
      <c r="C524" s="6">
        <f>IFERROR(AVERAGEIF(Levels!B:B,A524,Levels!E:E),0)</f>
        <v>7</v>
      </c>
      <c r="D524" s="6">
        <f>IFERROR(AVERAGEIF(Levels!B:B,A524,Levels!F:F),0)</f>
        <v>4.5</v>
      </c>
      <c r="E524" s="6">
        <f>_xlfn.MAXIFS(Levels!E:E,Levels!B:B,A524)</f>
        <v>7</v>
      </c>
      <c r="F524" s="6">
        <f>_xlfn.MAXIFS(Levels!F:F,Levels!B:B,A524)</f>
        <v>4.5</v>
      </c>
    </row>
    <row r="525" spans="1:6" x14ac:dyDescent="0.3">
      <c r="A525" t="s">
        <v>2267</v>
      </c>
      <c r="B525" s="9">
        <f>COUNTIF(Levels!B:B,A525)</f>
        <v>1</v>
      </c>
      <c r="C525" s="9">
        <f>IFERROR(AVERAGEIF(Levels!B:B,A525,Levels!E:E),0)</f>
        <v>21.17</v>
      </c>
      <c r="D525" s="9">
        <f>IFERROR(AVERAGEIF(Levels!B:B,A525,Levels!F:F),0)</f>
        <v>5</v>
      </c>
      <c r="E525" s="9">
        <f>_xlfn.MAXIFS(Levels!E:E,Levels!B:B,A525)</f>
        <v>21.17</v>
      </c>
      <c r="F525" s="9">
        <f>_xlfn.MAXIFS(Levels!F:F,Levels!B:B,A525)</f>
        <v>5</v>
      </c>
    </row>
    <row r="526" spans="1:6" x14ac:dyDescent="0.3">
      <c r="A526" t="s">
        <v>2272</v>
      </c>
      <c r="B526" s="6">
        <f>COUNTIF(Levels!B:B,A526)</f>
        <v>2</v>
      </c>
      <c r="C526" s="6">
        <f>IFERROR(AVERAGEIF(Levels!B:B,A526,Levels!E:E),0)</f>
        <v>9.1950000000000003</v>
      </c>
      <c r="D526" s="6">
        <f>IFERROR(AVERAGEIF(Levels!B:B,A526,Levels!F:F),0)</f>
        <v>6.2850000000000001</v>
      </c>
      <c r="E526" s="6">
        <f>_xlfn.MAXIFS(Levels!E:E,Levels!B:B,A526)</f>
        <v>11.68</v>
      </c>
      <c r="F526" s="6">
        <f>_xlfn.MAXIFS(Levels!F:F,Levels!B:B,A526)</f>
        <v>6.57</v>
      </c>
    </row>
    <row r="527" spans="1:6" x14ac:dyDescent="0.3">
      <c r="A527" t="s">
        <v>2279</v>
      </c>
      <c r="B527" s="9">
        <f>COUNTIF(Levels!B:B,A527)</f>
        <v>2</v>
      </c>
      <c r="C527" s="9">
        <f>IFERROR(AVERAGEIF(Levels!B:B,A527,Levels!E:E),0)</f>
        <v>10.27</v>
      </c>
      <c r="D527" s="9">
        <f>IFERROR(AVERAGEIF(Levels!B:B,A527,Levels!F:F),0)</f>
        <v>7.1</v>
      </c>
      <c r="E527" s="9">
        <f>_xlfn.MAXIFS(Levels!E:E,Levels!B:B,A527)</f>
        <v>11.29</v>
      </c>
      <c r="F527" s="9">
        <f>_xlfn.MAXIFS(Levels!F:F,Levels!B:B,A527)</f>
        <v>7.27</v>
      </c>
    </row>
    <row r="528" spans="1:6" x14ac:dyDescent="0.3">
      <c r="A528" t="s">
        <v>2284</v>
      </c>
      <c r="B528" s="6">
        <f>COUNTIF(Levels!B:B,A528)</f>
        <v>5</v>
      </c>
      <c r="C528" s="6">
        <f>IFERROR(AVERAGEIF(Levels!B:B,A528,Levels!E:E),0)</f>
        <v>10.092499999999999</v>
      </c>
      <c r="D528" s="6">
        <f>IFERROR(AVERAGEIF(Levels!B:B,A528,Levels!F:F),0)</f>
        <v>5.875</v>
      </c>
      <c r="E528" s="6">
        <f>_xlfn.MAXIFS(Levels!E:E,Levels!B:B,A528)</f>
        <v>14.33</v>
      </c>
      <c r="F528" s="6">
        <f>_xlfn.MAXIFS(Levels!F:F,Levels!B:B,A528)</f>
        <v>7.33</v>
      </c>
    </row>
    <row r="529" spans="1:6" x14ac:dyDescent="0.3">
      <c r="A529" t="s">
        <v>2290</v>
      </c>
      <c r="B529" s="9">
        <f>COUNTIF(Levels!B:B,A529)</f>
        <v>2</v>
      </c>
      <c r="C529" s="9">
        <f>IFERROR(AVERAGEIF(Levels!B:B,A529,Levels!E:E),0)</f>
        <v>7.2249999999999996</v>
      </c>
      <c r="D529" s="9">
        <f>IFERROR(AVERAGEIF(Levels!B:B,A529,Levels!F:F),0)</f>
        <v>5.3599999999999994</v>
      </c>
      <c r="E529" s="9">
        <f>_xlfn.MAXIFS(Levels!E:E,Levels!B:B,A529)</f>
        <v>8.48</v>
      </c>
      <c r="F529" s="9">
        <f>_xlfn.MAXIFS(Levels!F:F,Levels!B:B,A529)</f>
        <v>5.97</v>
      </c>
    </row>
    <row r="530" spans="1:6" x14ac:dyDescent="0.3">
      <c r="A530" t="s">
        <v>2300</v>
      </c>
      <c r="B530" s="6">
        <f>COUNTIF(Levels!B:B,A530)</f>
        <v>3</v>
      </c>
      <c r="C530" s="6">
        <f>IFERROR(AVERAGEIF(Levels!B:B,A530,Levels!E:E),0)</f>
        <v>9.5499999999999989</v>
      </c>
      <c r="D530" s="6">
        <f>IFERROR(AVERAGEIF(Levels!B:B,A530,Levels!F:F),0)</f>
        <v>6.9566666666666661</v>
      </c>
      <c r="E530" s="6">
        <f>_xlfn.MAXIFS(Levels!E:E,Levels!B:B,A530)</f>
        <v>10</v>
      </c>
      <c r="F530" s="6">
        <f>_xlfn.MAXIFS(Levels!F:F,Levels!B:B,A530)</f>
        <v>7.33</v>
      </c>
    </row>
    <row r="531" spans="1:6" x14ac:dyDescent="0.3">
      <c r="A531" t="s">
        <v>2313</v>
      </c>
      <c r="B531" s="9">
        <f>COUNTIF(Levels!B:B,A531)</f>
        <v>1</v>
      </c>
      <c r="C531" s="9">
        <f>IFERROR(AVERAGEIF(Levels!B:B,A531,Levels!E:E),0)</f>
        <v>16.989999999999998</v>
      </c>
      <c r="D531" s="9">
        <f>IFERROR(AVERAGEIF(Levels!B:B,A531,Levels!F:F),0)</f>
        <v>5.07</v>
      </c>
      <c r="E531" s="9">
        <f>_xlfn.MAXIFS(Levels!E:E,Levels!B:B,A531)</f>
        <v>16.989999999999998</v>
      </c>
      <c r="F531" s="9">
        <f>_xlfn.MAXIFS(Levels!F:F,Levels!B:B,A531)</f>
        <v>5.07</v>
      </c>
    </row>
    <row r="532" spans="1:6" x14ac:dyDescent="0.3">
      <c r="A532" t="s">
        <v>2317</v>
      </c>
      <c r="B532" s="6">
        <f>COUNTIF(Levels!B:B,A532)</f>
        <v>4</v>
      </c>
      <c r="C532" s="6">
        <f>IFERROR(AVERAGEIF(Levels!B:B,A532,Levels!E:E),0)</f>
        <v>20.75</v>
      </c>
      <c r="D532" s="6">
        <f>IFERROR(AVERAGEIF(Levels!B:B,A532,Levels!F:F),0)</f>
        <v>7.0724999999999998</v>
      </c>
      <c r="E532" s="6">
        <f>_xlfn.MAXIFS(Levels!E:E,Levels!B:B,A532)</f>
        <v>27</v>
      </c>
      <c r="F532" s="6">
        <f>_xlfn.MAXIFS(Levels!F:F,Levels!B:B,A532)</f>
        <v>10</v>
      </c>
    </row>
    <row r="533" spans="1:6" x14ac:dyDescent="0.3">
      <c r="A533" t="s">
        <v>2322</v>
      </c>
      <c r="B533" s="9">
        <f>COUNTIF(Levels!B:B,A533)</f>
        <v>2</v>
      </c>
      <c r="C533" s="9">
        <f>IFERROR(AVERAGEIF(Levels!B:B,A533,Levels!E:E),0)</f>
        <v>14.584999999999999</v>
      </c>
      <c r="D533" s="9">
        <f>IFERROR(AVERAGEIF(Levels!B:B,A533,Levels!F:F),0)</f>
        <v>7.7450000000000001</v>
      </c>
      <c r="E533" s="9">
        <f>_xlfn.MAXIFS(Levels!E:E,Levels!B:B,A533)</f>
        <v>16.329999999999998</v>
      </c>
      <c r="F533" s="9">
        <f>_xlfn.MAXIFS(Levels!F:F,Levels!B:B,A533)</f>
        <v>7.82</v>
      </c>
    </row>
    <row r="534" spans="1:6" x14ac:dyDescent="0.3">
      <c r="A534" t="s">
        <v>2325</v>
      </c>
      <c r="B534" s="6">
        <f>COUNTIF(Levels!B:B,A534)</f>
        <v>2</v>
      </c>
      <c r="C534" s="6">
        <f>IFERROR(AVERAGEIF(Levels!B:B,A534,Levels!E:E),0)</f>
        <v>10.795000000000002</v>
      </c>
      <c r="D534" s="6">
        <f>IFERROR(AVERAGEIF(Levels!B:B,A534,Levels!F:F),0)</f>
        <v>7.34</v>
      </c>
      <c r="E534" s="6">
        <f>_xlfn.MAXIFS(Levels!E:E,Levels!B:B,A534)</f>
        <v>12.71</v>
      </c>
      <c r="F534" s="6">
        <f>_xlfn.MAXIFS(Levels!F:F,Levels!B:B,A534)</f>
        <v>7.5</v>
      </c>
    </row>
    <row r="535" spans="1:6" x14ac:dyDescent="0.3">
      <c r="A535" t="s">
        <v>2339</v>
      </c>
      <c r="B535" s="9">
        <f>COUNTIF(Levels!B:B,A535)</f>
        <v>1</v>
      </c>
      <c r="C535" s="9">
        <f>IFERROR(AVERAGEIF(Levels!B:B,A535,Levels!E:E),0)</f>
        <v>7</v>
      </c>
      <c r="D535" s="9">
        <f>IFERROR(AVERAGEIF(Levels!B:B,A535,Levels!F:F),0)</f>
        <v>3.67</v>
      </c>
      <c r="E535" s="9">
        <f>_xlfn.MAXIFS(Levels!E:E,Levels!B:B,A535)</f>
        <v>7</v>
      </c>
      <c r="F535" s="9">
        <f>_xlfn.MAXIFS(Levels!F:F,Levels!B:B,A535)</f>
        <v>3.67</v>
      </c>
    </row>
    <row r="536" spans="1:6" x14ac:dyDescent="0.3">
      <c r="A536" t="s">
        <v>2342</v>
      </c>
      <c r="B536" s="6">
        <f>COUNTIF(Levels!B:B,A536)</f>
        <v>10</v>
      </c>
      <c r="C536" s="6">
        <f>IFERROR(AVERAGEIF(Levels!B:B,A536,Levels!E:E),0)</f>
        <v>17.835999999999999</v>
      </c>
      <c r="D536" s="6">
        <f>IFERROR(AVERAGEIF(Levels!B:B,A536,Levels!F:F),0)</f>
        <v>6.875</v>
      </c>
      <c r="E536" s="6">
        <f>_xlfn.MAXIFS(Levels!E:E,Levels!B:B,A536)</f>
        <v>32.29</v>
      </c>
      <c r="F536" s="6">
        <f>_xlfn.MAXIFS(Levels!F:F,Levels!B:B,A536)</f>
        <v>8.1999999999999993</v>
      </c>
    </row>
    <row r="537" spans="1:6" x14ac:dyDescent="0.3">
      <c r="A537" t="s">
        <v>2351</v>
      </c>
      <c r="B537" s="9">
        <f>COUNTIF(Levels!B:B,A537)</f>
        <v>4</v>
      </c>
      <c r="C537" s="9">
        <f>IFERROR(AVERAGEIF(Levels!B:B,A537,Levels!E:E),0)</f>
        <v>27.175000000000001</v>
      </c>
      <c r="D537" s="9">
        <f>IFERROR(AVERAGEIF(Levels!B:B,A537,Levels!F:F),0)</f>
        <v>6.9533333333333331</v>
      </c>
      <c r="E537" s="9">
        <f>_xlfn.MAXIFS(Levels!E:E,Levels!B:B,A537)</f>
        <v>33.03</v>
      </c>
      <c r="F537" s="9">
        <f>_xlfn.MAXIFS(Levels!F:F,Levels!B:B,A537)</f>
        <v>7.6</v>
      </c>
    </row>
    <row r="538" spans="1:6" x14ac:dyDescent="0.3">
      <c r="A538" t="s">
        <v>2355</v>
      </c>
      <c r="B538" s="6">
        <f>COUNTIF(Levels!B:B,A538)</f>
        <v>3</v>
      </c>
      <c r="C538" s="6">
        <f>IFERROR(AVERAGEIF(Levels!B:B,A538,Levels!E:E),0)</f>
        <v>21.136666666666667</v>
      </c>
      <c r="D538" s="6">
        <f>IFERROR(AVERAGEIF(Levels!B:B,A538,Levels!F:F),0)</f>
        <v>7.3466666666666667</v>
      </c>
      <c r="E538" s="6">
        <f>_xlfn.MAXIFS(Levels!E:E,Levels!B:B,A538)</f>
        <v>25.85</v>
      </c>
      <c r="F538" s="6">
        <f>_xlfn.MAXIFS(Levels!F:F,Levels!B:B,A538)</f>
        <v>7.86</v>
      </c>
    </row>
    <row r="539" spans="1:6" x14ac:dyDescent="0.3">
      <c r="A539" t="s">
        <v>2360</v>
      </c>
      <c r="B539" s="9">
        <f>COUNTIF(Levels!B:B,A539)</f>
        <v>2</v>
      </c>
      <c r="C539" s="9">
        <f>IFERROR(AVERAGEIF(Levels!B:B,A539,Levels!E:E),0)</f>
        <v>20.115000000000002</v>
      </c>
      <c r="D539" s="9">
        <f>IFERROR(AVERAGEIF(Levels!B:B,A539,Levels!F:F),0)</f>
        <v>5.29</v>
      </c>
      <c r="E539" s="9">
        <f>_xlfn.MAXIFS(Levels!E:E,Levels!B:B,A539)</f>
        <v>21.56</v>
      </c>
      <c r="F539" s="9">
        <f>_xlfn.MAXIFS(Levels!F:F,Levels!B:B,A539)</f>
        <v>5.58</v>
      </c>
    </row>
    <row r="540" spans="1:6" x14ac:dyDescent="0.3">
      <c r="A540" t="s">
        <v>2362</v>
      </c>
      <c r="B540" s="6">
        <f>COUNTIF(Levels!B:B,A540)</f>
        <v>7</v>
      </c>
      <c r="C540" s="6">
        <f>IFERROR(AVERAGEIF(Levels!B:B,A540,Levels!E:E),0)</f>
        <v>7.25</v>
      </c>
      <c r="D540" s="6">
        <f>IFERROR(AVERAGEIF(Levels!B:B,A540,Levels!F:F),0)</f>
        <v>7.1499999999999995</v>
      </c>
      <c r="E540" s="6">
        <f>_xlfn.MAXIFS(Levels!E:E,Levels!B:B,A540)</f>
        <v>12.72</v>
      </c>
      <c r="F540" s="6">
        <f>_xlfn.MAXIFS(Levels!F:F,Levels!B:B,A540)</f>
        <v>8.4</v>
      </c>
    </row>
    <row r="541" spans="1:6" x14ac:dyDescent="0.3">
      <c r="A541" t="s">
        <v>2365</v>
      </c>
      <c r="B541" s="9">
        <f>COUNTIF(Levels!B:B,A541)</f>
        <v>1</v>
      </c>
      <c r="C541" s="9">
        <f>IFERROR(AVERAGEIF(Levels!B:B,A541,Levels!E:E),0)</f>
        <v>7.43</v>
      </c>
      <c r="D541" s="9">
        <f>IFERROR(AVERAGEIF(Levels!B:B,A541,Levels!F:F),0)</f>
        <v>6.86</v>
      </c>
      <c r="E541" s="9">
        <f>_xlfn.MAXIFS(Levels!E:E,Levels!B:B,A541)</f>
        <v>7.43</v>
      </c>
      <c r="F541" s="9">
        <f>_xlfn.MAXIFS(Levels!F:F,Levels!B:B,A541)</f>
        <v>6.86</v>
      </c>
    </row>
    <row r="542" spans="1:6" x14ac:dyDescent="0.3">
      <c r="A542" t="s">
        <v>2369</v>
      </c>
      <c r="B542" s="6">
        <f>COUNTIF(Levels!B:B,A542)</f>
        <v>2</v>
      </c>
      <c r="C542" s="6">
        <f>IFERROR(AVERAGEIF(Levels!B:B,A542,Levels!E:E),0)</f>
        <v>16.869999999999997</v>
      </c>
      <c r="D542" s="6">
        <f>IFERROR(AVERAGEIF(Levels!B:B,A542,Levels!F:F),0)</f>
        <v>5.5649999999999995</v>
      </c>
      <c r="E542" s="6">
        <f>_xlfn.MAXIFS(Levels!E:E,Levels!B:B,A542)</f>
        <v>17.2</v>
      </c>
      <c r="F542" s="6">
        <f>_xlfn.MAXIFS(Levels!F:F,Levels!B:B,A542)</f>
        <v>5.63</v>
      </c>
    </row>
    <row r="543" spans="1:6" x14ac:dyDescent="0.3">
      <c r="A543" t="s">
        <v>2375</v>
      </c>
      <c r="B543" s="9">
        <f>COUNTIF(Levels!B:B,A543)</f>
        <v>1</v>
      </c>
      <c r="C543" s="9">
        <f>IFERROR(AVERAGEIF(Levels!B:B,A543,Levels!E:E),0)</f>
        <v>17.36</v>
      </c>
      <c r="D543" s="9">
        <f>IFERROR(AVERAGEIF(Levels!B:B,A543,Levels!F:F),0)</f>
        <v>7.25</v>
      </c>
      <c r="E543" s="9">
        <f>_xlfn.MAXIFS(Levels!E:E,Levels!B:B,A543)</f>
        <v>17.36</v>
      </c>
      <c r="F543" s="9">
        <f>_xlfn.MAXIFS(Levels!F:F,Levels!B:B,A543)</f>
        <v>7.25</v>
      </c>
    </row>
    <row r="544" spans="1:6" x14ac:dyDescent="0.3">
      <c r="A544" t="s">
        <v>2387</v>
      </c>
      <c r="B544" s="6">
        <f>COUNTIF(Levels!B:B,A544)</f>
        <v>7</v>
      </c>
      <c r="C544" s="6">
        <f>IFERROR(AVERAGEIF(Levels!B:B,A544,Levels!E:E),0)</f>
        <v>4.4657142857142862</v>
      </c>
      <c r="D544" s="6">
        <f>IFERROR(AVERAGEIF(Levels!B:B,A544,Levels!F:F),0)</f>
        <v>6.4214285714285717</v>
      </c>
      <c r="E544" s="6">
        <f>_xlfn.MAXIFS(Levels!E:E,Levels!B:B,A544)</f>
        <v>7.99</v>
      </c>
      <c r="F544" s="6">
        <f>_xlfn.MAXIFS(Levels!F:F,Levels!B:B,A544)</f>
        <v>7.92</v>
      </c>
    </row>
    <row r="545" spans="1:6" x14ac:dyDescent="0.3">
      <c r="A545" t="s">
        <v>2396</v>
      </c>
      <c r="B545" s="9">
        <f>COUNTIF(Levels!B:B,A545)</f>
        <v>1</v>
      </c>
      <c r="C545" s="9">
        <f>IFERROR(AVERAGEIF(Levels!B:B,A545,Levels!E:E),0)</f>
        <v>9.14</v>
      </c>
      <c r="D545" s="9">
        <f>IFERROR(AVERAGEIF(Levels!B:B,A545,Levels!F:F),0)</f>
        <v>7.57</v>
      </c>
      <c r="E545" s="9">
        <f>_xlfn.MAXIFS(Levels!E:E,Levels!B:B,A545)</f>
        <v>9.14</v>
      </c>
      <c r="F545" s="9">
        <f>_xlfn.MAXIFS(Levels!F:F,Levels!B:B,A545)</f>
        <v>7.57</v>
      </c>
    </row>
    <row r="546" spans="1:6" x14ac:dyDescent="0.3">
      <c r="A546" t="s">
        <v>2398</v>
      </c>
      <c r="B546" s="6">
        <f>COUNTIF(Levels!B:B,A546)</f>
        <v>6</v>
      </c>
      <c r="C546" s="6">
        <f>IFERROR(AVERAGEIF(Levels!B:B,A546,Levels!E:E),0)</f>
        <v>6.3674999999999997</v>
      </c>
      <c r="D546" s="6">
        <f>IFERROR(AVERAGEIF(Levels!B:B,A546,Levels!F:F),0)</f>
        <v>6.0683333333333325</v>
      </c>
      <c r="E546" s="6">
        <f>_xlfn.MAXIFS(Levels!E:E,Levels!B:B,A546)</f>
        <v>12.08</v>
      </c>
      <c r="F546" s="6">
        <f>_xlfn.MAXIFS(Levels!F:F,Levels!B:B,A546)</f>
        <v>7</v>
      </c>
    </row>
    <row r="547" spans="1:6" x14ac:dyDescent="0.3">
      <c r="A547" t="s">
        <v>2406</v>
      </c>
      <c r="B547" s="9">
        <f>COUNTIF(Levels!B:B,A547)</f>
        <v>1</v>
      </c>
      <c r="C547" s="9">
        <f>IFERROR(AVERAGEIF(Levels!B:B,A547,Levels!E:E),0)</f>
        <v>7.4</v>
      </c>
      <c r="D547" s="9">
        <f>IFERROR(AVERAGEIF(Levels!B:B,A547,Levels!F:F),0)</f>
        <v>5</v>
      </c>
      <c r="E547" s="9">
        <f>_xlfn.MAXIFS(Levels!E:E,Levels!B:B,A547)</f>
        <v>7.4</v>
      </c>
      <c r="F547" s="9">
        <f>_xlfn.MAXIFS(Levels!F:F,Levels!B:B,A547)</f>
        <v>5</v>
      </c>
    </row>
    <row r="548" spans="1:6" x14ac:dyDescent="0.3">
      <c r="A548" t="s">
        <v>2409</v>
      </c>
      <c r="B548" s="6">
        <f>COUNTIF(Levels!B:B,A548)</f>
        <v>12</v>
      </c>
      <c r="C548" s="6">
        <f>IFERROR(AVERAGEIF(Levels!B:B,A548,Levels!E:E),0)</f>
        <v>13.502500000000003</v>
      </c>
      <c r="D548" s="6">
        <f>IFERROR(AVERAGEIF(Levels!B:B,A548,Levels!F:F),0)</f>
        <v>6.3125</v>
      </c>
      <c r="E548" s="6">
        <f>_xlfn.MAXIFS(Levels!E:E,Levels!B:B,A548)</f>
        <v>30.25</v>
      </c>
      <c r="F548" s="6">
        <f>_xlfn.MAXIFS(Levels!F:F,Levels!B:B,A548)</f>
        <v>7.57</v>
      </c>
    </row>
    <row r="549" spans="1:6" x14ac:dyDescent="0.3">
      <c r="A549" t="s">
        <v>2413</v>
      </c>
      <c r="B549" s="9">
        <f>COUNTIF(Levels!B:B,A549)</f>
        <v>1</v>
      </c>
      <c r="C549" s="9">
        <f>IFERROR(AVERAGEIF(Levels!B:B,A549,Levels!E:E),0)</f>
        <v>5.99</v>
      </c>
      <c r="D549" s="9">
        <f>IFERROR(AVERAGEIF(Levels!B:B,A549,Levels!F:F),0)</f>
        <v>5.4</v>
      </c>
      <c r="E549" s="9">
        <f>_xlfn.MAXIFS(Levels!E:E,Levels!B:B,A549)</f>
        <v>5.99</v>
      </c>
      <c r="F549" s="9">
        <f>_xlfn.MAXIFS(Levels!F:F,Levels!B:B,A549)</f>
        <v>5.4</v>
      </c>
    </row>
    <row r="550" spans="1:6" x14ac:dyDescent="0.3">
      <c r="A550" t="s">
        <v>2423</v>
      </c>
      <c r="B550" s="6">
        <f>COUNTIF(Levels!B:B,A550)</f>
        <v>10</v>
      </c>
      <c r="C550" s="6">
        <f>IFERROR(AVERAGEIF(Levels!B:B,A550,Levels!E:E),0)</f>
        <v>23.343</v>
      </c>
      <c r="D550" s="6">
        <f>IFERROR(AVERAGEIF(Levels!B:B,A550,Levels!F:F),0)</f>
        <v>5.6440000000000001</v>
      </c>
      <c r="E550" s="6">
        <f>_xlfn.MAXIFS(Levels!E:E,Levels!B:B,A550)</f>
        <v>27.92</v>
      </c>
      <c r="F550" s="6">
        <f>_xlfn.MAXIFS(Levels!F:F,Levels!B:B,A550)</f>
        <v>8</v>
      </c>
    </row>
    <row r="551" spans="1:6" x14ac:dyDescent="0.3">
      <c r="A551" t="s">
        <v>2425</v>
      </c>
      <c r="B551" s="9">
        <f>COUNTIF(Levels!B:B,A551)</f>
        <v>1</v>
      </c>
      <c r="C551" s="9">
        <f>IFERROR(AVERAGEIF(Levels!B:B,A551,Levels!E:E),0)</f>
        <v>8.08</v>
      </c>
      <c r="D551" s="9">
        <f>IFERROR(AVERAGEIF(Levels!B:B,A551,Levels!F:F),0)</f>
        <v>6.7</v>
      </c>
      <c r="E551" s="9">
        <f>_xlfn.MAXIFS(Levels!E:E,Levels!B:B,A551)</f>
        <v>8.08</v>
      </c>
      <c r="F551" s="9">
        <f>_xlfn.MAXIFS(Levels!F:F,Levels!B:B,A551)</f>
        <v>6.7</v>
      </c>
    </row>
    <row r="552" spans="1:6" x14ac:dyDescent="0.3">
      <c r="A552" t="s">
        <v>2433</v>
      </c>
      <c r="B552" s="6">
        <f>COUNTIF(Levels!B:B,A552)</f>
        <v>40</v>
      </c>
      <c r="C552" s="6">
        <f>IFERROR(AVERAGEIF(Levels!B:B,A552,Levels!E:E),0)</f>
        <v>10.926250000000001</v>
      </c>
      <c r="D552" s="6">
        <f>IFERROR(AVERAGEIF(Levels!B:B,A552,Levels!F:F),0)</f>
        <v>6.9060000000000006</v>
      </c>
      <c r="E552" s="6">
        <f>_xlfn.MAXIFS(Levels!E:E,Levels!B:B,A552)</f>
        <v>28.95</v>
      </c>
      <c r="F552" s="6">
        <f>_xlfn.MAXIFS(Levels!F:F,Levels!B:B,A552)</f>
        <v>8.94</v>
      </c>
    </row>
    <row r="553" spans="1:6" x14ac:dyDescent="0.3">
      <c r="A553" t="s">
        <v>2445</v>
      </c>
      <c r="B553" s="9">
        <f>COUNTIF(Levels!B:B,A553)</f>
        <v>5</v>
      </c>
      <c r="C553" s="9">
        <f>IFERROR(AVERAGEIF(Levels!B:B,A553,Levels!E:E),0)</f>
        <v>2.6399999999999997</v>
      </c>
      <c r="D553" s="9">
        <f>IFERROR(AVERAGEIF(Levels!B:B,A553,Levels!F:F),0)</f>
        <v>7.1719999999999997</v>
      </c>
      <c r="E553" s="9">
        <f>_xlfn.MAXIFS(Levels!E:E,Levels!B:B,A553)</f>
        <v>3.18</v>
      </c>
      <c r="F553" s="9">
        <f>_xlfn.MAXIFS(Levels!F:F,Levels!B:B,A553)</f>
        <v>7.49</v>
      </c>
    </row>
    <row r="554" spans="1:6" x14ac:dyDescent="0.3">
      <c r="A554" t="s">
        <v>2447</v>
      </c>
      <c r="B554" s="6">
        <f>COUNTIF(Levels!B:B,A554)</f>
        <v>3</v>
      </c>
      <c r="C554" s="6">
        <f>IFERROR(AVERAGEIF(Levels!B:B,A554,Levels!E:E),0)</f>
        <v>6.91</v>
      </c>
      <c r="D554" s="6">
        <f>IFERROR(AVERAGEIF(Levels!B:B,A554,Levels!F:F),0)</f>
        <v>6.003333333333333</v>
      </c>
      <c r="E554" s="6">
        <f>_xlfn.MAXIFS(Levels!E:E,Levels!B:B,A554)</f>
        <v>13.83</v>
      </c>
      <c r="F554" s="6">
        <f>_xlfn.MAXIFS(Levels!F:F,Levels!B:B,A554)</f>
        <v>7.06</v>
      </c>
    </row>
    <row r="555" spans="1:6" x14ac:dyDescent="0.3">
      <c r="A555" t="s">
        <v>2450</v>
      </c>
      <c r="B555" s="9">
        <f>COUNTIF(Levels!B:B,A555)</f>
        <v>4</v>
      </c>
      <c r="C555" s="9">
        <f>IFERROR(AVERAGEIF(Levels!B:B,A555,Levels!E:E),0)</f>
        <v>27.63</v>
      </c>
      <c r="D555" s="9">
        <f>IFERROR(AVERAGEIF(Levels!B:B,A555,Levels!F:F),0)</f>
        <v>6.86</v>
      </c>
      <c r="E555" s="9">
        <f>_xlfn.MAXIFS(Levels!E:E,Levels!B:B,A555)</f>
        <v>30.54</v>
      </c>
      <c r="F555" s="9">
        <f>_xlfn.MAXIFS(Levels!F:F,Levels!B:B,A555)</f>
        <v>8.67</v>
      </c>
    </row>
    <row r="556" spans="1:6" x14ac:dyDescent="0.3">
      <c r="A556" t="s">
        <v>2457</v>
      </c>
      <c r="B556" s="6">
        <f>COUNTIF(Levels!B:B,A556)</f>
        <v>2</v>
      </c>
      <c r="C556" s="6">
        <f>IFERROR(AVERAGEIF(Levels!B:B,A556,Levels!E:E),0)</f>
        <v>13.799999999999999</v>
      </c>
      <c r="D556" s="6">
        <f>IFERROR(AVERAGEIF(Levels!B:B,A556,Levels!F:F),0)</f>
        <v>6.99</v>
      </c>
      <c r="E556" s="6">
        <f>_xlfn.MAXIFS(Levels!E:E,Levels!B:B,A556)</f>
        <v>18.149999999999999</v>
      </c>
      <c r="F556" s="6">
        <f>_xlfn.MAXIFS(Levels!F:F,Levels!B:B,A556)</f>
        <v>7.8</v>
      </c>
    </row>
    <row r="557" spans="1:6" x14ac:dyDescent="0.3">
      <c r="A557" t="s">
        <v>2460</v>
      </c>
      <c r="B557" s="9">
        <f>COUNTIF(Levels!B:B,A557)</f>
        <v>4</v>
      </c>
      <c r="C557" s="9">
        <f>IFERROR(AVERAGEIF(Levels!B:B,A557,Levels!E:E),0)</f>
        <v>11.455</v>
      </c>
      <c r="D557" s="9">
        <f>IFERROR(AVERAGEIF(Levels!B:B,A557,Levels!F:F),0)</f>
        <v>5.62</v>
      </c>
      <c r="E557" s="9">
        <f>_xlfn.MAXIFS(Levels!E:E,Levels!B:B,A557)</f>
        <v>21.56</v>
      </c>
      <c r="F557" s="9">
        <f>_xlfn.MAXIFS(Levels!F:F,Levels!B:B,A557)</f>
        <v>6.29</v>
      </c>
    </row>
    <row r="558" spans="1:6" x14ac:dyDescent="0.3">
      <c r="A558" t="s">
        <v>2462</v>
      </c>
      <c r="B558" s="6">
        <f>COUNTIF(Levels!B:B,A558)</f>
        <v>9</v>
      </c>
      <c r="C558" s="6">
        <f>IFERROR(AVERAGEIF(Levels!B:B,A558,Levels!E:E),0)</f>
        <v>5.6355555555555545</v>
      </c>
      <c r="D558" s="6">
        <f>IFERROR(AVERAGEIF(Levels!B:B,A558,Levels!F:F),0)</f>
        <v>6.5755555555555558</v>
      </c>
      <c r="E558" s="6">
        <f>_xlfn.MAXIFS(Levels!E:E,Levels!B:B,A558)</f>
        <v>8.86</v>
      </c>
      <c r="F558" s="6">
        <f>_xlfn.MAXIFS(Levels!F:F,Levels!B:B,A558)</f>
        <v>7.8</v>
      </c>
    </row>
    <row r="559" spans="1:6" x14ac:dyDescent="0.3">
      <c r="A559" t="s">
        <v>2466</v>
      </c>
      <c r="B559" s="9">
        <f>COUNTIF(Levels!B:B,A559)</f>
        <v>5</v>
      </c>
      <c r="C559" s="9">
        <f>IFERROR(AVERAGEIF(Levels!B:B,A559,Levels!E:E),0)</f>
        <v>17.356000000000002</v>
      </c>
      <c r="D559" s="9">
        <f>IFERROR(AVERAGEIF(Levels!B:B,A559,Levels!F:F),0)</f>
        <v>4.2539999999999996</v>
      </c>
      <c r="E559" s="9">
        <f>_xlfn.MAXIFS(Levels!E:E,Levels!B:B,A559)</f>
        <v>19.75</v>
      </c>
      <c r="F559" s="9">
        <f>_xlfn.MAXIFS(Levels!F:F,Levels!B:B,A559)</f>
        <v>5</v>
      </c>
    </row>
    <row r="560" spans="1:6" x14ac:dyDescent="0.3">
      <c r="A560" t="s">
        <v>2470</v>
      </c>
      <c r="B560" s="6">
        <f>COUNTIF(Levels!B:B,A560)</f>
        <v>2</v>
      </c>
      <c r="C560" s="6">
        <f>IFERROR(AVERAGEIF(Levels!B:B,A560,Levels!E:E),0)</f>
        <v>12.585000000000001</v>
      </c>
      <c r="D560" s="6">
        <f>IFERROR(AVERAGEIF(Levels!B:B,A560,Levels!F:F),0)</f>
        <v>8.65</v>
      </c>
      <c r="E560" s="6">
        <f>_xlfn.MAXIFS(Levels!E:E,Levels!B:B,A560)</f>
        <v>14.67</v>
      </c>
      <c r="F560" s="6">
        <f>_xlfn.MAXIFS(Levels!F:F,Levels!B:B,A560)</f>
        <v>9.1300000000000008</v>
      </c>
    </row>
    <row r="561" spans="1:6" x14ac:dyDescent="0.3">
      <c r="A561" t="s">
        <v>2472</v>
      </c>
      <c r="B561" s="9">
        <f>COUNTIF(Levels!B:B,A561)</f>
        <v>2</v>
      </c>
      <c r="C561" s="9">
        <f>IFERROR(AVERAGEIF(Levels!B:B,A561,Levels!E:E),0)</f>
        <v>21.414999999999999</v>
      </c>
      <c r="D561" s="9">
        <f>IFERROR(AVERAGEIF(Levels!B:B,A561,Levels!F:F),0)</f>
        <v>8.4600000000000009</v>
      </c>
      <c r="E561" s="9">
        <f>_xlfn.MAXIFS(Levels!E:E,Levels!B:B,A561)</f>
        <v>23.5</v>
      </c>
      <c r="F561" s="9">
        <f>_xlfn.MAXIFS(Levels!F:F,Levels!B:B,A561)</f>
        <v>9</v>
      </c>
    </row>
    <row r="562" spans="1:6" x14ac:dyDescent="0.3">
      <c r="A562" t="s">
        <v>2476</v>
      </c>
      <c r="B562" s="6">
        <f>COUNTIF(Levels!B:B,A562)</f>
        <v>1</v>
      </c>
      <c r="C562" s="6">
        <f>IFERROR(AVERAGEIF(Levels!B:B,A562,Levels!E:E),0)</f>
        <v>20</v>
      </c>
      <c r="D562" s="6">
        <f>IFERROR(AVERAGEIF(Levels!B:B,A562,Levels!F:F),0)</f>
        <v>1</v>
      </c>
      <c r="E562" s="6">
        <f>_xlfn.MAXIFS(Levels!E:E,Levels!B:B,A562)</f>
        <v>20</v>
      </c>
      <c r="F562" s="6">
        <f>_xlfn.MAXIFS(Levels!F:F,Levels!B:B,A562)</f>
        <v>1</v>
      </c>
    </row>
    <row r="563" spans="1:6" x14ac:dyDescent="0.3">
      <c r="A563" t="s">
        <v>2484</v>
      </c>
      <c r="B563" s="9">
        <f>COUNTIF(Levels!B:B,A563)</f>
        <v>1</v>
      </c>
      <c r="C563" s="9">
        <f>IFERROR(AVERAGEIF(Levels!B:B,A563,Levels!E:E),0)</f>
        <v>11</v>
      </c>
      <c r="D563" s="9">
        <f>IFERROR(AVERAGEIF(Levels!B:B,A563,Levels!F:F),0)</f>
        <v>7.91</v>
      </c>
      <c r="E563" s="9">
        <f>_xlfn.MAXIFS(Levels!E:E,Levels!B:B,A563)</f>
        <v>11</v>
      </c>
      <c r="F563" s="9">
        <f>_xlfn.MAXIFS(Levels!F:F,Levels!B:B,A563)</f>
        <v>7.91</v>
      </c>
    </row>
    <row r="564" spans="1:6" x14ac:dyDescent="0.3">
      <c r="A564" t="s">
        <v>2490</v>
      </c>
      <c r="B564" s="6">
        <f>COUNTIF(Levels!B:B,A564)</f>
        <v>4</v>
      </c>
      <c r="C564" s="6">
        <f>IFERROR(AVERAGEIF(Levels!B:B,A564,Levels!E:E),0)</f>
        <v>9.8449999999999989</v>
      </c>
      <c r="D564" s="6">
        <f>IFERROR(AVERAGEIF(Levels!B:B,A564,Levels!F:F),0)</f>
        <v>8.4875000000000007</v>
      </c>
      <c r="E564" s="6">
        <f>_xlfn.MAXIFS(Levels!E:E,Levels!B:B,A564)</f>
        <v>12.78</v>
      </c>
      <c r="F564" s="6">
        <f>_xlfn.MAXIFS(Levels!F:F,Levels!B:B,A564)</f>
        <v>9.1999999999999993</v>
      </c>
    </row>
    <row r="565" spans="1:6" x14ac:dyDescent="0.3">
      <c r="A565" t="s">
        <v>2501</v>
      </c>
      <c r="B565" s="9">
        <f>COUNTIF(Levels!B:B,A565)</f>
        <v>4</v>
      </c>
      <c r="C565" s="9">
        <f>IFERROR(AVERAGEIF(Levels!B:B,A565,Levels!E:E),0)</f>
        <v>17.204999999999998</v>
      </c>
      <c r="D565" s="9">
        <f>IFERROR(AVERAGEIF(Levels!B:B,A565,Levels!F:F),0)</f>
        <v>6.4024999999999999</v>
      </c>
      <c r="E565" s="9">
        <f>_xlfn.MAXIFS(Levels!E:E,Levels!B:B,A565)</f>
        <v>19.25</v>
      </c>
      <c r="F565" s="9">
        <f>_xlfn.MAXIFS(Levels!F:F,Levels!B:B,A565)</f>
        <v>7.2</v>
      </c>
    </row>
    <row r="566" spans="1:6" x14ac:dyDescent="0.3">
      <c r="A566" t="s">
        <v>2503</v>
      </c>
      <c r="B566" s="6">
        <f>COUNTIF(Levels!B:B,A566)</f>
        <v>1</v>
      </c>
      <c r="C566" s="6">
        <f>IFERROR(AVERAGEIF(Levels!B:B,A566,Levels!E:E),0)</f>
        <v>17.13</v>
      </c>
      <c r="D566" s="6">
        <f>IFERROR(AVERAGEIF(Levels!B:B,A566,Levels!F:F),0)</f>
        <v>7.63</v>
      </c>
      <c r="E566" s="6">
        <f>_xlfn.MAXIFS(Levels!E:E,Levels!B:B,A566)</f>
        <v>17.13</v>
      </c>
      <c r="F566" s="6">
        <f>_xlfn.MAXIFS(Levels!F:F,Levels!B:B,A566)</f>
        <v>7.63</v>
      </c>
    </row>
    <row r="567" spans="1:6" x14ac:dyDescent="0.3">
      <c r="A567" t="s">
        <v>2505</v>
      </c>
      <c r="B567" s="9">
        <f>COUNTIF(Levels!B:B,A567)</f>
        <v>1</v>
      </c>
      <c r="C567" s="9">
        <f>IFERROR(AVERAGEIF(Levels!B:B,A567,Levels!E:E),0)</f>
        <v>18.5</v>
      </c>
      <c r="D567" s="9">
        <f>IFERROR(AVERAGEIF(Levels!B:B,A567,Levels!F:F),0)</f>
        <v>7.33</v>
      </c>
      <c r="E567" s="9">
        <f>_xlfn.MAXIFS(Levels!E:E,Levels!B:B,A567)</f>
        <v>18.5</v>
      </c>
      <c r="F567" s="9">
        <f>_xlfn.MAXIFS(Levels!F:F,Levels!B:B,A567)</f>
        <v>7.33</v>
      </c>
    </row>
    <row r="568" spans="1:6" x14ac:dyDescent="0.3">
      <c r="A568" t="s">
        <v>2512</v>
      </c>
      <c r="B568" s="6">
        <f>COUNTIF(Levels!B:B,A568)</f>
        <v>1</v>
      </c>
      <c r="C568" s="6">
        <f>IFERROR(AVERAGEIF(Levels!B:B,A568,Levels!E:E),0)</f>
        <v>8.6</v>
      </c>
      <c r="D568" s="6">
        <f>IFERROR(AVERAGEIF(Levels!B:B,A568,Levels!F:F),0)</f>
        <v>3.75</v>
      </c>
      <c r="E568" s="6">
        <f>_xlfn.MAXIFS(Levels!E:E,Levels!B:B,A568)</f>
        <v>8.6</v>
      </c>
      <c r="F568" s="6">
        <f>_xlfn.MAXIFS(Levels!F:F,Levels!B:B,A568)</f>
        <v>3.75</v>
      </c>
    </row>
    <row r="569" spans="1:6" x14ac:dyDescent="0.3">
      <c r="A569" t="s">
        <v>2519</v>
      </c>
      <c r="B569" s="9">
        <f>COUNTIF(Levels!B:B,A569)</f>
        <v>24</v>
      </c>
      <c r="C569" s="9">
        <f>IFERROR(AVERAGEIF(Levels!B:B,A569,Levels!E:E),0)</f>
        <v>8.1126086956521757</v>
      </c>
      <c r="D569" s="9">
        <f>IFERROR(AVERAGEIF(Levels!B:B,A569,Levels!F:F),0)</f>
        <v>6.8083333333333327</v>
      </c>
      <c r="E569" s="9">
        <f>_xlfn.MAXIFS(Levels!E:E,Levels!B:B,A569)</f>
        <v>29.3</v>
      </c>
      <c r="F569" s="9">
        <f>_xlfn.MAXIFS(Levels!F:F,Levels!B:B,A569)</f>
        <v>8.0500000000000007</v>
      </c>
    </row>
    <row r="570" spans="1:6" x14ac:dyDescent="0.3">
      <c r="A570" t="s">
        <v>2522</v>
      </c>
      <c r="B570" s="6">
        <f>COUNTIF(Levels!B:B,A570)</f>
        <v>1</v>
      </c>
      <c r="C570" s="6">
        <f>IFERROR(AVERAGEIF(Levels!B:B,A570,Levels!E:E),0)</f>
        <v>8</v>
      </c>
      <c r="D570" s="6">
        <f>IFERROR(AVERAGEIF(Levels!B:B,A570,Levels!F:F),0)</f>
        <v>6</v>
      </c>
      <c r="E570" s="6">
        <f>_xlfn.MAXIFS(Levels!E:E,Levels!B:B,A570)</f>
        <v>8</v>
      </c>
      <c r="F570" s="6">
        <f>_xlfn.MAXIFS(Levels!F:F,Levels!B:B,A570)</f>
        <v>6</v>
      </c>
    </row>
    <row r="571" spans="1:6" x14ac:dyDescent="0.3">
      <c r="A571" t="s">
        <v>2525</v>
      </c>
      <c r="B571" s="9">
        <f>COUNTIF(Levels!B:B,A571)</f>
        <v>1</v>
      </c>
      <c r="C571" s="9">
        <f>IFERROR(AVERAGEIF(Levels!B:B,A571,Levels!E:E),0)</f>
        <v>18.78</v>
      </c>
      <c r="D571" s="9">
        <f>IFERROR(AVERAGEIF(Levels!B:B,A571,Levels!F:F),0)</f>
        <v>8.1300000000000008</v>
      </c>
      <c r="E571" s="9">
        <f>_xlfn.MAXIFS(Levels!E:E,Levels!B:B,A571)</f>
        <v>18.78</v>
      </c>
      <c r="F571" s="9">
        <f>_xlfn.MAXIFS(Levels!F:F,Levels!B:B,A571)</f>
        <v>8.1300000000000008</v>
      </c>
    </row>
    <row r="572" spans="1:6" x14ac:dyDescent="0.3">
      <c r="A572" t="s">
        <v>2529</v>
      </c>
      <c r="B572" s="6">
        <f>COUNTIF(Levels!B:B,A572)</f>
        <v>2</v>
      </c>
      <c r="C572" s="6">
        <f>IFERROR(AVERAGEIF(Levels!B:B,A572,Levels!E:E),0)</f>
        <v>12.135</v>
      </c>
      <c r="D572" s="6">
        <f>IFERROR(AVERAGEIF(Levels!B:B,A572,Levels!F:F),0)</f>
        <v>5.6899999999999995</v>
      </c>
      <c r="E572" s="6">
        <f>_xlfn.MAXIFS(Levels!E:E,Levels!B:B,A572)</f>
        <v>15.11</v>
      </c>
      <c r="F572" s="6">
        <f>_xlfn.MAXIFS(Levels!F:F,Levels!B:B,A572)</f>
        <v>5.8</v>
      </c>
    </row>
    <row r="573" spans="1:6" x14ac:dyDescent="0.3">
      <c r="A573" t="s">
        <v>2532</v>
      </c>
      <c r="B573" s="9">
        <f>COUNTIF(Levels!B:B,A573)</f>
        <v>1</v>
      </c>
      <c r="C573" s="9">
        <f>IFERROR(AVERAGEIF(Levels!B:B,A573,Levels!E:E),0)</f>
        <v>22.07</v>
      </c>
      <c r="D573" s="9">
        <f>IFERROR(AVERAGEIF(Levels!B:B,A573,Levels!F:F),0)</f>
        <v>5.42</v>
      </c>
      <c r="E573" s="9">
        <f>_xlfn.MAXIFS(Levels!E:E,Levels!B:B,A573)</f>
        <v>22.07</v>
      </c>
      <c r="F573" s="9">
        <f>_xlfn.MAXIFS(Levels!F:F,Levels!B:B,A573)</f>
        <v>5.42</v>
      </c>
    </row>
    <row r="574" spans="1:6" x14ac:dyDescent="0.3">
      <c r="A574" t="s">
        <v>2534</v>
      </c>
      <c r="B574" s="6">
        <f>COUNTIF(Levels!B:B,A574)</f>
        <v>7</v>
      </c>
      <c r="C574" s="6">
        <f>IFERROR(AVERAGEIF(Levels!B:B,A574,Levels!E:E),0)</f>
        <v>9.1828571428571433</v>
      </c>
      <c r="D574" s="6">
        <f>IFERROR(AVERAGEIF(Levels!B:B,A574,Levels!F:F),0)</f>
        <v>4.9585714285714291</v>
      </c>
      <c r="E574" s="6">
        <f>_xlfn.MAXIFS(Levels!E:E,Levels!B:B,A574)</f>
        <v>22.83</v>
      </c>
      <c r="F574" s="6">
        <f>_xlfn.MAXIFS(Levels!F:F,Levels!B:B,A574)</f>
        <v>7.63</v>
      </c>
    </row>
    <row r="575" spans="1:6" x14ac:dyDescent="0.3">
      <c r="A575" t="s">
        <v>2539</v>
      </c>
      <c r="B575" s="9">
        <f>COUNTIF(Levels!B:B,A575)</f>
        <v>10</v>
      </c>
      <c r="C575" s="9">
        <f>IFERROR(AVERAGEIF(Levels!B:B,A575,Levels!E:E),0)</f>
        <v>7.0680000000000005</v>
      </c>
      <c r="D575" s="9">
        <f>IFERROR(AVERAGEIF(Levels!B:B,A575,Levels!F:F),0)</f>
        <v>6.3639999999999999</v>
      </c>
      <c r="E575" s="9">
        <f>_xlfn.MAXIFS(Levels!E:E,Levels!B:B,A575)</f>
        <v>22.17</v>
      </c>
      <c r="F575" s="9">
        <f>_xlfn.MAXIFS(Levels!F:F,Levels!B:B,A575)</f>
        <v>7.69</v>
      </c>
    </row>
    <row r="576" spans="1:6" x14ac:dyDescent="0.3">
      <c r="A576" t="s">
        <v>2555</v>
      </c>
      <c r="B576" s="6">
        <f>COUNTIF(Levels!B:B,A576)</f>
        <v>7</v>
      </c>
      <c r="C576" s="6">
        <f>IFERROR(AVERAGEIF(Levels!B:B,A576,Levels!E:E),0)</f>
        <v>10.238571428571429</v>
      </c>
      <c r="D576" s="6">
        <f>IFERROR(AVERAGEIF(Levels!B:B,A576,Levels!F:F),0)</f>
        <v>7.5628571428571423</v>
      </c>
      <c r="E576" s="6">
        <f>_xlfn.MAXIFS(Levels!E:E,Levels!B:B,A576)</f>
        <v>16.91</v>
      </c>
      <c r="F576" s="6">
        <f>_xlfn.MAXIFS(Levels!F:F,Levels!B:B,A576)</f>
        <v>8.4700000000000006</v>
      </c>
    </row>
    <row r="577" spans="1:6" x14ac:dyDescent="0.3">
      <c r="A577" t="s">
        <v>2559</v>
      </c>
      <c r="B577" s="9">
        <f>COUNTIF(Levels!B:B,A577)</f>
        <v>4</v>
      </c>
      <c r="C577" s="9">
        <f>IFERROR(AVERAGEIF(Levels!B:B,A577,Levels!E:E),0)</f>
        <v>6.2625000000000002</v>
      </c>
      <c r="D577" s="9">
        <f>IFERROR(AVERAGEIF(Levels!B:B,A577,Levels!F:F),0)</f>
        <v>6.4</v>
      </c>
      <c r="E577" s="9">
        <f>_xlfn.MAXIFS(Levels!E:E,Levels!B:B,A577)</f>
        <v>10.119999999999999</v>
      </c>
      <c r="F577" s="9">
        <f>_xlfn.MAXIFS(Levels!F:F,Levels!B:B,A577)</f>
        <v>7.1</v>
      </c>
    </row>
    <row r="578" spans="1:6" x14ac:dyDescent="0.3">
      <c r="A578" t="s">
        <v>2561</v>
      </c>
      <c r="B578" s="6">
        <f>COUNTIF(Levels!B:B,A578)</f>
        <v>1</v>
      </c>
      <c r="C578" s="6">
        <f>IFERROR(AVERAGEIF(Levels!B:B,A578,Levels!E:E),0)</f>
        <v>7.8</v>
      </c>
      <c r="D578" s="6">
        <f>IFERROR(AVERAGEIF(Levels!B:B,A578,Levels!F:F),0)</f>
        <v>5.14</v>
      </c>
      <c r="E578" s="6">
        <f>_xlfn.MAXIFS(Levels!E:E,Levels!B:B,A578)</f>
        <v>7.8</v>
      </c>
      <c r="F578" s="6">
        <f>_xlfn.MAXIFS(Levels!F:F,Levels!B:B,A578)</f>
        <v>5.14</v>
      </c>
    </row>
    <row r="579" spans="1:6" x14ac:dyDescent="0.3">
      <c r="A579" t="s">
        <v>2563</v>
      </c>
      <c r="B579" s="9">
        <f>COUNTIF(Levels!B:B,A579)</f>
        <v>1</v>
      </c>
      <c r="C579" s="9">
        <f>IFERROR(AVERAGEIF(Levels!B:B,A579,Levels!E:E),0)</f>
        <v>13.2</v>
      </c>
      <c r="D579" s="9">
        <f>IFERROR(AVERAGEIF(Levels!B:B,A579,Levels!F:F),0)</f>
        <v>5.25</v>
      </c>
      <c r="E579" s="9">
        <f>_xlfn.MAXIFS(Levels!E:E,Levels!B:B,A579)</f>
        <v>13.2</v>
      </c>
      <c r="F579" s="9">
        <f>_xlfn.MAXIFS(Levels!F:F,Levels!B:B,A579)</f>
        <v>5.25</v>
      </c>
    </row>
    <row r="580" spans="1:6" x14ac:dyDescent="0.3">
      <c r="A580" t="s">
        <v>2565</v>
      </c>
      <c r="B580" s="6">
        <f>COUNTIF(Levels!B:B,A580)</f>
        <v>5</v>
      </c>
      <c r="C580" s="6">
        <f>IFERROR(AVERAGEIF(Levels!B:B,A580,Levels!E:E),0)</f>
        <v>4.2559999999999993</v>
      </c>
      <c r="D580" s="6">
        <f>IFERROR(AVERAGEIF(Levels!B:B,A580,Levels!F:F),0)</f>
        <v>6.7959999999999994</v>
      </c>
      <c r="E580" s="6">
        <f>_xlfn.MAXIFS(Levels!E:E,Levels!B:B,A580)</f>
        <v>5.34</v>
      </c>
      <c r="F580" s="6">
        <f>_xlfn.MAXIFS(Levels!F:F,Levels!B:B,A580)</f>
        <v>7.68</v>
      </c>
    </row>
    <row r="581" spans="1:6" x14ac:dyDescent="0.3">
      <c r="A581" t="s">
        <v>2573</v>
      </c>
      <c r="B581" s="9">
        <f>COUNTIF(Levels!B:B,A581)</f>
        <v>1</v>
      </c>
      <c r="C581" s="9">
        <f>IFERROR(AVERAGEIF(Levels!B:B,A581,Levels!E:E),0)</f>
        <v>9.31</v>
      </c>
      <c r="D581" s="9">
        <f>IFERROR(AVERAGEIF(Levels!B:B,A581,Levels!F:F),0)</f>
        <v>5.3</v>
      </c>
      <c r="E581" s="9">
        <f>_xlfn.MAXIFS(Levels!E:E,Levels!B:B,A581)</f>
        <v>9.31</v>
      </c>
      <c r="F581" s="9">
        <f>_xlfn.MAXIFS(Levels!F:F,Levels!B:B,A581)</f>
        <v>5.3</v>
      </c>
    </row>
    <row r="582" spans="1:6" x14ac:dyDescent="0.3">
      <c r="A582" t="s">
        <v>2583</v>
      </c>
      <c r="B582" s="6">
        <f>COUNTIF(Levels!B:B,A582)</f>
        <v>3</v>
      </c>
      <c r="C582" s="6">
        <f>IFERROR(AVERAGEIF(Levels!B:B,A582,Levels!E:E),0)</f>
        <v>8.0566666666666666</v>
      </c>
      <c r="D582" s="6">
        <f>IFERROR(AVERAGEIF(Levels!B:B,A582,Levels!F:F),0)</f>
        <v>7.293333333333333</v>
      </c>
      <c r="E582" s="6">
        <f>_xlfn.MAXIFS(Levels!E:E,Levels!B:B,A582)</f>
        <v>9</v>
      </c>
      <c r="F582" s="6">
        <f>_xlfn.MAXIFS(Levels!F:F,Levels!B:B,A582)</f>
        <v>7.93</v>
      </c>
    </row>
    <row r="583" spans="1:6" x14ac:dyDescent="0.3">
      <c r="A583" t="s">
        <v>2596</v>
      </c>
      <c r="B583" s="9">
        <f>COUNTIF(Levels!B:B,A583)</f>
        <v>6</v>
      </c>
      <c r="C583" s="9">
        <f>IFERROR(AVERAGEIF(Levels!B:B,A583,Levels!E:E),0)</f>
        <v>2.6416666666666671</v>
      </c>
      <c r="D583" s="9">
        <f>IFERROR(AVERAGEIF(Levels!B:B,A583,Levels!F:F),0)</f>
        <v>6.8466666666666649</v>
      </c>
      <c r="E583" s="9">
        <f>_xlfn.MAXIFS(Levels!E:E,Levels!B:B,A583)</f>
        <v>4.87</v>
      </c>
      <c r="F583" s="9">
        <f>_xlfn.MAXIFS(Levels!F:F,Levels!B:B,A583)</f>
        <v>7.37</v>
      </c>
    </row>
    <row r="584" spans="1:6" x14ac:dyDescent="0.3">
      <c r="A584" t="s">
        <v>2609</v>
      </c>
      <c r="B584" s="6">
        <f>COUNTIF(Levels!B:B,A584)</f>
        <v>8</v>
      </c>
      <c r="C584" s="6">
        <f>IFERROR(AVERAGEIF(Levels!B:B,A584,Levels!E:E),0)</f>
        <v>11.89875</v>
      </c>
      <c r="D584" s="6">
        <f>IFERROR(AVERAGEIF(Levels!B:B,A584,Levels!F:F),0)</f>
        <v>6.6049999999999995</v>
      </c>
      <c r="E584" s="6">
        <f>_xlfn.MAXIFS(Levels!E:E,Levels!B:B,A584)</f>
        <v>19.05</v>
      </c>
      <c r="F584" s="6">
        <f>_xlfn.MAXIFS(Levels!F:F,Levels!B:B,A584)</f>
        <v>7.11</v>
      </c>
    </row>
    <row r="585" spans="1:6" x14ac:dyDescent="0.3">
      <c r="A585" t="s">
        <v>2612</v>
      </c>
      <c r="B585" s="9">
        <f>COUNTIF(Levels!B:B,A585)</f>
        <v>5</v>
      </c>
      <c r="C585" s="9">
        <f>IFERROR(AVERAGEIF(Levels!B:B,A585,Levels!E:E),0)</f>
        <v>5.5579999999999998</v>
      </c>
      <c r="D585" s="9">
        <f>IFERROR(AVERAGEIF(Levels!B:B,A585,Levels!F:F),0)</f>
        <v>6.88</v>
      </c>
      <c r="E585" s="9">
        <f>_xlfn.MAXIFS(Levels!E:E,Levels!B:B,A585)</f>
        <v>8.43</v>
      </c>
      <c r="F585" s="9">
        <f>_xlfn.MAXIFS(Levels!F:F,Levels!B:B,A585)</f>
        <v>7.34</v>
      </c>
    </row>
    <row r="586" spans="1:6" x14ac:dyDescent="0.3">
      <c r="A586" t="s">
        <v>2614</v>
      </c>
      <c r="B586" s="6">
        <f>COUNTIF(Levels!B:B,A586)</f>
        <v>15</v>
      </c>
      <c r="C586" s="6">
        <f>IFERROR(AVERAGEIF(Levels!B:B,A586,Levels!E:E),0)</f>
        <v>21.517999999999997</v>
      </c>
      <c r="D586" s="6">
        <f>IFERROR(AVERAGEIF(Levels!B:B,A586,Levels!F:F),0)</f>
        <v>5.964666666666667</v>
      </c>
      <c r="E586" s="6">
        <f>_xlfn.MAXIFS(Levels!E:E,Levels!B:B,A586)</f>
        <v>33.5</v>
      </c>
      <c r="F586" s="6">
        <f>_xlfn.MAXIFS(Levels!F:F,Levels!B:B,A586)</f>
        <v>9</v>
      </c>
    </row>
    <row r="587" spans="1:6" x14ac:dyDescent="0.3">
      <c r="A587" t="s">
        <v>2616</v>
      </c>
      <c r="B587" s="9">
        <f>COUNTIF(Levels!B:B,A587)</f>
        <v>1</v>
      </c>
      <c r="C587" s="9">
        <f>IFERROR(AVERAGEIF(Levels!B:B,A587,Levels!E:E),0)</f>
        <v>3</v>
      </c>
      <c r="D587" s="9">
        <f>IFERROR(AVERAGEIF(Levels!B:B,A587,Levels!F:F),0)</f>
        <v>6.41</v>
      </c>
      <c r="E587" s="9">
        <f>_xlfn.MAXIFS(Levels!E:E,Levels!B:B,A587)</f>
        <v>3</v>
      </c>
      <c r="F587" s="9">
        <f>_xlfn.MAXIFS(Levels!F:F,Levels!B:B,A587)</f>
        <v>6.41</v>
      </c>
    </row>
    <row r="588" spans="1:6" x14ac:dyDescent="0.3">
      <c r="A588" t="s">
        <v>2624</v>
      </c>
      <c r="B588" s="6">
        <f>COUNTIF(Levels!B:B,A588)</f>
        <v>2</v>
      </c>
      <c r="C588" s="6">
        <f>IFERROR(AVERAGEIF(Levels!B:B,A588,Levels!E:E),0)</f>
        <v>3.67</v>
      </c>
      <c r="D588" s="6">
        <f>IFERROR(AVERAGEIF(Levels!B:B,A588,Levels!F:F),0)</f>
        <v>5.8599999999999994</v>
      </c>
      <c r="E588" s="6">
        <f>_xlfn.MAXIFS(Levels!E:E,Levels!B:B,A588)</f>
        <v>4.75</v>
      </c>
      <c r="F588" s="6">
        <f>_xlfn.MAXIFS(Levels!F:F,Levels!B:B,A588)</f>
        <v>6.42</v>
      </c>
    </row>
    <row r="589" spans="1:6" x14ac:dyDescent="0.3">
      <c r="A589" t="s">
        <v>2636</v>
      </c>
      <c r="B589" s="9">
        <f>COUNTIF(Levels!B:B,A589)</f>
        <v>2</v>
      </c>
      <c r="C589" s="9">
        <f>IFERROR(AVERAGEIF(Levels!B:B,A589,Levels!E:E),0)</f>
        <v>24.414999999999999</v>
      </c>
      <c r="D589" s="9">
        <f>IFERROR(AVERAGEIF(Levels!B:B,A589,Levels!F:F),0)</f>
        <v>4.3899999999999997</v>
      </c>
      <c r="E589" s="9">
        <f>_xlfn.MAXIFS(Levels!E:E,Levels!B:B,A589)</f>
        <v>30.14</v>
      </c>
      <c r="F589" s="9">
        <f>_xlfn.MAXIFS(Levels!F:F,Levels!B:B,A589)</f>
        <v>4.93</v>
      </c>
    </row>
    <row r="590" spans="1:6" x14ac:dyDescent="0.3">
      <c r="A590" t="s">
        <v>2638</v>
      </c>
      <c r="B590" s="6">
        <f>COUNTIF(Levels!B:B,A590)</f>
        <v>4</v>
      </c>
      <c r="C590" s="6">
        <f>IFERROR(AVERAGEIF(Levels!B:B,A590,Levels!E:E),0)</f>
        <v>13.037500000000001</v>
      </c>
      <c r="D590" s="6">
        <f>IFERROR(AVERAGEIF(Levels!B:B,A590,Levels!F:F),0)</f>
        <v>7.0625</v>
      </c>
      <c r="E590" s="6">
        <f>_xlfn.MAXIFS(Levels!E:E,Levels!B:B,A590)</f>
        <v>23.5</v>
      </c>
      <c r="F590" s="6">
        <f>_xlfn.MAXIFS(Levels!F:F,Levels!B:B,A590)</f>
        <v>9.5</v>
      </c>
    </row>
    <row r="591" spans="1:6" x14ac:dyDescent="0.3">
      <c r="A591" t="s">
        <v>2652</v>
      </c>
      <c r="B591" s="9">
        <f>COUNTIF(Levels!B:B,A591)</f>
        <v>1</v>
      </c>
      <c r="C591" s="9">
        <f>IFERROR(AVERAGEIF(Levels!B:B,A591,Levels!E:E),0)</f>
        <v>4.5999999999999996</v>
      </c>
      <c r="D591" s="9">
        <f>IFERROR(AVERAGEIF(Levels!B:B,A591,Levels!F:F),0)</f>
        <v>7.22</v>
      </c>
      <c r="E591" s="9">
        <f>_xlfn.MAXIFS(Levels!E:E,Levels!B:B,A591)</f>
        <v>4.5999999999999996</v>
      </c>
      <c r="F591" s="9">
        <f>_xlfn.MAXIFS(Levels!F:F,Levels!B:B,A591)</f>
        <v>7.22</v>
      </c>
    </row>
    <row r="592" spans="1:6" x14ac:dyDescent="0.3">
      <c r="A592" t="s">
        <v>2654</v>
      </c>
      <c r="B592" s="6">
        <f>COUNTIF(Levels!B:B,A592)</f>
        <v>1</v>
      </c>
      <c r="C592" s="6">
        <f>IFERROR(AVERAGEIF(Levels!B:B,A592,Levels!E:E),0)</f>
        <v>17.25</v>
      </c>
      <c r="D592" s="6">
        <f>IFERROR(AVERAGEIF(Levels!B:B,A592,Levels!F:F),0)</f>
        <v>5.25</v>
      </c>
      <c r="E592" s="6">
        <f>_xlfn.MAXIFS(Levels!E:E,Levels!B:B,A592)</f>
        <v>17.25</v>
      </c>
      <c r="F592" s="6">
        <f>_xlfn.MAXIFS(Levels!F:F,Levels!B:B,A592)</f>
        <v>5.25</v>
      </c>
    </row>
    <row r="593" spans="1:6" x14ac:dyDescent="0.3">
      <c r="A593" t="s">
        <v>2659</v>
      </c>
      <c r="B593" s="9">
        <f>COUNTIF(Levels!B:B,A593)</f>
        <v>2</v>
      </c>
      <c r="C593" s="9">
        <f>IFERROR(AVERAGEIF(Levels!B:B,A593,Levels!E:E),0)</f>
        <v>7.4050000000000002</v>
      </c>
      <c r="D593" s="9">
        <f>IFERROR(AVERAGEIF(Levels!B:B,A593,Levels!F:F),0)</f>
        <v>5.6</v>
      </c>
      <c r="E593" s="9">
        <f>_xlfn.MAXIFS(Levels!E:E,Levels!B:B,A593)</f>
        <v>8.98</v>
      </c>
      <c r="F593" s="9">
        <f>_xlfn.MAXIFS(Levels!F:F,Levels!B:B,A593)</f>
        <v>6.2</v>
      </c>
    </row>
    <row r="594" spans="1:6" x14ac:dyDescent="0.3">
      <c r="A594" t="s">
        <v>2672</v>
      </c>
      <c r="B594" s="6">
        <f>COUNTIF(Levels!B:B,A594)</f>
        <v>2</v>
      </c>
      <c r="C594" s="6">
        <f>IFERROR(AVERAGEIF(Levels!B:B,A594,Levels!E:E),0)</f>
        <v>8.9849999999999994</v>
      </c>
      <c r="D594" s="6">
        <f>IFERROR(AVERAGEIF(Levels!B:B,A594,Levels!F:F),0)</f>
        <v>7.8000000000000007</v>
      </c>
      <c r="E594" s="6">
        <f>_xlfn.MAXIFS(Levels!E:E,Levels!B:B,A594)</f>
        <v>11.8</v>
      </c>
      <c r="F594" s="6">
        <f>_xlfn.MAXIFS(Levels!F:F,Levels!B:B,A594)</f>
        <v>8.4</v>
      </c>
    </row>
    <row r="595" spans="1:6" x14ac:dyDescent="0.3">
      <c r="A595" t="s">
        <v>2684</v>
      </c>
      <c r="B595" s="9">
        <f>COUNTIF(Levels!B:B,A595)</f>
        <v>3</v>
      </c>
      <c r="C595" s="9">
        <f>IFERROR(AVERAGEIF(Levels!B:B,A595,Levels!E:E),0)</f>
        <v>5.0900000000000007</v>
      </c>
      <c r="D595" s="9">
        <f>IFERROR(AVERAGEIF(Levels!B:B,A595,Levels!F:F),0)</f>
        <v>6.0766666666666671</v>
      </c>
      <c r="E595" s="9">
        <f>_xlfn.MAXIFS(Levels!E:E,Levels!B:B,A595)</f>
        <v>7.33</v>
      </c>
      <c r="F595" s="9">
        <f>_xlfn.MAXIFS(Levels!F:F,Levels!B:B,A595)</f>
        <v>7</v>
      </c>
    </row>
    <row r="596" spans="1:6" x14ac:dyDescent="0.3">
      <c r="A596" t="s">
        <v>2687</v>
      </c>
      <c r="B596" s="6">
        <f>COUNTIF(Levels!B:B,A596)</f>
        <v>1</v>
      </c>
      <c r="C596" s="6">
        <f>IFERROR(AVERAGEIF(Levels!B:B,A596,Levels!E:E),0)</f>
        <v>6.75</v>
      </c>
      <c r="D596" s="6">
        <f>IFERROR(AVERAGEIF(Levels!B:B,A596,Levels!F:F),0)</f>
        <v>7</v>
      </c>
      <c r="E596" s="6">
        <f>_xlfn.MAXIFS(Levels!E:E,Levels!B:B,A596)</f>
        <v>6.75</v>
      </c>
      <c r="F596" s="6">
        <f>_xlfn.MAXIFS(Levels!F:F,Levels!B:B,A596)</f>
        <v>7</v>
      </c>
    </row>
    <row r="597" spans="1:6" x14ac:dyDescent="0.3">
      <c r="A597" t="s">
        <v>2695</v>
      </c>
      <c r="B597" s="9">
        <f>COUNTIF(Levels!B:B,A597)</f>
        <v>3</v>
      </c>
      <c r="C597" s="9">
        <f>IFERROR(AVERAGEIF(Levels!B:B,A597,Levels!E:E),0)</f>
        <v>12.29</v>
      </c>
      <c r="D597" s="9">
        <f>IFERROR(AVERAGEIF(Levels!B:B,A597,Levels!F:F),0)</f>
        <v>5.669999999999999</v>
      </c>
      <c r="E597" s="9">
        <f>_xlfn.MAXIFS(Levels!E:E,Levels!B:B,A597)</f>
        <v>19</v>
      </c>
      <c r="F597" s="9">
        <f>_xlfn.MAXIFS(Levels!F:F,Levels!B:B,A597)</f>
        <v>6.35</v>
      </c>
    </row>
    <row r="598" spans="1:6" x14ac:dyDescent="0.3">
      <c r="A598" t="s">
        <v>2707</v>
      </c>
      <c r="B598" s="6">
        <f>COUNTIF(Levels!B:B,A598)</f>
        <v>1</v>
      </c>
      <c r="C598" s="6">
        <f>IFERROR(AVERAGEIF(Levels!B:B,A598,Levels!E:E),0)</f>
        <v>26.95</v>
      </c>
      <c r="D598" s="6">
        <f>IFERROR(AVERAGEIF(Levels!B:B,A598,Levels!F:F),0)</f>
        <v>5.1100000000000003</v>
      </c>
      <c r="E598" s="6">
        <f>_xlfn.MAXIFS(Levels!E:E,Levels!B:B,A598)</f>
        <v>26.95</v>
      </c>
      <c r="F598" s="6">
        <f>_xlfn.MAXIFS(Levels!F:F,Levels!B:B,A598)</f>
        <v>5.1100000000000003</v>
      </c>
    </row>
    <row r="599" spans="1:6" x14ac:dyDescent="0.3">
      <c r="A599" t="s">
        <v>2709</v>
      </c>
      <c r="B599" s="9">
        <f>COUNTIF(Levels!B:B,A599)</f>
        <v>2</v>
      </c>
      <c r="C599" s="9">
        <f>IFERROR(AVERAGEIF(Levels!B:B,A599,Levels!E:E),0)</f>
        <v>4.88</v>
      </c>
      <c r="D599" s="9">
        <f>IFERROR(AVERAGEIF(Levels!B:B,A599,Levels!F:F),0)</f>
        <v>5.5299999999999994</v>
      </c>
      <c r="E599" s="9">
        <f>_xlfn.MAXIFS(Levels!E:E,Levels!B:B,A599)</f>
        <v>7.8</v>
      </c>
      <c r="F599" s="9">
        <f>_xlfn.MAXIFS(Levels!F:F,Levels!B:B,A599)</f>
        <v>6.06</v>
      </c>
    </row>
    <row r="600" spans="1:6" x14ac:dyDescent="0.3">
      <c r="A600" t="s">
        <v>2716</v>
      </c>
      <c r="B600" s="6">
        <f>COUNTIF(Levels!B:B,A600)</f>
        <v>5</v>
      </c>
      <c r="C600" s="6">
        <f>IFERROR(AVERAGEIF(Levels!B:B,A600,Levels!E:E),0)</f>
        <v>30.572000000000003</v>
      </c>
      <c r="D600" s="6">
        <f>IFERROR(AVERAGEIF(Levels!B:B,A600,Levels!F:F),0)</f>
        <v>6.234</v>
      </c>
      <c r="E600" s="6">
        <f>_xlfn.MAXIFS(Levels!E:E,Levels!B:B,A600)</f>
        <v>35</v>
      </c>
      <c r="F600" s="6">
        <f>_xlfn.MAXIFS(Levels!F:F,Levels!B:B,A600)</f>
        <v>9</v>
      </c>
    </row>
    <row r="601" spans="1:6" x14ac:dyDescent="0.3">
      <c r="A601" t="s">
        <v>2719</v>
      </c>
      <c r="B601" s="9">
        <f>COUNTIF(Levels!B:B,A601)</f>
        <v>2</v>
      </c>
      <c r="C601" s="9">
        <f>IFERROR(AVERAGEIF(Levels!B:B,A601,Levels!E:E),0)</f>
        <v>14.059999999999999</v>
      </c>
      <c r="D601" s="9">
        <f>IFERROR(AVERAGEIF(Levels!B:B,A601,Levels!F:F),0)</f>
        <v>7.6349999999999998</v>
      </c>
      <c r="E601" s="9">
        <f>_xlfn.MAXIFS(Levels!E:E,Levels!B:B,A601)</f>
        <v>15.95</v>
      </c>
      <c r="F601" s="9">
        <f>_xlfn.MAXIFS(Levels!F:F,Levels!B:B,A601)</f>
        <v>7.82</v>
      </c>
    </row>
    <row r="602" spans="1:6" x14ac:dyDescent="0.3">
      <c r="A602" t="s">
        <v>2722</v>
      </c>
      <c r="B602" s="6">
        <f>COUNTIF(Levels!B:B,A602)</f>
        <v>2</v>
      </c>
      <c r="C602" s="6">
        <f>IFERROR(AVERAGEIF(Levels!B:B,A602,Levels!E:E),0)</f>
        <v>11.555</v>
      </c>
      <c r="D602" s="6">
        <f>IFERROR(AVERAGEIF(Levels!B:B,A602,Levels!F:F),0)</f>
        <v>4.835</v>
      </c>
      <c r="E602" s="6">
        <f>_xlfn.MAXIFS(Levels!E:E,Levels!B:B,A602)</f>
        <v>15.11</v>
      </c>
      <c r="F602" s="6">
        <f>_xlfn.MAXIFS(Levels!F:F,Levels!B:B,A602)</f>
        <v>5</v>
      </c>
    </row>
    <row r="603" spans="1:6" x14ac:dyDescent="0.3">
      <c r="A603" t="s">
        <v>2734</v>
      </c>
      <c r="B603" s="9">
        <f>COUNTIF(Levels!B:B,A603)</f>
        <v>3</v>
      </c>
      <c r="C603" s="9">
        <f>IFERROR(AVERAGEIF(Levels!B:B,A603,Levels!E:E),0)</f>
        <v>6.3133333333333335</v>
      </c>
      <c r="D603" s="9">
        <f>IFERROR(AVERAGEIF(Levels!B:B,A603,Levels!F:F),0)</f>
        <v>6.4466666666666663</v>
      </c>
      <c r="E603" s="9">
        <f>_xlfn.MAXIFS(Levels!E:E,Levels!B:B,A603)</f>
        <v>12.83</v>
      </c>
      <c r="F603" s="9">
        <f>_xlfn.MAXIFS(Levels!F:F,Levels!B:B,A603)</f>
        <v>7.1</v>
      </c>
    </row>
    <row r="604" spans="1:6" x14ac:dyDescent="0.3">
      <c r="A604" t="s">
        <v>2736</v>
      </c>
      <c r="B604" s="6">
        <f>COUNTIF(Levels!B:B,A604)</f>
        <v>1</v>
      </c>
      <c r="C604" s="6">
        <f>IFERROR(AVERAGEIF(Levels!B:B,A604,Levels!E:E),0)</f>
        <v>17.12</v>
      </c>
      <c r="D604" s="6">
        <f>IFERROR(AVERAGEIF(Levels!B:B,A604,Levels!F:F),0)</f>
        <v>3.38</v>
      </c>
      <c r="E604" s="6">
        <f>_xlfn.MAXIFS(Levels!E:E,Levels!B:B,A604)</f>
        <v>17.12</v>
      </c>
      <c r="F604" s="6">
        <f>_xlfn.MAXIFS(Levels!F:F,Levels!B:B,A604)</f>
        <v>3.38</v>
      </c>
    </row>
    <row r="605" spans="1:6" x14ac:dyDescent="0.3">
      <c r="A605" t="s">
        <v>2738</v>
      </c>
      <c r="B605" s="9">
        <f>COUNTIF(Levels!B:B,A605)</f>
        <v>4</v>
      </c>
      <c r="C605" s="9">
        <f>IFERROR(AVERAGEIF(Levels!B:B,A605,Levels!E:E),0)</f>
        <v>6.4775</v>
      </c>
      <c r="D605" s="9">
        <f>IFERROR(AVERAGEIF(Levels!B:B,A605,Levels!F:F),0)</f>
        <v>4.7625000000000002</v>
      </c>
      <c r="E605" s="9">
        <f>_xlfn.MAXIFS(Levels!E:E,Levels!B:B,A605)</f>
        <v>8.86</v>
      </c>
      <c r="F605" s="9">
        <f>_xlfn.MAXIFS(Levels!F:F,Levels!B:B,A605)</f>
        <v>6.72</v>
      </c>
    </row>
    <row r="606" spans="1:6" x14ac:dyDescent="0.3">
      <c r="A606" t="s">
        <v>2747</v>
      </c>
      <c r="B606" s="6">
        <f>COUNTIF(Levels!B:B,A606)</f>
        <v>2</v>
      </c>
      <c r="C606" s="6">
        <f>IFERROR(AVERAGEIF(Levels!B:B,A606,Levels!E:E),0)</f>
        <v>17.93</v>
      </c>
      <c r="D606" s="6">
        <f>IFERROR(AVERAGEIF(Levels!B:B,A606,Levels!F:F),0)</f>
        <v>6.835</v>
      </c>
      <c r="E606" s="6">
        <f>_xlfn.MAXIFS(Levels!E:E,Levels!B:B,A606)</f>
        <v>18</v>
      </c>
      <c r="F606" s="6">
        <f>_xlfn.MAXIFS(Levels!F:F,Levels!B:B,A606)</f>
        <v>7</v>
      </c>
    </row>
    <row r="607" spans="1:6" x14ac:dyDescent="0.3">
      <c r="A607" t="s">
        <v>2751</v>
      </c>
      <c r="B607" s="9">
        <f>COUNTIF(Levels!B:B,A607)</f>
        <v>1</v>
      </c>
      <c r="C607" s="9">
        <f>IFERROR(AVERAGEIF(Levels!B:B,A607,Levels!E:E),0)</f>
        <v>17.5</v>
      </c>
      <c r="D607" s="9">
        <f>IFERROR(AVERAGEIF(Levels!B:B,A607,Levels!F:F),0)</f>
        <v>6.25</v>
      </c>
      <c r="E607" s="9">
        <f>_xlfn.MAXIFS(Levels!E:E,Levels!B:B,A607)</f>
        <v>17.5</v>
      </c>
      <c r="F607" s="9">
        <f>_xlfn.MAXIFS(Levels!F:F,Levels!B:B,A607)</f>
        <v>6.25</v>
      </c>
    </row>
    <row r="608" spans="1:6" x14ac:dyDescent="0.3">
      <c r="A608" t="s">
        <v>2756</v>
      </c>
      <c r="B608" s="6">
        <f>COUNTIF(Levels!B:B,A608)</f>
        <v>24</v>
      </c>
      <c r="C608" s="6">
        <f>IFERROR(AVERAGEIF(Levels!B:B,A608,Levels!E:E),0)</f>
        <v>6.5762500000000026</v>
      </c>
      <c r="D608" s="6">
        <f>IFERROR(AVERAGEIF(Levels!B:B,A608,Levels!F:F),0)</f>
        <v>5.9620833333333323</v>
      </c>
      <c r="E608" s="6">
        <f>_xlfn.MAXIFS(Levels!E:E,Levels!B:B,A608)</f>
        <v>26</v>
      </c>
      <c r="F608" s="6">
        <f>_xlfn.MAXIFS(Levels!F:F,Levels!B:B,A608)</f>
        <v>7.89</v>
      </c>
    </row>
    <row r="609" spans="1:6" x14ac:dyDescent="0.3">
      <c r="A609" t="s">
        <v>2765</v>
      </c>
      <c r="B609" s="9">
        <f>COUNTIF(Levels!B:B,A609)</f>
        <v>1</v>
      </c>
      <c r="C609" s="9">
        <f>IFERROR(AVERAGEIF(Levels!B:B,A609,Levels!E:E),0)</f>
        <v>3</v>
      </c>
      <c r="D609" s="9">
        <f>IFERROR(AVERAGEIF(Levels!B:B,A609,Levels!F:F),0)</f>
        <v>6.41</v>
      </c>
      <c r="E609" s="9">
        <f>_xlfn.MAXIFS(Levels!E:E,Levels!B:B,A609)</f>
        <v>3</v>
      </c>
      <c r="F609" s="9">
        <f>_xlfn.MAXIFS(Levels!F:F,Levels!B:B,A609)</f>
        <v>6.41</v>
      </c>
    </row>
    <row r="610" spans="1:6" x14ac:dyDescent="0.3">
      <c r="A610" t="s">
        <v>2768</v>
      </c>
      <c r="B610" s="6">
        <f>COUNTIF(Levels!B:B,A610)</f>
        <v>2</v>
      </c>
      <c r="C610" s="6">
        <f>IFERROR(AVERAGEIF(Levels!B:B,A610,Levels!E:E),0)</f>
        <v>13.994999999999999</v>
      </c>
      <c r="D610" s="6">
        <f>IFERROR(AVERAGEIF(Levels!B:B,A610,Levels!F:F),0)</f>
        <v>5.15</v>
      </c>
      <c r="E610" s="6">
        <f>_xlfn.MAXIFS(Levels!E:E,Levels!B:B,A610)</f>
        <v>16.29</v>
      </c>
      <c r="F610" s="6">
        <f>_xlfn.MAXIFS(Levels!F:F,Levels!B:B,A610)</f>
        <v>5.67</v>
      </c>
    </row>
    <row r="611" spans="1:6" x14ac:dyDescent="0.3">
      <c r="A611" t="s">
        <v>2771</v>
      </c>
      <c r="B611" s="9">
        <f>COUNTIF(Levels!B:B,A611)</f>
        <v>5</v>
      </c>
      <c r="C611" s="9">
        <f>IFERROR(AVERAGEIF(Levels!B:B,A611,Levels!E:E),0)</f>
        <v>14.148000000000001</v>
      </c>
      <c r="D611" s="9">
        <f>IFERROR(AVERAGEIF(Levels!B:B,A611,Levels!F:F),0)</f>
        <v>7.3100000000000005</v>
      </c>
      <c r="E611" s="9">
        <f>_xlfn.MAXIFS(Levels!E:E,Levels!B:B,A611)</f>
        <v>19.5</v>
      </c>
      <c r="F611" s="9">
        <f>_xlfn.MAXIFS(Levels!F:F,Levels!B:B,A611)</f>
        <v>8.23</v>
      </c>
    </row>
    <row r="612" spans="1:6" x14ac:dyDescent="0.3">
      <c r="A612" t="s">
        <v>2776</v>
      </c>
      <c r="B612" s="6">
        <f>COUNTIF(Levels!B:B,A612)</f>
        <v>4</v>
      </c>
      <c r="C612" s="6">
        <f>IFERROR(AVERAGEIF(Levels!B:B,A612,Levels!E:E),0)</f>
        <v>15.540000000000001</v>
      </c>
      <c r="D612" s="6">
        <f>IFERROR(AVERAGEIF(Levels!B:B,A612,Levels!F:F),0)</f>
        <v>7.1524999999999999</v>
      </c>
      <c r="E612" s="6">
        <f>_xlfn.MAXIFS(Levels!E:E,Levels!B:B,A612)</f>
        <v>19.25</v>
      </c>
      <c r="F612" s="6">
        <f>_xlfn.MAXIFS(Levels!F:F,Levels!B:B,A612)</f>
        <v>8.2100000000000009</v>
      </c>
    </row>
    <row r="613" spans="1:6" x14ac:dyDescent="0.3">
      <c r="A613" t="s">
        <v>2783</v>
      </c>
      <c r="B613" s="9">
        <f>COUNTIF(Levels!B:B,A613)</f>
        <v>3</v>
      </c>
      <c r="C613" s="9">
        <f>IFERROR(AVERAGEIF(Levels!B:B,A613,Levels!E:E),0)</f>
        <v>16.810000000000002</v>
      </c>
      <c r="D613" s="9">
        <f>IFERROR(AVERAGEIF(Levels!B:B,A613,Levels!F:F),0)</f>
        <v>7.6400000000000006</v>
      </c>
      <c r="E613" s="9">
        <f>_xlfn.MAXIFS(Levels!E:E,Levels!B:B,A613)</f>
        <v>17.670000000000002</v>
      </c>
      <c r="F613" s="9">
        <f>_xlfn.MAXIFS(Levels!F:F,Levels!B:B,A613)</f>
        <v>8.59</v>
      </c>
    </row>
    <row r="614" spans="1:6" x14ac:dyDescent="0.3">
      <c r="A614" t="s">
        <v>2791</v>
      </c>
      <c r="B614" s="6">
        <f>COUNTIF(Levels!B:B,A614)</f>
        <v>11</v>
      </c>
      <c r="C614" s="6">
        <f>IFERROR(AVERAGEIF(Levels!B:B,A614,Levels!E:E),0)</f>
        <v>9.5609090909090906</v>
      </c>
      <c r="D614" s="6">
        <f>IFERROR(AVERAGEIF(Levels!B:B,A614,Levels!F:F),0)</f>
        <v>6.2554545454545458</v>
      </c>
      <c r="E614" s="6">
        <f>_xlfn.MAXIFS(Levels!E:E,Levels!B:B,A614)</f>
        <v>20.11</v>
      </c>
      <c r="F614" s="6">
        <f>_xlfn.MAXIFS(Levels!F:F,Levels!B:B,A614)</f>
        <v>7.7</v>
      </c>
    </row>
    <row r="615" spans="1:6" x14ac:dyDescent="0.3">
      <c r="A615" t="s">
        <v>2798</v>
      </c>
      <c r="B615" s="9">
        <f>COUNTIF(Levels!B:B,A615)</f>
        <v>2</v>
      </c>
      <c r="C615" s="9">
        <f>IFERROR(AVERAGEIF(Levels!B:B,A615,Levels!E:E),0)</f>
        <v>12.89</v>
      </c>
      <c r="D615" s="9">
        <f>IFERROR(AVERAGEIF(Levels!B:B,A615,Levels!F:F),0)</f>
        <v>7.1850000000000005</v>
      </c>
      <c r="E615" s="9">
        <f>_xlfn.MAXIFS(Levels!E:E,Levels!B:B,A615)</f>
        <v>15</v>
      </c>
      <c r="F615" s="9">
        <f>_xlfn.MAXIFS(Levels!F:F,Levels!B:B,A615)</f>
        <v>7.78</v>
      </c>
    </row>
    <row r="616" spans="1:6" x14ac:dyDescent="0.3">
      <c r="A616" t="s">
        <v>2803</v>
      </c>
      <c r="B616" s="6">
        <f>COUNTIF(Levels!B:B,A616)</f>
        <v>1</v>
      </c>
      <c r="C616" s="6">
        <f>IFERROR(AVERAGEIF(Levels!B:B,A616,Levels!E:E),0)</f>
        <v>5.64</v>
      </c>
      <c r="D616" s="6">
        <f>IFERROR(AVERAGEIF(Levels!B:B,A616,Levels!F:F),0)</f>
        <v>5.85</v>
      </c>
      <c r="E616" s="6">
        <f>_xlfn.MAXIFS(Levels!E:E,Levels!B:B,A616)</f>
        <v>5.64</v>
      </c>
      <c r="F616" s="6">
        <f>_xlfn.MAXIFS(Levels!F:F,Levels!B:B,A616)</f>
        <v>5.85</v>
      </c>
    </row>
    <row r="617" spans="1:6" x14ac:dyDescent="0.3">
      <c r="A617" t="s">
        <v>2808</v>
      </c>
      <c r="B617" s="9">
        <f>COUNTIF(Levels!B:B,A617)</f>
        <v>3</v>
      </c>
      <c r="C617" s="9">
        <f>IFERROR(AVERAGEIF(Levels!B:B,A617,Levels!E:E),0)</f>
        <v>4.2366666666666672</v>
      </c>
      <c r="D617" s="9">
        <f>IFERROR(AVERAGEIF(Levels!B:B,A617,Levels!F:F),0)</f>
        <v>6.3933333333333335</v>
      </c>
      <c r="E617" s="9">
        <f>_xlfn.MAXIFS(Levels!E:E,Levels!B:B,A617)</f>
        <v>4.8</v>
      </c>
      <c r="F617" s="9">
        <f>_xlfn.MAXIFS(Levels!F:F,Levels!B:B,A617)</f>
        <v>7.07</v>
      </c>
    </row>
    <row r="618" spans="1:6" x14ac:dyDescent="0.3">
      <c r="A618" t="s">
        <v>2815</v>
      </c>
      <c r="B618" s="6">
        <f>COUNTIF(Levels!B:B,A618)</f>
        <v>1</v>
      </c>
      <c r="C618" s="6">
        <f>IFERROR(AVERAGEIF(Levels!B:B,A618,Levels!E:E),0)</f>
        <v>10.95</v>
      </c>
      <c r="D618" s="6">
        <f>IFERROR(AVERAGEIF(Levels!B:B,A618,Levels!F:F),0)</f>
        <v>8</v>
      </c>
      <c r="E618" s="6">
        <f>_xlfn.MAXIFS(Levels!E:E,Levels!B:B,A618)</f>
        <v>10.95</v>
      </c>
      <c r="F618" s="6">
        <f>_xlfn.MAXIFS(Levels!F:F,Levels!B:B,A618)</f>
        <v>8</v>
      </c>
    </row>
    <row r="619" spans="1:6" x14ac:dyDescent="0.3">
      <c r="A619" t="s">
        <v>2819</v>
      </c>
      <c r="B619" s="9">
        <f>COUNTIF(Levels!B:B,A619)</f>
        <v>1</v>
      </c>
      <c r="C619" s="9">
        <f>IFERROR(AVERAGEIF(Levels!B:B,A619,Levels!E:E),0)</f>
        <v>3.64</v>
      </c>
      <c r="D619" s="9">
        <f>IFERROR(AVERAGEIF(Levels!B:B,A619,Levels!F:F),0)</f>
        <v>6.32</v>
      </c>
      <c r="E619" s="9">
        <f>_xlfn.MAXIFS(Levels!E:E,Levels!B:B,A619)</f>
        <v>3.64</v>
      </c>
      <c r="F619" s="9">
        <f>_xlfn.MAXIFS(Levels!F:F,Levels!B:B,A619)</f>
        <v>6.32</v>
      </c>
    </row>
    <row r="620" spans="1:6" x14ac:dyDescent="0.3">
      <c r="A620" t="s">
        <v>2824</v>
      </c>
      <c r="B620" s="6">
        <f>COUNTIF(Levels!B:B,A620)</f>
        <v>1</v>
      </c>
      <c r="C620" s="6">
        <f>IFERROR(AVERAGEIF(Levels!B:B,A620,Levels!E:E),0)</f>
        <v>10.67</v>
      </c>
      <c r="D620" s="6">
        <f>IFERROR(AVERAGEIF(Levels!B:B,A620,Levels!F:F),0)</f>
        <v>7.4</v>
      </c>
      <c r="E620" s="6">
        <f>_xlfn.MAXIFS(Levels!E:E,Levels!B:B,A620)</f>
        <v>10.67</v>
      </c>
      <c r="F620" s="6">
        <f>_xlfn.MAXIFS(Levels!F:F,Levels!B:B,A620)</f>
        <v>7.4</v>
      </c>
    </row>
    <row r="621" spans="1:6" x14ac:dyDescent="0.3">
      <c r="A621" t="s">
        <v>2827</v>
      </c>
      <c r="B621" s="9">
        <f>COUNTIF(Levels!B:B,A621)</f>
        <v>4</v>
      </c>
      <c r="C621" s="9">
        <f>IFERROR(AVERAGEIF(Levels!B:B,A621,Levels!E:E),0)</f>
        <v>4.9400000000000004</v>
      </c>
      <c r="D621" s="9">
        <f>IFERROR(AVERAGEIF(Levels!B:B,A621,Levels!F:F),0)</f>
        <v>5.6449999999999996</v>
      </c>
      <c r="E621" s="9">
        <f>_xlfn.MAXIFS(Levels!E:E,Levels!B:B,A621)</f>
        <v>6.04</v>
      </c>
      <c r="F621" s="9">
        <f>_xlfn.MAXIFS(Levels!F:F,Levels!B:B,A621)</f>
        <v>6.8</v>
      </c>
    </row>
    <row r="622" spans="1:6" x14ac:dyDescent="0.3">
      <c r="A622" t="s">
        <v>2830</v>
      </c>
      <c r="B622" s="6">
        <f>COUNTIF(Levels!B:B,A622)</f>
        <v>2</v>
      </c>
      <c r="C622" s="6">
        <f>IFERROR(AVERAGEIF(Levels!B:B,A622,Levels!E:E),0)</f>
        <v>13.719999999999999</v>
      </c>
      <c r="D622" s="6">
        <f>IFERROR(AVERAGEIF(Levels!B:B,A622,Levels!F:F),0)</f>
        <v>4.665</v>
      </c>
      <c r="E622" s="6">
        <f>_xlfn.MAXIFS(Levels!E:E,Levels!B:B,A622)</f>
        <v>15</v>
      </c>
      <c r="F622" s="6">
        <f>_xlfn.MAXIFS(Levels!F:F,Levels!B:B,A622)</f>
        <v>6</v>
      </c>
    </row>
    <row r="623" spans="1:6" x14ac:dyDescent="0.3">
      <c r="A623" t="s">
        <v>2833</v>
      </c>
      <c r="B623" s="9">
        <f>COUNTIF(Levels!B:B,A623)</f>
        <v>1</v>
      </c>
      <c r="C623" s="9">
        <f>IFERROR(AVERAGEIF(Levels!B:B,A623,Levels!E:E),0)</f>
        <v>7.75</v>
      </c>
      <c r="D623" s="9">
        <f>IFERROR(AVERAGEIF(Levels!B:B,A623,Levels!F:F),0)</f>
        <v>6</v>
      </c>
      <c r="E623" s="9">
        <f>_xlfn.MAXIFS(Levels!E:E,Levels!B:B,A623)</f>
        <v>7.75</v>
      </c>
      <c r="F623" s="9">
        <f>_xlfn.MAXIFS(Levels!F:F,Levels!B:B,A623)</f>
        <v>6</v>
      </c>
    </row>
    <row r="624" spans="1:6" x14ac:dyDescent="0.3">
      <c r="A624" t="s">
        <v>2837</v>
      </c>
      <c r="B624" s="6">
        <f>COUNTIF(Levels!B:B,A624)</f>
        <v>7</v>
      </c>
      <c r="C624" s="6">
        <f>IFERROR(AVERAGEIF(Levels!B:B,A624,Levels!E:E),0)</f>
        <v>11.51</v>
      </c>
      <c r="D624" s="6">
        <f>IFERROR(AVERAGEIF(Levels!B:B,A624,Levels!F:F),0)</f>
        <v>5.1585714285714275</v>
      </c>
      <c r="E624" s="6">
        <f>_xlfn.MAXIFS(Levels!E:E,Levels!B:B,A624)</f>
        <v>14.4</v>
      </c>
      <c r="F624" s="6">
        <f>_xlfn.MAXIFS(Levels!F:F,Levels!B:B,A624)</f>
        <v>6.8</v>
      </c>
    </row>
    <row r="625" spans="1:6" x14ac:dyDescent="0.3">
      <c r="A625" t="s">
        <v>2843</v>
      </c>
      <c r="B625" s="9">
        <f>COUNTIF(Levels!B:B,A625)</f>
        <v>36</v>
      </c>
      <c r="C625" s="9">
        <f>IFERROR(AVERAGEIF(Levels!B:B,A625,Levels!E:E),0)</f>
        <v>11.159444444444443</v>
      </c>
      <c r="D625" s="9">
        <f>IFERROR(AVERAGEIF(Levels!B:B,A625,Levels!F:F),0)</f>
        <v>6.3491666666666653</v>
      </c>
      <c r="E625" s="9">
        <f>_xlfn.MAXIFS(Levels!E:E,Levels!B:B,A625)</f>
        <v>30.5</v>
      </c>
      <c r="F625" s="9">
        <f>_xlfn.MAXIFS(Levels!F:F,Levels!B:B,A625)</f>
        <v>9.25</v>
      </c>
    </row>
    <row r="626" spans="1:6" x14ac:dyDescent="0.3">
      <c r="A626" t="s">
        <v>2846</v>
      </c>
      <c r="B626" s="6">
        <f>COUNTIF(Levels!B:B,A626)</f>
        <v>1</v>
      </c>
      <c r="C626" s="6">
        <f>IFERROR(AVERAGEIF(Levels!B:B,A626,Levels!E:E),0)</f>
        <v>22</v>
      </c>
      <c r="D626" s="6">
        <f>IFERROR(AVERAGEIF(Levels!B:B,A626,Levels!F:F),0)</f>
        <v>7.58</v>
      </c>
      <c r="E626" s="6">
        <f>_xlfn.MAXIFS(Levels!E:E,Levels!B:B,A626)</f>
        <v>22</v>
      </c>
      <c r="F626" s="6">
        <f>_xlfn.MAXIFS(Levels!F:F,Levels!B:B,A626)</f>
        <v>7.58</v>
      </c>
    </row>
    <row r="627" spans="1:6" x14ac:dyDescent="0.3">
      <c r="A627" t="s">
        <v>2848</v>
      </c>
      <c r="B627" s="9">
        <f>COUNTIF(Levels!B:B,A627)</f>
        <v>1</v>
      </c>
      <c r="C627" s="9">
        <f>IFERROR(AVERAGEIF(Levels!B:B,A627,Levels!E:E),0)</f>
        <v>2.89</v>
      </c>
      <c r="D627" s="9">
        <f>IFERROR(AVERAGEIF(Levels!B:B,A627,Levels!F:F),0)</f>
        <v>5.26</v>
      </c>
      <c r="E627" s="9">
        <f>_xlfn.MAXIFS(Levels!E:E,Levels!B:B,A627)</f>
        <v>2.89</v>
      </c>
      <c r="F627" s="9">
        <f>_xlfn.MAXIFS(Levels!F:F,Levels!B:B,A627)</f>
        <v>5.26</v>
      </c>
    </row>
    <row r="628" spans="1:6" x14ac:dyDescent="0.3">
      <c r="A628" t="s">
        <v>2857</v>
      </c>
      <c r="B628" s="6">
        <f>COUNTIF(Levels!B:B,A628)</f>
        <v>2</v>
      </c>
      <c r="C628" s="6">
        <f>IFERROR(AVERAGEIF(Levels!B:B,A628,Levels!E:E),0)</f>
        <v>10.3</v>
      </c>
      <c r="D628" s="6">
        <f>IFERROR(AVERAGEIF(Levels!B:B,A628,Levels!F:F),0)</f>
        <v>5.415</v>
      </c>
      <c r="E628" s="6">
        <f>_xlfn.MAXIFS(Levels!E:E,Levels!B:B,A628)</f>
        <v>17.5</v>
      </c>
      <c r="F628" s="6">
        <f>_xlfn.MAXIFS(Levels!F:F,Levels!B:B,A628)</f>
        <v>5.5</v>
      </c>
    </row>
    <row r="629" spans="1:6" x14ac:dyDescent="0.3">
      <c r="A629" t="s">
        <v>2864</v>
      </c>
      <c r="B629" s="9">
        <f>COUNTIF(Levels!B:B,A629)</f>
        <v>2</v>
      </c>
      <c r="C629" s="9">
        <f>IFERROR(AVERAGEIF(Levels!B:B,A629,Levels!E:E),0)</f>
        <v>5.0199999999999996</v>
      </c>
      <c r="D629" s="9">
        <f>IFERROR(AVERAGEIF(Levels!B:B,A629,Levels!F:F),0)</f>
        <v>6.1349999999999998</v>
      </c>
      <c r="E629" s="9">
        <f>_xlfn.MAXIFS(Levels!E:E,Levels!B:B,A629)</f>
        <v>6.33</v>
      </c>
      <c r="F629" s="9">
        <f>_xlfn.MAXIFS(Levels!F:F,Levels!B:B,A629)</f>
        <v>6.56</v>
      </c>
    </row>
    <row r="630" spans="1:6" x14ac:dyDescent="0.3">
      <c r="A630" t="s">
        <v>2872</v>
      </c>
      <c r="B630" s="6">
        <f>COUNTIF(Levels!B:B,A630)</f>
        <v>1</v>
      </c>
      <c r="C630" s="6">
        <f>IFERROR(AVERAGEIF(Levels!B:B,A630,Levels!E:E),0)</f>
        <v>15.06</v>
      </c>
      <c r="D630" s="6">
        <f>IFERROR(AVERAGEIF(Levels!B:B,A630,Levels!F:F),0)</f>
        <v>5.56</v>
      </c>
      <c r="E630" s="6">
        <f>_xlfn.MAXIFS(Levels!E:E,Levels!B:B,A630)</f>
        <v>15.06</v>
      </c>
      <c r="F630" s="6">
        <f>_xlfn.MAXIFS(Levels!F:F,Levels!B:B,A630)</f>
        <v>5.56</v>
      </c>
    </row>
    <row r="631" spans="1:6" x14ac:dyDescent="0.3">
      <c r="A631" t="s">
        <v>2875</v>
      </c>
      <c r="B631" s="9">
        <f>COUNTIF(Levels!B:B,A631)</f>
        <v>2</v>
      </c>
      <c r="C631" s="9">
        <f>IFERROR(AVERAGEIF(Levels!B:B,A631,Levels!E:E),0)</f>
        <v>18.09</v>
      </c>
      <c r="D631" s="9">
        <f>IFERROR(AVERAGEIF(Levels!B:B,A631,Levels!F:F),0)</f>
        <v>5.07</v>
      </c>
      <c r="E631" s="9">
        <f>_xlfn.MAXIFS(Levels!E:E,Levels!B:B,A631)</f>
        <v>18.41</v>
      </c>
      <c r="F631" s="9">
        <f>_xlfn.MAXIFS(Levels!F:F,Levels!B:B,A631)</f>
        <v>5.75</v>
      </c>
    </row>
    <row r="632" spans="1:6" x14ac:dyDescent="0.3">
      <c r="A632" t="s">
        <v>2877</v>
      </c>
      <c r="B632" s="6">
        <f>COUNTIF(Levels!B:B,A632)</f>
        <v>1</v>
      </c>
      <c r="C632" s="6">
        <f>IFERROR(AVERAGEIF(Levels!B:B,A632,Levels!E:E),0)</f>
        <v>7.11</v>
      </c>
      <c r="D632" s="6">
        <f>IFERROR(AVERAGEIF(Levels!B:B,A632,Levels!F:F),0)</f>
        <v>6.86</v>
      </c>
      <c r="E632" s="6">
        <f>_xlfn.MAXIFS(Levels!E:E,Levels!B:B,A632)</f>
        <v>7.11</v>
      </c>
      <c r="F632" s="6">
        <f>_xlfn.MAXIFS(Levels!F:F,Levels!B:B,A632)</f>
        <v>6.86</v>
      </c>
    </row>
    <row r="633" spans="1:6" x14ac:dyDescent="0.3">
      <c r="A633" t="s">
        <v>2880</v>
      </c>
      <c r="B633" s="9">
        <f>COUNTIF(Levels!B:B,A633)</f>
        <v>1</v>
      </c>
      <c r="C633" s="9">
        <f>IFERROR(AVERAGEIF(Levels!B:B,A633,Levels!E:E),0)</f>
        <v>2.87</v>
      </c>
      <c r="D633" s="9">
        <f>IFERROR(AVERAGEIF(Levels!B:B,A633,Levels!F:F),0)</f>
        <v>5.67</v>
      </c>
      <c r="E633" s="9">
        <f>_xlfn.MAXIFS(Levels!E:E,Levels!B:B,A633)</f>
        <v>2.87</v>
      </c>
      <c r="F633" s="9">
        <f>_xlfn.MAXIFS(Levels!F:F,Levels!B:B,A633)</f>
        <v>5.67</v>
      </c>
    </row>
    <row r="634" spans="1:6" x14ac:dyDescent="0.3">
      <c r="A634" t="s">
        <v>2887</v>
      </c>
      <c r="B634" s="6">
        <f>COUNTIF(Levels!B:B,A634)</f>
        <v>1</v>
      </c>
      <c r="C634" s="6">
        <f>IFERROR(AVERAGEIF(Levels!B:B,A634,Levels!E:E),0)</f>
        <v>12.9</v>
      </c>
      <c r="D634" s="6">
        <f>IFERROR(AVERAGEIF(Levels!B:B,A634,Levels!F:F),0)</f>
        <v>4</v>
      </c>
      <c r="E634" s="6">
        <f>_xlfn.MAXIFS(Levels!E:E,Levels!B:B,A634)</f>
        <v>12.9</v>
      </c>
      <c r="F634" s="6">
        <f>_xlfn.MAXIFS(Levels!F:F,Levels!B:B,A634)</f>
        <v>4</v>
      </c>
    </row>
    <row r="635" spans="1:6" x14ac:dyDescent="0.3">
      <c r="A635" t="s">
        <v>2892</v>
      </c>
      <c r="B635" s="9">
        <f>COUNTIF(Levels!B:B,A635)</f>
        <v>3</v>
      </c>
      <c r="C635" s="9">
        <f>IFERROR(AVERAGEIF(Levels!B:B,A635,Levels!E:E),0)</f>
        <v>15.299999999999999</v>
      </c>
      <c r="D635" s="9">
        <f>IFERROR(AVERAGEIF(Levels!B:B,A635,Levels!F:F),0)</f>
        <v>5.333333333333333</v>
      </c>
      <c r="E635" s="9">
        <f>_xlfn.MAXIFS(Levels!E:E,Levels!B:B,A635)</f>
        <v>16.899999999999999</v>
      </c>
      <c r="F635" s="9">
        <f>_xlfn.MAXIFS(Levels!F:F,Levels!B:B,A635)</f>
        <v>5.5</v>
      </c>
    </row>
    <row r="636" spans="1:6" x14ac:dyDescent="0.3">
      <c r="A636" t="s">
        <v>2895</v>
      </c>
      <c r="B636" s="6">
        <f>COUNTIF(Levels!B:B,A636)</f>
        <v>1</v>
      </c>
      <c r="C636" s="6">
        <f>IFERROR(AVERAGEIF(Levels!B:B,A636,Levels!E:E),0)</f>
        <v>6.88</v>
      </c>
      <c r="D636" s="6">
        <f>IFERROR(AVERAGEIF(Levels!B:B,A636,Levels!F:F),0)</f>
        <v>7.94</v>
      </c>
      <c r="E636" s="6">
        <f>_xlfn.MAXIFS(Levels!E:E,Levels!B:B,A636)</f>
        <v>6.88</v>
      </c>
      <c r="F636" s="6">
        <f>_xlfn.MAXIFS(Levels!F:F,Levels!B:B,A636)</f>
        <v>7.94</v>
      </c>
    </row>
    <row r="637" spans="1:6" x14ac:dyDescent="0.3">
      <c r="A637" t="s">
        <v>2897</v>
      </c>
      <c r="B637" s="9">
        <f>COUNTIF(Levels!B:B,A637)</f>
        <v>2</v>
      </c>
      <c r="C637" s="9">
        <f>IFERROR(AVERAGEIF(Levels!B:B,A637,Levels!E:E),0)</f>
        <v>6.2449999999999992</v>
      </c>
      <c r="D637" s="9">
        <f>IFERROR(AVERAGEIF(Levels!B:B,A637,Levels!F:F),0)</f>
        <v>5.74</v>
      </c>
      <c r="E637" s="9">
        <f>_xlfn.MAXIFS(Levels!E:E,Levels!B:B,A637)</f>
        <v>8.0399999999999991</v>
      </c>
      <c r="F637" s="9">
        <f>_xlfn.MAXIFS(Levels!F:F,Levels!B:B,A637)</f>
        <v>5.86</v>
      </c>
    </row>
    <row r="638" spans="1:6" x14ac:dyDescent="0.3">
      <c r="A638" t="s">
        <v>2899</v>
      </c>
      <c r="B638" s="6">
        <f>COUNTIF(Levels!B:B,A638)</f>
        <v>7</v>
      </c>
      <c r="C638" s="6">
        <f>IFERROR(AVERAGEIF(Levels!B:B,A638,Levels!E:E),0)</f>
        <v>14.592857142857143</v>
      </c>
      <c r="D638" s="6">
        <f>IFERROR(AVERAGEIF(Levels!B:B,A638,Levels!F:F),0)</f>
        <v>6.2028571428571428</v>
      </c>
      <c r="E638" s="6">
        <f>_xlfn.MAXIFS(Levels!E:E,Levels!B:B,A638)</f>
        <v>27</v>
      </c>
      <c r="F638" s="6">
        <f>_xlfn.MAXIFS(Levels!F:F,Levels!B:B,A638)</f>
        <v>8</v>
      </c>
    </row>
    <row r="639" spans="1:6" x14ac:dyDescent="0.3">
      <c r="A639" t="s">
        <v>2903</v>
      </c>
      <c r="B639" s="9">
        <f>COUNTIF(Levels!B:B,A639)</f>
        <v>2</v>
      </c>
      <c r="C639" s="9">
        <f>IFERROR(AVERAGEIF(Levels!B:B,A639,Levels!E:E),0)</f>
        <v>10.105</v>
      </c>
      <c r="D639" s="9">
        <f>IFERROR(AVERAGEIF(Levels!B:B,A639,Levels!F:F),0)</f>
        <v>5</v>
      </c>
      <c r="E639" s="9">
        <f>_xlfn.MAXIFS(Levels!E:E,Levels!B:B,A639)</f>
        <v>13.71</v>
      </c>
      <c r="F639" s="9">
        <f>_xlfn.MAXIFS(Levels!F:F,Levels!B:B,A639)</f>
        <v>8</v>
      </c>
    </row>
    <row r="640" spans="1:6" x14ac:dyDescent="0.3">
      <c r="A640" t="s">
        <v>2910</v>
      </c>
      <c r="B640" s="6">
        <f>COUNTIF(Levels!B:B,A640)</f>
        <v>5</v>
      </c>
      <c r="C640" s="6">
        <f>IFERROR(AVERAGEIF(Levels!B:B,A640,Levels!E:E),0)</f>
        <v>5.444</v>
      </c>
      <c r="D640" s="6">
        <f>IFERROR(AVERAGEIF(Levels!B:B,A640,Levels!F:F),0)</f>
        <v>6.7739999999999991</v>
      </c>
      <c r="E640" s="6">
        <f>_xlfn.MAXIFS(Levels!E:E,Levels!B:B,A640)</f>
        <v>7.18</v>
      </c>
      <c r="F640" s="6">
        <f>_xlfn.MAXIFS(Levels!F:F,Levels!B:B,A640)</f>
        <v>8.44</v>
      </c>
    </row>
    <row r="641" spans="1:6" x14ac:dyDescent="0.3">
      <c r="A641" t="s">
        <v>2913</v>
      </c>
      <c r="B641" s="9">
        <f>COUNTIF(Levels!B:B,A641)</f>
        <v>10</v>
      </c>
      <c r="C641" s="9">
        <f>IFERROR(AVERAGEIF(Levels!B:B,A641,Levels!E:E),0)</f>
        <v>5.4799999999999995</v>
      </c>
      <c r="D641" s="9">
        <f>IFERROR(AVERAGEIF(Levels!B:B,A641,Levels!F:F),0)</f>
        <v>6.0969999999999995</v>
      </c>
      <c r="E641" s="9">
        <f>_xlfn.MAXIFS(Levels!E:E,Levels!B:B,A641)</f>
        <v>15.67</v>
      </c>
      <c r="F641" s="9">
        <f>_xlfn.MAXIFS(Levels!F:F,Levels!B:B,A641)</f>
        <v>7.73</v>
      </c>
    </row>
    <row r="642" spans="1:6" x14ac:dyDescent="0.3">
      <c r="A642" t="s">
        <v>2916</v>
      </c>
      <c r="B642" s="6">
        <f>COUNTIF(Levels!B:B,A642)</f>
        <v>4</v>
      </c>
      <c r="C642" s="6">
        <f>IFERROR(AVERAGEIF(Levels!B:B,A642,Levels!E:E),0)</f>
        <v>11.522500000000001</v>
      </c>
      <c r="D642" s="6">
        <f>IFERROR(AVERAGEIF(Levels!B:B,A642,Levels!F:F),0)</f>
        <v>6.19</v>
      </c>
      <c r="E642" s="6">
        <f>_xlfn.MAXIFS(Levels!E:E,Levels!B:B,A642)</f>
        <v>17.5</v>
      </c>
      <c r="F642" s="6">
        <f>_xlfn.MAXIFS(Levels!F:F,Levels!B:B,A642)</f>
        <v>7.59</v>
      </c>
    </row>
    <row r="643" spans="1:6" x14ac:dyDescent="0.3">
      <c r="A643" t="s">
        <v>2918</v>
      </c>
      <c r="B643" s="9">
        <f>COUNTIF(Levels!B:B,A643)</f>
        <v>1</v>
      </c>
      <c r="C643" s="9">
        <f>IFERROR(AVERAGEIF(Levels!B:B,A643,Levels!E:E),0)</f>
        <v>15.6</v>
      </c>
      <c r="D643" s="9">
        <f>IFERROR(AVERAGEIF(Levels!B:B,A643,Levels!F:F),0)</f>
        <v>5</v>
      </c>
      <c r="E643" s="9">
        <f>_xlfn.MAXIFS(Levels!E:E,Levels!B:B,A643)</f>
        <v>15.6</v>
      </c>
      <c r="F643" s="9">
        <f>_xlfn.MAXIFS(Levels!F:F,Levels!B:B,A643)</f>
        <v>5</v>
      </c>
    </row>
    <row r="644" spans="1:6" x14ac:dyDescent="0.3">
      <c r="A644" t="s">
        <v>2926</v>
      </c>
      <c r="B644" s="6">
        <f>COUNTIF(Levels!B:B,A644)</f>
        <v>2</v>
      </c>
      <c r="C644" s="6">
        <f>IFERROR(AVERAGEIF(Levels!B:B,A644,Levels!E:E),0)</f>
        <v>29</v>
      </c>
      <c r="D644" s="6">
        <f>IFERROR(AVERAGEIF(Levels!B:B,A644,Levels!F:F),0)</f>
        <v>7.3149999999999995</v>
      </c>
      <c r="E644" s="6">
        <f>_xlfn.MAXIFS(Levels!E:E,Levels!B:B,A644)</f>
        <v>30.01</v>
      </c>
      <c r="F644" s="6">
        <f>_xlfn.MAXIFS(Levels!F:F,Levels!B:B,A644)</f>
        <v>8.66</v>
      </c>
    </row>
    <row r="645" spans="1:6" x14ac:dyDescent="0.3">
      <c r="A645" t="s">
        <v>2930</v>
      </c>
      <c r="B645" s="9">
        <f>COUNTIF(Levels!B:B,A645)</f>
        <v>4</v>
      </c>
      <c r="C645" s="9">
        <f>IFERROR(AVERAGEIF(Levels!B:B,A645,Levels!E:E),0)</f>
        <v>5.8724999999999996</v>
      </c>
      <c r="D645" s="9">
        <f>IFERROR(AVERAGEIF(Levels!B:B,A645,Levels!F:F),0)</f>
        <v>6.8849999999999998</v>
      </c>
      <c r="E645" s="9">
        <f>_xlfn.MAXIFS(Levels!E:E,Levels!B:B,A645)</f>
        <v>8.74</v>
      </c>
      <c r="F645" s="9">
        <f>_xlfn.MAXIFS(Levels!F:F,Levels!B:B,A645)</f>
        <v>7.87</v>
      </c>
    </row>
    <row r="646" spans="1:6" x14ac:dyDescent="0.3">
      <c r="A646" t="s">
        <v>2933</v>
      </c>
      <c r="B646" s="6">
        <f>COUNTIF(Levels!B:B,A646)</f>
        <v>1</v>
      </c>
      <c r="C646" s="6">
        <f>IFERROR(AVERAGEIF(Levels!B:B,A646,Levels!E:E),0)</f>
        <v>11.03</v>
      </c>
      <c r="D646" s="6">
        <f>IFERROR(AVERAGEIF(Levels!B:B,A646,Levels!F:F),0)</f>
        <v>3.75</v>
      </c>
      <c r="E646" s="6">
        <f>_xlfn.MAXIFS(Levels!E:E,Levels!B:B,A646)</f>
        <v>11.03</v>
      </c>
      <c r="F646" s="6">
        <f>_xlfn.MAXIFS(Levels!F:F,Levels!B:B,A646)</f>
        <v>3.75</v>
      </c>
    </row>
    <row r="647" spans="1:6" x14ac:dyDescent="0.3">
      <c r="A647" t="s">
        <v>2937</v>
      </c>
      <c r="B647" s="9">
        <f>COUNTIF(Levels!B:B,A647)</f>
        <v>1</v>
      </c>
      <c r="C647" s="9">
        <f>IFERROR(AVERAGEIF(Levels!B:B,A647,Levels!E:E),0)</f>
        <v>11.5</v>
      </c>
      <c r="D647" s="9">
        <f>IFERROR(AVERAGEIF(Levels!B:B,A647,Levels!F:F),0)</f>
        <v>5.67</v>
      </c>
      <c r="E647" s="9">
        <f>_xlfn.MAXIFS(Levels!E:E,Levels!B:B,A647)</f>
        <v>11.5</v>
      </c>
      <c r="F647" s="9">
        <f>_xlfn.MAXIFS(Levels!F:F,Levels!B:B,A647)</f>
        <v>5.67</v>
      </c>
    </row>
    <row r="648" spans="1:6" x14ac:dyDescent="0.3">
      <c r="A648" t="s">
        <v>2943</v>
      </c>
      <c r="B648" s="6">
        <f>COUNTIF(Levels!B:B,A648)</f>
        <v>2</v>
      </c>
      <c r="C648" s="6">
        <f>IFERROR(AVERAGEIF(Levels!B:B,A648,Levels!E:E),0)</f>
        <v>13.68</v>
      </c>
      <c r="D648" s="6">
        <f>IFERROR(AVERAGEIF(Levels!B:B,A648,Levels!F:F),0)</f>
        <v>7.3049999999999997</v>
      </c>
      <c r="E648" s="6">
        <f>_xlfn.MAXIFS(Levels!E:E,Levels!B:B,A648)</f>
        <v>21.12</v>
      </c>
      <c r="F648" s="6">
        <f>_xlfn.MAXIFS(Levels!F:F,Levels!B:B,A648)</f>
        <v>7.81</v>
      </c>
    </row>
    <row r="649" spans="1:6" x14ac:dyDescent="0.3">
      <c r="A649" t="s">
        <v>2947</v>
      </c>
      <c r="B649" s="9">
        <f>COUNTIF(Levels!B:B,A649)</f>
        <v>1</v>
      </c>
      <c r="C649" s="9">
        <f>IFERROR(AVERAGEIF(Levels!B:B,A649,Levels!E:E),0)</f>
        <v>10.39</v>
      </c>
      <c r="D649" s="9">
        <f>IFERROR(AVERAGEIF(Levels!B:B,A649,Levels!F:F),0)</f>
        <v>5.94</v>
      </c>
      <c r="E649" s="9">
        <f>_xlfn.MAXIFS(Levels!E:E,Levels!B:B,A649)</f>
        <v>10.39</v>
      </c>
      <c r="F649" s="9">
        <f>_xlfn.MAXIFS(Levels!F:F,Levels!B:B,A649)</f>
        <v>5.94</v>
      </c>
    </row>
    <row r="650" spans="1:6" x14ac:dyDescent="0.3">
      <c r="A650" t="s">
        <v>2952</v>
      </c>
      <c r="B650" s="6">
        <f>COUNTIF(Levels!B:B,A650)</f>
        <v>1</v>
      </c>
      <c r="C650" s="6">
        <f>IFERROR(AVERAGEIF(Levels!B:B,A650,Levels!E:E),0)</f>
        <v>7.17</v>
      </c>
      <c r="D650" s="6">
        <f>IFERROR(AVERAGEIF(Levels!B:B,A650,Levels!F:F),0)</f>
        <v>6.67</v>
      </c>
      <c r="E650" s="6">
        <f>_xlfn.MAXIFS(Levels!E:E,Levels!B:B,A650)</f>
        <v>7.17</v>
      </c>
      <c r="F650" s="6">
        <f>_xlfn.MAXIFS(Levels!F:F,Levels!B:B,A650)</f>
        <v>6.67</v>
      </c>
    </row>
    <row r="651" spans="1:6" x14ac:dyDescent="0.3">
      <c r="A651" t="s">
        <v>2954</v>
      </c>
      <c r="B651" s="9">
        <f>COUNTIF(Levels!B:B,A651)</f>
        <v>2</v>
      </c>
      <c r="C651" s="9">
        <f>IFERROR(AVERAGEIF(Levels!B:B,A651,Levels!E:E),0)</f>
        <v>13.379999999999999</v>
      </c>
      <c r="D651" s="9">
        <f>IFERROR(AVERAGEIF(Levels!B:B,A651,Levels!F:F),0)</f>
        <v>7.0649999999999995</v>
      </c>
      <c r="E651" s="9">
        <f>_xlfn.MAXIFS(Levels!E:E,Levels!B:B,A651)</f>
        <v>15.76</v>
      </c>
      <c r="F651" s="9">
        <f>_xlfn.MAXIFS(Levels!F:F,Levels!B:B,A651)</f>
        <v>8.33</v>
      </c>
    </row>
    <row r="652" spans="1:6" x14ac:dyDescent="0.3">
      <c r="A652" t="s">
        <v>2957</v>
      </c>
      <c r="B652" s="6">
        <f>COUNTIF(Levels!B:B,A652)</f>
        <v>1</v>
      </c>
      <c r="C652" s="6">
        <f>IFERROR(AVERAGEIF(Levels!B:B,A652,Levels!E:E),0)</f>
        <v>14.48</v>
      </c>
      <c r="D652" s="6">
        <f>IFERROR(AVERAGEIF(Levels!B:B,A652,Levels!F:F),0)</f>
        <v>5.33</v>
      </c>
      <c r="E652" s="6">
        <f>_xlfn.MAXIFS(Levels!E:E,Levels!B:B,A652)</f>
        <v>14.48</v>
      </c>
      <c r="F652" s="6">
        <f>_xlfn.MAXIFS(Levels!F:F,Levels!B:B,A652)</f>
        <v>5.33</v>
      </c>
    </row>
    <row r="653" spans="1:6" x14ac:dyDescent="0.3">
      <c r="A653" t="s">
        <v>2960</v>
      </c>
      <c r="B653" s="9">
        <f>COUNTIF(Levels!B:B,A653)</f>
        <v>4</v>
      </c>
      <c r="C653" s="9">
        <f>IFERROR(AVERAGEIF(Levels!B:B,A653,Levels!E:E),0)</f>
        <v>9.2375000000000007</v>
      </c>
      <c r="D653" s="9">
        <f>IFERROR(AVERAGEIF(Levels!B:B,A653,Levels!F:F),0)</f>
        <v>6.4</v>
      </c>
      <c r="E653" s="9">
        <f>_xlfn.MAXIFS(Levels!E:E,Levels!B:B,A653)</f>
        <v>10.199999999999999</v>
      </c>
      <c r="F653" s="9">
        <f>_xlfn.MAXIFS(Levels!F:F,Levels!B:B,A653)</f>
        <v>7.89</v>
      </c>
    </row>
    <row r="654" spans="1:6" x14ac:dyDescent="0.3">
      <c r="A654" t="s">
        <v>2976</v>
      </c>
      <c r="B654" s="6">
        <f>COUNTIF(Levels!B:B,A654)</f>
        <v>5</v>
      </c>
      <c r="C654" s="6">
        <f>IFERROR(AVERAGEIF(Levels!B:B,A654,Levels!E:E),0)</f>
        <v>3.3119999999999998</v>
      </c>
      <c r="D654" s="6">
        <f>IFERROR(AVERAGEIF(Levels!B:B,A654,Levels!F:F),0)</f>
        <v>6.1959999999999997</v>
      </c>
      <c r="E654" s="6">
        <f>_xlfn.MAXIFS(Levels!E:E,Levels!B:B,A654)</f>
        <v>4.4400000000000004</v>
      </c>
      <c r="F654" s="6">
        <f>_xlfn.MAXIFS(Levels!F:F,Levels!B:B,A654)</f>
        <v>7.32</v>
      </c>
    </row>
    <row r="655" spans="1:6" x14ac:dyDescent="0.3">
      <c r="A655" t="s">
        <v>2982</v>
      </c>
      <c r="B655" s="9">
        <f>COUNTIF(Levels!B:B,A655)</f>
        <v>1</v>
      </c>
      <c r="C655" s="9">
        <f>IFERROR(AVERAGEIF(Levels!B:B,A655,Levels!E:E),0)</f>
        <v>16.91</v>
      </c>
      <c r="D655" s="9">
        <f>IFERROR(AVERAGEIF(Levels!B:B,A655,Levels!F:F),0)</f>
        <v>5.73</v>
      </c>
      <c r="E655" s="9">
        <f>_xlfn.MAXIFS(Levels!E:E,Levels!B:B,A655)</f>
        <v>16.91</v>
      </c>
      <c r="F655" s="9">
        <f>_xlfn.MAXIFS(Levels!F:F,Levels!B:B,A655)</f>
        <v>5.73</v>
      </c>
    </row>
    <row r="656" spans="1:6" x14ac:dyDescent="0.3">
      <c r="A656" t="s">
        <v>2987</v>
      </c>
      <c r="B656" s="6">
        <f>COUNTIF(Levels!B:B,A656)</f>
        <v>2</v>
      </c>
      <c r="C656" s="6">
        <f>IFERROR(AVERAGEIF(Levels!B:B,A656,Levels!E:E),0)</f>
        <v>4.585</v>
      </c>
      <c r="D656" s="6">
        <f>IFERROR(AVERAGEIF(Levels!B:B,A656,Levels!F:F),0)</f>
        <v>5.4949999999999992</v>
      </c>
      <c r="E656" s="6">
        <f>_xlfn.MAXIFS(Levels!E:E,Levels!B:B,A656)</f>
        <v>5.39</v>
      </c>
      <c r="F656" s="6">
        <f>_xlfn.MAXIFS(Levels!F:F,Levels!B:B,A656)</f>
        <v>5.81</v>
      </c>
    </row>
    <row r="657" spans="1:6" x14ac:dyDescent="0.3">
      <c r="A657" t="s">
        <v>2989</v>
      </c>
      <c r="B657" s="9">
        <f>COUNTIF(Levels!B:B,A657)</f>
        <v>4</v>
      </c>
      <c r="C657" s="9">
        <f>IFERROR(AVERAGEIF(Levels!B:B,A657,Levels!E:E),0)</f>
        <v>12.455</v>
      </c>
      <c r="D657" s="9">
        <f>IFERROR(AVERAGEIF(Levels!B:B,A657,Levels!F:F),0)</f>
        <v>6.0325000000000006</v>
      </c>
      <c r="E657" s="9">
        <f>_xlfn.MAXIFS(Levels!E:E,Levels!B:B,A657)</f>
        <v>14</v>
      </c>
      <c r="F657" s="9">
        <f>_xlfn.MAXIFS(Levels!F:F,Levels!B:B,A657)</f>
        <v>6.3</v>
      </c>
    </row>
    <row r="658" spans="1:6" x14ac:dyDescent="0.3">
      <c r="A658" t="s">
        <v>2999</v>
      </c>
      <c r="B658" s="6">
        <f>COUNTIF(Levels!B:B,A658)</f>
        <v>11</v>
      </c>
      <c r="C658" s="6">
        <f>IFERROR(AVERAGEIF(Levels!B:B,A658,Levels!E:E),0)</f>
        <v>9.5127272727272736</v>
      </c>
      <c r="D658" s="6">
        <f>IFERROR(AVERAGEIF(Levels!B:B,A658,Levels!F:F),0)</f>
        <v>6.9372727272727275</v>
      </c>
      <c r="E658" s="6">
        <f>_xlfn.MAXIFS(Levels!E:E,Levels!B:B,A658)</f>
        <v>23.5</v>
      </c>
      <c r="F658" s="6">
        <f>_xlfn.MAXIFS(Levels!F:F,Levels!B:B,A658)</f>
        <v>10</v>
      </c>
    </row>
    <row r="659" spans="1:6" x14ac:dyDescent="0.3">
      <c r="A659" t="s">
        <v>3010</v>
      </c>
      <c r="B659" s="9">
        <f>COUNTIF(Levels!B:B,A659)</f>
        <v>2</v>
      </c>
      <c r="C659" s="9">
        <f>IFERROR(AVERAGEIF(Levels!B:B,A659,Levels!E:E),0)</f>
        <v>12.66</v>
      </c>
      <c r="D659" s="9">
        <f>IFERROR(AVERAGEIF(Levels!B:B,A659,Levels!F:F),0)</f>
        <v>7.085</v>
      </c>
      <c r="E659" s="9">
        <f>_xlfn.MAXIFS(Levels!E:E,Levels!B:B,A659)</f>
        <v>14.88</v>
      </c>
      <c r="F659" s="9">
        <f>_xlfn.MAXIFS(Levels!F:F,Levels!B:B,A659)</f>
        <v>7.13</v>
      </c>
    </row>
    <row r="660" spans="1:6" x14ac:dyDescent="0.3">
      <c r="A660" t="s">
        <v>3012</v>
      </c>
      <c r="B660" s="6">
        <f>COUNTIF(Levels!B:B,A660)</f>
        <v>7</v>
      </c>
      <c r="C660" s="6">
        <f>IFERROR(AVERAGEIF(Levels!B:B,A660,Levels!E:E),0)</f>
        <v>14.402857142857142</v>
      </c>
      <c r="D660" s="6">
        <f>IFERROR(AVERAGEIF(Levels!B:B,A660,Levels!F:F),0)</f>
        <v>6.5242857142857149</v>
      </c>
      <c r="E660" s="6">
        <f>_xlfn.MAXIFS(Levels!E:E,Levels!B:B,A660)</f>
        <v>29.8</v>
      </c>
      <c r="F660" s="6">
        <f>_xlfn.MAXIFS(Levels!F:F,Levels!B:B,A660)</f>
        <v>8.6</v>
      </c>
    </row>
    <row r="661" spans="1:6" x14ac:dyDescent="0.3">
      <c r="A661" t="s">
        <v>3026</v>
      </c>
      <c r="B661" s="9">
        <f>COUNTIF(Levels!B:B,A661)</f>
        <v>1</v>
      </c>
      <c r="C661" s="9">
        <f>IFERROR(AVERAGEIF(Levels!B:B,A661,Levels!E:E),0)</f>
        <v>10.210000000000001</v>
      </c>
      <c r="D661" s="9">
        <f>IFERROR(AVERAGEIF(Levels!B:B,A661,Levels!F:F),0)</f>
        <v>7.43</v>
      </c>
      <c r="E661" s="9">
        <f>_xlfn.MAXIFS(Levels!E:E,Levels!B:B,A661)</f>
        <v>10.210000000000001</v>
      </c>
      <c r="F661" s="9">
        <f>_xlfn.MAXIFS(Levels!F:F,Levels!B:B,A661)</f>
        <v>7.43</v>
      </c>
    </row>
    <row r="662" spans="1:6" x14ac:dyDescent="0.3">
      <c r="A662" t="s">
        <v>3032</v>
      </c>
      <c r="B662" s="6">
        <f>COUNTIF(Levels!B:B,A662)</f>
        <v>2</v>
      </c>
      <c r="C662" s="6">
        <f>IFERROR(AVERAGEIF(Levels!B:B,A662,Levels!E:E),0)</f>
        <v>14.57</v>
      </c>
      <c r="D662" s="6">
        <f>IFERROR(AVERAGEIF(Levels!B:B,A662,Levels!F:F),0)</f>
        <v>4.1150000000000002</v>
      </c>
      <c r="E662" s="6">
        <f>_xlfn.MAXIFS(Levels!E:E,Levels!B:B,A662)</f>
        <v>23.18</v>
      </c>
      <c r="F662" s="6">
        <f>_xlfn.MAXIFS(Levels!F:F,Levels!B:B,A662)</f>
        <v>4.33</v>
      </c>
    </row>
    <row r="663" spans="1:6" x14ac:dyDescent="0.3">
      <c r="A663" t="s">
        <v>3034</v>
      </c>
      <c r="B663" s="9">
        <f>COUNTIF(Levels!B:B,A663)</f>
        <v>3</v>
      </c>
      <c r="C663" s="9">
        <f>IFERROR(AVERAGEIF(Levels!B:B,A663,Levels!E:E),0)</f>
        <v>13.549999999999999</v>
      </c>
      <c r="D663" s="9">
        <f>IFERROR(AVERAGEIF(Levels!B:B,A663,Levels!F:F),0)</f>
        <v>5.2266666666666666</v>
      </c>
      <c r="E663" s="9">
        <f>_xlfn.MAXIFS(Levels!E:E,Levels!B:B,A663)</f>
        <v>14.52</v>
      </c>
      <c r="F663" s="9">
        <f>_xlfn.MAXIFS(Levels!F:F,Levels!B:B,A663)</f>
        <v>6.47</v>
      </c>
    </row>
    <row r="664" spans="1:6" x14ac:dyDescent="0.3">
      <c r="A664" t="s">
        <v>3037</v>
      </c>
      <c r="B664" s="6">
        <f>COUNTIF(Levels!B:B,A664)</f>
        <v>8</v>
      </c>
      <c r="C664" s="6">
        <f>IFERROR(AVERAGEIF(Levels!B:B,A664,Levels!E:E),0)</f>
        <v>17.626250000000002</v>
      </c>
      <c r="D664" s="6">
        <f>IFERROR(AVERAGEIF(Levels!B:B,A664,Levels!F:F),0)</f>
        <v>7.1974999999999998</v>
      </c>
      <c r="E664" s="6">
        <f>_xlfn.MAXIFS(Levels!E:E,Levels!B:B,A664)</f>
        <v>30.9</v>
      </c>
      <c r="F664" s="6">
        <f>_xlfn.MAXIFS(Levels!F:F,Levels!B:B,A664)</f>
        <v>7.75</v>
      </c>
    </row>
    <row r="665" spans="1:6" x14ac:dyDescent="0.3">
      <c r="A665" t="s">
        <v>3041</v>
      </c>
      <c r="B665" s="9">
        <f>COUNTIF(Levels!B:B,A665)</f>
        <v>9</v>
      </c>
      <c r="C665" s="9">
        <f>IFERROR(AVERAGEIF(Levels!B:B,A665,Levels!E:E),0)</f>
        <v>7.7355555555555542</v>
      </c>
      <c r="D665" s="9">
        <f>IFERROR(AVERAGEIF(Levels!B:B,A665,Levels!F:F),0)</f>
        <v>6.8688888888888879</v>
      </c>
      <c r="E665" s="9">
        <f>_xlfn.MAXIFS(Levels!E:E,Levels!B:B,A665)</f>
        <v>16.89</v>
      </c>
      <c r="F665" s="9">
        <f>_xlfn.MAXIFS(Levels!F:F,Levels!B:B,A665)</f>
        <v>8.14</v>
      </c>
    </row>
    <row r="666" spans="1:6" x14ac:dyDescent="0.3">
      <c r="A666" t="s">
        <v>3047</v>
      </c>
      <c r="B666" s="6">
        <f>COUNTIF(Levels!B:B,A666)</f>
        <v>1</v>
      </c>
      <c r="C666" s="6">
        <f>IFERROR(AVERAGEIF(Levels!B:B,A666,Levels!E:E),0)</f>
        <v>33</v>
      </c>
      <c r="D666" s="6">
        <f>IFERROR(AVERAGEIF(Levels!B:B,A666,Levels!F:F),0)</f>
        <v>4.75</v>
      </c>
      <c r="E666" s="6">
        <f>_xlfn.MAXIFS(Levels!E:E,Levels!B:B,A666)</f>
        <v>33</v>
      </c>
      <c r="F666" s="6">
        <f>_xlfn.MAXIFS(Levels!F:F,Levels!B:B,A666)</f>
        <v>4.75</v>
      </c>
    </row>
    <row r="667" spans="1:6" x14ac:dyDescent="0.3">
      <c r="A667" t="s">
        <v>3049</v>
      </c>
      <c r="B667" s="9">
        <f>COUNTIF(Levels!B:B,A667)</f>
        <v>4</v>
      </c>
      <c r="C667" s="9">
        <f>IFERROR(AVERAGEIF(Levels!B:B,A667,Levels!E:E),0)</f>
        <v>5.3550000000000004</v>
      </c>
      <c r="D667" s="9">
        <f>IFERROR(AVERAGEIF(Levels!B:B,A667,Levels!F:F),0)</f>
        <v>5.5475000000000003</v>
      </c>
      <c r="E667" s="9">
        <f>_xlfn.MAXIFS(Levels!E:E,Levels!B:B,A667)</f>
        <v>7</v>
      </c>
      <c r="F667" s="9">
        <f>_xlfn.MAXIFS(Levels!F:F,Levels!B:B,A667)</f>
        <v>7.33</v>
      </c>
    </row>
    <row r="668" spans="1:6" x14ac:dyDescent="0.3">
      <c r="A668" t="s">
        <v>3051</v>
      </c>
      <c r="B668" s="6">
        <f>COUNTIF(Levels!B:B,A668)</f>
        <v>21</v>
      </c>
      <c r="C668" s="6">
        <f>IFERROR(AVERAGEIF(Levels!B:B,A668,Levels!E:E),0)</f>
        <v>10.636190476190475</v>
      </c>
      <c r="D668" s="6">
        <f>IFERROR(AVERAGEIF(Levels!B:B,A668,Levels!F:F),0)</f>
        <v>6.3509523809523811</v>
      </c>
      <c r="E668" s="6">
        <f>_xlfn.MAXIFS(Levels!E:E,Levels!B:B,A668)</f>
        <v>27.25</v>
      </c>
      <c r="F668" s="6">
        <f>_xlfn.MAXIFS(Levels!F:F,Levels!B:B,A668)</f>
        <v>7.56</v>
      </c>
    </row>
    <row r="669" spans="1:6" x14ac:dyDescent="0.3">
      <c r="A669" t="s">
        <v>3054</v>
      </c>
      <c r="B669" s="9">
        <f>COUNTIF(Levels!B:B,A669)</f>
        <v>2</v>
      </c>
      <c r="C669" s="9">
        <f>IFERROR(AVERAGEIF(Levels!B:B,A669,Levels!E:E),0)</f>
        <v>5.2450000000000001</v>
      </c>
      <c r="D669" s="9">
        <f>IFERROR(AVERAGEIF(Levels!B:B,A669,Levels!F:F),0)</f>
        <v>3.75</v>
      </c>
      <c r="E669" s="9">
        <f>_xlfn.MAXIFS(Levels!E:E,Levels!B:B,A669)</f>
        <v>6.67</v>
      </c>
      <c r="F669" s="9">
        <f>_xlfn.MAXIFS(Levels!F:F,Levels!B:B,A669)</f>
        <v>5</v>
      </c>
    </row>
    <row r="670" spans="1:6" x14ac:dyDescent="0.3">
      <c r="A670" t="s">
        <v>3056</v>
      </c>
      <c r="B670" s="6">
        <f>COUNTIF(Levels!B:B,A670)</f>
        <v>1</v>
      </c>
      <c r="C670" s="6">
        <f>IFERROR(AVERAGEIF(Levels!B:B,A670,Levels!E:E),0)</f>
        <v>25.36</v>
      </c>
      <c r="D670" s="6">
        <f>IFERROR(AVERAGEIF(Levels!B:B,A670,Levels!F:F),0)</f>
        <v>6.3</v>
      </c>
      <c r="E670" s="6">
        <f>_xlfn.MAXIFS(Levels!E:E,Levels!B:B,A670)</f>
        <v>25.36</v>
      </c>
      <c r="F670" s="6">
        <f>_xlfn.MAXIFS(Levels!F:F,Levels!B:B,A670)</f>
        <v>6.3</v>
      </c>
    </row>
    <row r="671" spans="1:6" x14ac:dyDescent="0.3">
      <c r="A671" t="s">
        <v>3060</v>
      </c>
      <c r="B671" s="9">
        <f>COUNTIF(Levels!B:B,A671)</f>
        <v>3</v>
      </c>
      <c r="C671" s="9">
        <f>IFERROR(AVERAGEIF(Levels!B:B,A671,Levels!E:E),0)</f>
        <v>5.8866666666666658</v>
      </c>
      <c r="D671" s="9">
        <f>IFERROR(AVERAGEIF(Levels!B:B,A671,Levels!F:F),0)</f>
        <v>5.7700000000000005</v>
      </c>
      <c r="E671" s="9">
        <f>_xlfn.MAXIFS(Levels!E:E,Levels!B:B,A671)</f>
        <v>9.2899999999999991</v>
      </c>
      <c r="F671" s="9">
        <f>_xlfn.MAXIFS(Levels!F:F,Levels!B:B,A671)</f>
        <v>6.24</v>
      </c>
    </row>
    <row r="672" spans="1:6" x14ac:dyDescent="0.3">
      <c r="A672" t="s">
        <v>3063</v>
      </c>
      <c r="B672" s="6">
        <f>COUNTIF(Levels!B:B,A672)</f>
        <v>6</v>
      </c>
      <c r="C672" s="6">
        <f>IFERROR(AVERAGEIF(Levels!B:B,A672,Levels!E:E),0)</f>
        <v>9.2966666666666651</v>
      </c>
      <c r="D672" s="6">
        <f>IFERROR(AVERAGEIF(Levels!B:B,A672,Levels!F:F),0)</f>
        <v>5.456666666666667</v>
      </c>
      <c r="E672" s="6">
        <f>_xlfn.MAXIFS(Levels!E:E,Levels!B:B,A672)</f>
        <v>14.93</v>
      </c>
      <c r="F672" s="6">
        <f>_xlfn.MAXIFS(Levels!F:F,Levels!B:B,A672)</f>
        <v>6.63</v>
      </c>
    </row>
    <row r="673" spans="1:6" x14ac:dyDescent="0.3">
      <c r="A673" t="s">
        <v>3070</v>
      </c>
      <c r="B673" s="9">
        <f>COUNTIF(Levels!B:B,A673)</f>
        <v>6</v>
      </c>
      <c r="C673" s="9">
        <f>IFERROR(AVERAGEIF(Levels!B:B,A673,Levels!E:E),0)</f>
        <v>7.1116666666666672</v>
      </c>
      <c r="D673" s="9">
        <f>IFERROR(AVERAGEIF(Levels!B:B,A673,Levels!F:F),0)</f>
        <v>6.7316666666666665</v>
      </c>
      <c r="E673" s="9">
        <f>_xlfn.MAXIFS(Levels!E:E,Levels!B:B,A673)</f>
        <v>15.63</v>
      </c>
      <c r="F673" s="9">
        <f>_xlfn.MAXIFS(Levels!F:F,Levels!B:B,A673)</f>
        <v>8.09</v>
      </c>
    </row>
    <row r="674" spans="1:6" x14ac:dyDescent="0.3">
      <c r="A674" t="s">
        <v>3072</v>
      </c>
      <c r="B674" s="6">
        <f>COUNTIF(Levels!B:B,A674)</f>
        <v>4</v>
      </c>
      <c r="C674" s="6">
        <f>IFERROR(AVERAGEIF(Levels!B:B,A674,Levels!E:E),0)</f>
        <v>24.747500000000002</v>
      </c>
      <c r="D674" s="6">
        <f>IFERROR(AVERAGEIF(Levels!B:B,A674,Levels!F:F),0)</f>
        <v>6.26</v>
      </c>
      <c r="E674" s="6">
        <f>_xlfn.MAXIFS(Levels!E:E,Levels!B:B,A674)</f>
        <v>31.15</v>
      </c>
      <c r="F674" s="6">
        <f>_xlfn.MAXIFS(Levels!F:F,Levels!B:B,A674)</f>
        <v>7.1</v>
      </c>
    </row>
    <row r="675" spans="1:6" x14ac:dyDescent="0.3">
      <c r="A675" t="s">
        <v>3081</v>
      </c>
      <c r="B675" s="9">
        <f>COUNTIF(Levels!B:B,A675)</f>
        <v>1</v>
      </c>
      <c r="C675" s="9">
        <f>IFERROR(AVERAGEIF(Levels!B:B,A675,Levels!E:E),0)</f>
        <v>12.6</v>
      </c>
      <c r="D675" s="9">
        <f>IFERROR(AVERAGEIF(Levels!B:B,A675,Levels!F:F),0)</f>
        <v>4.2</v>
      </c>
      <c r="E675" s="9">
        <f>_xlfn.MAXIFS(Levels!E:E,Levels!B:B,A675)</f>
        <v>12.6</v>
      </c>
      <c r="F675" s="9">
        <f>_xlfn.MAXIFS(Levels!F:F,Levels!B:B,A675)</f>
        <v>4.2</v>
      </c>
    </row>
    <row r="676" spans="1:6" x14ac:dyDescent="0.3">
      <c r="A676" t="s">
        <v>3084</v>
      </c>
      <c r="B676" s="6">
        <f>COUNTIF(Levels!B:B,A676)</f>
        <v>4</v>
      </c>
      <c r="C676" s="6">
        <f>IFERROR(AVERAGEIF(Levels!B:B,A676,Levels!E:E),0)</f>
        <v>4.8199999999999994</v>
      </c>
      <c r="D676" s="6">
        <f>IFERROR(AVERAGEIF(Levels!B:B,A676,Levels!F:F),0)</f>
        <v>6.2449999999999992</v>
      </c>
      <c r="E676" s="6">
        <f>_xlfn.MAXIFS(Levels!E:E,Levels!B:B,A676)</f>
        <v>7.22</v>
      </c>
      <c r="F676" s="6">
        <f>_xlfn.MAXIFS(Levels!F:F,Levels!B:B,A676)</f>
        <v>7.7</v>
      </c>
    </row>
    <row r="677" spans="1:6" x14ac:dyDescent="0.3">
      <c r="A677" t="s">
        <v>3088</v>
      </c>
      <c r="B677" s="9">
        <f>COUNTIF(Levels!B:B,A677)</f>
        <v>1</v>
      </c>
      <c r="C677" s="9">
        <f>IFERROR(AVERAGEIF(Levels!B:B,A677,Levels!E:E),0)</f>
        <v>5.75</v>
      </c>
      <c r="D677" s="9">
        <f>IFERROR(AVERAGEIF(Levels!B:B,A677,Levels!F:F),0)</f>
        <v>3.29</v>
      </c>
      <c r="E677" s="9">
        <f>_xlfn.MAXIFS(Levels!E:E,Levels!B:B,A677)</f>
        <v>5.75</v>
      </c>
      <c r="F677" s="9">
        <f>_xlfn.MAXIFS(Levels!F:F,Levels!B:B,A677)</f>
        <v>3.29</v>
      </c>
    </row>
    <row r="678" spans="1:6" x14ac:dyDescent="0.3">
      <c r="A678" t="s">
        <v>3090</v>
      </c>
      <c r="B678" s="6">
        <f>COUNTIF(Levels!B:B,A678)</f>
        <v>1</v>
      </c>
      <c r="C678" s="6">
        <f>IFERROR(AVERAGEIF(Levels!B:B,A678,Levels!E:E),0)</f>
        <v>8.8800000000000008</v>
      </c>
      <c r="D678" s="6">
        <f>IFERROR(AVERAGEIF(Levels!B:B,A678,Levels!F:F),0)</f>
        <v>4.5</v>
      </c>
      <c r="E678" s="6">
        <f>_xlfn.MAXIFS(Levels!E:E,Levels!B:B,A678)</f>
        <v>8.8800000000000008</v>
      </c>
      <c r="F678" s="6">
        <f>_xlfn.MAXIFS(Levels!F:F,Levels!B:B,A678)</f>
        <v>4.5</v>
      </c>
    </row>
    <row r="679" spans="1:6" x14ac:dyDescent="0.3">
      <c r="A679" t="s">
        <v>3096</v>
      </c>
      <c r="B679" s="9">
        <f>COUNTIF(Levels!B:B,A679)</f>
        <v>1</v>
      </c>
      <c r="C679" s="9">
        <f>IFERROR(AVERAGEIF(Levels!B:B,A679,Levels!E:E),0)</f>
        <v>16.07</v>
      </c>
      <c r="D679" s="9">
        <f>IFERROR(AVERAGEIF(Levels!B:B,A679,Levels!F:F),0)</f>
        <v>6.6</v>
      </c>
      <c r="E679" s="9">
        <f>_xlfn.MAXIFS(Levels!E:E,Levels!B:B,A679)</f>
        <v>16.07</v>
      </c>
      <c r="F679" s="9">
        <f>_xlfn.MAXIFS(Levels!F:F,Levels!B:B,A679)</f>
        <v>6.6</v>
      </c>
    </row>
    <row r="680" spans="1:6" x14ac:dyDescent="0.3">
      <c r="A680" t="s">
        <v>3098</v>
      </c>
      <c r="B680" s="6">
        <f>COUNTIF(Levels!B:B,A680)</f>
        <v>7</v>
      </c>
      <c r="C680" s="6">
        <f>IFERROR(AVERAGEIF(Levels!B:B,A680,Levels!E:E),0)</f>
        <v>8.25</v>
      </c>
      <c r="D680" s="6">
        <f>IFERROR(AVERAGEIF(Levels!B:B,A680,Levels!F:F),0)</f>
        <v>6.7571428571428571</v>
      </c>
      <c r="E680" s="6">
        <f>_xlfn.MAXIFS(Levels!E:E,Levels!B:B,A680)</f>
        <v>16.510000000000002</v>
      </c>
      <c r="F680" s="6">
        <f>_xlfn.MAXIFS(Levels!F:F,Levels!B:B,A680)</f>
        <v>8</v>
      </c>
    </row>
    <row r="681" spans="1:6" x14ac:dyDescent="0.3">
      <c r="A681" t="s">
        <v>3102</v>
      </c>
      <c r="B681" s="9">
        <f>COUNTIF(Levels!B:B,A681)</f>
        <v>2</v>
      </c>
      <c r="C681" s="9">
        <f>IFERROR(AVERAGEIF(Levels!B:B,A681,Levels!E:E),0)</f>
        <v>14.629999999999999</v>
      </c>
      <c r="D681" s="9">
        <f>IFERROR(AVERAGEIF(Levels!B:B,A681,Levels!F:F),0)</f>
        <v>7.7</v>
      </c>
      <c r="E681" s="9">
        <f>_xlfn.MAXIFS(Levels!E:E,Levels!B:B,A681)</f>
        <v>22.06</v>
      </c>
      <c r="F681" s="9">
        <f>_xlfn.MAXIFS(Levels!F:F,Levels!B:B,A681)</f>
        <v>8</v>
      </c>
    </row>
    <row r="682" spans="1:6" x14ac:dyDescent="0.3">
      <c r="A682" t="s">
        <v>3106</v>
      </c>
      <c r="B682" s="6">
        <f>COUNTIF(Levels!B:B,A682)</f>
        <v>2</v>
      </c>
      <c r="C682" s="6">
        <f>IFERROR(AVERAGEIF(Levels!B:B,A682,Levels!E:E),0)</f>
        <v>17.025000000000002</v>
      </c>
      <c r="D682" s="6">
        <f>IFERROR(AVERAGEIF(Levels!B:B,A682,Levels!F:F),0)</f>
        <v>6.8100000000000005</v>
      </c>
      <c r="E682" s="6">
        <f>_xlfn.MAXIFS(Levels!E:E,Levels!B:B,A682)</f>
        <v>21.67</v>
      </c>
      <c r="F682" s="6">
        <f>_xlfn.MAXIFS(Levels!F:F,Levels!B:B,A682)</f>
        <v>6.83</v>
      </c>
    </row>
    <row r="683" spans="1:6" x14ac:dyDescent="0.3">
      <c r="A683" t="s">
        <v>3109</v>
      </c>
      <c r="B683" s="9">
        <f>COUNTIF(Levels!B:B,A683)</f>
        <v>3</v>
      </c>
      <c r="C683" s="9">
        <f>IFERROR(AVERAGEIF(Levels!B:B,A683,Levels!E:E),0)</f>
        <v>8.2766666666666655</v>
      </c>
      <c r="D683" s="9">
        <f>IFERROR(AVERAGEIF(Levels!B:B,A683,Levels!F:F),0)</f>
        <v>5.8033333333333337</v>
      </c>
      <c r="E683" s="9">
        <f>_xlfn.MAXIFS(Levels!E:E,Levels!B:B,A683)</f>
        <v>16.11</v>
      </c>
      <c r="F683" s="9">
        <f>_xlfn.MAXIFS(Levels!F:F,Levels!B:B,A683)</f>
        <v>7.51</v>
      </c>
    </row>
    <row r="684" spans="1:6" x14ac:dyDescent="0.3">
      <c r="A684" t="s">
        <v>3114</v>
      </c>
      <c r="B684" s="6">
        <f>COUNTIF(Levels!B:B,A684)</f>
        <v>1</v>
      </c>
      <c r="C684" s="6">
        <f>IFERROR(AVERAGEIF(Levels!B:B,A684,Levels!E:E),0)</f>
        <v>5.6</v>
      </c>
      <c r="D684" s="6">
        <f>IFERROR(AVERAGEIF(Levels!B:B,A684,Levels!F:F),0)</f>
        <v>4</v>
      </c>
      <c r="E684" s="6">
        <f>_xlfn.MAXIFS(Levels!E:E,Levels!B:B,A684)</f>
        <v>5.6</v>
      </c>
      <c r="F684" s="6">
        <f>_xlfn.MAXIFS(Levels!F:F,Levels!B:B,A684)</f>
        <v>4</v>
      </c>
    </row>
    <row r="685" spans="1:6" x14ac:dyDescent="0.3">
      <c r="A685" t="s">
        <v>3120</v>
      </c>
      <c r="B685" s="9">
        <f>COUNTIF(Levels!B:B,A685)</f>
        <v>21</v>
      </c>
      <c r="C685" s="9">
        <f>IFERROR(AVERAGEIF(Levels!B:B,A685,Levels!E:E),0)</f>
        <v>13.458571428571428</v>
      </c>
      <c r="D685" s="9">
        <f>IFERROR(AVERAGEIF(Levels!B:B,A685,Levels!F:F),0)</f>
        <v>5.9828571428571422</v>
      </c>
      <c r="E685" s="9">
        <f>_xlfn.MAXIFS(Levels!E:E,Levels!B:B,A685)</f>
        <v>28.38</v>
      </c>
      <c r="F685" s="9">
        <f>_xlfn.MAXIFS(Levels!F:F,Levels!B:B,A685)</f>
        <v>8</v>
      </c>
    </row>
    <row r="686" spans="1:6" x14ac:dyDescent="0.3">
      <c r="A686" t="s">
        <v>3122</v>
      </c>
      <c r="B686" s="6">
        <f>COUNTIF(Levels!B:B,A686)</f>
        <v>1</v>
      </c>
      <c r="C686" s="6">
        <f>IFERROR(AVERAGEIF(Levels!B:B,A686,Levels!E:E),0)</f>
        <v>11.5</v>
      </c>
      <c r="D686" s="6">
        <f>IFERROR(AVERAGEIF(Levels!B:B,A686,Levels!F:F),0)</f>
        <v>6.2</v>
      </c>
      <c r="E686" s="6">
        <f>_xlfn.MAXIFS(Levels!E:E,Levels!B:B,A686)</f>
        <v>11.5</v>
      </c>
      <c r="F686" s="6">
        <f>_xlfn.MAXIFS(Levels!F:F,Levels!B:B,A686)</f>
        <v>6.2</v>
      </c>
    </row>
    <row r="687" spans="1:6" x14ac:dyDescent="0.3">
      <c r="A687" t="s">
        <v>3125</v>
      </c>
      <c r="B687" s="9">
        <f>COUNTIF(Levels!B:B,A687)</f>
        <v>14</v>
      </c>
      <c r="C687" s="9">
        <f>IFERROR(AVERAGEIF(Levels!B:B,A687,Levels!E:E),0)</f>
        <v>16.612857142857141</v>
      </c>
      <c r="D687" s="9">
        <f>IFERROR(AVERAGEIF(Levels!B:B,A687,Levels!F:F),0)</f>
        <v>8.0621428571428577</v>
      </c>
      <c r="E687" s="9">
        <f>_xlfn.MAXIFS(Levels!E:E,Levels!B:B,A687)</f>
        <v>26.23</v>
      </c>
      <c r="F687" s="9">
        <f>_xlfn.MAXIFS(Levels!F:F,Levels!B:B,A687)</f>
        <v>9.4700000000000006</v>
      </c>
    </row>
    <row r="688" spans="1:6" x14ac:dyDescent="0.3">
      <c r="A688" t="s">
        <v>3128</v>
      </c>
      <c r="B688" s="6">
        <f>COUNTIF(Levels!B:B,A688)</f>
        <v>2</v>
      </c>
      <c r="C688" s="6">
        <f>IFERROR(AVERAGEIF(Levels!B:B,A688,Levels!E:E),0)</f>
        <v>6.375</v>
      </c>
      <c r="D688" s="6">
        <f>IFERROR(AVERAGEIF(Levels!B:B,A688,Levels!F:F),0)</f>
        <v>6</v>
      </c>
      <c r="E688" s="6">
        <f>_xlfn.MAXIFS(Levels!E:E,Levels!B:B,A688)</f>
        <v>9</v>
      </c>
      <c r="F688" s="6">
        <f>_xlfn.MAXIFS(Levels!F:F,Levels!B:B,A688)</f>
        <v>6.5</v>
      </c>
    </row>
    <row r="689" spans="1:6" x14ac:dyDescent="0.3">
      <c r="A689" t="s">
        <v>3132</v>
      </c>
      <c r="B689" s="9">
        <f>COUNTIF(Levels!B:B,A689)</f>
        <v>2</v>
      </c>
      <c r="C689" s="9">
        <f>IFERROR(AVERAGEIF(Levels!B:B,A689,Levels!E:E),0)</f>
        <v>17.524999999999999</v>
      </c>
      <c r="D689" s="9">
        <f>IFERROR(AVERAGEIF(Levels!B:B,A689,Levels!F:F),0)</f>
        <v>6.27</v>
      </c>
      <c r="E689" s="9">
        <f>_xlfn.MAXIFS(Levels!E:E,Levels!B:B,A689)</f>
        <v>18.62</v>
      </c>
      <c r="F689" s="9">
        <f>_xlfn.MAXIFS(Levels!F:F,Levels!B:B,A689)</f>
        <v>6.38</v>
      </c>
    </row>
    <row r="690" spans="1:6" x14ac:dyDescent="0.3">
      <c r="A690" t="s">
        <v>3142</v>
      </c>
      <c r="B690" s="6">
        <f>COUNTIF(Levels!B:B,A690)</f>
        <v>5</v>
      </c>
      <c r="C690" s="6">
        <f>IFERROR(AVERAGEIF(Levels!B:B,A690,Levels!E:E),0)</f>
        <v>6.4520000000000008</v>
      </c>
      <c r="D690" s="6">
        <f>IFERROR(AVERAGEIF(Levels!B:B,A690,Levels!F:F),0)</f>
        <v>6.1319999999999997</v>
      </c>
      <c r="E690" s="6">
        <f>_xlfn.MAXIFS(Levels!E:E,Levels!B:B,A690)</f>
        <v>20.3</v>
      </c>
      <c r="F690" s="6">
        <f>_xlfn.MAXIFS(Levels!F:F,Levels!B:B,A690)</f>
        <v>6.31</v>
      </c>
    </row>
    <row r="691" spans="1:6" x14ac:dyDescent="0.3">
      <c r="A691" t="s">
        <v>3144</v>
      </c>
      <c r="B691" s="9">
        <f>COUNTIF(Levels!B:B,A691)</f>
        <v>2</v>
      </c>
      <c r="C691" s="9">
        <f>IFERROR(AVERAGEIF(Levels!B:B,A691,Levels!E:E),0)</f>
        <v>20.350000000000001</v>
      </c>
      <c r="D691" s="9">
        <f>IFERROR(AVERAGEIF(Levels!B:B,A691,Levels!F:F),0)</f>
        <v>7.8599999999999994</v>
      </c>
      <c r="E691" s="9">
        <f>_xlfn.MAXIFS(Levels!E:E,Levels!B:B,A691)</f>
        <v>25.88</v>
      </c>
      <c r="F691" s="9">
        <f>_xlfn.MAXIFS(Levels!F:F,Levels!B:B,A691)</f>
        <v>8.5</v>
      </c>
    </row>
    <row r="692" spans="1:6" x14ac:dyDescent="0.3">
      <c r="A692" t="s">
        <v>3157</v>
      </c>
      <c r="B692" s="6">
        <f>COUNTIF(Levels!B:B,A692)</f>
        <v>1</v>
      </c>
      <c r="C692" s="6">
        <f>IFERROR(AVERAGEIF(Levels!B:B,A692,Levels!E:E),0)</f>
        <v>4.18</v>
      </c>
      <c r="D692" s="6">
        <f>IFERROR(AVERAGEIF(Levels!B:B,A692,Levels!F:F),0)</f>
        <v>4.79</v>
      </c>
      <c r="E692" s="6">
        <f>_xlfn.MAXIFS(Levels!E:E,Levels!B:B,A692)</f>
        <v>4.18</v>
      </c>
      <c r="F692" s="6">
        <f>_xlfn.MAXIFS(Levels!F:F,Levels!B:B,A692)</f>
        <v>4.79</v>
      </c>
    </row>
    <row r="693" spans="1:6" x14ac:dyDescent="0.3">
      <c r="A693" t="s">
        <v>3159</v>
      </c>
      <c r="B693" s="9">
        <f>COUNTIF(Levels!B:B,A693)</f>
        <v>8</v>
      </c>
      <c r="C693" s="9">
        <f>IFERROR(AVERAGEIF(Levels!B:B,A693,Levels!E:E),0)</f>
        <v>9.3350000000000009</v>
      </c>
      <c r="D693" s="9">
        <f>IFERROR(AVERAGEIF(Levels!B:B,A693,Levels!F:F),0)</f>
        <v>6.03125</v>
      </c>
      <c r="E693" s="9">
        <f>_xlfn.MAXIFS(Levels!E:E,Levels!B:B,A693)</f>
        <v>32</v>
      </c>
      <c r="F693" s="9">
        <f>_xlfn.MAXIFS(Levels!F:F,Levels!B:B,A693)</f>
        <v>7.01</v>
      </c>
    </row>
    <row r="694" spans="1:6" x14ac:dyDescent="0.3">
      <c r="A694" t="s">
        <v>3162</v>
      </c>
      <c r="B694" s="6">
        <f>COUNTIF(Levels!B:B,A694)</f>
        <v>1</v>
      </c>
      <c r="C694" s="6">
        <f>IFERROR(AVERAGEIF(Levels!B:B,A694,Levels!E:E),0)</f>
        <v>8.5</v>
      </c>
      <c r="D694" s="6">
        <f>IFERROR(AVERAGEIF(Levels!B:B,A694,Levels!F:F),0)</f>
        <v>7.25</v>
      </c>
      <c r="E694" s="6">
        <f>_xlfn.MAXIFS(Levels!E:E,Levels!B:B,A694)</f>
        <v>8.5</v>
      </c>
      <c r="F694" s="6">
        <f>_xlfn.MAXIFS(Levels!F:F,Levels!B:B,A694)</f>
        <v>7.25</v>
      </c>
    </row>
    <row r="695" spans="1:6" x14ac:dyDescent="0.3">
      <c r="A695" t="s">
        <v>3163</v>
      </c>
      <c r="B695" s="9">
        <f>COUNTIF(Levels!B:B,A695)</f>
        <v>1</v>
      </c>
      <c r="C695" s="9">
        <f>IFERROR(AVERAGEIF(Levels!B:B,A695,Levels!E:E),0)</f>
        <v>12.25</v>
      </c>
      <c r="D695" s="9">
        <f>IFERROR(AVERAGEIF(Levels!B:B,A695,Levels!F:F),0)</f>
        <v>7</v>
      </c>
      <c r="E695" s="9">
        <f>_xlfn.MAXIFS(Levels!E:E,Levels!B:B,A695)</f>
        <v>12.25</v>
      </c>
      <c r="F695" s="9">
        <f>_xlfn.MAXIFS(Levels!F:F,Levels!B:B,A695)</f>
        <v>7</v>
      </c>
    </row>
    <row r="696" spans="1:6" x14ac:dyDescent="0.3">
      <c r="A696" t="s">
        <v>3166</v>
      </c>
      <c r="B696" s="6">
        <f>COUNTIF(Levels!B:B,A696)</f>
        <v>4</v>
      </c>
      <c r="C696" s="6">
        <f>IFERROR(AVERAGEIF(Levels!B:B,A696,Levels!E:E),0)</f>
        <v>3.77</v>
      </c>
      <c r="D696" s="6">
        <f>IFERROR(AVERAGEIF(Levels!B:B,A696,Levels!F:F),0)</f>
        <v>5.9075000000000006</v>
      </c>
      <c r="E696" s="6">
        <f>_xlfn.MAXIFS(Levels!E:E,Levels!B:B,A696)</f>
        <v>6</v>
      </c>
      <c r="F696" s="6">
        <f>_xlfn.MAXIFS(Levels!F:F,Levels!B:B,A696)</f>
        <v>7.57</v>
      </c>
    </row>
    <row r="697" spans="1:6" x14ac:dyDescent="0.3">
      <c r="A697" t="s">
        <v>3169</v>
      </c>
      <c r="B697" s="9">
        <f>COUNTIF(Levels!B:B,A697)</f>
        <v>5</v>
      </c>
      <c r="C697" s="9">
        <f>IFERROR(AVERAGEIF(Levels!B:B,A697,Levels!E:E),0)</f>
        <v>6.8459999999999992</v>
      </c>
      <c r="D697" s="9">
        <f>IFERROR(AVERAGEIF(Levels!B:B,A697,Levels!F:F),0)</f>
        <v>5.7819999999999991</v>
      </c>
      <c r="E697" s="9">
        <f>_xlfn.MAXIFS(Levels!E:E,Levels!B:B,A697)</f>
        <v>10.5</v>
      </c>
      <c r="F697" s="9">
        <f>_xlfn.MAXIFS(Levels!F:F,Levels!B:B,A697)</f>
        <v>8.4</v>
      </c>
    </row>
    <row r="698" spans="1:6" x14ac:dyDescent="0.3">
      <c r="A698" t="s">
        <v>3178</v>
      </c>
      <c r="B698" s="6">
        <f>COUNTIF(Levels!B:B,A698)</f>
        <v>1</v>
      </c>
      <c r="C698" s="6">
        <f>IFERROR(AVERAGEIF(Levels!B:B,A698,Levels!E:E),0)</f>
        <v>15.18</v>
      </c>
      <c r="D698" s="6">
        <f>IFERROR(AVERAGEIF(Levels!B:B,A698,Levels!F:F),0)</f>
        <v>7.09</v>
      </c>
      <c r="E698" s="6">
        <f>_xlfn.MAXIFS(Levels!E:E,Levels!B:B,A698)</f>
        <v>15.18</v>
      </c>
      <c r="F698" s="6">
        <f>_xlfn.MAXIFS(Levels!F:F,Levels!B:B,A698)</f>
        <v>7.09</v>
      </c>
    </row>
    <row r="699" spans="1:6" x14ac:dyDescent="0.3">
      <c r="A699" t="s">
        <v>3181</v>
      </c>
      <c r="B699" s="9">
        <f>COUNTIF(Levels!B:B,A699)</f>
        <v>21</v>
      </c>
      <c r="C699" s="9">
        <f>IFERROR(AVERAGEIF(Levels!B:B,A699,Levels!E:E),0)</f>
        <v>5.3404761904761902</v>
      </c>
      <c r="D699" s="9">
        <f>IFERROR(AVERAGEIF(Levels!B:B,A699,Levels!F:F),0)</f>
        <v>7.4038095238095236</v>
      </c>
      <c r="E699" s="9">
        <f>_xlfn.MAXIFS(Levels!E:E,Levels!B:B,A699)</f>
        <v>14.11</v>
      </c>
      <c r="F699" s="9">
        <f>_xlfn.MAXIFS(Levels!F:F,Levels!B:B,A699)</f>
        <v>8.1999999999999993</v>
      </c>
    </row>
    <row r="700" spans="1:6" x14ac:dyDescent="0.3">
      <c r="A700" t="s">
        <v>3186</v>
      </c>
      <c r="B700" s="6">
        <f>COUNTIF(Levels!B:B,A700)</f>
        <v>1</v>
      </c>
      <c r="C700" s="6">
        <f>IFERROR(AVERAGEIF(Levels!B:B,A700,Levels!E:E),0)</f>
        <v>6.5</v>
      </c>
      <c r="D700" s="6">
        <f>IFERROR(AVERAGEIF(Levels!B:B,A700,Levels!F:F),0)</f>
        <v>6</v>
      </c>
      <c r="E700" s="6">
        <f>_xlfn.MAXIFS(Levels!E:E,Levels!B:B,A700)</f>
        <v>6.5</v>
      </c>
      <c r="F700" s="6">
        <f>_xlfn.MAXIFS(Levels!F:F,Levels!B:B,A700)</f>
        <v>6</v>
      </c>
    </row>
    <row r="701" spans="1:6" x14ac:dyDescent="0.3">
      <c r="A701" t="s">
        <v>3189</v>
      </c>
      <c r="B701" s="9">
        <f>COUNTIF(Levels!B:B,A701)</f>
        <v>4</v>
      </c>
      <c r="C701" s="9">
        <f>IFERROR(AVERAGEIF(Levels!B:B,A701,Levels!E:E),0)</f>
        <v>11</v>
      </c>
      <c r="D701" s="9">
        <f>IFERROR(AVERAGEIF(Levels!B:B,A701,Levels!F:F),0)</f>
        <v>6.5125000000000011</v>
      </c>
      <c r="E701" s="9">
        <f>_xlfn.MAXIFS(Levels!E:E,Levels!B:B,A701)</f>
        <v>13</v>
      </c>
      <c r="F701" s="9">
        <f>_xlfn.MAXIFS(Levels!F:F,Levels!B:B,A701)</f>
        <v>8.15</v>
      </c>
    </row>
    <row r="702" spans="1:6" x14ac:dyDescent="0.3">
      <c r="A702" t="s">
        <v>3200</v>
      </c>
      <c r="B702" s="6">
        <f>COUNTIF(Levels!B:B,A702)</f>
        <v>3</v>
      </c>
      <c r="C702" s="6">
        <f>IFERROR(AVERAGEIF(Levels!B:B,A702,Levels!E:E),0)</f>
        <v>12.316666666666668</v>
      </c>
      <c r="D702" s="6">
        <f>IFERROR(AVERAGEIF(Levels!B:B,A702,Levels!F:F),0)</f>
        <v>6.98</v>
      </c>
      <c r="E702" s="6">
        <f>_xlfn.MAXIFS(Levels!E:E,Levels!B:B,A702)</f>
        <v>25.5</v>
      </c>
      <c r="F702" s="6">
        <f>_xlfn.MAXIFS(Levels!F:F,Levels!B:B,A702)</f>
        <v>8</v>
      </c>
    </row>
    <row r="703" spans="1:6" x14ac:dyDescent="0.3">
      <c r="A703" t="s">
        <v>3203</v>
      </c>
      <c r="B703" s="9">
        <f>COUNTIF(Levels!B:B,A703)</f>
        <v>2</v>
      </c>
      <c r="C703" s="9">
        <f>IFERROR(AVERAGEIF(Levels!B:B,A703,Levels!E:E),0)</f>
        <v>10.24</v>
      </c>
      <c r="D703" s="9">
        <f>IFERROR(AVERAGEIF(Levels!B:B,A703,Levels!F:F),0)</f>
        <v>6.4499999999999993</v>
      </c>
      <c r="E703" s="9">
        <f>_xlfn.MAXIFS(Levels!E:E,Levels!B:B,A703)</f>
        <v>18.170000000000002</v>
      </c>
      <c r="F703" s="9">
        <f>_xlfn.MAXIFS(Levels!F:F,Levels!B:B,A703)</f>
        <v>6.6</v>
      </c>
    </row>
    <row r="704" spans="1:6" x14ac:dyDescent="0.3">
      <c r="A704" t="s">
        <v>3206</v>
      </c>
      <c r="B704" s="6">
        <f>COUNTIF(Levels!B:B,A704)</f>
        <v>4</v>
      </c>
      <c r="C704" s="6">
        <f>IFERROR(AVERAGEIF(Levels!B:B,A704,Levels!E:E),0)</f>
        <v>21.125</v>
      </c>
      <c r="D704" s="6">
        <f>IFERROR(AVERAGEIF(Levels!B:B,A704,Levels!F:F),0)</f>
        <v>6.8149999999999995</v>
      </c>
      <c r="E704" s="6">
        <f>_xlfn.MAXIFS(Levels!E:E,Levels!B:B,A704)</f>
        <v>31</v>
      </c>
      <c r="F704" s="6">
        <f>_xlfn.MAXIFS(Levels!F:F,Levels!B:B,A704)</f>
        <v>8.25</v>
      </c>
    </row>
    <row r="705" spans="1:6" x14ac:dyDescent="0.3">
      <c r="A705" t="s">
        <v>3210</v>
      </c>
      <c r="B705" s="9">
        <f>COUNTIF(Levels!B:B,A705)</f>
        <v>3</v>
      </c>
      <c r="C705" s="9">
        <f>IFERROR(AVERAGEIF(Levels!B:B,A705,Levels!E:E),0)</f>
        <v>20.306666666666668</v>
      </c>
      <c r="D705" s="9">
        <f>IFERROR(AVERAGEIF(Levels!B:B,A705,Levels!F:F),0)</f>
        <v>6.1066666666666665</v>
      </c>
      <c r="E705" s="9">
        <f>_xlfn.MAXIFS(Levels!E:E,Levels!B:B,A705)</f>
        <v>24.61</v>
      </c>
      <c r="F705" s="9">
        <f>_xlfn.MAXIFS(Levels!F:F,Levels!B:B,A705)</f>
        <v>6.57</v>
      </c>
    </row>
    <row r="706" spans="1:6" x14ac:dyDescent="0.3">
      <c r="A706" t="s">
        <v>3212</v>
      </c>
      <c r="B706" s="6">
        <f>COUNTIF(Levels!B:B,A706)</f>
        <v>15</v>
      </c>
      <c r="C706" s="6">
        <f>IFERROR(AVERAGEIF(Levels!B:B,A706,Levels!E:E),0)</f>
        <v>10.229333333333331</v>
      </c>
      <c r="D706" s="6">
        <f>IFERROR(AVERAGEIF(Levels!B:B,A706,Levels!F:F),0)</f>
        <v>6.694</v>
      </c>
      <c r="E706" s="6">
        <f>_xlfn.MAXIFS(Levels!E:E,Levels!B:B,A706)</f>
        <v>22.8</v>
      </c>
      <c r="F706" s="6">
        <f>_xlfn.MAXIFS(Levels!F:F,Levels!B:B,A706)</f>
        <v>9</v>
      </c>
    </row>
    <row r="707" spans="1:6" x14ac:dyDescent="0.3">
      <c r="A707" t="s">
        <v>3215</v>
      </c>
      <c r="B707" s="9">
        <f>COUNTIF(Levels!B:B,A707)</f>
        <v>3</v>
      </c>
      <c r="C707" s="9">
        <f>IFERROR(AVERAGEIF(Levels!B:B,A707,Levels!E:E),0)</f>
        <v>5.0166666666666666</v>
      </c>
      <c r="D707" s="9">
        <f>IFERROR(AVERAGEIF(Levels!B:B,A707,Levels!F:F),0)</f>
        <v>5.47</v>
      </c>
      <c r="E707" s="9">
        <f>_xlfn.MAXIFS(Levels!E:E,Levels!B:B,A707)</f>
        <v>5.75</v>
      </c>
      <c r="F707" s="9">
        <f>_xlfn.MAXIFS(Levels!F:F,Levels!B:B,A707)</f>
        <v>5.86</v>
      </c>
    </row>
    <row r="708" spans="1:6" x14ac:dyDescent="0.3">
      <c r="A708" t="s">
        <v>3217</v>
      </c>
      <c r="B708" s="6">
        <f>COUNTIF(Levels!B:B,A708)</f>
        <v>2</v>
      </c>
      <c r="C708" s="6">
        <f>IFERROR(AVERAGEIF(Levels!B:B,A708,Levels!E:E),0)</f>
        <v>3</v>
      </c>
      <c r="D708" s="6">
        <f>IFERROR(AVERAGEIF(Levels!B:B,A708,Levels!F:F),0)</f>
        <v>5.3550000000000004</v>
      </c>
      <c r="E708" s="6">
        <f>_xlfn.MAXIFS(Levels!E:E,Levels!B:B,A708)</f>
        <v>3.2</v>
      </c>
      <c r="F708" s="6">
        <f>_xlfn.MAXIFS(Levels!F:F,Levels!B:B,A708)</f>
        <v>5.71</v>
      </c>
    </row>
    <row r="709" spans="1:6" x14ac:dyDescent="0.3">
      <c r="A709" t="s">
        <v>3222</v>
      </c>
      <c r="B709" s="9">
        <f>COUNTIF(Levels!B:B,A709)</f>
        <v>5</v>
      </c>
      <c r="C709" s="9">
        <f>IFERROR(AVERAGEIF(Levels!B:B,A709,Levels!E:E),0)</f>
        <v>5.0600000000000005</v>
      </c>
      <c r="D709" s="9">
        <f>IFERROR(AVERAGEIF(Levels!B:B,A709,Levels!F:F),0)</f>
        <v>6.3460000000000001</v>
      </c>
      <c r="E709" s="9">
        <f>_xlfn.MAXIFS(Levels!E:E,Levels!B:B,A709)</f>
        <v>7.33</v>
      </c>
      <c r="F709" s="9">
        <f>_xlfn.MAXIFS(Levels!F:F,Levels!B:B,A709)</f>
        <v>8.43</v>
      </c>
    </row>
    <row r="710" spans="1:6" x14ac:dyDescent="0.3">
      <c r="A710" t="s">
        <v>3225</v>
      </c>
      <c r="B710" s="6">
        <f>COUNTIF(Levels!B:B,A710)</f>
        <v>1</v>
      </c>
      <c r="C710" s="6">
        <f>IFERROR(AVERAGEIF(Levels!B:B,A710,Levels!E:E),0)</f>
        <v>4.57</v>
      </c>
      <c r="D710" s="6">
        <f>IFERROR(AVERAGEIF(Levels!B:B,A710,Levels!F:F),0)</f>
        <v>4.2699999999999996</v>
      </c>
      <c r="E710" s="6">
        <f>_xlfn.MAXIFS(Levels!E:E,Levels!B:B,A710)</f>
        <v>4.57</v>
      </c>
      <c r="F710" s="6">
        <f>_xlfn.MAXIFS(Levels!F:F,Levels!B:B,A710)</f>
        <v>4.2699999999999996</v>
      </c>
    </row>
    <row r="711" spans="1:6" x14ac:dyDescent="0.3">
      <c r="A711" t="s">
        <v>3227</v>
      </c>
      <c r="B711" s="9">
        <f>COUNTIF(Levels!B:B,A711)</f>
        <v>5</v>
      </c>
      <c r="C711" s="9">
        <f>IFERROR(AVERAGEIF(Levels!B:B,A711,Levels!E:E),0)</f>
        <v>8.1219999999999999</v>
      </c>
      <c r="D711" s="9">
        <f>IFERROR(AVERAGEIF(Levels!B:B,A711,Levels!F:F),0)</f>
        <v>7.2640000000000002</v>
      </c>
      <c r="E711" s="9">
        <f>_xlfn.MAXIFS(Levels!E:E,Levels!B:B,A711)</f>
        <v>20</v>
      </c>
      <c r="F711" s="9">
        <f>_xlfn.MAXIFS(Levels!F:F,Levels!B:B,A711)</f>
        <v>7.67</v>
      </c>
    </row>
    <row r="712" spans="1:6" x14ac:dyDescent="0.3">
      <c r="A712" t="s">
        <v>3231</v>
      </c>
      <c r="B712" s="6">
        <f>COUNTIF(Levels!B:B,A712)</f>
        <v>4</v>
      </c>
      <c r="C712" s="6">
        <f>IFERROR(AVERAGEIF(Levels!B:B,A712,Levels!E:E),0)</f>
        <v>7.5600000000000005</v>
      </c>
      <c r="D712" s="6">
        <f>IFERROR(AVERAGEIF(Levels!B:B,A712,Levels!F:F),0)</f>
        <v>5.7324999999999999</v>
      </c>
      <c r="E712" s="6">
        <f>_xlfn.MAXIFS(Levels!E:E,Levels!B:B,A712)</f>
        <v>11.4</v>
      </c>
      <c r="F712" s="6">
        <f>_xlfn.MAXIFS(Levels!F:F,Levels!B:B,A712)</f>
        <v>7.5</v>
      </c>
    </row>
    <row r="713" spans="1:6" x14ac:dyDescent="0.3">
      <c r="A713" t="s">
        <v>3233</v>
      </c>
      <c r="B713" s="9">
        <f>COUNTIF(Levels!B:B,A713)</f>
        <v>1</v>
      </c>
      <c r="C713" s="9">
        <f>IFERROR(AVERAGEIF(Levels!B:B,A713,Levels!E:E),0)</f>
        <v>5.65</v>
      </c>
      <c r="D713" s="9">
        <f>IFERROR(AVERAGEIF(Levels!B:B,A713,Levels!F:F),0)</f>
        <v>5.5</v>
      </c>
      <c r="E713" s="9">
        <f>_xlfn.MAXIFS(Levels!E:E,Levels!B:B,A713)</f>
        <v>5.65</v>
      </c>
      <c r="F713" s="9">
        <f>_xlfn.MAXIFS(Levels!F:F,Levels!B:B,A713)</f>
        <v>5.5</v>
      </c>
    </row>
    <row r="714" spans="1:6" x14ac:dyDescent="0.3">
      <c r="A714" t="s">
        <v>3238</v>
      </c>
      <c r="B714" s="6">
        <f>COUNTIF(Levels!B:B,A714)</f>
        <v>15</v>
      </c>
      <c r="C714" s="6">
        <f>IFERROR(AVERAGEIF(Levels!B:B,A714,Levels!E:E),0)</f>
        <v>3.7586666666666662</v>
      </c>
      <c r="D714" s="6">
        <f>IFERROR(AVERAGEIF(Levels!B:B,A714,Levels!F:F),0)</f>
        <v>6.6313333333333331</v>
      </c>
      <c r="E714" s="6">
        <f>_xlfn.MAXIFS(Levels!E:E,Levels!B:B,A714)</f>
        <v>8.9700000000000006</v>
      </c>
      <c r="F714" s="6">
        <f>_xlfn.MAXIFS(Levels!F:F,Levels!B:B,A714)</f>
        <v>7.75</v>
      </c>
    </row>
    <row r="715" spans="1:6" x14ac:dyDescent="0.3">
      <c r="A715" t="s">
        <v>3241</v>
      </c>
      <c r="B715" s="9">
        <f>COUNTIF(Levels!B:B,A715)</f>
        <v>1</v>
      </c>
      <c r="C715" s="9">
        <f>IFERROR(AVERAGEIF(Levels!B:B,A715,Levels!E:E),0)</f>
        <v>3.84</v>
      </c>
      <c r="D715" s="9">
        <f>IFERROR(AVERAGEIF(Levels!B:B,A715,Levels!F:F),0)</f>
        <v>5.17</v>
      </c>
      <c r="E715" s="9">
        <f>_xlfn.MAXIFS(Levels!E:E,Levels!B:B,A715)</f>
        <v>3.84</v>
      </c>
      <c r="F715" s="9">
        <f>_xlfn.MAXIFS(Levels!F:F,Levels!B:B,A715)</f>
        <v>5.17</v>
      </c>
    </row>
    <row r="716" spans="1:6" x14ac:dyDescent="0.3">
      <c r="A716" t="s">
        <v>3243</v>
      </c>
      <c r="B716" s="6">
        <f>COUNTIF(Levels!B:B,A716)</f>
        <v>3</v>
      </c>
      <c r="C716" s="6">
        <f>IFERROR(AVERAGEIF(Levels!B:B,A716,Levels!E:E),0)</f>
        <v>6.6366666666666667</v>
      </c>
      <c r="D716" s="6">
        <f>IFERROR(AVERAGEIF(Levels!B:B,A716,Levels!F:F),0)</f>
        <v>6.6366666666666676</v>
      </c>
      <c r="E716" s="6">
        <f>_xlfn.MAXIFS(Levels!E:E,Levels!B:B,A716)</f>
        <v>10</v>
      </c>
      <c r="F716" s="6">
        <f>_xlfn.MAXIFS(Levels!F:F,Levels!B:B,A716)</f>
        <v>7.4</v>
      </c>
    </row>
    <row r="717" spans="1:6" x14ac:dyDescent="0.3">
      <c r="A717" t="s">
        <v>3255</v>
      </c>
      <c r="B717" s="9">
        <f>COUNTIF(Levels!B:B,A717)</f>
        <v>18</v>
      </c>
      <c r="C717" s="9">
        <f>IFERROR(AVERAGEIF(Levels!B:B,A717,Levels!E:E),0)</f>
        <v>14.167142857142858</v>
      </c>
      <c r="D717" s="9">
        <f>IFERROR(AVERAGEIF(Levels!B:B,A717,Levels!F:F),0)</f>
        <v>6.836666666666666</v>
      </c>
      <c r="E717" s="9">
        <f>_xlfn.MAXIFS(Levels!E:E,Levels!B:B,A717)</f>
        <v>32.5</v>
      </c>
      <c r="F717" s="9">
        <f>_xlfn.MAXIFS(Levels!F:F,Levels!B:B,A717)</f>
        <v>9</v>
      </c>
    </row>
    <row r="718" spans="1:6" x14ac:dyDescent="0.3">
      <c r="A718" t="s">
        <v>3258</v>
      </c>
      <c r="B718" s="6">
        <f>COUNTIF(Levels!B:B,A718)</f>
        <v>2</v>
      </c>
      <c r="C718" s="6">
        <f>IFERROR(AVERAGEIF(Levels!B:B,A718,Levels!E:E),0)</f>
        <v>9.6650000000000009</v>
      </c>
      <c r="D718" s="6">
        <f>IFERROR(AVERAGEIF(Levels!B:B,A718,Levels!F:F),0)</f>
        <v>7.8100000000000005</v>
      </c>
      <c r="E718" s="6">
        <f>_xlfn.MAXIFS(Levels!E:E,Levels!B:B,A718)</f>
        <v>14.38</v>
      </c>
      <c r="F718" s="6">
        <f>_xlfn.MAXIFS(Levels!F:F,Levels!B:B,A718)</f>
        <v>8.2200000000000006</v>
      </c>
    </row>
    <row r="719" spans="1:6" x14ac:dyDescent="0.3">
      <c r="A719" t="s">
        <v>3261</v>
      </c>
      <c r="B719" s="9">
        <f>COUNTIF(Levels!B:B,A719)</f>
        <v>2</v>
      </c>
      <c r="C719" s="9">
        <f>IFERROR(AVERAGEIF(Levels!B:B,A719,Levels!E:E),0)</f>
        <v>6.9</v>
      </c>
      <c r="D719" s="9">
        <f>IFERROR(AVERAGEIF(Levels!B:B,A719,Levels!F:F),0)</f>
        <v>6.84</v>
      </c>
      <c r="E719" s="9">
        <f>_xlfn.MAXIFS(Levels!E:E,Levels!B:B,A719)</f>
        <v>9.8000000000000007</v>
      </c>
      <c r="F719" s="9">
        <f>_xlfn.MAXIFS(Levels!F:F,Levels!B:B,A719)</f>
        <v>8.25</v>
      </c>
    </row>
    <row r="720" spans="1:6" x14ac:dyDescent="0.3">
      <c r="A720" t="s">
        <v>3274</v>
      </c>
      <c r="B720" s="6">
        <f>COUNTIF(Levels!B:B,A720)</f>
        <v>9</v>
      </c>
      <c r="C720" s="6">
        <f>IFERROR(AVERAGEIF(Levels!B:B,A720,Levels!E:E),0)</f>
        <v>17.352857142857143</v>
      </c>
      <c r="D720" s="6">
        <f>IFERROR(AVERAGEIF(Levels!B:B,A720,Levels!F:F),0)</f>
        <v>6.7175000000000002</v>
      </c>
      <c r="E720" s="6">
        <f>_xlfn.MAXIFS(Levels!E:E,Levels!B:B,A720)</f>
        <v>32</v>
      </c>
      <c r="F720" s="6">
        <f>_xlfn.MAXIFS(Levels!F:F,Levels!B:B,A720)</f>
        <v>8.0500000000000007</v>
      </c>
    </row>
    <row r="721" spans="1:6" x14ac:dyDescent="0.3">
      <c r="A721" t="s">
        <v>3277</v>
      </c>
      <c r="B721" s="9">
        <f>COUNTIF(Levels!B:B,A721)</f>
        <v>1</v>
      </c>
      <c r="C721" s="9">
        <f>IFERROR(AVERAGEIF(Levels!B:B,A721,Levels!E:E),0)</f>
        <v>6</v>
      </c>
      <c r="D721" s="9">
        <f>IFERROR(AVERAGEIF(Levels!B:B,A721,Levels!F:F),0)</f>
        <v>1.67</v>
      </c>
      <c r="E721" s="9">
        <f>_xlfn.MAXIFS(Levels!E:E,Levels!B:B,A721)</f>
        <v>6</v>
      </c>
      <c r="F721" s="9">
        <f>_xlfn.MAXIFS(Levels!F:F,Levels!B:B,A721)</f>
        <v>1.67</v>
      </c>
    </row>
    <row r="722" spans="1:6" x14ac:dyDescent="0.3">
      <c r="A722" t="s">
        <v>3280</v>
      </c>
      <c r="B722" s="6">
        <f>COUNTIF(Levels!B:B,A722)</f>
        <v>2</v>
      </c>
      <c r="C722" s="6">
        <f>IFERROR(AVERAGEIF(Levels!B:B,A722,Levels!E:E),0)</f>
        <v>21.95</v>
      </c>
      <c r="D722" s="6">
        <f>IFERROR(AVERAGEIF(Levels!B:B,A722,Levels!F:F),0)</f>
        <v>5.5</v>
      </c>
      <c r="E722" s="6">
        <f>_xlfn.MAXIFS(Levels!E:E,Levels!B:B,A722)</f>
        <v>21.95</v>
      </c>
      <c r="F722" s="6">
        <f>_xlfn.MAXIFS(Levels!F:F,Levels!B:B,A722)</f>
        <v>5.5</v>
      </c>
    </row>
    <row r="723" spans="1:6" x14ac:dyDescent="0.3">
      <c r="A723" t="s">
        <v>3283</v>
      </c>
      <c r="B723" s="9">
        <f>COUNTIF(Levels!B:B,A723)</f>
        <v>14</v>
      </c>
      <c r="C723" s="9">
        <f>IFERROR(AVERAGEIF(Levels!B:B,A723,Levels!E:E),0)</f>
        <v>8.107857142857144</v>
      </c>
      <c r="D723" s="9">
        <f>IFERROR(AVERAGEIF(Levels!B:B,A723,Levels!F:F),0)</f>
        <v>5.772857142857144</v>
      </c>
      <c r="E723" s="9">
        <f>_xlfn.MAXIFS(Levels!E:E,Levels!B:B,A723)</f>
        <v>19.760000000000002</v>
      </c>
      <c r="F723" s="9">
        <f>_xlfn.MAXIFS(Levels!F:F,Levels!B:B,A723)</f>
        <v>7</v>
      </c>
    </row>
    <row r="724" spans="1:6" x14ac:dyDescent="0.3">
      <c r="A724" t="s">
        <v>3285</v>
      </c>
      <c r="B724" s="6">
        <f>COUNTIF(Levels!B:B,A724)</f>
        <v>1</v>
      </c>
      <c r="C724" s="6">
        <f>IFERROR(AVERAGEIF(Levels!B:B,A724,Levels!E:E),0)</f>
        <v>16</v>
      </c>
      <c r="D724" s="6">
        <f>IFERROR(AVERAGEIF(Levels!B:B,A724,Levels!F:F),0)</f>
        <v>4</v>
      </c>
      <c r="E724" s="6">
        <f>_xlfn.MAXIFS(Levels!E:E,Levels!B:B,A724)</f>
        <v>16</v>
      </c>
      <c r="F724" s="6">
        <f>_xlfn.MAXIFS(Levels!F:F,Levels!B:B,A724)</f>
        <v>4</v>
      </c>
    </row>
    <row r="725" spans="1:6" x14ac:dyDescent="0.3">
      <c r="A725" t="s">
        <v>3290</v>
      </c>
      <c r="B725" s="9">
        <f>COUNTIF(Levels!B:B,A725)</f>
        <v>1</v>
      </c>
      <c r="C725" s="9">
        <f>IFERROR(AVERAGEIF(Levels!B:B,A725,Levels!E:E),0)</f>
        <v>13</v>
      </c>
      <c r="D725" s="9">
        <f>IFERROR(AVERAGEIF(Levels!B:B,A725,Levels!F:F),0)</f>
        <v>4.92</v>
      </c>
      <c r="E725" s="9">
        <f>_xlfn.MAXIFS(Levels!E:E,Levels!B:B,A725)</f>
        <v>13</v>
      </c>
      <c r="F725" s="9">
        <f>_xlfn.MAXIFS(Levels!F:F,Levels!B:B,A725)</f>
        <v>4.92</v>
      </c>
    </row>
    <row r="726" spans="1:6" x14ac:dyDescent="0.3">
      <c r="A726" t="s">
        <v>3296</v>
      </c>
      <c r="B726" s="6">
        <f>COUNTIF(Levels!B:B,A726)</f>
        <v>1</v>
      </c>
      <c r="C726" s="6">
        <f>IFERROR(AVERAGEIF(Levels!B:B,A726,Levels!E:E),0)</f>
        <v>9.6</v>
      </c>
      <c r="D726" s="6">
        <f>IFERROR(AVERAGEIF(Levels!B:B,A726,Levels!F:F),0)</f>
        <v>7</v>
      </c>
      <c r="E726" s="6">
        <f>_xlfn.MAXIFS(Levels!E:E,Levels!B:B,A726)</f>
        <v>9.6</v>
      </c>
      <c r="F726" s="6">
        <f>_xlfn.MAXIFS(Levels!F:F,Levels!B:B,A726)</f>
        <v>7</v>
      </c>
    </row>
    <row r="727" spans="1:6" x14ac:dyDescent="0.3">
      <c r="A727" t="s">
        <v>3303</v>
      </c>
      <c r="B727" s="9">
        <f>COUNTIF(Levels!B:B,A727)</f>
        <v>1</v>
      </c>
      <c r="C727" s="9">
        <f>IFERROR(AVERAGEIF(Levels!B:B,A727,Levels!E:E),0)</f>
        <v>17.73</v>
      </c>
      <c r="D727" s="9">
        <f>IFERROR(AVERAGEIF(Levels!B:B,A727,Levels!F:F),0)</f>
        <v>6.59</v>
      </c>
      <c r="E727" s="9">
        <f>_xlfn.MAXIFS(Levels!E:E,Levels!B:B,A727)</f>
        <v>17.73</v>
      </c>
      <c r="F727" s="9">
        <f>_xlfn.MAXIFS(Levels!F:F,Levels!B:B,A727)</f>
        <v>6.59</v>
      </c>
    </row>
    <row r="728" spans="1:6" x14ac:dyDescent="0.3">
      <c r="A728" t="s">
        <v>3308</v>
      </c>
      <c r="B728" s="6">
        <f>COUNTIF(Levels!B:B,A728)</f>
        <v>1</v>
      </c>
      <c r="C728" s="6">
        <f>IFERROR(AVERAGEIF(Levels!B:B,A728,Levels!E:E),0)</f>
        <v>7</v>
      </c>
      <c r="D728" s="6">
        <f>IFERROR(AVERAGEIF(Levels!B:B,A728,Levels!F:F),0)</f>
        <v>5.75</v>
      </c>
      <c r="E728" s="6">
        <f>_xlfn.MAXIFS(Levels!E:E,Levels!B:B,A728)</f>
        <v>7</v>
      </c>
      <c r="F728" s="6">
        <f>_xlfn.MAXIFS(Levels!F:F,Levels!B:B,A728)</f>
        <v>5.75</v>
      </c>
    </row>
    <row r="729" spans="1:6" x14ac:dyDescent="0.3">
      <c r="A729" t="s">
        <v>3311</v>
      </c>
      <c r="B729" s="9">
        <f>COUNTIF(Levels!B:B,A729)</f>
        <v>6</v>
      </c>
      <c r="C729" s="9">
        <f>IFERROR(AVERAGEIF(Levels!B:B,A729,Levels!E:E),0)</f>
        <v>8.65</v>
      </c>
      <c r="D729" s="9">
        <f>IFERROR(AVERAGEIF(Levels!B:B,A729,Levels!F:F),0)</f>
        <v>5.6733333333333329</v>
      </c>
      <c r="E729" s="9">
        <f>_xlfn.MAXIFS(Levels!E:E,Levels!B:B,A729)</f>
        <v>24.5</v>
      </c>
      <c r="F729" s="9">
        <f>_xlfn.MAXIFS(Levels!F:F,Levels!B:B,A729)</f>
        <v>7.42</v>
      </c>
    </row>
    <row r="730" spans="1:6" x14ac:dyDescent="0.3">
      <c r="A730" t="s">
        <v>3323</v>
      </c>
      <c r="B730" s="6">
        <f>COUNTIF(Levels!B:B,A730)</f>
        <v>3</v>
      </c>
      <c r="C730" s="6">
        <f>IFERROR(AVERAGEIF(Levels!B:B,A730,Levels!E:E),0)</f>
        <v>7.3433333333333337</v>
      </c>
      <c r="D730" s="6">
        <f>IFERROR(AVERAGEIF(Levels!B:B,A730,Levels!F:F),0)</f>
        <v>6.43</v>
      </c>
      <c r="E730" s="6">
        <f>_xlfn.MAXIFS(Levels!E:E,Levels!B:B,A730)</f>
        <v>9.0299999999999994</v>
      </c>
      <c r="F730" s="6">
        <f>_xlfn.MAXIFS(Levels!F:F,Levels!B:B,A730)</f>
        <v>7</v>
      </c>
    </row>
    <row r="731" spans="1:6" x14ac:dyDescent="0.3">
      <c r="A731" t="s">
        <v>3326</v>
      </c>
      <c r="B731" s="9">
        <f>COUNTIF(Levels!B:B,A731)</f>
        <v>1</v>
      </c>
      <c r="C731" s="9">
        <f>IFERROR(AVERAGEIF(Levels!B:B,A731,Levels!E:E),0)</f>
        <v>13.33</v>
      </c>
      <c r="D731" s="9">
        <f>IFERROR(AVERAGEIF(Levels!B:B,A731,Levels!F:F),0)</f>
        <v>6</v>
      </c>
      <c r="E731" s="9">
        <f>_xlfn.MAXIFS(Levels!E:E,Levels!B:B,A731)</f>
        <v>13.33</v>
      </c>
      <c r="F731" s="9">
        <f>_xlfn.MAXIFS(Levels!F:F,Levels!B:B,A731)</f>
        <v>6</v>
      </c>
    </row>
    <row r="732" spans="1:6" x14ac:dyDescent="0.3">
      <c r="A732" t="s">
        <v>3329</v>
      </c>
      <c r="B732" s="6">
        <f>COUNTIF(Levels!B:B,A732)</f>
        <v>5</v>
      </c>
      <c r="C732" s="6">
        <f>IFERROR(AVERAGEIF(Levels!B:B,A732,Levels!E:E),0)</f>
        <v>8.8025000000000002</v>
      </c>
      <c r="D732" s="6">
        <f>IFERROR(AVERAGEIF(Levels!B:B,A732,Levels!F:F),0)</f>
        <v>6.6879999999999997</v>
      </c>
      <c r="E732" s="6">
        <f>_xlfn.MAXIFS(Levels!E:E,Levels!B:B,A732)</f>
        <v>14.91</v>
      </c>
      <c r="F732" s="6">
        <f>_xlfn.MAXIFS(Levels!F:F,Levels!B:B,A732)</f>
        <v>7.44</v>
      </c>
    </row>
    <row r="733" spans="1:6" x14ac:dyDescent="0.3">
      <c r="A733" t="s">
        <v>3336</v>
      </c>
      <c r="B733" s="9">
        <f>COUNTIF(Levels!B:B,A733)</f>
        <v>2</v>
      </c>
      <c r="C733" s="9">
        <f>IFERROR(AVERAGEIF(Levels!B:B,A733,Levels!E:E),0)</f>
        <v>4.915</v>
      </c>
      <c r="D733" s="9">
        <f>IFERROR(AVERAGEIF(Levels!B:B,A733,Levels!F:F),0)</f>
        <v>6.4249999999999998</v>
      </c>
      <c r="E733" s="9">
        <f>_xlfn.MAXIFS(Levels!E:E,Levels!B:B,A733)</f>
        <v>7.67</v>
      </c>
      <c r="F733" s="9">
        <f>_xlfn.MAXIFS(Levels!F:F,Levels!B:B,A733)</f>
        <v>6.5</v>
      </c>
    </row>
    <row r="734" spans="1:6" x14ac:dyDescent="0.3">
      <c r="A734" t="s">
        <v>3341</v>
      </c>
      <c r="B734" s="6">
        <f>COUNTIF(Levels!B:B,A734)</f>
        <v>1</v>
      </c>
      <c r="C734" s="6">
        <f>IFERROR(AVERAGEIF(Levels!B:B,A734,Levels!E:E),0)</f>
        <v>6.25</v>
      </c>
      <c r="D734" s="6">
        <f>IFERROR(AVERAGEIF(Levels!B:B,A734,Levels!F:F),0)</f>
        <v>3.67</v>
      </c>
      <c r="E734" s="6">
        <f>_xlfn.MAXIFS(Levels!E:E,Levels!B:B,A734)</f>
        <v>6.25</v>
      </c>
      <c r="F734" s="6">
        <f>_xlfn.MAXIFS(Levels!F:F,Levels!B:B,A734)</f>
        <v>3.67</v>
      </c>
    </row>
    <row r="735" spans="1:6" x14ac:dyDescent="0.3">
      <c r="A735" t="s">
        <v>3346</v>
      </c>
      <c r="B735" s="9">
        <f>COUNTIF(Levels!B:B,A735)</f>
        <v>1</v>
      </c>
      <c r="C735" s="9">
        <f>IFERROR(AVERAGEIF(Levels!B:B,A735,Levels!E:E),0)</f>
        <v>4.3600000000000003</v>
      </c>
      <c r="D735" s="9">
        <f>IFERROR(AVERAGEIF(Levels!B:B,A735,Levels!F:F),0)</f>
        <v>6.32</v>
      </c>
      <c r="E735" s="9">
        <f>_xlfn.MAXIFS(Levels!E:E,Levels!B:B,A735)</f>
        <v>4.3600000000000003</v>
      </c>
      <c r="F735" s="9">
        <f>_xlfn.MAXIFS(Levels!F:F,Levels!B:B,A735)</f>
        <v>6.32</v>
      </c>
    </row>
    <row r="736" spans="1:6" x14ac:dyDescent="0.3">
      <c r="A736" t="s">
        <v>3348</v>
      </c>
      <c r="B736" s="6">
        <f>COUNTIF(Levels!B:B,A736)</f>
        <v>5</v>
      </c>
      <c r="C736" s="6">
        <f>IFERROR(AVERAGEIF(Levels!B:B,A736,Levels!E:E),0)</f>
        <v>15.265000000000001</v>
      </c>
      <c r="D736" s="6">
        <f>IFERROR(AVERAGEIF(Levels!B:B,A736,Levels!F:F),0)</f>
        <v>7.1750000000000007</v>
      </c>
      <c r="E736" s="6">
        <f>_xlfn.MAXIFS(Levels!E:E,Levels!B:B,A736)</f>
        <v>21.64</v>
      </c>
      <c r="F736" s="6">
        <f>_xlfn.MAXIFS(Levels!F:F,Levels!B:B,A736)</f>
        <v>7.83</v>
      </c>
    </row>
    <row r="737" spans="1:6" x14ac:dyDescent="0.3">
      <c r="A737" t="s">
        <v>3377</v>
      </c>
      <c r="B737" s="9">
        <f>COUNTIF(Levels!B:B,A737)</f>
        <v>3</v>
      </c>
      <c r="C737" s="9">
        <f>IFERROR(AVERAGEIF(Levels!B:B,A737,Levels!E:E),0)</f>
        <v>4.07</v>
      </c>
      <c r="D737" s="9">
        <f>IFERROR(AVERAGEIF(Levels!B:B,A737,Levels!F:F),0)</f>
        <v>5.7866666666666662</v>
      </c>
      <c r="E737" s="9">
        <f>_xlfn.MAXIFS(Levels!E:E,Levels!B:B,A737)</f>
        <v>8.81</v>
      </c>
      <c r="F737" s="9">
        <f>_xlfn.MAXIFS(Levels!F:F,Levels!B:B,A737)</f>
        <v>6.78</v>
      </c>
    </row>
    <row r="738" spans="1:6" x14ac:dyDescent="0.3">
      <c r="A738" t="s">
        <v>3380</v>
      </c>
      <c r="B738" s="6">
        <f>COUNTIF(Levels!B:B,A738)</f>
        <v>5</v>
      </c>
      <c r="C738" s="6">
        <f>IFERROR(AVERAGEIF(Levels!B:B,A738,Levels!E:E),0)</f>
        <v>5.8439999999999994</v>
      </c>
      <c r="D738" s="6">
        <f>IFERROR(AVERAGEIF(Levels!B:B,A738,Levels!F:F),0)</f>
        <v>5.82</v>
      </c>
      <c r="E738" s="6">
        <f>_xlfn.MAXIFS(Levels!E:E,Levels!B:B,A738)</f>
        <v>11</v>
      </c>
      <c r="F738" s="6">
        <f>_xlfn.MAXIFS(Levels!F:F,Levels!B:B,A738)</f>
        <v>8.06</v>
      </c>
    </row>
    <row r="739" spans="1:6" x14ac:dyDescent="0.3">
      <c r="A739" t="s">
        <v>3384</v>
      </c>
      <c r="B739" s="9">
        <f>COUNTIF(Levels!B:B,A739)</f>
        <v>1</v>
      </c>
      <c r="C739" s="9">
        <f>IFERROR(AVERAGEIF(Levels!B:B,A739,Levels!E:E),0)</f>
        <v>13.7</v>
      </c>
      <c r="D739" s="9">
        <f>IFERROR(AVERAGEIF(Levels!B:B,A739,Levels!F:F),0)</f>
        <v>5.4</v>
      </c>
      <c r="E739" s="9">
        <f>_xlfn.MAXIFS(Levels!E:E,Levels!B:B,A739)</f>
        <v>13.7</v>
      </c>
      <c r="F739" s="9">
        <f>_xlfn.MAXIFS(Levels!F:F,Levels!B:B,A739)</f>
        <v>5.4</v>
      </c>
    </row>
    <row r="740" spans="1:6" x14ac:dyDescent="0.3">
      <c r="A740" t="s">
        <v>3386</v>
      </c>
      <c r="B740" s="6">
        <f>COUNTIF(Levels!B:B,A740)</f>
        <v>1</v>
      </c>
      <c r="C740" s="6">
        <f>IFERROR(AVERAGEIF(Levels!B:B,A740,Levels!E:E),0)</f>
        <v>10</v>
      </c>
      <c r="D740" s="6">
        <f>IFERROR(AVERAGEIF(Levels!B:B,A740,Levels!F:F),0)</f>
        <v>7.33</v>
      </c>
      <c r="E740" s="6">
        <f>_xlfn.MAXIFS(Levels!E:E,Levels!B:B,A740)</f>
        <v>10</v>
      </c>
      <c r="F740" s="6">
        <f>_xlfn.MAXIFS(Levels!F:F,Levels!B:B,A740)</f>
        <v>7.33</v>
      </c>
    </row>
    <row r="741" spans="1:6" x14ac:dyDescent="0.3">
      <c r="A741" t="s">
        <v>3397</v>
      </c>
      <c r="B741" s="9">
        <f>COUNTIF(Levels!B:B,A741)</f>
        <v>2</v>
      </c>
      <c r="C741" s="9">
        <f>IFERROR(AVERAGEIF(Levels!B:B,A741,Levels!E:E),0)</f>
        <v>14.379999999999999</v>
      </c>
      <c r="D741" s="9">
        <f>IFERROR(AVERAGEIF(Levels!B:B,A741,Levels!F:F),0)</f>
        <v>5.93</v>
      </c>
      <c r="E741" s="9">
        <f>_xlfn.MAXIFS(Levels!E:E,Levels!B:B,A741)</f>
        <v>16.98</v>
      </c>
      <c r="F741" s="9">
        <f>_xlfn.MAXIFS(Levels!F:F,Levels!B:B,A741)</f>
        <v>6</v>
      </c>
    </row>
    <row r="742" spans="1:6" x14ac:dyDescent="0.3">
      <c r="A742" t="s">
        <v>3400</v>
      </c>
      <c r="B742" s="6">
        <f>COUNTIF(Levels!B:B,A742)</f>
        <v>1</v>
      </c>
      <c r="C742" s="6">
        <f>IFERROR(AVERAGEIF(Levels!B:B,A742,Levels!E:E),0)</f>
        <v>7</v>
      </c>
      <c r="D742" s="6">
        <f>IFERROR(AVERAGEIF(Levels!B:B,A742,Levels!F:F),0)</f>
        <v>1.4</v>
      </c>
      <c r="E742" s="6">
        <f>_xlfn.MAXIFS(Levels!E:E,Levels!B:B,A742)</f>
        <v>7</v>
      </c>
      <c r="F742" s="6">
        <f>_xlfn.MAXIFS(Levels!F:F,Levels!B:B,A742)</f>
        <v>1.4</v>
      </c>
    </row>
    <row r="743" spans="1:6" x14ac:dyDescent="0.3">
      <c r="A743" t="s">
        <v>3405</v>
      </c>
      <c r="B743" s="9">
        <f>COUNTIF(Levels!B:B,A743)</f>
        <v>5</v>
      </c>
      <c r="C743" s="9">
        <f>IFERROR(AVERAGEIF(Levels!B:B,A743,Levels!E:E),0)</f>
        <v>3.3140000000000001</v>
      </c>
      <c r="D743" s="9">
        <f>IFERROR(AVERAGEIF(Levels!B:B,A743,Levels!F:F),0)</f>
        <v>5.831999999999999</v>
      </c>
      <c r="E743" s="9">
        <f>_xlfn.MAXIFS(Levels!E:E,Levels!B:B,A743)</f>
        <v>3.66</v>
      </c>
      <c r="F743" s="9">
        <f>_xlfn.MAXIFS(Levels!F:F,Levels!B:B,A743)</f>
        <v>6.55</v>
      </c>
    </row>
    <row r="744" spans="1:6" x14ac:dyDescent="0.3">
      <c r="A744" t="s">
        <v>3407</v>
      </c>
      <c r="B744" s="6">
        <f>COUNTIF(Levels!B:B,A744)</f>
        <v>1</v>
      </c>
      <c r="C744" s="6">
        <f>IFERROR(AVERAGEIF(Levels!B:B,A744,Levels!E:E),0)</f>
        <v>25.89</v>
      </c>
      <c r="D744" s="6">
        <f>IFERROR(AVERAGEIF(Levels!B:B,A744,Levels!F:F),0)</f>
        <v>4.13</v>
      </c>
      <c r="E744" s="6">
        <f>_xlfn.MAXIFS(Levels!E:E,Levels!B:B,A744)</f>
        <v>25.89</v>
      </c>
      <c r="F744" s="6">
        <f>_xlfn.MAXIFS(Levels!F:F,Levels!B:B,A744)</f>
        <v>4.13</v>
      </c>
    </row>
    <row r="745" spans="1:6" x14ac:dyDescent="0.3">
      <c r="A745" t="s">
        <v>3411</v>
      </c>
      <c r="B745" s="9">
        <f>COUNTIF(Levels!B:B,A745)</f>
        <v>3</v>
      </c>
      <c r="C745" s="9">
        <f>IFERROR(AVERAGEIF(Levels!B:B,A745,Levels!E:E),0)</f>
        <v>9.6900000000000013</v>
      </c>
      <c r="D745" s="9">
        <f>IFERROR(AVERAGEIF(Levels!B:B,A745,Levels!F:F),0)</f>
        <v>6.0733333333333341</v>
      </c>
      <c r="E745" s="9">
        <f>_xlfn.MAXIFS(Levels!E:E,Levels!B:B,A745)</f>
        <v>12.88</v>
      </c>
      <c r="F745" s="9">
        <f>_xlfn.MAXIFS(Levels!F:F,Levels!B:B,A745)</f>
        <v>6.4</v>
      </c>
    </row>
    <row r="746" spans="1:6" x14ac:dyDescent="0.3">
      <c r="A746" t="s">
        <v>3420</v>
      </c>
      <c r="B746" s="6">
        <f>COUNTIF(Levels!B:B,A746)</f>
        <v>2</v>
      </c>
      <c r="C746" s="6">
        <f>IFERROR(AVERAGEIF(Levels!B:B,A746,Levels!E:E),0)</f>
        <v>15.9</v>
      </c>
      <c r="D746" s="6">
        <f>IFERROR(AVERAGEIF(Levels!B:B,A746,Levels!F:F),0)</f>
        <v>7.0350000000000001</v>
      </c>
      <c r="E746" s="6">
        <f>_xlfn.MAXIFS(Levels!E:E,Levels!B:B,A746)</f>
        <v>16.440000000000001</v>
      </c>
      <c r="F746" s="6">
        <f>_xlfn.MAXIFS(Levels!F:F,Levels!B:B,A746)</f>
        <v>8.5</v>
      </c>
    </row>
    <row r="747" spans="1:6" x14ac:dyDescent="0.3">
      <c r="A747" t="s">
        <v>3422</v>
      </c>
      <c r="B747" s="9">
        <f>COUNTIF(Levels!B:B,A747)</f>
        <v>8</v>
      </c>
      <c r="C747" s="9">
        <f>IFERROR(AVERAGEIF(Levels!B:B,A747,Levels!E:E),0)</f>
        <v>17.54</v>
      </c>
      <c r="D747" s="9">
        <f>IFERROR(AVERAGEIF(Levels!B:B,A747,Levels!F:F),0)</f>
        <v>6.6675000000000004</v>
      </c>
      <c r="E747" s="9">
        <f>_xlfn.MAXIFS(Levels!E:E,Levels!B:B,A747)</f>
        <v>23.77</v>
      </c>
      <c r="F747" s="9">
        <f>_xlfn.MAXIFS(Levels!F:F,Levels!B:B,A747)</f>
        <v>8.16</v>
      </c>
    </row>
    <row r="748" spans="1:6" x14ac:dyDescent="0.3">
      <c r="A748" t="s">
        <v>3427</v>
      </c>
      <c r="B748" s="6">
        <f>COUNTIF(Levels!B:B,A748)</f>
        <v>6</v>
      </c>
      <c r="C748" s="6">
        <f>IFERROR(AVERAGEIF(Levels!B:B,A748,Levels!E:E),0)</f>
        <v>12.623333333333335</v>
      </c>
      <c r="D748" s="6">
        <f>IFERROR(AVERAGEIF(Levels!B:B,A748,Levels!F:F),0)</f>
        <v>7.375</v>
      </c>
      <c r="E748" s="6">
        <f>_xlfn.MAXIFS(Levels!E:E,Levels!B:B,A748)</f>
        <v>18</v>
      </c>
      <c r="F748" s="6">
        <f>_xlfn.MAXIFS(Levels!F:F,Levels!B:B,A748)</f>
        <v>8.5500000000000007</v>
      </c>
    </row>
    <row r="749" spans="1:6" x14ac:dyDescent="0.3">
      <c r="A749" t="s">
        <v>3431</v>
      </c>
      <c r="B749" s="9">
        <f>COUNTIF(Levels!B:B,A749)</f>
        <v>1</v>
      </c>
      <c r="C749" s="9">
        <f>IFERROR(AVERAGEIF(Levels!B:B,A749,Levels!E:E),0)</f>
        <v>3.12</v>
      </c>
      <c r="D749" s="9">
        <f>IFERROR(AVERAGEIF(Levels!B:B,A749,Levels!F:F),0)</f>
        <v>7.46</v>
      </c>
      <c r="E749" s="9">
        <f>_xlfn.MAXIFS(Levels!E:E,Levels!B:B,A749)</f>
        <v>3.12</v>
      </c>
      <c r="F749" s="9">
        <f>_xlfn.MAXIFS(Levels!F:F,Levels!B:B,A749)</f>
        <v>7.46</v>
      </c>
    </row>
    <row r="750" spans="1:6" x14ac:dyDescent="0.3">
      <c r="A750" t="s">
        <v>3436</v>
      </c>
      <c r="B750" s="6">
        <f>COUNTIF(Levels!B:B,A750)</f>
        <v>5</v>
      </c>
      <c r="C750" s="6">
        <f>IFERROR(AVERAGEIF(Levels!B:B,A750,Levels!E:E),0)</f>
        <v>10.946000000000002</v>
      </c>
      <c r="D750" s="6">
        <f>IFERROR(AVERAGEIF(Levels!B:B,A750,Levels!F:F),0)</f>
        <v>5.0280000000000005</v>
      </c>
      <c r="E750" s="6">
        <f>_xlfn.MAXIFS(Levels!E:E,Levels!B:B,A750)</f>
        <v>22.6</v>
      </c>
      <c r="F750" s="6">
        <f>_xlfn.MAXIFS(Levels!F:F,Levels!B:B,A750)</f>
        <v>7.37</v>
      </c>
    </row>
    <row r="751" spans="1:6" x14ac:dyDescent="0.3">
      <c r="A751" t="s">
        <v>3440</v>
      </c>
      <c r="B751" s="9">
        <f>COUNTIF(Levels!B:B,A751)</f>
        <v>1</v>
      </c>
      <c r="C751" s="9">
        <f>IFERROR(AVERAGEIF(Levels!B:B,A751,Levels!E:E),0)</f>
        <v>4.83</v>
      </c>
      <c r="D751" s="9">
        <f>IFERROR(AVERAGEIF(Levels!B:B,A751,Levels!F:F),0)</f>
        <v>4.67</v>
      </c>
      <c r="E751" s="9">
        <f>_xlfn.MAXIFS(Levels!E:E,Levels!B:B,A751)</f>
        <v>4.83</v>
      </c>
      <c r="F751" s="9">
        <f>_xlfn.MAXIFS(Levels!F:F,Levels!B:B,A751)</f>
        <v>4.67</v>
      </c>
    </row>
    <row r="752" spans="1:6" x14ac:dyDescent="0.3">
      <c r="A752" t="s">
        <v>3450</v>
      </c>
      <c r="B752" s="6">
        <f>COUNTIF(Levels!B:B,A752)</f>
        <v>1</v>
      </c>
      <c r="C752" s="6">
        <f>IFERROR(AVERAGEIF(Levels!B:B,A752,Levels!E:E),0)</f>
        <v>9.1999999999999993</v>
      </c>
      <c r="D752" s="6">
        <f>IFERROR(AVERAGEIF(Levels!B:B,A752,Levels!F:F),0)</f>
        <v>8.1300000000000008</v>
      </c>
      <c r="E752" s="6">
        <f>_xlfn.MAXIFS(Levels!E:E,Levels!B:B,A752)</f>
        <v>9.1999999999999993</v>
      </c>
      <c r="F752" s="6">
        <f>_xlfn.MAXIFS(Levels!F:F,Levels!B:B,A752)</f>
        <v>8.1300000000000008</v>
      </c>
    </row>
    <row r="753" spans="1:6" x14ac:dyDescent="0.3">
      <c r="A753" t="s">
        <v>3452</v>
      </c>
      <c r="B753" s="9">
        <f>COUNTIF(Levels!B:B,A753)</f>
        <v>4</v>
      </c>
      <c r="C753" s="9">
        <f>IFERROR(AVERAGEIF(Levels!B:B,A753,Levels!E:E),0)</f>
        <v>11.175000000000001</v>
      </c>
      <c r="D753" s="9">
        <f>IFERROR(AVERAGEIF(Levels!B:B,A753,Levels!F:F),0)</f>
        <v>5.88</v>
      </c>
      <c r="E753" s="9">
        <f>_xlfn.MAXIFS(Levels!E:E,Levels!B:B,A753)</f>
        <v>16.8</v>
      </c>
      <c r="F753" s="9">
        <f>_xlfn.MAXIFS(Levels!F:F,Levels!B:B,A753)</f>
        <v>7.2</v>
      </c>
    </row>
    <row r="754" spans="1:6" x14ac:dyDescent="0.3">
      <c r="A754" t="s">
        <v>3459</v>
      </c>
      <c r="B754" s="6">
        <f>COUNTIF(Levels!B:B,A754)</f>
        <v>1</v>
      </c>
      <c r="C754" s="6">
        <f>IFERROR(AVERAGEIF(Levels!B:B,A754,Levels!E:E),0)</f>
        <v>4.12</v>
      </c>
      <c r="D754" s="6">
        <f>IFERROR(AVERAGEIF(Levels!B:B,A754,Levels!F:F),0)</f>
        <v>4.5999999999999996</v>
      </c>
      <c r="E754" s="6">
        <f>_xlfn.MAXIFS(Levels!E:E,Levels!B:B,A754)</f>
        <v>4.12</v>
      </c>
      <c r="F754" s="6">
        <f>_xlfn.MAXIFS(Levels!F:F,Levels!B:B,A754)</f>
        <v>4.5999999999999996</v>
      </c>
    </row>
    <row r="755" spans="1:6" x14ac:dyDescent="0.3">
      <c r="A755" t="s">
        <v>3466</v>
      </c>
      <c r="B755" s="9">
        <f>COUNTIF(Levels!B:B,A755)</f>
        <v>5</v>
      </c>
      <c r="C755" s="9">
        <f>IFERROR(AVERAGEIF(Levels!B:B,A755,Levels!E:E),0)</f>
        <v>5.4219999999999997</v>
      </c>
      <c r="D755" s="9">
        <f>IFERROR(AVERAGEIF(Levels!B:B,A755,Levels!F:F),0)</f>
        <v>6.93</v>
      </c>
      <c r="E755" s="9">
        <f>_xlfn.MAXIFS(Levels!E:E,Levels!B:B,A755)</f>
        <v>8</v>
      </c>
      <c r="F755" s="9">
        <f>_xlfn.MAXIFS(Levels!F:F,Levels!B:B,A755)</f>
        <v>8.08</v>
      </c>
    </row>
    <row r="756" spans="1:6" x14ac:dyDescent="0.3">
      <c r="A756" t="s">
        <v>3469</v>
      </c>
      <c r="B756" s="6">
        <f>COUNTIF(Levels!B:B,A756)</f>
        <v>5</v>
      </c>
      <c r="C756" s="6">
        <f>IFERROR(AVERAGEIF(Levels!B:B,A756,Levels!E:E),0)</f>
        <v>4.3699999999999992</v>
      </c>
      <c r="D756" s="6">
        <f>IFERROR(AVERAGEIF(Levels!B:B,A756,Levels!F:F),0)</f>
        <v>6.6920000000000002</v>
      </c>
      <c r="E756" s="6">
        <f>_xlfn.MAXIFS(Levels!E:E,Levels!B:B,A756)</f>
        <v>7.71</v>
      </c>
      <c r="F756" s="6">
        <f>_xlfn.MAXIFS(Levels!F:F,Levels!B:B,A756)</f>
        <v>7.23</v>
      </c>
    </row>
    <row r="757" spans="1:6" x14ac:dyDescent="0.3">
      <c r="A757" t="s">
        <v>3472</v>
      </c>
      <c r="B757" s="9">
        <f>COUNTIF(Levels!B:B,A757)</f>
        <v>5</v>
      </c>
      <c r="C757" s="9">
        <f>IFERROR(AVERAGEIF(Levels!B:B,A757,Levels!E:E),0)</f>
        <v>3.8400000000000007</v>
      </c>
      <c r="D757" s="9">
        <f>IFERROR(AVERAGEIF(Levels!B:B,A757,Levels!F:F),0)</f>
        <v>5.508</v>
      </c>
      <c r="E757" s="9">
        <f>_xlfn.MAXIFS(Levels!E:E,Levels!B:B,A757)</f>
        <v>7.17</v>
      </c>
      <c r="F757" s="9">
        <f>_xlfn.MAXIFS(Levels!F:F,Levels!B:B,A757)</f>
        <v>6.89</v>
      </c>
    </row>
    <row r="758" spans="1:6" x14ac:dyDescent="0.3">
      <c r="A758" t="s">
        <v>3475</v>
      </c>
      <c r="B758" s="6">
        <f>COUNTIF(Levels!B:B,A758)</f>
        <v>1</v>
      </c>
      <c r="C758" s="6">
        <f>IFERROR(AVERAGEIF(Levels!B:B,A758,Levels!E:E),0)</f>
        <v>9.4</v>
      </c>
      <c r="D758" s="6">
        <f>IFERROR(AVERAGEIF(Levels!B:B,A758,Levels!F:F),0)</f>
        <v>7.11</v>
      </c>
      <c r="E758" s="6">
        <f>_xlfn.MAXIFS(Levels!E:E,Levels!B:B,A758)</f>
        <v>9.4</v>
      </c>
      <c r="F758" s="6">
        <f>_xlfn.MAXIFS(Levels!F:F,Levels!B:B,A758)</f>
        <v>7.11</v>
      </c>
    </row>
    <row r="759" spans="1:6" x14ac:dyDescent="0.3">
      <c r="A759" t="s">
        <v>3482</v>
      </c>
      <c r="B759" s="9">
        <f>COUNTIF(Levels!B:B,A759)</f>
        <v>2</v>
      </c>
      <c r="C759" s="9">
        <f>IFERROR(AVERAGEIF(Levels!B:B,A759,Levels!E:E),0)</f>
        <v>5.41</v>
      </c>
      <c r="D759" s="9">
        <f>IFERROR(AVERAGEIF(Levels!B:B,A759,Levels!F:F),0)</f>
        <v>5.5</v>
      </c>
      <c r="E759" s="9">
        <f>_xlfn.MAXIFS(Levels!E:E,Levels!B:B,A759)</f>
        <v>7</v>
      </c>
      <c r="F759" s="9">
        <f>_xlfn.MAXIFS(Levels!F:F,Levels!B:B,A759)</f>
        <v>6</v>
      </c>
    </row>
    <row r="760" spans="1:6" x14ac:dyDescent="0.3">
      <c r="A760" t="s">
        <v>3486</v>
      </c>
      <c r="B760" s="6">
        <f>COUNTIF(Levels!B:B,A760)</f>
        <v>3</v>
      </c>
      <c r="C760" s="6">
        <f>IFERROR(AVERAGEIF(Levels!B:B,A760,Levels!E:E),0)</f>
        <v>7.996666666666667</v>
      </c>
      <c r="D760" s="6">
        <f>IFERROR(AVERAGEIF(Levels!B:B,A760,Levels!F:F),0)</f>
        <v>7.043333333333333</v>
      </c>
      <c r="E760" s="6">
        <f>_xlfn.MAXIFS(Levels!E:E,Levels!B:B,A760)</f>
        <v>12.38</v>
      </c>
      <c r="F760" s="6">
        <f>_xlfn.MAXIFS(Levels!F:F,Levels!B:B,A760)</f>
        <v>7.7</v>
      </c>
    </row>
    <row r="761" spans="1:6" x14ac:dyDescent="0.3">
      <c r="A761" t="s">
        <v>3493</v>
      </c>
      <c r="B761" s="9">
        <f>COUNTIF(Levels!B:B,A761)</f>
        <v>1</v>
      </c>
      <c r="C761" s="9">
        <f>IFERROR(AVERAGEIF(Levels!B:B,A761,Levels!E:E),0)</f>
        <v>10.67</v>
      </c>
      <c r="D761" s="9">
        <f>IFERROR(AVERAGEIF(Levels!B:B,A761,Levels!F:F),0)</f>
        <v>6.5</v>
      </c>
      <c r="E761" s="9">
        <f>_xlfn.MAXIFS(Levels!E:E,Levels!B:B,A761)</f>
        <v>10.67</v>
      </c>
      <c r="F761" s="9">
        <f>_xlfn.MAXIFS(Levels!F:F,Levels!B:B,A761)</f>
        <v>6.5</v>
      </c>
    </row>
    <row r="762" spans="1:6" x14ac:dyDescent="0.3">
      <c r="A762" t="s">
        <v>3495</v>
      </c>
      <c r="B762" s="6">
        <f>COUNTIF(Levels!B:B,A762)</f>
        <v>4</v>
      </c>
      <c r="C762" s="6">
        <f>IFERROR(AVERAGEIF(Levels!B:B,A762,Levels!E:E),0)</f>
        <v>12.17</v>
      </c>
      <c r="D762" s="6">
        <f>IFERROR(AVERAGEIF(Levels!B:B,A762,Levels!F:F),0)</f>
        <v>5.3049999999999997</v>
      </c>
      <c r="E762" s="6">
        <f>_xlfn.MAXIFS(Levels!E:E,Levels!B:B,A762)</f>
        <v>25.17</v>
      </c>
      <c r="F762" s="6">
        <f>_xlfn.MAXIFS(Levels!F:F,Levels!B:B,A762)</f>
        <v>7.8</v>
      </c>
    </row>
    <row r="763" spans="1:6" x14ac:dyDescent="0.3">
      <c r="A763" t="s">
        <v>3503</v>
      </c>
      <c r="B763" s="9">
        <f>COUNTIF(Levels!B:B,A763)</f>
        <v>1</v>
      </c>
      <c r="C763" s="9">
        <f>IFERROR(AVERAGEIF(Levels!B:B,A763,Levels!E:E),0)</f>
        <v>8.69</v>
      </c>
      <c r="D763" s="9">
        <f>IFERROR(AVERAGEIF(Levels!B:B,A763,Levels!F:F),0)</f>
        <v>7.36</v>
      </c>
      <c r="E763" s="9">
        <f>_xlfn.MAXIFS(Levels!E:E,Levels!B:B,A763)</f>
        <v>8.69</v>
      </c>
      <c r="F763" s="9">
        <f>_xlfn.MAXIFS(Levels!F:F,Levels!B:B,A763)</f>
        <v>7.36</v>
      </c>
    </row>
    <row r="764" spans="1:6" x14ac:dyDescent="0.3">
      <c r="A764" t="s">
        <v>3506</v>
      </c>
      <c r="B764" s="6">
        <f>COUNTIF(Levels!B:B,A764)</f>
        <v>2</v>
      </c>
      <c r="C764" s="6">
        <f>IFERROR(AVERAGEIF(Levels!B:B,A764,Levels!E:E),0)</f>
        <v>11.115</v>
      </c>
      <c r="D764" s="6">
        <f>IFERROR(AVERAGEIF(Levels!B:B,A764,Levels!F:F),0)</f>
        <v>7.7</v>
      </c>
      <c r="E764" s="6">
        <f>_xlfn.MAXIFS(Levels!E:E,Levels!B:B,A764)</f>
        <v>11.5</v>
      </c>
      <c r="F764" s="6">
        <f>_xlfn.MAXIFS(Levels!F:F,Levels!B:B,A764)</f>
        <v>8.07</v>
      </c>
    </row>
    <row r="765" spans="1:6" x14ac:dyDescent="0.3">
      <c r="A765" t="s">
        <v>3512</v>
      </c>
      <c r="B765" s="9">
        <f>COUNTIF(Levels!B:B,A765)</f>
        <v>4</v>
      </c>
      <c r="C765" s="9">
        <f>IFERROR(AVERAGEIF(Levels!B:B,A765,Levels!E:E),0)</f>
        <v>6.6499999999999995</v>
      </c>
      <c r="D765" s="9">
        <f>IFERROR(AVERAGEIF(Levels!B:B,A765,Levels!F:F),0)</f>
        <v>6.2650000000000006</v>
      </c>
      <c r="E765" s="9">
        <f>_xlfn.MAXIFS(Levels!E:E,Levels!B:B,A765)</f>
        <v>9.25</v>
      </c>
      <c r="F765" s="9">
        <f>_xlfn.MAXIFS(Levels!F:F,Levels!B:B,A765)</f>
        <v>7.5</v>
      </c>
    </row>
    <row r="766" spans="1:6" x14ac:dyDescent="0.3">
      <c r="A766" t="s">
        <v>3514</v>
      </c>
      <c r="B766" s="6">
        <f>COUNTIF(Levels!B:B,A766)</f>
        <v>3</v>
      </c>
      <c r="C766" s="6">
        <f>IFERROR(AVERAGEIF(Levels!B:B,A766,Levels!E:E),0)</f>
        <v>14.530000000000001</v>
      </c>
      <c r="D766" s="6">
        <f>IFERROR(AVERAGEIF(Levels!B:B,A766,Levels!F:F),0)</f>
        <v>6.7666666666666666</v>
      </c>
      <c r="E766" s="6">
        <f>_xlfn.MAXIFS(Levels!E:E,Levels!B:B,A766)</f>
        <v>21.82</v>
      </c>
      <c r="F766" s="6">
        <f>_xlfn.MAXIFS(Levels!F:F,Levels!B:B,A766)</f>
        <v>7.95</v>
      </c>
    </row>
    <row r="767" spans="1:6" x14ac:dyDescent="0.3">
      <c r="A767" t="s">
        <v>3517</v>
      </c>
      <c r="B767" s="9">
        <f>COUNTIF(Levels!B:B,A767)</f>
        <v>1</v>
      </c>
      <c r="C767" s="9">
        <f>IFERROR(AVERAGEIF(Levels!B:B,A767,Levels!E:E),0)</f>
        <v>13</v>
      </c>
      <c r="D767" s="9">
        <f>IFERROR(AVERAGEIF(Levels!B:B,A767,Levels!F:F),0)</f>
        <v>2.33</v>
      </c>
      <c r="E767" s="9">
        <f>_xlfn.MAXIFS(Levels!E:E,Levels!B:B,A767)</f>
        <v>13</v>
      </c>
      <c r="F767" s="9">
        <f>_xlfn.MAXIFS(Levels!F:F,Levels!B:B,A767)</f>
        <v>2.33</v>
      </c>
    </row>
    <row r="768" spans="1:6" x14ac:dyDescent="0.3">
      <c r="A768" t="s">
        <v>3538</v>
      </c>
      <c r="B768" s="6">
        <f>COUNTIF(Levels!B:B,A768)</f>
        <v>7</v>
      </c>
      <c r="C768" s="6">
        <f>IFERROR(AVERAGEIF(Levels!B:B,A768,Levels!E:E),0)</f>
        <v>16.922857142857143</v>
      </c>
      <c r="D768" s="6">
        <f>IFERROR(AVERAGEIF(Levels!B:B,A768,Levels!F:F),0)</f>
        <v>6.9085714285714284</v>
      </c>
      <c r="E768" s="6">
        <f>_xlfn.MAXIFS(Levels!E:E,Levels!B:B,A768)</f>
        <v>28.75</v>
      </c>
      <c r="F768" s="6">
        <f>_xlfn.MAXIFS(Levels!F:F,Levels!B:B,A768)</f>
        <v>8.48</v>
      </c>
    </row>
    <row r="769" spans="1:6" x14ac:dyDescent="0.3">
      <c r="A769" t="s">
        <v>3541</v>
      </c>
      <c r="B769" s="9">
        <f>COUNTIF(Levels!B:B,A769)</f>
        <v>1</v>
      </c>
      <c r="C769" s="9">
        <f>IFERROR(AVERAGEIF(Levels!B:B,A769,Levels!E:E),0)</f>
        <v>7</v>
      </c>
      <c r="D769" s="9">
        <f>IFERROR(AVERAGEIF(Levels!B:B,A769,Levels!F:F),0)</f>
        <v>4.25</v>
      </c>
      <c r="E769" s="9">
        <f>_xlfn.MAXIFS(Levels!E:E,Levels!B:B,A769)</f>
        <v>7</v>
      </c>
      <c r="F769" s="9">
        <f>_xlfn.MAXIFS(Levels!F:F,Levels!B:B,A769)</f>
        <v>4.25</v>
      </c>
    </row>
    <row r="770" spans="1:6" x14ac:dyDescent="0.3">
      <c r="A770" t="s">
        <v>3545</v>
      </c>
      <c r="B770" s="6">
        <f>COUNTIF(Levels!B:B,A770)</f>
        <v>2</v>
      </c>
      <c r="C770" s="6">
        <f>IFERROR(AVERAGEIF(Levels!B:B,A770,Levels!E:E),0)</f>
        <v>10.015000000000001</v>
      </c>
      <c r="D770" s="6">
        <f>IFERROR(AVERAGEIF(Levels!B:B,A770,Levels!F:F),0)</f>
        <v>7.55</v>
      </c>
      <c r="E770" s="6">
        <f>_xlfn.MAXIFS(Levels!E:E,Levels!B:B,A770)</f>
        <v>12.17</v>
      </c>
      <c r="F770" s="6">
        <f>_xlfn.MAXIFS(Levels!F:F,Levels!B:B,A770)</f>
        <v>7.8</v>
      </c>
    </row>
    <row r="771" spans="1:6" x14ac:dyDescent="0.3">
      <c r="A771" t="s">
        <v>3550</v>
      </c>
      <c r="B771" s="9">
        <f>COUNTIF(Levels!B:B,A771)</f>
        <v>7</v>
      </c>
      <c r="C771" s="9">
        <f>IFERROR(AVERAGEIF(Levels!B:B,A771,Levels!E:E),0)</f>
        <v>8.1571428571428566</v>
      </c>
      <c r="D771" s="9">
        <f>IFERROR(AVERAGEIF(Levels!B:B,A771,Levels!F:F),0)</f>
        <v>7.3914285714285706</v>
      </c>
      <c r="E771" s="9">
        <f>_xlfn.MAXIFS(Levels!E:E,Levels!B:B,A771)</f>
        <v>14.71</v>
      </c>
      <c r="F771" s="9">
        <f>_xlfn.MAXIFS(Levels!F:F,Levels!B:B,A771)</f>
        <v>8.11</v>
      </c>
    </row>
    <row r="772" spans="1:6" x14ac:dyDescent="0.3">
      <c r="A772" t="s">
        <v>3554</v>
      </c>
      <c r="B772" s="6">
        <f>COUNTIF(Levels!B:B,A772)</f>
        <v>4</v>
      </c>
      <c r="C772" s="6">
        <f>IFERROR(AVERAGEIF(Levels!B:B,A772,Levels!E:E),0)</f>
        <v>7.5474999999999994</v>
      </c>
      <c r="D772" s="6">
        <f>IFERROR(AVERAGEIF(Levels!B:B,A772,Levels!F:F),0)</f>
        <v>6.8599999999999994</v>
      </c>
      <c r="E772" s="6">
        <f>_xlfn.MAXIFS(Levels!E:E,Levels!B:B,A772)</f>
        <v>12.25</v>
      </c>
      <c r="F772" s="6">
        <f>_xlfn.MAXIFS(Levels!F:F,Levels!B:B,A772)</f>
        <v>7.77</v>
      </c>
    </row>
    <row r="773" spans="1:6" x14ac:dyDescent="0.3">
      <c r="A773" t="s">
        <v>3559</v>
      </c>
      <c r="B773" s="9">
        <f>COUNTIF(Levels!B:B,A773)</f>
        <v>1</v>
      </c>
      <c r="C773" s="9">
        <f>IFERROR(AVERAGEIF(Levels!B:B,A773,Levels!E:E),0)</f>
        <v>12.25</v>
      </c>
      <c r="D773" s="9">
        <f>IFERROR(AVERAGEIF(Levels!B:B,A773,Levels!F:F),0)</f>
        <v>6.75</v>
      </c>
      <c r="E773" s="9">
        <f>_xlfn.MAXIFS(Levels!E:E,Levels!B:B,A773)</f>
        <v>12.25</v>
      </c>
      <c r="F773" s="9">
        <f>_xlfn.MAXIFS(Levels!F:F,Levels!B:B,A773)</f>
        <v>6.75</v>
      </c>
    </row>
    <row r="774" spans="1:6" x14ac:dyDescent="0.3">
      <c r="A774" t="s">
        <v>3567</v>
      </c>
      <c r="B774" s="6">
        <f>COUNTIF(Levels!B:B,A774)</f>
        <v>1</v>
      </c>
      <c r="C774" s="6">
        <f>IFERROR(AVERAGEIF(Levels!B:B,A774,Levels!E:E),0)</f>
        <v>4.3600000000000003</v>
      </c>
      <c r="D774" s="6">
        <f>IFERROR(AVERAGEIF(Levels!B:B,A774,Levels!F:F),0)</f>
        <v>5.23</v>
      </c>
      <c r="E774" s="6">
        <f>_xlfn.MAXIFS(Levels!E:E,Levels!B:B,A774)</f>
        <v>4.3600000000000003</v>
      </c>
      <c r="F774" s="6">
        <f>_xlfn.MAXIFS(Levels!F:F,Levels!B:B,A774)</f>
        <v>5.23</v>
      </c>
    </row>
    <row r="775" spans="1:6" x14ac:dyDescent="0.3">
      <c r="A775" t="s">
        <v>3575</v>
      </c>
      <c r="B775" s="9">
        <f>COUNTIF(Levels!B:B,A775)</f>
        <v>1</v>
      </c>
      <c r="C775" s="9">
        <f>IFERROR(AVERAGEIF(Levels!B:B,A775,Levels!E:E),0)</f>
        <v>7</v>
      </c>
      <c r="D775" s="9">
        <f>IFERROR(AVERAGEIF(Levels!B:B,A775,Levels!F:F),0)</f>
        <v>4.67</v>
      </c>
      <c r="E775" s="9">
        <f>_xlfn.MAXIFS(Levels!E:E,Levels!B:B,A775)</f>
        <v>7</v>
      </c>
      <c r="F775" s="9">
        <f>_xlfn.MAXIFS(Levels!F:F,Levels!B:B,A775)</f>
        <v>4.67</v>
      </c>
    </row>
    <row r="776" spans="1:6" x14ac:dyDescent="0.3">
      <c r="A776" t="s">
        <v>3580</v>
      </c>
      <c r="B776" s="6">
        <f>COUNTIF(Levels!B:B,A776)</f>
        <v>8</v>
      </c>
      <c r="C776" s="6">
        <f>IFERROR(AVERAGEIF(Levels!B:B,A776,Levels!E:E),0)</f>
        <v>20.756249999999998</v>
      </c>
      <c r="D776" s="6">
        <f>IFERROR(AVERAGEIF(Levels!B:B,A776,Levels!F:F),0)</f>
        <v>7.55</v>
      </c>
      <c r="E776" s="6">
        <f>_xlfn.MAXIFS(Levels!E:E,Levels!B:B,A776)</f>
        <v>31</v>
      </c>
      <c r="F776" s="6">
        <f>_xlfn.MAXIFS(Levels!F:F,Levels!B:B,A776)</f>
        <v>9</v>
      </c>
    </row>
    <row r="777" spans="1:6" x14ac:dyDescent="0.3">
      <c r="A777" t="s">
        <v>3582</v>
      </c>
      <c r="B777" s="9">
        <f>COUNTIF(Levels!B:B,A777)</f>
        <v>2</v>
      </c>
      <c r="C777" s="9">
        <f>IFERROR(AVERAGEIF(Levels!B:B,A777,Levels!E:E),0)</f>
        <v>9.370000000000001</v>
      </c>
      <c r="D777" s="9">
        <f>IFERROR(AVERAGEIF(Levels!B:B,A777,Levels!F:F),0)</f>
        <v>7.4249999999999998</v>
      </c>
      <c r="E777" s="9">
        <f>_xlfn.MAXIFS(Levels!E:E,Levels!B:B,A777)</f>
        <v>9.4</v>
      </c>
      <c r="F777" s="9">
        <f>_xlfn.MAXIFS(Levels!F:F,Levels!B:B,A777)</f>
        <v>8.35</v>
      </c>
    </row>
    <row r="778" spans="1:6" x14ac:dyDescent="0.3">
      <c r="A778" t="s">
        <v>3585</v>
      </c>
      <c r="B778" s="6">
        <f>COUNTIF(Levels!B:B,A778)</f>
        <v>2</v>
      </c>
      <c r="C778" s="6">
        <f>IFERROR(AVERAGEIF(Levels!B:B,A778,Levels!E:E),0)</f>
        <v>4.5299999999999994</v>
      </c>
      <c r="D778" s="6">
        <f>IFERROR(AVERAGEIF(Levels!B:B,A778,Levels!F:F),0)</f>
        <v>5.98</v>
      </c>
      <c r="E778" s="6">
        <f>_xlfn.MAXIFS(Levels!E:E,Levels!B:B,A778)</f>
        <v>5.6</v>
      </c>
      <c r="F778" s="6">
        <f>_xlfn.MAXIFS(Levels!F:F,Levels!B:B,A778)</f>
        <v>6.16</v>
      </c>
    </row>
    <row r="779" spans="1:6" x14ac:dyDescent="0.3">
      <c r="A779" t="s">
        <v>3591</v>
      </c>
      <c r="B779" s="9">
        <f>COUNTIF(Levels!B:B,A779)</f>
        <v>1</v>
      </c>
      <c r="C779" s="9">
        <f>IFERROR(AVERAGEIF(Levels!B:B,A779,Levels!E:E),0)</f>
        <v>5.79</v>
      </c>
      <c r="D779" s="9">
        <f>IFERROR(AVERAGEIF(Levels!B:B,A779,Levels!F:F),0)</f>
        <v>6.67</v>
      </c>
      <c r="E779" s="9">
        <f>_xlfn.MAXIFS(Levels!E:E,Levels!B:B,A779)</f>
        <v>5.79</v>
      </c>
      <c r="F779" s="9">
        <f>_xlfn.MAXIFS(Levels!F:F,Levels!B:B,A779)</f>
        <v>6.67</v>
      </c>
    </row>
    <row r="780" spans="1:6" x14ac:dyDescent="0.3">
      <c r="A780" t="s">
        <v>3596</v>
      </c>
      <c r="B780" s="6">
        <f>COUNTIF(Levels!B:B,A780)</f>
        <v>1</v>
      </c>
      <c r="C780" s="6">
        <f>IFERROR(AVERAGEIF(Levels!B:B,A780,Levels!E:E),0)</f>
        <v>9.67</v>
      </c>
      <c r="D780" s="6">
        <f>IFERROR(AVERAGEIF(Levels!B:B,A780,Levels!F:F),0)</f>
        <v>2.5</v>
      </c>
      <c r="E780" s="6">
        <f>_xlfn.MAXIFS(Levels!E:E,Levels!B:B,A780)</f>
        <v>9.67</v>
      </c>
      <c r="F780" s="6">
        <f>_xlfn.MAXIFS(Levels!F:F,Levels!B:B,A780)</f>
        <v>2.5</v>
      </c>
    </row>
    <row r="781" spans="1:6" x14ac:dyDescent="0.3">
      <c r="A781" t="s">
        <v>3598</v>
      </c>
      <c r="B781" s="9">
        <f>COUNTIF(Levels!B:B,A781)</f>
        <v>6</v>
      </c>
      <c r="C781" s="9">
        <f>IFERROR(AVERAGEIF(Levels!B:B,A781,Levels!E:E),0)</f>
        <v>6.1950000000000003</v>
      </c>
      <c r="D781" s="9">
        <f>IFERROR(AVERAGEIF(Levels!B:B,A781,Levels!F:F),0)</f>
        <v>7.3133333333333335</v>
      </c>
      <c r="E781" s="9">
        <f>_xlfn.MAXIFS(Levels!E:E,Levels!B:B,A781)</f>
        <v>18.16</v>
      </c>
      <c r="F781" s="9">
        <f>_xlfn.MAXIFS(Levels!F:F,Levels!B:B,A781)</f>
        <v>8.2100000000000009</v>
      </c>
    </row>
    <row r="782" spans="1:6" x14ac:dyDescent="0.3">
      <c r="A782" t="s">
        <v>3607</v>
      </c>
      <c r="B782" s="6">
        <f>COUNTIF(Levels!B:B,A782)</f>
        <v>2</v>
      </c>
      <c r="C782" s="6">
        <f>IFERROR(AVERAGEIF(Levels!B:B,A782,Levels!E:E),0)</f>
        <v>6.51</v>
      </c>
      <c r="D782" s="6">
        <f>IFERROR(AVERAGEIF(Levels!B:B,A782,Levels!F:F),0)</f>
        <v>5.6050000000000004</v>
      </c>
      <c r="E782" s="6">
        <f>_xlfn.MAXIFS(Levels!E:E,Levels!B:B,A782)</f>
        <v>8.33</v>
      </c>
      <c r="F782" s="6">
        <f>_xlfn.MAXIFS(Levels!F:F,Levels!B:B,A782)</f>
        <v>7.21</v>
      </c>
    </row>
    <row r="783" spans="1:6" x14ac:dyDescent="0.3">
      <c r="A783" t="s">
        <v>3609</v>
      </c>
      <c r="B783" s="9">
        <f>COUNTIF(Levels!B:B,A783)</f>
        <v>9</v>
      </c>
      <c r="C783" s="9">
        <f>IFERROR(AVERAGEIF(Levels!B:B,A783,Levels!E:E),0)</f>
        <v>3.8122222222222226</v>
      </c>
      <c r="D783" s="9">
        <f>IFERROR(AVERAGEIF(Levels!B:B,A783,Levels!F:F),0)</f>
        <v>6.4688888888888885</v>
      </c>
      <c r="E783" s="9">
        <f>_xlfn.MAXIFS(Levels!E:E,Levels!B:B,A783)</f>
        <v>7.4</v>
      </c>
      <c r="F783" s="9">
        <f>_xlfn.MAXIFS(Levels!F:F,Levels!B:B,A783)</f>
        <v>7.34</v>
      </c>
    </row>
    <row r="784" spans="1:6" x14ac:dyDescent="0.3">
      <c r="A784" t="s">
        <v>3618</v>
      </c>
      <c r="B784" s="6">
        <f>COUNTIF(Levels!B:B,A784)</f>
        <v>1</v>
      </c>
      <c r="C784" s="6">
        <f>IFERROR(AVERAGEIF(Levels!B:B,A784,Levels!E:E),0)</f>
        <v>26.44</v>
      </c>
      <c r="D784" s="6">
        <f>IFERROR(AVERAGEIF(Levels!B:B,A784,Levels!F:F),0)</f>
        <v>5.3</v>
      </c>
      <c r="E784" s="6">
        <f>_xlfn.MAXIFS(Levels!E:E,Levels!B:B,A784)</f>
        <v>26.44</v>
      </c>
      <c r="F784" s="6">
        <f>_xlfn.MAXIFS(Levels!F:F,Levels!B:B,A784)</f>
        <v>5.3</v>
      </c>
    </row>
    <row r="785" spans="1:6" x14ac:dyDescent="0.3">
      <c r="A785" t="s">
        <v>3620</v>
      </c>
      <c r="B785" s="9">
        <f>COUNTIF(Levels!B:B,A785)</f>
        <v>1</v>
      </c>
      <c r="C785" s="9">
        <f>IFERROR(AVERAGEIF(Levels!B:B,A785,Levels!E:E),0)</f>
        <v>19.5</v>
      </c>
      <c r="D785" s="9">
        <f>IFERROR(AVERAGEIF(Levels!B:B,A785,Levels!F:F),0)</f>
        <v>3</v>
      </c>
      <c r="E785" s="9">
        <f>_xlfn.MAXIFS(Levels!E:E,Levels!B:B,A785)</f>
        <v>19.5</v>
      </c>
      <c r="F785" s="9">
        <f>_xlfn.MAXIFS(Levels!F:F,Levels!B:B,A785)</f>
        <v>3</v>
      </c>
    </row>
    <row r="786" spans="1:6" x14ac:dyDescent="0.3">
      <c r="A786" t="s">
        <v>3627</v>
      </c>
      <c r="B786" s="6">
        <f>COUNTIF(Levels!B:B,A786)</f>
        <v>7</v>
      </c>
      <c r="C786" s="6">
        <f>IFERROR(AVERAGEIF(Levels!B:B,A786,Levels!E:E),0)</f>
        <v>9.67</v>
      </c>
      <c r="D786" s="6">
        <f>IFERROR(AVERAGEIF(Levels!B:B,A786,Levels!F:F),0)</f>
        <v>7.31</v>
      </c>
      <c r="E786" s="6">
        <f>_xlfn.MAXIFS(Levels!E:E,Levels!B:B,A786)</f>
        <v>16.13</v>
      </c>
      <c r="F786" s="6">
        <f>_xlfn.MAXIFS(Levels!F:F,Levels!B:B,A786)</f>
        <v>8.59</v>
      </c>
    </row>
    <row r="787" spans="1:6" x14ac:dyDescent="0.3">
      <c r="A787" t="s">
        <v>3631</v>
      </c>
      <c r="B787" s="9">
        <f>COUNTIF(Levels!B:B,A787)</f>
        <v>2</v>
      </c>
      <c r="C787" s="9">
        <f>IFERROR(AVERAGEIF(Levels!B:B,A787,Levels!E:E),0)</f>
        <v>11.815000000000001</v>
      </c>
      <c r="D787" s="9">
        <f>IFERROR(AVERAGEIF(Levels!B:B,A787,Levels!F:F),0)</f>
        <v>5.79</v>
      </c>
      <c r="E787" s="9">
        <f>_xlfn.MAXIFS(Levels!E:E,Levels!B:B,A787)</f>
        <v>16.920000000000002</v>
      </c>
      <c r="F787" s="9">
        <f>_xlfn.MAXIFS(Levels!F:F,Levels!B:B,A787)</f>
        <v>6.2</v>
      </c>
    </row>
    <row r="788" spans="1:6" x14ac:dyDescent="0.3">
      <c r="A788" t="s">
        <v>3634</v>
      </c>
      <c r="B788" s="6">
        <f>COUNTIF(Levels!B:B,A788)</f>
        <v>8</v>
      </c>
      <c r="C788" s="6">
        <f>IFERROR(AVERAGEIF(Levels!B:B,A788,Levels!E:E),0)</f>
        <v>4.4612500000000006</v>
      </c>
      <c r="D788" s="6">
        <f>IFERROR(AVERAGEIF(Levels!B:B,A788,Levels!F:F),0)</f>
        <v>7.0874999999999986</v>
      </c>
      <c r="E788" s="6">
        <f>_xlfn.MAXIFS(Levels!E:E,Levels!B:B,A788)</f>
        <v>7.86</v>
      </c>
      <c r="F788" s="6">
        <f>_xlfn.MAXIFS(Levels!F:F,Levels!B:B,A788)</f>
        <v>8.33</v>
      </c>
    </row>
    <row r="789" spans="1:6" x14ac:dyDescent="0.3">
      <c r="A789" t="s">
        <v>3636</v>
      </c>
      <c r="B789" s="9">
        <f>COUNTIF(Levels!B:B,A789)</f>
        <v>1</v>
      </c>
      <c r="C789" s="9">
        <f>IFERROR(AVERAGEIF(Levels!B:B,A789,Levels!E:E),0)</f>
        <v>13</v>
      </c>
      <c r="D789" s="9">
        <f>IFERROR(AVERAGEIF(Levels!B:B,A789,Levels!F:F),0)</f>
        <v>3.57</v>
      </c>
      <c r="E789" s="9">
        <f>_xlfn.MAXIFS(Levels!E:E,Levels!B:B,A789)</f>
        <v>13</v>
      </c>
      <c r="F789" s="9">
        <f>_xlfn.MAXIFS(Levels!F:F,Levels!B:B,A789)</f>
        <v>3.57</v>
      </c>
    </row>
    <row r="790" spans="1:6" x14ac:dyDescent="0.3">
      <c r="A790" t="s">
        <v>3640</v>
      </c>
      <c r="B790" s="6">
        <f>COUNTIF(Levels!B:B,A790)</f>
        <v>2</v>
      </c>
      <c r="C790" s="6">
        <f>IFERROR(AVERAGEIF(Levels!B:B,A790,Levels!E:E),0)</f>
        <v>6.0150000000000006</v>
      </c>
      <c r="D790" s="6">
        <f>IFERROR(AVERAGEIF(Levels!B:B,A790,Levels!F:F),0)</f>
        <v>3.32</v>
      </c>
      <c r="E790" s="6">
        <f>_xlfn.MAXIFS(Levels!E:E,Levels!B:B,A790)</f>
        <v>7.67</v>
      </c>
      <c r="F790" s="6">
        <f>_xlfn.MAXIFS(Levels!F:F,Levels!B:B,A790)</f>
        <v>4.6399999999999997</v>
      </c>
    </row>
    <row r="791" spans="1:6" x14ac:dyDescent="0.3">
      <c r="A791" t="s">
        <v>3643</v>
      </c>
      <c r="B791" s="9">
        <f>COUNTIF(Levels!B:B,A791)</f>
        <v>1</v>
      </c>
      <c r="C791" s="9">
        <f>IFERROR(AVERAGEIF(Levels!B:B,A791,Levels!E:E),0)</f>
        <v>6.63</v>
      </c>
      <c r="D791" s="9">
        <f>IFERROR(AVERAGEIF(Levels!B:B,A791,Levels!F:F),0)</f>
        <v>5.6</v>
      </c>
      <c r="E791" s="9">
        <f>_xlfn.MAXIFS(Levels!E:E,Levels!B:B,A791)</f>
        <v>6.63</v>
      </c>
      <c r="F791" s="9">
        <f>_xlfn.MAXIFS(Levels!F:F,Levels!B:B,A791)</f>
        <v>5.6</v>
      </c>
    </row>
    <row r="792" spans="1:6" x14ac:dyDescent="0.3">
      <c r="A792" t="s">
        <v>3662</v>
      </c>
      <c r="B792" s="6">
        <f>COUNTIF(Levels!B:B,A792)</f>
        <v>2</v>
      </c>
      <c r="C792" s="6">
        <f>IFERROR(AVERAGEIF(Levels!B:B,A792,Levels!E:E),0)</f>
        <v>10.52</v>
      </c>
      <c r="D792" s="6">
        <f>IFERROR(AVERAGEIF(Levels!B:B,A792,Levels!F:F),0)</f>
        <v>6.79</v>
      </c>
      <c r="E792" s="6">
        <f>_xlfn.MAXIFS(Levels!E:E,Levels!B:B,A792)</f>
        <v>16.329999999999998</v>
      </c>
      <c r="F792" s="6">
        <f>_xlfn.MAXIFS(Levels!F:F,Levels!B:B,A792)</f>
        <v>7.33</v>
      </c>
    </row>
    <row r="793" spans="1:6" x14ac:dyDescent="0.3">
      <c r="A793" t="s">
        <v>3668</v>
      </c>
      <c r="B793" s="9">
        <f>COUNTIF(Levels!B:B,A793)</f>
        <v>2</v>
      </c>
      <c r="C793" s="9">
        <f>IFERROR(AVERAGEIF(Levels!B:B,A793,Levels!E:E),0)</f>
        <v>12.565</v>
      </c>
      <c r="D793" s="9">
        <f>IFERROR(AVERAGEIF(Levels!B:B,A793,Levels!F:F),0)</f>
        <v>8.4149999999999991</v>
      </c>
      <c r="E793" s="9">
        <f>_xlfn.MAXIFS(Levels!E:E,Levels!B:B,A793)</f>
        <v>18.559999999999999</v>
      </c>
      <c r="F793" s="9">
        <f>_xlfn.MAXIFS(Levels!F:F,Levels!B:B,A793)</f>
        <v>8.69</v>
      </c>
    </row>
    <row r="794" spans="1:6" x14ac:dyDescent="0.3">
      <c r="A794" t="s">
        <v>3674</v>
      </c>
      <c r="B794" s="6">
        <f>COUNTIF(Levels!B:B,A794)</f>
        <v>1</v>
      </c>
      <c r="C794" s="6">
        <f>IFERROR(AVERAGEIF(Levels!B:B,A794,Levels!E:E),0)</f>
        <v>4.2</v>
      </c>
      <c r="D794" s="6">
        <f>IFERROR(AVERAGEIF(Levels!B:B,A794,Levels!F:F),0)</f>
        <v>5.19</v>
      </c>
      <c r="E794" s="6">
        <f>_xlfn.MAXIFS(Levels!E:E,Levels!B:B,A794)</f>
        <v>4.2</v>
      </c>
      <c r="F794" s="6">
        <f>_xlfn.MAXIFS(Levels!F:F,Levels!B:B,A794)</f>
        <v>5.19</v>
      </c>
    </row>
    <row r="795" spans="1:6" x14ac:dyDescent="0.3">
      <c r="A795" t="s">
        <v>3679</v>
      </c>
      <c r="B795" s="9">
        <f>COUNTIF(Levels!B:B,A795)</f>
        <v>3</v>
      </c>
      <c r="C795" s="9">
        <f>IFERROR(AVERAGEIF(Levels!B:B,A795,Levels!E:E),0)</f>
        <v>7.3133333333333335</v>
      </c>
      <c r="D795" s="9">
        <f>IFERROR(AVERAGEIF(Levels!B:B,A795,Levels!F:F),0)</f>
        <v>7.1000000000000005</v>
      </c>
      <c r="E795" s="9">
        <f>_xlfn.MAXIFS(Levels!E:E,Levels!B:B,A795)</f>
        <v>11.97</v>
      </c>
      <c r="F795" s="9">
        <f>_xlfn.MAXIFS(Levels!F:F,Levels!B:B,A795)</f>
        <v>7.9</v>
      </c>
    </row>
    <row r="796" spans="1:6" x14ac:dyDescent="0.3">
      <c r="A796" t="s">
        <v>3681</v>
      </c>
      <c r="B796" s="6">
        <f>COUNTIF(Levels!B:B,A796)</f>
        <v>8</v>
      </c>
      <c r="C796" s="6">
        <f>IFERROR(AVERAGEIF(Levels!B:B,A796,Levels!E:E),0)</f>
        <v>25.111428571428572</v>
      </c>
      <c r="D796" s="6">
        <f>IFERROR(AVERAGEIF(Levels!B:B,A796,Levels!F:F),0)</f>
        <v>6.9771428571428569</v>
      </c>
      <c r="E796" s="6">
        <f>_xlfn.MAXIFS(Levels!E:E,Levels!B:B,A796)</f>
        <v>35</v>
      </c>
      <c r="F796" s="6">
        <f>_xlfn.MAXIFS(Levels!F:F,Levels!B:B,A796)</f>
        <v>8.6</v>
      </c>
    </row>
    <row r="797" spans="1:6" x14ac:dyDescent="0.3">
      <c r="A797" t="s">
        <v>3685</v>
      </c>
      <c r="B797" s="9">
        <f>COUNTIF(Levels!B:B,A797)</f>
        <v>3</v>
      </c>
      <c r="C797" s="9">
        <f>IFERROR(AVERAGEIF(Levels!B:B,A797,Levels!E:E),0)</f>
        <v>6.1866666666666674</v>
      </c>
      <c r="D797" s="9">
        <f>IFERROR(AVERAGEIF(Levels!B:B,A797,Levels!F:F),0)</f>
        <v>5.22</v>
      </c>
      <c r="E797" s="9">
        <f>_xlfn.MAXIFS(Levels!E:E,Levels!B:B,A797)</f>
        <v>8.4</v>
      </c>
      <c r="F797" s="9">
        <f>_xlfn.MAXIFS(Levels!F:F,Levels!B:B,A797)</f>
        <v>6</v>
      </c>
    </row>
    <row r="798" spans="1:6" x14ac:dyDescent="0.3">
      <c r="A798" t="s">
        <v>3690</v>
      </c>
      <c r="B798" s="6">
        <f>COUNTIF(Levels!B:B,A798)</f>
        <v>1</v>
      </c>
      <c r="C798" s="6">
        <f>IFERROR(AVERAGEIF(Levels!B:B,A798,Levels!E:E),0)</f>
        <v>11.8</v>
      </c>
      <c r="D798" s="6">
        <f>IFERROR(AVERAGEIF(Levels!B:B,A798,Levels!F:F),0)</f>
        <v>6</v>
      </c>
      <c r="E798" s="6">
        <f>_xlfn.MAXIFS(Levels!E:E,Levels!B:B,A798)</f>
        <v>11.8</v>
      </c>
      <c r="F798" s="6">
        <f>_xlfn.MAXIFS(Levels!F:F,Levels!B:B,A798)</f>
        <v>6</v>
      </c>
    </row>
    <row r="799" spans="1:6" x14ac:dyDescent="0.3">
      <c r="A799" t="s">
        <v>3692</v>
      </c>
      <c r="B799" s="9">
        <f>COUNTIF(Levels!B:B,A799)</f>
        <v>18</v>
      </c>
      <c r="C799" s="9">
        <f>IFERROR(AVERAGEIF(Levels!B:B,A799,Levels!E:E),0)</f>
        <v>5.0583333333333336</v>
      </c>
      <c r="D799" s="9">
        <f>IFERROR(AVERAGEIF(Levels!B:B,A799,Levels!F:F),0)</f>
        <v>6.0099999999999989</v>
      </c>
      <c r="E799" s="9">
        <f>_xlfn.MAXIFS(Levels!E:E,Levels!B:B,A799)</f>
        <v>11.75</v>
      </c>
      <c r="F799" s="9">
        <f>_xlfn.MAXIFS(Levels!F:F,Levels!B:B,A799)</f>
        <v>6.84</v>
      </c>
    </row>
    <row r="800" spans="1:6" x14ac:dyDescent="0.3">
      <c r="A800" t="s">
        <v>3695</v>
      </c>
      <c r="B800" s="6">
        <f>COUNTIF(Levels!B:B,A800)</f>
        <v>3</v>
      </c>
      <c r="C800" s="6">
        <f>IFERROR(AVERAGEIF(Levels!B:B,A800,Levels!E:E),0)</f>
        <v>3.7766666666666668</v>
      </c>
      <c r="D800" s="6">
        <f>IFERROR(AVERAGEIF(Levels!B:B,A800,Levels!F:F),0)</f>
        <v>6.6933333333333325</v>
      </c>
      <c r="E800" s="6">
        <f>_xlfn.MAXIFS(Levels!E:E,Levels!B:B,A800)</f>
        <v>4.2699999999999996</v>
      </c>
      <c r="F800" s="6">
        <f>_xlfn.MAXIFS(Levels!F:F,Levels!B:B,A800)</f>
        <v>7.25</v>
      </c>
    </row>
    <row r="801" spans="1:6" x14ac:dyDescent="0.3">
      <c r="A801" t="s">
        <v>3698</v>
      </c>
      <c r="B801" s="9">
        <f>COUNTIF(Levels!B:B,A801)</f>
        <v>1</v>
      </c>
      <c r="C801" s="9">
        <f>IFERROR(AVERAGEIF(Levels!B:B,A801,Levels!E:E),0)</f>
        <v>17</v>
      </c>
      <c r="D801" s="9">
        <f>IFERROR(AVERAGEIF(Levels!B:B,A801,Levels!F:F),0)</f>
        <v>5</v>
      </c>
      <c r="E801" s="9">
        <f>_xlfn.MAXIFS(Levels!E:E,Levels!B:B,A801)</f>
        <v>17</v>
      </c>
      <c r="F801" s="9">
        <f>_xlfn.MAXIFS(Levels!F:F,Levels!B:B,A801)</f>
        <v>5</v>
      </c>
    </row>
    <row r="802" spans="1:6" x14ac:dyDescent="0.3">
      <c r="A802" t="s">
        <v>3703</v>
      </c>
      <c r="B802" s="6">
        <f>COUNTIF(Levels!B:B,A802)</f>
        <v>2</v>
      </c>
      <c r="C802" s="6">
        <f>IFERROR(AVERAGEIF(Levels!B:B,A802,Levels!E:E),0)</f>
        <v>16.945</v>
      </c>
      <c r="D802" s="6">
        <f>IFERROR(AVERAGEIF(Levels!B:B,A802,Levels!F:F),0)</f>
        <v>5.9550000000000001</v>
      </c>
      <c r="E802" s="6">
        <f>_xlfn.MAXIFS(Levels!E:E,Levels!B:B,A802)</f>
        <v>17.89</v>
      </c>
      <c r="F802" s="6">
        <f>_xlfn.MAXIFS(Levels!F:F,Levels!B:B,A802)</f>
        <v>7.24</v>
      </c>
    </row>
    <row r="803" spans="1:6" x14ac:dyDescent="0.3">
      <c r="A803" t="s">
        <v>3708</v>
      </c>
      <c r="B803" s="9">
        <f>COUNTIF(Levels!B:B,A803)</f>
        <v>3</v>
      </c>
      <c r="C803" s="9">
        <f>IFERROR(AVERAGEIF(Levels!B:B,A803,Levels!E:E),0)</f>
        <v>5.72</v>
      </c>
      <c r="D803" s="9">
        <f>IFERROR(AVERAGEIF(Levels!B:B,A803,Levels!F:F),0)</f>
        <v>6.03</v>
      </c>
      <c r="E803" s="9">
        <f>_xlfn.MAXIFS(Levels!E:E,Levels!B:B,A803)</f>
        <v>7</v>
      </c>
      <c r="F803" s="9">
        <f>_xlfn.MAXIFS(Levels!F:F,Levels!B:B,A803)</f>
        <v>6.86</v>
      </c>
    </row>
    <row r="804" spans="1:6" x14ac:dyDescent="0.3">
      <c r="A804" t="s">
        <v>3711</v>
      </c>
      <c r="B804" s="6">
        <f>COUNTIF(Levels!B:B,A804)</f>
        <v>1</v>
      </c>
      <c r="C804" s="6">
        <f>IFERROR(AVERAGEIF(Levels!B:B,A804,Levels!E:E),0)</f>
        <v>3.86</v>
      </c>
      <c r="D804" s="6">
        <f>IFERROR(AVERAGEIF(Levels!B:B,A804,Levels!F:F),0)</f>
        <v>5.54</v>
      </c>
      <c r="E804" s="6">
        <f>_xlfn.MAXIFS(Levels!E:E,Levels!B:B,A804)</f>
        <v>3.86</v>
      </c>
      <c r="F804" s="6">
        <f>_xlfn.MAXIFS(Levels!F:F,Levels!B:B,A804)</f>
        <v>5.54</v>
      </c>
    </row>
    <row r="805" spans="1:6" x14ac:dyDescent="0.3">
      <c r="A805" t="s">
        <v>3715</v>
      </c>
      <c r="B805" s="9">
        <f>COUNTIF(Levels!B:B,A805)</f>
        <v>3</v>
      </c>
      <c r="C805" s="9">
        <f>IFERROR(AVERAGEIF(Levels!B:B,A805,Levels!E:E),0)</f>
        <v>4.2566666666666668</v>
      </c>
      <c r="D805" s="9">
        <f>IFERROR(AVERAGEIF(Levels!B:B,A805,Levels!F:F),0)</f>
        <v>7.28</v>
      </c>
      <c r="E805" s="9">
        <f>_xlfn.MAXIFS(Levels!E:E,Levels!B:B,A805)</f>
        <v>7.05</v>
      </c>
      <c r="F805" s="9">
        <f>_xlfn.MAXIFS(Levels!F:F,Levels!B:B,A805)</f>
        <v>7.67</v>
      </c>
    </row>
    <row r="806" spans="1:6" x14ac:dyDescent="0.3">
      <c r="A806" t="s">
        <v>3719</v>
      </c>
      <c r="B806" s="6">
        <f>COUNTIF(Levels!B:B,A806)</f>
        <v>1</v>
      </c>
      <c r="C806" s="6">
        <f>IFERROR(AVERAGEIF(Levels!B:B,A806,Levels!E:E),0)</f>
        <v>18.27</v>
      </c>
      <c r="D806" s="6">
        <f>IFERROR(AVERAGEIF(Levels!B:B,A806,Levels!F:F),0)</f>
        <v>5.87</v>
      </c>
      <c r="E806" s="6">
        <f>_xlfn.MAXIFS(Levels!E:E,Levels!B:B,A806)</f>
        <v>18.27</v>
      </c>
      <c r="F806" s="6">
        <f>_xlfn.MAXIFS(Levels!F:F,Levels!B:B,A806)</f>
        <v>5.87</v>
      </c>
    </row>
    <row r="807" spans="1:6" x14ac:dyDescent="0.3">
      <c r="A807" t="s">
        <v>3721</v>
      </c>
      <c r="B807" s="9">
        <f>COUNTIF(Levels!B:B,A807)</f>
        <v>1</v>
      </c>
      <c r="C807" s="9">
        <f>IFERROR(AVERAGEIF(Levels!B:B,A807,Levels!E:E),0)</f>
        <v>10.57</v>
      </c>
      <c r="D807" s="9">
        <f>IFERROR(AVERAGEIF(Levels!B:B,A807,Levels!F:F),0)</f>
        <v>7.5</v>
      </c>
      <c r="E807" s="9">
        <f>_xlfn.MAXIFS(Levels!E:E,Levels!B:B,A807)</f>
        <v>10.57</v>
      </c>
      <c r="F807" s="9">
        <f>_xlfn.MAXIFS(Levels!F:F,Levels!B:B,A807)</f>
        <v>7.5</v>
      </c>
    </row>
    <row r="808" spans="1:6" x14ac:dyDescent="0.3">
      <c r="A808" t="s">
        <v>3730</v>
      </c>
      <c r="B808" s="6">
        <f>COUNTIF(Levels!B:B,A808)</f>
        <v>4</v>
      </c>
      <c r="C808" s="6">
        <f>IFERROR(AVERAGEIF(Levels!B:B,A808,Levels!E:E),0)</f>
        <v>14.329999999999998</v>
      </c>
      <c r="D808" s="6">
        <f>IFERROR(AVERAGEIF(Levels!B:B,A808,Levels!F:F),0)</f>
        <v>7.4424999999999999</v>
      </c>
      <c r="E808" s="6">
        <f>_xlfn.MAXIFS(Levels!E:E,Levels!B:B,A808)</f>
        <v>19.11</v>
      </c>
      <c r="F808" s="6">
        <f>_xlfn.MAXIFS(Levels!F:F,Levels!B:B,A808)</f>
        <v>9.5399999999999991</v>
      </c>
    </row>
    <row r="809" spans="1:6" x14ac:dyDescent="0.3">
      <c r="A809" t="s">
        <v>3735</v>
      </c>
      <c r="B809" s="9">
        <f>COUNTIF(Levels!B:B,A809)</f>
        <v>1</v>
      </c>
      <c r="C809" s="9">
        <f>IFERROR(AVERAGEIF(Levels!B:B,A809,Levels!E:E),0)</f>
        <v>7.91</v>
      </c>
      <c r="D809" s="9">
        <f>IFERROR(AVERAGEIF(Levels!B:B,A809,Levels!F:F),0)</f>
        <v>7.33</v>
      </c>
      <c r="E809" s="9">
        <f>_xlfn.MAXIFS(Levels!E:E,Levels!B:B,A809)</f>
        <v>7.91</v>
      </c>
      <c r="F809" s="9">
        <f>_xlfn.MAXIFS(Levels!F:F,Levels!B:B,A809)</f>
        <v>7.33</v>
      </c>
    </row>
    <row r="810" spans="1:6" x14ac:dyDescent="0.3">
      <c r="A810" t="s">
        <v>3739</v>
      </c>
      <c r="B810" s="6">
        <f>COUNTIF(Levels!B:B,A810)</f>
        <v>10</v>
      </c>
      <c r="C810" s="6">
        <f>IFERROR(AVERAGEIF(Levels!B:B,A810,Levels!E:E),0)</f>
        <v>11.249999999999998</v>
      </c>
      <c r="D810" s="6">
        <f>IFERROR(AVERAGEIF(Levels!B:B,A810,Levels!F:F),0)</f>
        <v>6.6830000000000016</v>
      </c>
      <c r="E810" s="6">
        <f>_xlfn.MAXIFS(Levels!E:E,Levels!B:B,A810)</f>
        <v>25.5</v>
      </c>
      <c r="F810" s="6">
        <f>_xlfn.MAXIFS(Levels!F:F,Levels!B:B,A810)</f>
        <v>8.33</v>
      </c>
    </row>
    <row r="811" spans="1:6" x14ac:dyDescent="0.3">
      <c r="A811" t="s">
        <v>3741</v>
      </c>
      <c r="B811" s="9">
        <f>COUNTIF(Levels!B:B,A811)</f>
        <v>2</v>
      </c>
      <c r="C811" s="9">
        <f>IFERROR(AVERAGEIF(Levels!B:B,A811,Levels!E:E),0)</f>
        <v>6.0049999999999999</v>
      </c>
      <c r="D811" s="9">
        <f>IFERROR(AVERAGEIF(Levels!B:B,A811,Levels!F:F),0)</f>
        <v>6.9450000000000003</v>
      </c>
      <c r="E811" s="9">
        <f>_xlfn.MAXIFS(Levels!E:E,Levels!B:B,A811)</f>
        <v>10</v>
      </c>
      <c r="F811" s="9">
        <f>_xlfn.MAXIFS(Levels!F:F,Levels!B:B,A811)</f>
        <v>7.39</v>
      </c>
    </row>
    <row r="812" spans="1:6" x14ac:dyDescent="0.3">
      <c r="A812" t="s">
        <v>3743</v>
      </c>
      <c r="B812" s="6">
        <f>COUNTIF(Levels!B:B,A812)</f>
        <v>1</v>
      </c>
      <c r="C812" s="6">
        <f>IFERROR(AVERAGEIF(Levels!B:B,A812,Levels!E:E),0)</f>
        <v>15.29</v>
      </c>
      <c r="D812" s="6">
        <f>IFERROR(AVERAGEIF(Levels!B:B,A812,Levels!F:F),0)</f>
        <v>8</v>
      </c>
      <c r="E812" s="6">
        <f>_xlfn.MAXIFS(Levels!E:E,Levels!B:B,A812)</f>
        <v>15.29</v>
      </c>
      <c r="F812" s="6">
        <f>_xlfn.MAXIFS(Levels!F:F,Levels!B:B,A812)</f>
        <v>8</v>
      </c>
    </row>
    <row r="813" spans="1:6" x14ac:dyDescent="0.3">
      <c r="A813" t="s">
        <v>3746</v>
      </c>
      <c r="B813" s="9">
        <f>COUNTIF(Levels!B:B,A813)</f>
        <v>17</v>
      </c>
      <c r="C813" s="9">
        <f>IFERROR(AVERAGEIF(Levels!B:B,A813,Levels!E:E),0)</f>
        <v>5.6925000000000008</v>
      </c>
      <c r="D813" s="9">
        <f>IFERROR(AVERAGEIF(Levels!B:B,A813,Levels!F:F),0)</f>
        <v>6.7135294117647053</v>
      </c>
      <c r="E813" s="9">
        <f>_xlfn.MAXIFS(Levels!E:E,Levels!B:B,A813)</f>
        <v>22</v>
      </c>
      <c r="F813" s="9">
        <f>_xlfn.MAXIFS(Levels!F:F,Levels!B:B,A813)</f>
        <v>8.1999999999999993</v>
      </c>
    </row>
    <row r="814" spans="1:6" x14ac:dyDescent="0.3">
      <c r="A814" t="s">
        <v>3749</v>
      </c>
      <c r="B814" s="6">
        <f>COUNTIF(Levels!B:B,A814)</f>
        <v>3</v>
      </c>
      <c r="C814" s="6">
        <f>IFERROR(AVERAGEIF(Levels!B:B,A814,Levels!E:E),0)</f>
        <v>8.6766666666666676</v>
      </c>
      <c r="D814" s="6">
        <f>IFERROR(AVERAGEIF(Levels!B:B,A814,Levels!F:F),0)</f>
        <v>7.4633333333333338</v>
      </c>
      <c r="E814" s="6">
        <f>_xlfn.MAXIFS(Levels!E:E,Levels!B:B,A814)</f>
        <v>15.46</v>
      </c>
      <c r="F814" s="6">
        <f>_xlfn.MAXIFS(Levels!F:F,Levels!B:B,A814)</f>
        <v>8.31</v>
      </c>
    </row>
    <row r="815" spans="1:6" x14ac:dyDescent="0.3">
      <c r="A815" t="s">
        <v>3755</v>
      </c>
      <c r="B815" s="9">
        <f>COUNTIF(Levels!B:B,A815)</f>
        <v>2</v>
      </c>
      <c r="C815" s="9">
        <f>IFERROR(AVERAGEIF(Levels!B:B,A815,Levels!E:E),0)</f>
        <v>5.52</v>
      </c>
      <c r="D815" s="9">
        <f>IFERROR(AVERAGEIF(Levels!B:B,A815,Levels!F:F),0)</f>
        <v>7.0250000000000004</v>
      </c>
      <c r="E815" s="9">
        <f>_xlfn.MAXIFS(Levels!E:E,Levels!B:B,A815)</f>
        <v>5.74</v>
      </c>
      <c r="F815" s="9">
        <f>_xlfn.MAXIFS(Levels!F:F,Levels!B:B,A815)</f>
        <v>7.85</v>
      </c>
    </row>
    <row r="816" spans="1:6" x14ac:dyDescent="0.3">
      <c r="A816" t="s">
        <v>3763</v>
      </c>
      <c r="B816" s="6">
        <f>COUNTIF(Levels!B:B,A816)</f>
        <v>1</v>
      </c>
      <c r="C816" s="6">
        <f>IFERROR(AVERAGEIF(Levels!B:B,A816,Levels!E:E),0)</f>
        <v>8.2200000000000006</v>
      </c>
      <c r="D816" s="6">
        <f>IFERROR(AVERAGEIF(Levels!B:B,A816,Levels!F:F),0)</f>
        <v>5.71</v>
      </c>
      <c r="E816" s="6">
        <f>_xlfn.MAXIFS(Levels!E:E,Levels!B:B,A816)</f>
        <v>8.2200000000000006</v>
      </c>
      <c r="F816" s="6">
        <f>_xlfn.MAXIFS(Levels!F:F,Levels!B:B,A816)</f>
        <v>5.71</v>
      </c>
    </row>
    <row r="817" spans="1:6" x14ac:dyDescent="0.3">
      <c r="A817" t="s">
        <v>3767</v>
      </c>
      <c r="B817" s="9">
        <f>COUNTIF(Levels!B:B,A817)</f>
        <v>3</v>
      </c>
      <c r="C817" s="9">
        <f>IFERROR(AVERAGEIF(Levels!B:B,A817,Levels!E:E),0)</f>
        <v>6.8</v>
      </c>
      <c r="D817" s="9">
        <f>IFERROR(AVERAGEIF(Levels!B:B,A817,Levels!F:F),0)</f>
        <v>6.6000000000000005</v>
      </c>
      <c r="E817" s="9">
        <f>_xlfn.MAXIFS(Levels!E:E,Levels!B:B,A817)</f>
        <v>11.67</v>
      </c>
      <c r="F817" s="9">
        <f>_xlfn.MAXIFS(Levels!F:F,Levels!B:B,A817)</f>
        <v>7.2</v>
      </c>
    </row>
    <row r="818" spans="1:6" x14ac:dyDescent="0.3">
      <c r="A818" t="s">
        <v>3774</v>
      </c>
      <c r="B818" s="6">
        <f>COUNTIF(Levels!B:B,A818)</f>
        <v>5</v>
      </c>
      <c r="C818" s="6">
        <f>IFERROR(AVERAGEIF(Levels!B:B,A818,Levels!E:E),0)</f>
        <v>7.8920000000000003</v>
      </c>
      <c r="D818" s="6">
        <f>IFERROR(AVERAGEIF(Levels!B:B,A818,Levels!F:F),0)</f>
        <v>5.1459999999999999</v>
      </c>
      <c r="E818" s="6">
        <f>_xlfn.MAXIFS(Levels!E:E,Levels!B:B,A818)</f>
        <v>14.63</v>
      </c>
      <c r="F818" s="6">
        <f>_xlfn.MAXIFS(Levels!F:F,Levels!B:B,A818)</f>
        <v>6.4</v>
      </c>
    </row>
    <row r="819" spans="1:6" x14ac:dyDescent="0.3">
      <c r="A819" t="s">
        <v>3778</v>
      </c>
      <c r="B819" s="9">
        <f>COUNTIF(Levels!B:B,A819)</f>
        <v>1</v>
      </c>
      <c r="C819" s="9">
        <f>IFERROR(AVERAGEIF(Levels!B:B,A819,Levels!E:E),0)</f>
        <v>15.72</v>
      </c>
      <c r="D819" s="9">
        <f>IFERROR(AVERAGEIF(Levels!B:B,A819,Levels!F:F),0)</f>
        <v>7.29</v>
      </c>
      <c r="E819" s="9">
        <f>_xlfn.MAXIFS(Levels!E:E,Levels!B:B,A819)</f>
        <v>15.72</v>
      </c>
      <c r="F819" s="9">
        <f>_xlfn.MAXIFS(Levels!F:F,Levels!B:B,A819)</f>
        <v>7.29</v>
      </c>
    </row>
    <row r="820" spans="1:6" x14ac:dyDescent="0.3">
      <c r="A820" t="s">
        <v>3780</v>
      </c>
      <c r="B820" s="6">
        <f>COUNTIF(Levels!B:B,A820)</f>
        <v>3</v>
      </c>
      <c r="C820" s="6">
        <f>IFERROR(AVERAGEIF(Levels!B:B,A820,Levels!E:E),0)</f>
        <v>27.994999999999997</v>
      </c>
      <c r="D820" s="6">
        <f>IFERROR(AVERAGEIF(Levels!B:B,A820,Levels!F:F),0)</f>
        <v>7.5</v>
      </c>
      <c r="E820" s="6">
        <f>_xlfn.MAXIFS(Levels!E:E,Levels!B:B,A820)</f>
        <v>30</v>
      </c>
      <c r="F820" s="6">
        <f>_xlfn.MAXIFS(Levels!F:F,Levels!B:B,A820)</f>
        <v>9</v>
      </c>
    </row>
    <row r="821" spans="1:6" x14ac:dyDescent="0.3">
      <c r="A821" t="s">
        <v>3782</v>
      </c>
      <c r="B821" s="9">
        <f>COUNTIF(Levels!B:B,A821)</f>
        <v>2</v>
      </c>
      <c r="C821" s="9">
        <f>IFERROR(AVERAGEIF(Levels!B:B,A821,Levels!E:E),0)</f>
        <v>2.7749999999999999</v>
      </c>
      <c r="D821" s="9">
        <f>IFERROR(AVERAGEIF(Levels!B:B,A821,Levels!F:F),0)</f>
        <v>6.2350000000000003</v>
      </c>
      <c r="E821" s="9">
        <f>_xlfn.MAXIFS(Levels!E:E,Levels!B:B,A821)</f>
        <v>3.79</v>
      </c>
      <c r="F821" s="9">
        <f>_xlfn.MAXIFS(Levels!F:F,Levels!B:B,A821)</f>
        <v>6.61</v>
      </c>
    </row>
    <row r="822" spans="1:6" x14ac:dyDescent="0.3">
      <c r="A822" t="s">
        <v>3795</v>
      </c>
      <c r="B822" s="6">
        <f>COUNTIF(Levels!B:B,A822)</f>
        <v>2</v>
      </c>
      <c r="C822" s="6">
        <f>IFERROR(AVERAGEIF(Levels!B:B,A822,Levels!E:E),0)</f>
        <v>6.5</v>
      </c>
      <c r="D822" s="6">
        <f>IFERROR(AVERAGEIF(Levels!B:B,A822,Levels!F:F),0)</f>
        <v>4.625</v>
      </c>
      <c r="E822" s="6">
        <f>_xlfn.MAXIFS(Levels!E:E,Levels!B:B,A822)</f>
        <v>7</v>
      </c>
      <c r="F822" s="6">
        <f>_xlfn.MAXIFS(Levels!F:F,Levels!B:B,A822)</f>
        <v>5.25</v>
      </c>
    </row>
    <row r="823" spans="1:6" x14ac:dyDescent="0.3">
      <c r="A823" t="s">
        <v>3800</v>
      </c>
      <c r="B823" s="9">
        <f>COUNTIF(Levels!B:B,A823)</f>
        <v>14</v>
      </c>
      <c r="C823" s="9">
        <f>IFERROR(AVERAGEIF(Levels!B:B,A823,Levels!E:E),0)</f>
        <v>8.2638461538461545</v>
      </c>
      <c r="D823" s="9">
        <f>IFERROR(AVERAGEIF(Levels!B:B,A823,Levels!F:F),0)</f>
        <v>7.3628571428571421</v>
      </c>
      <c r="E823" s="9">
        <f>_xlfn.MAXIFS(Levels!E:E,Levels!B:B,A823)</f>
        <v>21.5</v>
      </c>
      <c r="F823" s="9">
        <f>_xlfn.MAXIFS(Levels!F:F,Levels!B:B,A823)</f>
        <v>9.2100000000000009</v>
      </c>
    </row>
    <row r="824" spans="1:6" x14ac:dyDescent="0.3">
      <c r="A824" t="s">
        <v>3803</v>
      </c>
      <c r="B824" s="6">
        <f>COUNTIF(Levels!B:B,A824)</f>
        <v>21</v>
      </c>
      <c r="C824" s="6">
        <f>IFERROR(AVERAGEIF(Levels!B:B,A824,Levels!E:E),0)</f>
        <v>8.8576190476190497</v>
      </c>
      <c r="D824" s="6">
        <f>IFERROR(AVERAGEIF(Levels!B:B,A824,Levels!F:F),0)</f>
        <v>6.6480952380952392</v>
      </c>
      <c r="E824" s="6">
        <f>_xlfn.MAXIFS(Levels!E:E,Levels!B:B,A824)</f>
        <v>29.17</v>
      </c>
      <c r="F824" s="6">
        <f>_xlfn.MAXIFS(Levels!F:F,Levels!B:B,A824)</f>
        <v>8.8000000000000007</v>
      </c>
    </row>
    <row r="825" spans="1:6" x14ac:dyDescent="0.3">
      <c r="A825" t="s">
        <v>3805</v>
      </c>
      <c r="B825" s="9">
        <f>COUNTIF(Levels!B:B,A825)</f>
        <v>16</v>
      </c>
      <c r="C825" s="9">
        <f>IFERROR(AVERAGEIF(Levels!B:B,A825,Levels!E:E),0)</f>
        <v>5.9112500000000008</v>
      </c>
      <c r="D825" s="9">
        <f>IFERROR(AVERAGEIF(Levels!B:B,A825,Levels!F:F),0)</f>
        <v>6.7200000000000006</v>
      </c>
      <c r="E825" s="9">
        <f>_xlfn.MAXIFS(Levels!E:E,Levels!B:B,A825)</f>
        <v>20.100000000000001</v>
      </c>
      <c r="F825" s="9">
        <f>_xlfn.MAXIFS(Levels!F:F,Levels!B:B,A825)</f>
        <v>8.17</v>
      </c>
    </row>
    <row r="826" spans="1:6" x14ac:dyDescent="0.3">
      <c r="A826" t="s">
        <v>3809</v>
      </c>
      <c r="B826" s="6">
        <f>COUNTIF(Levels!B:B,A826)</f>
        <v>3</v>
      </c>
      <c r="C826" s="6">
        <f>IFERROR(AVERAGEIF(Levels!B:B,A826,Levels!E:E),0)</f>
        <v>10.36</v>
      </c>
      <c r="D826" s="6">
        <f>IFERROR(AVERAGEIF(Levels!B:B,A826,Levels!F:F),0)</f>
        <v>4.6833333333333336</v>
      </c>
      <c r="E826" s="6">
        <f>_xlfn.MAXIFS(Levels!E:E,Levels!B:B,A826)</f>
        <v>16.829999999999998</v>
      </c>
      <c r="F826" s="6">
        <f>_xlfn.MAXIFS(Levels!F:F,Levels!B:B,A826)</f>
        <v>7</v>
      </c>
    </row>
    <row r="827" spans="1:6" x14ac:dyDescent="0.3">
      <c r="A827" t="s">
        <v>3812</v>
      </c>
      <c r="B827" s="9">
        <f>COUNTIF(Levels!B:B,A827)</f>
        <v>1</v>
      </c>
      <c r="C827" s="9">
        <f>IFERROR(AVERAGEIF(Levels!B:B,A827,Levels!E:E),0)</f>
        <v>0</v>
      </c>
      <c r="D827" s="9">
        <f>IFERROR(AVERAGEIF(Levels!B:B,A827,Levels!F:F),0)</f>
        <v>0</v>
      </c>
      <c r="E827" s="9">
        <f>_xlfn.MAXIFS(Levels!E:E,Levels!B:B,A827)</f>
        <v>0</v>
      </c>
      <c r="F827" s="9">
        <f>_xlfn.MAXIFS(Levels!F:F,Levels!B:B,A827)</f>
        <v>0</v>
      </c>
    </row>
    <row r="828" spans="1:6" x14ac:dyDescent="0.3">
      <c r="A828" t="s">
        <v>3820</v>
      </c>
      <c r="B828" s="6">
        <f>COUNTIF(Levels!B:B,A828)</f>
        <v>7</v>
      </c>
      <c r="C828" s="6">
        <f>IFERROR(AVERAGEIF(Levels!B:B,A828,Levels!E:E),0)</f>
        <v>22.384285714285713</v>
      </c>
      <c r="D828" s="6">
        <f>IFERROR(AVERAGEIF(Levels!B:B,A828,Levels!F:F),0)</f>
        <v>7.6785714285714288</v>
      </c>
      <c r="E828" s="6">
        <f>_xlfn.MAXIFS(Levels!E:E,Levels!B:B,A828)</f>
        <v>31.11</v>
      </c>
      <c r="F828" s="6">
        <f>_xlfn.MAXIFS(Levels!F:F,Levels!B:B,A828)</f>
        <v>9.2899999999999991</v>
      </c>
    </row>
    <row r="829" spans="1:6" x14ac:dyDescent="0.3">
      <c r="A829" t="s">
        <v>3823</v>
      </c>
      <c r="B829" s="9">
        <f>COUNTIF(Levels!B:B,A829)</f>
        <v>9</v>
      </c>
      <c r="C829" s="9">
        <f>IFERROR(AVERAGEIF(Levels!B:B,A829,Levels!E:E),0)</f>
        <v>3.2877777777777775</v>
      </c>
      <c r="D829" s="9">
        <f>IFERROR(AVERAGEIF(Levels!B:B,A829,Levels!F:F),0)</f>
        <v>5.8955555555555552</v>
      </c>
      <c r="E829" s="9">
        <f>_xlfn.MAXIFS(Levels!E:E,Levels!B:B,A829)</f>
        <v>7.33</v>
      </c>
      <c r="F829" s="9">
        <f>_xlfn.MAXIFS(Levels!F:F,Levels!B:B,A829)</f>
        <v>7.36</v>
      </c>
    </row>
    <row r="830" spans="1:6" x14ac:dyDescent="0.3">
      <c r="A830" t="s">
        <v>3827</v>
      </c>
      <c r="B830" s="6">
        <f>COUNTIF(Levels!B:B,A830)</f>
        <v>4</v>
      </c>
      <c r="C830" s="6">
        <f>IFERROR(AVERAGEIF(Levels!B:B,A830,Levels!E:E),0)</f>
        <v>10.9575</v>
      </c>
      <c r="D830" s="6">
        <f>IFERROR(AVERAGEIF(Levels!B:B,A830,Levels!F:F),0)</f>
        <v>7.3199999999999994</v>
      </c>
      <c r="E830" s="6">
        <f>_xlfn.MAXIFS(Levels!E:E,Levels!B:B,A830)</f>
        <v>20.36</v>
      </c>
      <c r="F830" s="6">
        <f>_xlfn.MAXIFS(Levels!F:F,Levels!B:B,A830)</f>
        <v>8.36</v>
      </c>
    </row>
    <row r="831" spans="1:6" x14ac:dyDescent="0.3">
      <c r="A831" t="s">
        <v>3830</v>
      </c>
      <c r="B831" s="9">
        <f>COUNTIF(Levels!B:B,A831)</f>
        <v>8</v>
      </c>
      <c r="C831" s="9">
        <f>IFERROR(AVERAGEIF(Levels!B:B,A831,Levels!E:E),0)</f>
        <v>7.6349999999999998</v>
      </c>
      <c r="D831" s="9">
        <f>IFERROR(AVERAGEIF(Levels!B:B,A831,Levels!F:F),0)</f>
        <v>7.25875</v>
      </c>
      <c r="E831" s="9">
        <f>_xlfn.MAXIFS(Levels!E:E,Levels!B:B,A831)</f>
        <v>22.63</v>
      </c>
      <c r="F831" s="9">
        <f>_xlfn.MAXIFS(Levels!F:F,Levels!B:B,A831)</f>
        <v>7.94</v>
      </c>
    </row>
    <row r="832" spans="1:6" x14ac:dyDescent="0.3">
      <c r="A832" t="s">
        <v>3832</v>
      </c>
      <c r="B832" s="6">
        <f>COUNTIF(Levels!B:B,A832)</f>
        <v>7</v>
      </c>
      <c r="C832" s="6">
        <f>IFERROR(AVERAGEIF(Levels!B:B,A832,Levels!E:E),0)</f>
        <v>4.2671428571428569</v>
      </c>
      <c r="D832" s="6">
        <f>IFERROR(AVERAGEIF(Levels!B:B,A832,Levels!F:F),0)</f>
        <v>6.9328571428571433</v>
      </c>
      <c r="E832" s="6">
        <f>_xlfn.MAXIFS(Levels!E:E,Levels!B:B,A832)</f>
        <v>13.09</v>
      </c>
      <c r="F832" s="6">
        <f>_xlfn.MAXIFS(Levels!F:F,Levels!B:B,A832)</f>
        <v>7.56</v>
      </c>
    </row>
    <row r="833" spans="1:6" x14ac:dyDescent="0.3">
      <c r="A833" t="s">
        <v>3834</v>
      </c>
      <c r="B833" s="9">
        <f>COUNTIF(Levels!B:B,A833)</f>
        <v>1</v>
      </c>
      <c r="C833" s="9">
        <f>IFERROR(AVERAGEIF(Levels!B:B,A833,Levels!E:E),0)</f>
        <v>16.170000000000002</v>
      </c>
      <c r="D833" s="9">
        <f>IFERROR(AVERAGEIF(Levels!B:B,A833,Levels!F:F),0)</f>
        <v>4.79</v>
      </c>
      <c r="E833" s="9">
        <f>_xlfn.MAXIFS(Levels!E:E,Levels!B:B,A833)</f>
        <v>16.170000000000002</v>
      </c>
      <c r="F833" s="9">
        <f>_xlfn.MAXIFS(Levels!F:F,Levels!B:B,A833)</f>
        <v>4.79</v>
      </c>
    </row>
    <row r="834" spans="1:6" x14ac:dyDescent="0.3">
      <c r="A834" t="s">
        <v>3836</v>
      </c>
      <c r="B834" s="6">
        <f>COUNTIF(Levels!B:B,A834)</f>
        <v>1</v>
      </c>
      <c r="C834" s="6">
        <f>IFERROR(AVERAGEIF(Levels!B:B,A834,Levels!E:E),0)</f>
        <v>16.89</v>
      </c>
      <c r="D834" s="6">
        <f>IFERROR(AVERAGEIF(Levels!B:B,A834,Levels!F:F),0)</f>
        <v>5.5</v>
      </c>
      <c r="E834" s="6">
        <f>_xlfn.MAXIFS(Levels!E:E,Levels!B:B,A834)</f>
        <v>16.89</v>
      </c>
      <c r="F834" s="6">
        <f>_xlfn.MAXIFS(Levels!F:F,Levels!B:B,A834)</f>
        <v>5.5</v>
      </c>
    </row>
    <row r="835" spans="1:6" x14ac:dyDescent="0.3">
      <c r="A835" t="s">
        <v>3841</v>
      </c>
      <c r="B835" s="9">
        <f>COUNTIF(Levels!B:B,A835)</f>
        <v>1</v>
      </c>
      <c r="C835" s="9">
        <f>IFERROR(AVERAGEIF(Levels!B:B,A835,Levels!E:E),0)</f>
        <v>3.37</v>
      </c>
      <c r="D835" s="9">
        <f>IFERROR(AVERAGEIF(Levels!B:B,A835,Levels!F:F),0)</f>
        <v>5.76</v>
      </c>
      <c r="E835" s="9">
        <f>_xlfn.MAXIFS(Levels!E:E,Levels!B:B,A835)</f>
        <v>3.37</v>
      </c>
      <c r="F835" s="9">
        <f>_xlfn.MAXIFS(Levels!F:F,Levels!B:B,A835)</f>
        <v>5.76</v>
      </c>
    </row>
    <row r="836" spans="1:6" x14ac:dyDescent="0.3">
      <c r="A836" t="s">
        <v>3846</v>
      </c>
      <c r="B836" s="6">
        <f>COUNTIF(Levels!B:B,A836)</f>
        <v>1</v>
      </c>
      <c r="C836" s="6">
        <f>IFERROR(AVERAGEIF(Levels!B:B,A836,Levels!E:E),0)</f>
        <v>14.8</v>
      </c>
      <c r="D836" s="6">
        <f>IFERROR(AVERAGEIF(Levels!B:B,A836,Levels!F:F),0)</f>
        <v>6.79</v>
      </c>
      <c r="E836" s="6">
        <f>_xlfn.MAXIFS(Levels!E:E,Levels!B:B,A836)</f>
        <v>14.8</v>
      </c>
      <c r="F836" s="6">
        <f>_xlfn.MAXIFS(Levels!F:F,Levels!B:B,A836)</f>
        <v>6.79</v>
      </c>
    </row>
    <row r="837" spans="1:6" x14ac:dyDescent="0.3">
      <c r="A837" t="s">
        <v>3848</v>
      </c>
      <c r="B837" s="9">
        <f>COUNTIF(Levels!B:B,A837)</f>
        <v>3</v>
      </c>
      <c r="C837" s="9">
        <f>IFERROR(AVERAGEIF(Levels!B:B,A837,Levels!E:E),0)</f>
        <v>14.663333333333332</v>
      </c>
      <c r="D837" s="9">
        <f>IFERROR(AVERAGEIF(Levels!B:B,A837,Levels!F:F),0)</f>
        <v>4.6633333333333331</v>
      </c>
      <c r="E837" s="9">
        <f>_xlfn.MAXIFS(Levels!E:E,Levels!B:B,A837)</f>
        <v>19.059999999999999</v>
      </c>
      <c r="F837" s="9">
        <f>_xlfn.MAXIFS(Levels!F:F,Levels!B:B,A837)</f>
        <v>6.1</v>
      </c>
    </row>
    <row r="838" spans="1:6" x14ac:dyDescent="0.3">
      <c r="A838" t="s">
        <v>3850</v>
      </c>
      <c r="B838" s="6">
        <f>COUNTIF(Levels!B:B,A838)</f>
        <v>1</v>
      </c>
      <c r="C838" s="6">
        <f>IFERROR(AVERAGEIF(Levels!B:B,A838,Levels!E:E),0)</f>
        <v>12.6</v>
      </c>
      <c r="D838" s="6">
        <f>IFERROR(AVERAGEIF(Levels!B:B,A838,Levels!F:F),0)</f>
        <v>2.75</v>
      </c>
      <c r="E838" s="6">
        <f>_xlfn.MAXIFS(Levels!E:E,Levels!B:B,A838)</f>
        <v>12.6</v>
      </c>
      <c r="F838" s="6">
        <f>_xlfn.MAXIFS(Levels!F:F,Levels!B:B,A838)</f>
        <v>2.75</v>
      </c>
    </row>
    <row r="839" spans="1:6" x14ac:dyDescent="0.3">
      <c r="A839" t="s">
        <v>3851</v>
      </c>
      <c r="B839" s="9">
        <f>COUNTIF(Levels!B:B,A839)</f>
        <v>1</v>
      </c>
      <c r="C839" s="9">
        <f>IFERROR(AVERAGEIF(Levels!B:B,A839,Levels!E:E),0)</f>
        <v>8.98</v>
      </c>
      <c r="D839" s="9">
        <f>IFERROR(AVERAGEIF(Levels!B:B,A839,Levels!F:F),0)</f>
        <v>4.4400000000000004</v>
      </c>
      <c r="E839" s="9">
        <f>_xlfn.MAXIFS(Levels!E:E,Levels!B:B,A839)</f>
        <v>8.98</v>
      </c>
      <c r="F839" s="9">
        <f>_xlfn.MAXIFS(Levels!F:F,Levels!B:B,A839)</f>
        <v>4.4400000000000004</v>
      </c>
    </row>
    <row r="840" spans="1:6" x14ac:dyDescent="0.3">
      <c r="A840" t="s">
        <v>3860</v>
      </c>
      <c r="B840" s="6">
        <f>COUNTIF(Levels!B:B,A840)</f>
        <v>1</v>
      </c>
      <c r="C840" s="6">
        <f>IFERROR(AVERAGEIF(Levels!B:B,A840,Levels!E:E),0)</f>
        <v>4.74</v>
      </c>
      <c r="D840" s="6">
        <f>IFERROR(AVERAGEIF(Levels!B:B,A840,Levels!F:F),0)</f>
        <v>5.43</v>
      </c>
      <c r="E840" s="6">
        <f>_xlfn.MAXIFS(Levels!E:E,Levels!B:B,A840)</f>
        <v>4.74</v>
      </c>
      <c r="F840" s="6">
        <f>_xlfn.MAXIFS(Levels!F:F,Levels!B:B,A840)</f>
        <v>5.43</v>
      </c>
    </row>
    <row r="841" spans="1:6" x14ac:dyDescent="0.3">
      <c r="A841" t="s">
        <v>3862</v>
      </c>
      <c r="B841" s="9">
        <f>COUNTIF(Levels!B:B,A841)</f>
        <v>2</v>
      </c>
      <c r="C841" s="9">
        <f>IFERROR(AVERAGEIF(Levels!B:B,A841,Levels!E:E),0)</f>
        <v>8.1349999999999998</v>
      </c>
      <c r="D841" s="9">
        <f>IFERROR(AVERAGEIF(Levels!B:B,A841,Levels!F:F),0)</f>
        <v>4.375</v>
      </c>
      <c r="E841" s="9">
        <f>_xlfn.MAXIFS(Levels!E:E,Levels!B:B,A841)</f>
        <v>8.67</v>
      </c>
      <c r="F841" s="9">
        <f>_xlfn.MAXIFS(Levels!F:F,Levels!B:B,A841)</f>
        <v>4.75</v>
      </c>
    </row>
    <row r="842" spans="1:6" x14ac:dyDescent="0.3">
      <c r="A842" t="s">
        <v>3864</v>
      </c>
      <c r="B842" s="6">
        <f>COUNTIF(Levels!B:B,A842)</f>
        <v>4</v>
      </c>
      <c r="C842" s="6">
        <f>IFERROR(AVERAGEIF(Levels!B:B,A842,Levels!E:E),0)</f>
        <v>4.8774999999999995</v>
      </c>
      <c r="D842" s="6">
        <f>IFERROR(AVERAGEIF(Levels!B:B,A842,Levels!F:F),0)</f>
        <v>6.3</v>
      </c>
      <c r="E842" s="6">
        <f>_xlfn.MAXIFS(Levels!E:E,Levels!B:B,A842)</f>
        <v>10.029999999999999</v>
      </c>
      <c r="F842" s="6">
        <f>_xlfn.MAXIFS(Levels!F:F,Levels!B:B,A842)</f>
        <v>7.89</v>
      </c>
    </row>
    <row r="843" spans="1:6" x14ac:dyDescent="0.3">
      <c r="A843" t="s">
        <v>3870</v>
      </c>
      <c r="B843" s="9">
        <f>COUNTIF(Levels!B:B,A843)</f>
        <v>3</v>
      </c>
      <c r="C843" s="9">
        <f>IFERROR(AVERAGEIF(Levels!B:B,A843,Levels!E:E),0)</f>
        <v>19.5</v>
      </c>
      <c r="D843" s="9">
        <f>IFERROR(AVERAGEIF(Levels!B:B,A843,Levels!F:F),0)</f>
        <v>6.7399999999999993</v>
      </c>
      <c r="E843" s="9">
        <f>_xlfn.MAXIFS(Levels!E:E,Levels!B:B,A843)</f>
        <v>24.14</v>
      </c>
      <c r="F843" s="9">
        <f>_xlfn.MAXIFS(Levels!F:F,Levels!B:B,A843)</f>
        <v>7.36</v>
      </c>
    </row>
    <row r="844" spans="1:6" x14ac:dyDescent="0.3">
      <c r="A844" t="s">
        <v>3873</v>
      </c>
      <c r="B844" s="6">
        <f>COUNTIF(Levels!B:B,A844)</f>
        <v>1</v>
      </c>
      <c r="C844" s="6">
        <f>IFERROR(AVERAGEIF(Levels!B:B,A844,Levels!E:E),0)</f>
        <v>3</v>
      </c>
      <c r="D844" s="6">
        <f>IFERROR(AVERAGEIF(Levels!B:B,A844,Levels!F:F),0)</f>
        <v>5.86</v>
      </c>
      <c r="E844" s="6">
        <f>_xlfn.MAXIFS(Levels!E:E,Levels!B:B,A844)</f>
        <v>3</v>
      </c>
      <c r="F844" s="6">
        <f>_xlfn.MAXIFS(Levels!F:F,Levels!B:B,A844)</f>
        <v>5.86</v>
      </c>
    </row>
    <row r="845" spans="1:6" x14ac:dyDescent="0.3">
      <c r="A845" t="s">
        <v>3880</v>
      </c>
      <c r="B845" s="9">
        <f>COUNTIF(Levels!B:B,A845)</f>
        <v>8</v>
      </c>
      <c r="C845" s="9">
        <f>IFERROR(AVERAGEIF(Levels!B:B,A845,Levels!E:E),0)</f>
        <v>6.2025000000000006</v>
      </c>
      <c r="D845" s="9">
        <f>IFERROR(AVERAGEIF(Levels!B:B,A845,Levels!F:F),0)</f>
        <v>6.0175000000000001</v>
      </c>
      <c r="E845" s="9">
        <f>_xlfn.MAXIFS(Levels!E:E,Levels!B:B,A845)</f>
        <v>10.6</v>
      </c>
      <c r="F845" s="9">
        <f>_xlfn.MAXIFS(Levels!F:F,Levels!B:B,A845)</f>
        <v>7.8</v>
      </c>
    </row>
    <row r="846" spans="1:6" x14ac:dyDescent="0.3">
      <c r="A846" t="s">
        <v>3890</v>
      </c>
      <c r="B846" s="6">
        <f>COUNTIF(Levels!B:B,A846)</f>
        <v>1</v>
      </c>
      <c r="C846" s="6">
        <f>IFERROR(AVERAGEIF(Levels!B:B,A846,Levels!E:E),0)</f>
        <v>3.03</v>
      </c>
      <c r="D846" s="6">
        <f>IFERROR(AVERAGEIF(Levels!B:B,A846,Levels!F:F),0)</f>
        <v>7.3</v>
      </c>
      <c r="E846" s="6">
        <f>_xlfn.MAXIFS(Levels!E:E,Levels!B:B,A846)</f>
        <v>3.03</v>
      </c>
      <c r="F846" s="6">
        <f>_xlfn.MAXIFS(Levels!F:F,Levels!B:B,A846)</f>
        <v>7.3</v>
      </c>
    </row>
    <row r="847" spans="1:6" x14ac:dyDescent="0.3">
      <c r="A847" t="s">
        <v>3895</v>
      </c>
      <c r="B847" s="9">
        <f>COUNTIF(Levels!B:B,A847)</f>
        <v>3</v>
      </c>
      <c r="C847" s="9">
        <f>IFERROR(AVERAGEIF(Levels!B:B,A847,Levels!E:E),0)</f>
        <v>20.953333333333333</v>
      </c>
      <c r="D847" s="9">
        <f>IFERROR(AVERAGEIF(Levels!B:B,A847,Levels!F:F),0)</f>
        <v>6.2833333333333341</v>
      </c>
      <c r="E847" s="9">
        <f>_xlfn.MAXIFS(Levels!E:E,Levels!B:B,A847)</f>
        <v>25.19</v>
      </c>
      <c r="F847" s="9">
        <f>_xlfn.MAXIFS(Levels!F:F,Levels!B:B,A847)</f>
        <v>7.67</v>
      </c>
    </row>
    <row r="848" spans="1:6" x14ac:dyDescent="0.3">
      <c r="A848" t="s">
        <v>3897</v>
      </c>
      <c r="B848" s="6">
        <f>COUNTIF(Levels!B:B,A848)</f>
        <v>2</v>
      </c>
      <c r="C848" s="6">
        <f>IFERROR(AVERAGEIF(Levels!B:B,A848,Levels!E:E),0)</f>
        <v>9.8000000000000007</v>
      </c>
      <c r="D848" s="6">
        <f>IFERROR(AVERAGEIF(Levels!B:B,A848,Levels!F:F),0)</f>
        <v>5.15</v>
      </c>
      <c r="E848" s="6">
        <f>_xlfn.MAXIFS(Levels!E:E,Levels!B:B,A848)</f>
        <v>10.6</v>
      </c>
      <c r="F848" s="6">
        <f>_xlfn.MAXIFS(Levels!F:F,Levels!B:B,A848)</f>
        <v>6</v>
      </c>
    </row>
    <row r="849" spans="1:6" x14ac:dyDescent="0.3">
      <c r="A849" t="s">
        <v>3903</v>
      </c>
      <c r="B849" s="9">
        <f>COUNTIF(Levels!B:B,A849)</f>
        <v>1</v>
      </c>
      <c r="C849" s="9">
        <f>IFERROR(AVERAGEIF(Levels!B:B,A849,Levels!E:E),0)</f>
        <v>6.94</v>
      </c>
      <c r="D849" s="9">
        <f>IFERROR(AVERAGEIF(Levels!B:B,A849,Levels!F:F),0)</f>
        <v>6</v>
      </c>
      <c r="E849" s="9">
        <f>_xlfn.MAXIFS(Levels!E:E,Levels!B:B,A849)</f>
        <v>6.94</v>
      </c>
      <c r="F849" s="9">
        <f>_xlfn.MAXIFS(Levels!F:F,Levels!B:B,A849)</f>
        <v>6</v>
      </c>
    </row>
    <row r="850" spans="1:6" x14ac:dyDescent="0.3">
      <c r="A850" t="s">
        <v>3906</v>
      </c>
      <c r="B850" s="6">
        <f>COUNTIF(Levels!B:B,A850)</f>
        <v>4</v>
      </c>
      <c r="C850" s="6">
        <f>IFERROR(AVERAGEIF(Levels!B:B,A850,Levels!E:E),0)</f>
        <v>4.21</v>
      </c>
      <c r="D850" s="6">
        <f>IFERROR(AVERAGEIF(Levels!B:B,A850,Levels!F:F),0)</f>
        <v>6.3975</v>
      </c>
      <c r="E850" s="6">
        <f>_xlfn.MAXIFS(Levels!E:E,Levels!B:B,A850)</f>
        <v>5.86</v>
      </c>
      <c r="F850" s="6">
        <f>_xlfn.MAXIFS(Levels!F:F,Levels!B:B,A850)</f>
        <v>6.71</v>
      </c>
    </row>
    <row r="851" spans="1:6" x14ac:dyDescent="0.3">
      <c r="A851" t="s">
        <v>3909</v>
      </c>
      <c r="B851" s="9">
        <f>COUNTIF(Levels!B:B,A851)</f>
        <v>7</v>
      </c>
      <c r="C851" s="9">
        <f>IFERROR(AVERAGEIF(Levels!B:B,A851,Levels!E:E),0)</f>
        <v>3.4185714285714286</v>
      </c>
      <c r="D851" s="9">
        <f>IFERROR(AVERAGEIF(Levels!B:B,A851,Levels!F:F),0)</f>
        <v>6.4157142857142855</v>
      </c>
      <c r="E851" s="9">
        <f>_xlfn.MAXIFS(Levels!E:E,Levels!B:B,A851)</f>
        <v>7.47</v>
      </c>
      <c r="F851" s="9">
        <f>_xlfn.MAXIFS(Levels!F:F,Levels!B:B,A851)</f>
        <v>8.08</v>
      </c>
    </row>
    <row r="852" spans="1:6" x14ac:dyDescent="0.3">
      <c r="A852" t="s">
        <v>3912</v>
      </c>
      <c r="B852" s="6">
        <f>COUNTIF(Levels!B:B,A852)</f>
        <v>1</v>
      </c>
      <c r="C852" s="6">
        <f>IFERROR(AVERAGEIF(Levels!B:B,A852,Levels!E:E),0)</f>
        <v>7.86</v>
      </c>
      <c r="D852" s="6">
        <f>IFERROR(AVERAGEIF(Levels!B:B,A852,Levels!F:F),0)</f>
        <v>5.43</v>
      </c>
      <c r="E852" s="6">
        <f>_xlfn.MAXIFS(Levels!E:E,Levels!B:B,A852)</f>
        <v>7.86</v>
      </c>
      <c r="F852" s="6">
        <f>_xlfn.MAXIFS(Levels!F:F,Levels!B:B,A852)</f>
        <v>5.43</v>
      </c>
    </row>
    <row r="853" spans="1:6" x14ac:dyDescent="0.3">
      <c r="A853" t="s">
        <v>3915</v>
      </c>
      <c r="B853" s="9">
        <f>COUNTIF(Levels!B:B,A853)</f>
        <v>3</v>
      </c>
      <c r="C853" s="9">
        <f>IFERROR(AVERAGEIF(Levels!B:B,A853,Levels!E:E),0)</f>
        <v>3.57</v>
      </c>
      <c r="D853" s="9">
        <f>IFERROR(AVERAGEIF(Levels!B:B,A853,Levels!F:F),0)</f>
        <v>6.45</v>
      </c>
      <c r="E853" s="9">
        <f>_xlfn.MAXIFS(Levels!E:E,Levels!B:B,A853)</f>
        <v>6.4</v>
      </c>
      <c r="F853" s="9">
        <f>_xlfn.MAXIFS(Levels!F:F,Levels!B:B,A853)</f>
        <v>7.85</v>
      </c>
    </row>
    <row r="854" spans="1:6" x14ac:dyDescent="0.3">
      <c r="A854" t="s">
        <v>3920</v>
      </c>
      <c r="B854" s="6">
        <f>COUNTIF(Levels!B:B,A854)</f>
        <v>1</v>
      </c>
      <c r="C854" s="6">
        <f>IFERROR(AVERAGEIF(Levels!B:B,A854,Levels!E:E),0)</f>
        <v>26</v>
      </c>
      <c r="D854" s="6">
        <f>IFERROR(AVERAGEIF(Levels!B:B,A854,Levels!F:F),0)</f>
        <v>2.2000000000000002</v>
      </c>
      <c r="E854" s="6">
        <f>_xlfn.MAXIFS(Levels!E:E,Levels!B:B,A854)</f>
        <v>26</v>
      </c>
      <c r="F854" s="6">
        <f>_xlfn.MAXIFS(Levels!F:F,Levels!B:B,A854)</f>
        <v>2.2000000000000002</v>
      </c>
    </row>
    <row r="855" spans="1:6" x14ac:dyDescent="0.3">
      <c r="A855" t="s">
        <v>3923</v>
      </c>
      <c r="B855" s="9">
        <f>COUNTIF(Levels!B:B,A855)</f>
        <v>1</v>
      </c>
      <c r="C855" s="9">
        <f>IFERROR(AVERAGEIF(Levels!B:B,A855,Levels!E:E),0)</f>
        <v>20</v>
      </c>
      <c r="D855" s="9">
        <f>IFERROR(AVERAGEIF(Levels!B:B,A855,Levels!F:F),0)</f>
        <v>8</v>
      </c>
      <c r="E855" s="9">
        <f>_xlfn.MAXIFS(Levels!E:E,Levels!B:B,A855)</f>
        <v>20</v>
      </c>
      <c r="F855" s="9">
        <f>_xlfn.MAXIFS(Levels!F:F,Levels!B:B,A855)</f>
        <v>8</v>
      </c>
    </row>
    <row r="856" spans="1:6" x14ac:dyDescent="0.3">
      <c r="A856" t="s">
        <v>3928</v>
      </c>
      <c r="B856" s="6">
        <f>COUNTIF(Levels!B:B,A856)</f>
        <v>2</v>
      </c>
      <c r="C856" s="6">
        <f>IFERROR(AVERAGEIF(Levels!B:B,A856,Levels!E:E),0)</f>
        <v>3.5999999999999996</v>
      </c>
      <c r="D856" s="6">
        <f>IFERROR(AVERAGEIF(Levels!B:B,A856,Levels!F:F),0)</f>
        <v>5.87</v>
      </c>
      <c r="E856" s="6">
        <f>_xlfn.MAXIFS(Levels!E:E,Levels!B:B,A856)</f>
        <v>4.5199999999999996</v>
      </c>
      <c r="F856" s="6">
        <f>_xlfn.MAXIFS(Levels!F:F,Levels!B:B,A856)</f>
        <v>5.94</v>
      </c>
    </row>
    <row r="857" spans="1:6" x14ac:dyDescent="0.3">
      <c r="A857" t="s">
        <v>3933</v>
      </c>
      <c r="B857" s="9">
        <f>COUNTIF(Levels!B:B,A857)</f>
        <v>8</v>
      </c>
      <c r="C857" s="9">
        <f>IFERROR(AVERAGEIF(Levels!B:B,A857,Levels!E:E),0)</f>
        <v>4.96</v>
      </c>
      <c r="D857" s="9">
        <f>IFERROR(AVERAGEIF(Levels!B:B,A857,Levels!F:F),0)</f>
        <v>6.2774999999999999</v>
      </c>
      <c r="E857" s="9">
        <f>_xlfn.MAXIFS(Levels!E:E,Levels!B:B,A857)</f>
        <v>8.75</v>
      </c>
      <c r="F857" s="9">
        <f>_xlfn.MAXIFS(Levels!F:F,Levels!B:B,A857)</f>
        <v>7.4</v>
      </c>
    </row>
    <row r="858" spans="1:6" x14ac:dyDescent="0.3">
      <c r="A858" t="s">
        <v>3941</v>
      </c>
      <c r="B858" s="6">
        <f>COUNTIF(Levels!B:B,A858)</f>
        <v>3</v>
      </c>
      <c r="C858" s="6">
        <f>IFERROR(AVERAGEIF(Levels!B:B,A858,Levels!E:E),0)</f>
        <v>10.593333333333332</v>
      </c>
      <c r="D858" s="6">
        <f>IFERROR(AVERAGEIF(Levels!B:B,A858,Levels!F:F),0)</f>
        <v>6.4666666666666659</v>
      </c>
      <c r="E858" s="6">
        <f>_xlfn.MAXIFS(Levels!E:E,Levels!B:B,A858)</f>
        <v>16.04</v>
      </c>
      <c r="F858" s="6">
        <f>_xlfn.MAXIFS(Levels!F:F,Levels!B:B,A858)</f>
        <v>7.08</v>
      </c>
    </row>
    <row r="859" spans="1:6" x14ac:dyDescent="0.3">
      <c r="A859" t="s">
        <v>3944</v>
      </c>
      <c r="B859" s="9">
        <f>COUNTIF(Levels!B:B,A859)</f>
        <v>9</v>
      </c>
      <c r="C859" s="9">
        <f>IFERROR(AVERAGEIF(Levels!B:B,A859,Levels!E:E),0)</f>
        <v>8.6900000000000013</v>
      </c>
      <c r="D859" s="9">
        <f>IFERROR(AVERAGEIF(Levels!B:B,A859,Levels!F:F),0)</f>
        <v>6.1</v>
      </c>
      <c r="E859" s="9">
        <f>_xlfn.MAXIFS(Levels!E:E,Levels!B:B,A859)</f>
        <v>16.82</v>
      </c>
      <c r="F859" s="9">
        <f>_xlfn.MAXIFS(Levels!F:F,Levels!B:B,A859)</f>
        <v>6.68</v>
      </c>
    </row>
    <row r="860" spans="1:6" x14ac:dyDescent="0.3">
      <c r="A860" t="s">
        <v>3946</v>
      </c>
      <c r="B860" s="6">
        <f>COUNTIF(Levels!B:B,A860)</f>
        <v>2</v>
      </c>
      <c r="C860" s="6">
        <f>IFERROR(AVERAGEIF(Levels!B:B,A860,Levels!E:E),0)</f>
        <v>5.68</v>
      </c>
      <c r="D860" s="6">
        <f>IFERROR(AVERAGEIF(Levels!B:B,A860,Levels!F:F),0)</f>
        <v>3.375</v>
      </c>
      <c r="E860" s="6">
        <f>_xlfn.MAXIFS(Levels!E:E,Levels!B:B,A860)</f>
        <v>5.71</v>
      </c>
      <c r="F860" s="6">
        <f>_xlfn.MAXIFS(Levels!F:F,Levels!B:B,A860)</f>
        <v>4.42</v>
      </c>
    </row>
    <row r="861" spans="1:6" x14ac:dyDescent="0.3">
      <c r="A861" t="s">
        <v>3948</v>
      </c>
      <c r="B861" s="9">
        <f>COUNTIF(Levels!B:B,A861)</f>
        <v>3</v>
      </c>
      <c r="C861" s="9">
        <f>IFERROR(AVERAGEIF(Levels!B:B,A861,Levels!E:E),0)</f>
        <v>6.9533333333333331</v>
      </c>
      <c r="D861" s="9">
        <f>IFERROR(AVERAGEIF(Levels!B:B,A861,Levels!F:F),0)</f>
        <v>6.3933333333333335</v>
      </c>
      <c r="E861" s="9">
        <f>_xlfn.MAXIFS(Levels!E:E,Levels!B:B,A861)</f>
        <v>8</v>
      </c>
      <c r="F861" s="9">
        <f>_xlfn.MAXIFS(Levels!F:F,Levels!B:B,A861)</f>
        <v>7.55</v>
      </c>
    </row>
    <row r="862" spans="1:6" x14ac:dyDescent="0.3">
      <c r="A862" t="s">
        <v>3951</v>
      </c>
      <c r="B862" s="6">
        <f>COUNTIF(Levels!B:B,A862)</f>
        <v>1</v>
      </c>
      <c r="C862" s="6">
        <f>IFERROR(AVERAGEIF(Levels!B:B,A862,Levels!E:E),0)</f>
        <v>12.25</v>
      </c>
      <c r="D862" s="6">
        <f>IFERROR(AVERAGEIF(Levels!B:B,A862,Levels!F:F),0)</f>
        <v>5.5</v>
      </c>
      <c r="E862" s="6">
        <f>_xlfn.MAXIFS(Levels!E:E,Levels!B:B,A862)</f>
        <v>12.25</v>
      </c>
      <c r="F862" s="6">
        <f>_xlfn.MAXIFS(Levels!F:F,Levels!B:B,A862)</f>
        <v>5.5</v>
      </c>
    </row>
    <row r="863" spans="1:6" x14ac:dyDescent="0.3">
      <c r="A863" t="s">
        <v>3956</v>
      </c>
      <c r="B863" s="9">
        <f>COUNTIF(Levels!B:B,A863)</f>
        <v>1</v>
      </c>
      <c r="C863" s="9">
        <f>IFERROR(AVERAGEIF(Levels!B:B,A863,Levels!E:E),0)</f>
        <v>2.2999999999999998</v>
      </c>
      <c r="D863" s="9">
        <f>IFERROR(AVERAGEIF(Levels!B:B,A863,Levels!F:F),0)</f>
        <v>5.86</v>
      </c>
      <c r="E863" s="9">
        <f>_xlfn.MAXIFS(Levels!E:E,Levels!B:B,A863)</f>
        <v>2.2999999999999998</v>
      </c>
      <c r="F863" s="9">
        <f>_xlfn.MAXIFS(Levels!F:F,Levels!B:B,A863)</f>
        <v>5.86</v>
      </c>
    </row>
    <row r="864" spans="1:6" x14ac:dyDescent="0.3">
      <c r="A864" t="s">
        <v>3966</v>
      </c>
      <c r="B864" s="6">
        <f>COUNTIF(Levels!B:B,A864)</f>
        <v>4</v>
      </c>
      <c r="C864" s="6">
        <f>IFERROR(AVERAGEIF(Levels!B:B,A864,Levels!E:E),0)</f>
        <v>29.467500000000001</v>
      </c>
      <c r="D864" s="6">
        <f>IFERROR(AVERAGEIF(Levels!B:B,A864,Levels!F:F),0)</f>
        <v>6.6825000000000001</v>
      </c>
      <c r="E864" s="6">
        <f>_xlfn.MAXIFS(Levels!E:E,Levels!B:B,A864)</f>
        <v>34</v>
      </c>
      <c r="F864" s="6">
        <f>_xlfn.MAXIFS(Levels!F:F,Levels!B:B,A864)</f>
        <v>7.3</v>
      </c>
    </row>
    <row r="865" spans="1:6" x14ac:dyDescent="0.3">
      <c r="A865" t="s">
        <v>3970</v>
      </c>
      <c r="B865" s="9">
        <f>COUNTIF(Levels!B:B,A865)</f>
        <v>1</v>
      </c>
      <c r="C865" s="9">
        <f>IFERROR(AVERAGEIF(Levels!B:B,A865,Levels!E:E),0)</f>
        <v>7.36</v>
      </c>
      <c r="D865" s="9">
        <f>IFERROR(AVERAGEIF(Levels!B:B,A865,Levels!F:F),0)</f>
        <v>6</v>
      </c>
      <c r="E865" s="9">
        <f>_xlfn.MAXIFS(Levels!E:E,Levels!B:B,A865)</f>
        <v>7.36</v>
      </c>
      <c r="F865" s="9">
        <f>_xlfn.MAXIFS(Levels!F:F,Levels!B:B,A865)</f>
        <v>6</v>
      </c>
    </row>
    <row r="866" spans="1:6" x14ac:dyDescent="0.3">
      <c r="A866" t="s">
        <v>3973</v>
      </c>
      <c r="B866" s="6">
        <f>COUNTIF(Levels!B:B,A866)</f>
        <v>2</v>
      </c>
      <c r="C866" s="6">
        <f>IFERROR(AVERAGEIF(Levels!B:B,A866,Levels!E:E),0)</f>
        <v>7.43</v>
      </c>
      <c r="D866" s="6">
        <f>IFERROR(AVERAGEIF(Levels!B:B,A866,Levels!F:F),0)</f>
        <v>4.88</v>
      </c>
      <c r="E866" s="6">
        <f>_xlfn.MAXIFS(Levels!E:E,Levels!B:B,A866)</f>
        <v>8.56</v>
      </c>
      <c r="F866" s="6">
        <f>_xlfn.MAXIFS(Levels!F:F,Levels!B:B,A866)</f>
        <v>5.88</v>
      </c>
    </row>
    <row r="867" spans="1:6" x14ac:dyDescent="0.3">
      <c r="A867" t="s">
        <v>3976</v>
      </c>
      <c r="B867" s="9">
        <f>COUNTIF(Levels!B:B,A867)</f>
        <v>2</v>
      </c>
      <c r="C867" s="9">
        <f>IFERROR(AVERAGEIF(Levels!B:B,A867,Levels!E:E),0)</f>
        <v>5.0199999999999996</v>
      </c>
      <c r="D867" s="9">
        <f>IFERROR(AVERAGEIF(Levels!B:B,A867,Levels!F:F),0)</f>
        <v>4.665</v>
      </c>
      <c r="E867" s="9">
        <f>_xlfn.MAXIFS(Levels!E:E,Levels!B:B,A867)</f>
        <v>6.33</v>
      </c>
      <c r="F867" s="9">
        <f>_xlfn.MAXIFS(Levels!F:F,Levels!B:B,A867)</f>
        <v>5</v>
      </c>
    </row>
    <row r="868" spans="1:6" x14ac:dyDescent="0.3">
      <c r="A868" t="s">
        <v>3987</v>
      </c>
      <c r="B868" s="6">
        <f>COUNTIF(Levels!B:B,A868)</f>
        <v>2</v>
      </c>
      <c r="C868" s="6">
        <f>IFERROR(AVERAGEIF(Levels!B:B,A868,Levels!E:E),0)</f>
        <v>4.0250000000000004</v>
      </c>
      <c r="D868" s="6">
        <f>IFERROR(AVERAGEIF(Levels!B:B,A868,Levels!F:F),0)</f>
        <v>5.6</v>
      </c>
      <c r="E868" s="6">
        <f>_xlfn.MAXIFS(Levels!E:E,Levels!B:B,A868)</f>
        <v>5.0999999999999996</v>
      </c>
      <c r="F868" s="6">
        <f>_xlfn.MAXIFS(Levels!F:F,Levels!B:B,A868)</f>
        <v>6.2</v>
      </c>
    </row>
    <row r="869" spans="1:6" x14ac:dyDescent="0.3">
      <c r="A869" t="s">
        <v>3994</v>
      </c>
      <c r="B869" s="9">
        <f>COUNTIF(Levels!B:B,A869)</f>
        <v>2</v>
      </c>
      <c r="C869" s="9">
        <f>IFERROR(AVERAGEIF(Levels!B:B,A869,Levels!E:E),0)</f>
        <v>2.57</v>
      </c>
      <c r="D869" s="9">
        <f>IFERROR(AVERAGEIF(Levels!B:B,A869,Levels!F:F),0)</f>
        <v>6.0600000000000005</v>
      </c>
      <c r="E869" s="9">
        <f>_xlfn.MAXIFS(Levels!E:E,Levels!B:B,A869)</f>
        <v>2.88</v>
      </c>
      <c r="F869" s="9">
        <f>_xlfn.MAXIFS(Levels!F:F,Levels!B:B,A869)</f>
        <v>6.19</v>
      </c>
    </row>
    <row r="870" spans="1:6" x14ac:dyDescent="0.3">
      <c r="A870" t="s">
        <v>4005</v>
      </c>
      <c r="B870" s="6">
        <f>COUNTIF(Levels!B:B,A870)</f>
        <v>5</v>
      </c>
      <c r="C870" s="6">
        <f>IFERROR(AVERAGEIF(Levels!B:B,A870,Levels!E:E),0)</f>
        <v>13.988</v>
      </c>
      <c r="D870" s="6">
        <f>IFERROR(AVERAGEIF(Levels!B:B,A870,Levels!F:F),0)</f>
        <v>7.5959999999999992</v>
      </c>
      <c r="E870" s="6">
        <f>_xlfn.MAXIFS(Levels!E:E,Levels!B:B,A870)</f>
        <v>32.520000000000003</v>
      </c>
      <c r="F870" s="6">
        <f>_xlfn.MAXIFS(Levels!F:F,Levels!B:B,A870)</f>
        <v>8.56</v>
      </c>
    </row>
    <row r="871" spans="1:6" x14ac:dyDescent="0.3">
      <c r="A871" t="s">
        <v>4008</v>
      </c>
      <c r="B871" s="9">
        <f>COUNTIF(Levels!B:B,A871)</f>
        <v>2</v>
      </c>
      <c r="C871" s="9">
        <f>IFERROR(AVERAGEIF(Levels!B:B,A871,Levels!E:E),0)</f>
        <v>17.809999999999999</v>
      </c>
      <c r="D871" s="9">
        <f>IFERROR(AVERAGEIF(Levels!B:B,A871,Levels!F:F),0)</f>
        <v>7.37</v>
      </c>
      <c r="E871" s="9">
        <f>_xlfn.MAXIFS(Levels!E:E,Levels!B:B,A871)</f>
        <v>22.33</v>
      </c>
      <c r="F871" s="9">
        <f>_xlfn.MAXIFS(Levels!F:F,Levels!B:B,A871)</f>
        <v>8.07</v>
      </c>
    </row>
    <row r="872" spans="1:6" x14ac:dyDescent="0.3">
      <c r="A872" t="s">
        <v>4010</v>
      </c>
      <c r="B872" s="6">
        <f>COUNTIF(Levels!B:B,A872)</f>
        <v>5</v>
      </c>
      <c r="C872" s="6">
        <f>IFERROR(AVERAGEIF(Levels!B:B,A872,Levels!E:E),0)</f>
        <v>9.76</v>
      </c>
      <c r="D872" s="6">
        <f>IFERROR(AVERAGEIF(Levels!B:B,A872,Levels!F:F),0)</f>
        <v>5.0359999999999996</v>
      </c>
      <c r="E872" s="6">
        <f>_xlfn.MAXIFS(Levels!E:E,Levels!B:B,A872)</f>
        <v>16</v>
      </c>
      <c r="F872" s="6">
        <f>_xlfn.MAXIFS(Levels!F:F,Levels!B:B,A872)</f>
        <v>6.75</v>
      </c>
    </row>
    <row r="873" spans="1:6" x14ac:dyDescent="0.3">
      <c r="A873" t="s">
        <v>4019</v>
      </c>
      <c r="B873" s="9">
        <f>COUNTIF(Levels!B:B,A873)</f>
        <v>13</v>
      </c>
      <c r="C873" s="9">
        <f>IFERROR(AVERAGEIF(Levels!B:B,A873,Levels!E:E),0)</f>
        <v>24.820833333333336</v>
      </c>
      <c r="D873" s="9">
        <f>IFERROR(AVERAGEIF(Levels!B:B,A873,Levels!F:F),0)</f>
        <v>7.225833333333334</v>
      </c>
      <c r="E873" s="9">
        <f>_xlfn.MAXIFS(Levels!E:E,Levels!B:B,A873)</f>
        <v>32</v>
      </c>
      <c r="F873" s="9">
        <f>_xlfn.MAXIFS(Levels!F:F,Levels!B:B,A873)</f>
        <v>9.4</v>
      </c>
    </row>
    <row r="874" spans="1:6" x14ac:dyDescent="0.3">
      <c r="A874" t="s">
        <v>4024</v>
      </c>
      <c r="B874" s="6">
        <f>COUNTIF(Levels!B:B,A874)</f>
        <v>2</v>
      </c>
      <c r="C874" s="6">
        <f>IFERROR(AVERAGEIF(Levels!B:B,A874,Levels!E:E),0)</f>
        <v>21.26</v>
      </c>
      <c r="D874" s="6">
        <f>IFERROR(AVERAGEIF(Levels!B:B,A874,Levels!F:F),0)</f>
        <v>4.2799999999999994</v>
      </c>
      <c r="E874" s="6">
        <f>_xlfn.MAXIFS(Levels!E:E,Levels!B:B,A874)</f>
        <v>22.67</v>
      </c>
      <c r="F874" s="6">
        <f>_xlfn.MAXIFS(Levels!F:F,Levels!B:B,A874)</f>
        <v>5.56</v>
      </c>
    </row>
    <row r="875" spans="1:6" x14ac:dyDescent="0.3">
      <c r="A875" t="s">
        <v>4026</v>
      </c>
      <c r="B875" s="9">
        <f>COUNTIF(Levels!B:B,A875)</f>
        <v>7</v>
      </c>
      <c r="C875" s="9">
        <f>IFERROR(AVERAGEIF(Levels!B:B,A875,Levels!E:E),0)</f>
        <v>3.4842857142857135</v>
      </c>
      <c r="D875" s="9">
        <f>IFERROR(AVERAGEIF(Levels!B:B,A875,Levels!F:F),0)</f>
        <v>6.2542857142857144</v>
      </c>
      <c r="E875" s="9">
        <f>_xlfn.MAXIFS(Levels!E:E,Levels!B:B,A875)</f>
        <v>5.6</v>
      </c>
      <c r="F875" s="9">
        <f>_xlfn.MAXIFS(Levels!F:F,Levels!B:B,A875)</f>
        <v>7.5</v>
      </c>
    </row>
    <row r="876" spans="1:6" x14ac:dyDescent="0.3">
      <c r="A876" t="s">
        <v>4032</v>
      </c>
      <c r="B876" s="6">
        <f>COUNTIF(Levels!B:B,A876)</f>
        <v>2</v>
      </c>
      <c r="C876" s="6">
        <f>IFERROR(AVERAGEIF(Levels!B:B,A876,Levels!E:E),0)</f>
        <v>6.0749999999999993</v>
      </c>
      <c r="D876" s="6">
        <f>IFERROR(AVERAGEIF(Levels!B:B,A876,Levels!F:F),0)</f>
        <v>6.35</v>
      </c>
      <c r="E876" s="6">
        <f>_xlfn.MAXIFS(Levels!E:E,Levels!B:B,A876)</f>
        <v>9.52</v>
      </c>
      <c r="F876" s="6">
        <f>_xlfn.MAXIFS(Levels!F:F,Levels!B:B,A876)</f>
        <v>6.41</v>
      </c>
    </row>
    <row r="877" spans="1:6" x14ac:dyDescent="0.3">
      <c r="A877" t="s">
        <v>4039</v>
      </c>
      <c r="B877" s="9">
        <f>COUNTIF(Levels!B:B,A877)</f>
        <v>1</v>
      </c>
      <c r="C877" s="9">
        <f>IFERROR(AVERAGEIF(Levels!B:B,A877,Levels!E:E),0)</f>
        <v>7.94</v>
      </c>
      <c r="D877" s="9">
        <f>IFERROR(AVERAGEIF(Levels!B:B,A877,Levels!F:F),0)</f>
        <v>5.44</v>
      </c>
      <c r="E877" s="9">
        <f>_xlfn.MAXIFS(Levels!E:E,Levels!B:B,A877)</f>
        <v>7.94</v>
      </c>
      <c r="F877" s="9">
        <f>_xlfn.MAXIFS(Levels!F:F,Levels!B:B,A877)</f>
        <v>5.44</v>
      </c>
    </row>
    <row r="878" spans="1:6" x14ac:dyDescent="0.3">
      <c r="A878" t="s">
        <v>4044</v>
      </c>
      <c r="B878" s="6">
        <f>COUNTIF(Levels!B:B,A878)</f>
        <v>18</v>
      </c>
      <c r="C878" s="6">
        <f>IFERROR(AVERAGEIF(Levels!B:B,A878,Levels!E:E),0)</f>
        <v>5.6927777777777777</v>
      </c>
      <c r="D878" s="6">
        <f>IFERROR(AVERAGEIF(Levels!B:B,A878,Levels!F:F),0)</f>
        <v>6.5188888888888892</v>
      </c>
      <c r="E878" s="6">
        <f>_xlfn.MAXIFS(Levels!E:E,Levels!B:B,A878)</f>
        <v>11.81</v>
      </c>
      <c r="F878" s="6">
        <f>_xlfn.MAXIFS(Levels!F:F,Levels!B:B,A878)</f>
        <v>7.57</v>
      </c>
    </row>
    <row r="879" spans="1:6" x14ac:dyDescent="0.3">
      <c r="A879" t="s">
        <v>4048</v>
      </c>
      <c r="B879" s="9">
        <f>COUNTIF(Levels!B:B,A879)</f>
        <v>4</v>
      </c>
      <c r="C879" s="9">
        <f>IFERROR(AVERAGEIF(Levels!B:B,A879,Levels!E:E),0)</f>
        <v>7.7025000000000006</v>
      </c>
      <c r="D879" s="9">
        <f>IFERROR(AVERAGEIF(Levels!B:B,A879,Levels!F:F),0)</f>
        <v>7.13</v>
      </c>
      <c r="E879" s="9">
        <f>_xlfn.MAXIFS(Levels!E:E,Levels!B:B,A879)</f>
        <v>12.78</v>
      </c>
      <c r="F879" s="9">
        <f>_xlfn.MAXIFS(Levels!F:F,Levels!B:B,A879)</f>
        <v>7.56</v>
      </c>
    </row>
    <row r="880" spans="1:6" x14ac:dyDescent="0.3">
      <c r="A880" t="s">
        <v>4051</v>
      </c>
      <c r="B880" s="6">
        <f>COUNTIF(Levels!B:B,A880)</f>
        <v>1</v>
      </c>
      <c r="C880" s="6">
        <f>IFERROR(AVERAGEIF(Levels!B:B,A880,Levels!E:E),0)</f>
        <v>4.4000000000000004</v>
      </c>
      <c r="D880" s="6">
        <f>IFERROR(AVERAGEIF(Levels!B:B,A880,Levels!F:F),0)</f>
        <v>6.56</v>
      </c>
      <c r="E880" s="6">
        <f>_xlfn.MAXIFS(Levels!E:E,Levels!B:B,A880)</f>
        <v>4.4000000000000004</v>
      </c>
      <c r="F880" s="6">
        <f>_xlfn.MAXIFS(Levels!F:F,Levels!B:B,A880)</f>
        <v>6.56</v>
      </c>
    </row>
    <row r="881" spans="1:6" x14ac:dyDescent="0.3">
      <c r="A881" t="s">
        <v>4053</v>
      </c>
      <c r="B881" s="9">
        <f>COUNTIF(Levels!B:B,A881)</f>
        <v>4</v>
      </c>
      <c r="C881" s="9">
        <f>IFERROR(AVERAGEIF(Levels!B:B,A881,Levels!E:E),0)</f>
        <v>3.5474999999999994</v>
      </c>
      <c r="D881" s="9">
        <f>IFERROR(AVERAGEIF(Levels!B:B,A881,Levels!F:F),0)</f>
        <v>6.05</v>
      </c>
      <c r="E881" s="9">
        <f>_xlfn.MAXIFS(Levels!E:E,Levels!B:B,A881)</f>
        <v>4.2699999999999996</v>
      </c>
      <c r="F881" s="9">
        <f>_xlfn.MAXIFS(Levels!F:F,Levels!B:B,A881)</f>
        <v>7</v>
      </c>
    </row>
    <row r="882" spans="1:6" x14ac:dyDescent="0.3">
      <c r="A882" t="s">
        <v>4055</v>
      </c>
      <c r="B882" s="6">
        <f>COUNTIF(Levels!B:B,A882)</f>
        <v>2</v>
      </c>
      <c r="C882" s="6">
        <f>IFERROR(AVERAGEIF(Levels!B:B,A882,Levels!E:E),0)</f>
        <v>10.855</v>
      </c>
      <c r="D882" s="6">
        <f>IFERROR(AVERAGEIF(Levels!B:B,A882,Levels!F:F),0)</f>
        <v>9</v>
      </c>
      <c r="E882" s="6">
        <f>_xlfn.MAXIFS(Levels!E:E,Levels!B:B,A882)</f>
        <v>16</v>
      </c>
      <c r="F882" s="6">
        <f>_xlfn.MAXIFS(Levels!F:F,Levels!B:B,A882)</f>
        <v>9.83</v>
      </c>
    </row>
    <row r="883" spans="1:6" x14ac:dyDescent="0.3">
      <c r="A883" t="s">
        <v>4058</v>
      </c>
      <c r="B883" s="9">
        <f>COUNTIF(Levels!B:B,A883)</f>
        <v>1</v>
      </c>
      <c r="C883" s="9">
        <f>IFERROR(AVERAGEIF(Levels!B:B,A883,Levels!E:E),0)</f>
        <v>7.97</v>
      </c>
      <c r="D883" s="9">
        <f>IFERROR(AVERAGEIF(Levels!B:B,A883,Levels!F:F),0)</f>
        <v>6.52</v>
      </c>
      <c r="E883" s="9">
        <f>_xlfn.MAXIFS(Levels!E:E,Levels!B:B,A883)</f>
        <v>7.97</v>
      </c>
      <c r="F883" s="9">
        <f>_xlfn.MAXIFS(Levels!F:F,Levels!B:B,A883)</f>
        <v>6.52</v>
      </c>
    </row>
    <row r="884" spans="1:6" x14ac:dyDescent="0.3">
      <c r="A884" t="s">
        <v>4062</v>
      </c>
      <c r="B884" s="6">
        <f>COUNTIF(Levels!B:B,A884)</f>
        <v>2</v>
      </c>
      <c r="C884" s="6">
        <f>IFERROR(AVERAGEIF(Levels!B:B,A884,Levels!E:E),0)</f>
        <v>10.984999999999999</v>
      </c>
      <c r="D884" s="6">
        <f>IFERROR(AVERAGEIF(Levels!B:B,A884,Levels!F:F),0)</f>
        <v>5.75</v>
      </c>
      <c r="E884" s="6">
        <f>_xlfn.MAXIFS(Levels!E:E,Levels!B:B,A884)</f>
        <v>11.4</v>
      </c>
      <c r="F884" s="6">
        <f>_xlfn.MAXIFS(Levels!F:F,Levels!B:B,A884)</f>
        <v>6.25</v>
      </c>
    </row>
    <row r="885" spans="1:6" x14ac:dyDescent="0.3">
      <c r="A885" t="s">
        <v>4071</v>
      </c>
      <c r="B885" s="9">
        <f>COUNTIF(Levels!B:B,A885)</f>
        <v>4</v>
      </c>
      <c r="C885" s="9">
        <f>IFERROR(AVERAGEIF(Levels!B:B,A885,Levels!E:E),0)</f>
        <v>5.5374999999999996</v>
      </c>
      <c r="D885" s="9">
        <f>IFERROR(AVERAGEIF(Levels!B:B,A885,Levels!F:F),0)</f>
        <v>4.78</v>
      </c>
      <c r="E885" s="9">
        <f>_xlfn.MAXIFS(Levels!E:E,Levels!B:B,A885)</f>
        <v>7</v>
      </c>
      <c r="F885" s="9">
        <f>_xlfn.MAXIFS(Levels!F:F,Levels!B:B,A885)</f>
        <v>6.2</v>
      </c>
    </row>
    <row r="886" spans="1:6" x14ac:dyDescent="0.3">
      <c r="A886" t="s">
        <v>4073</v>
      </c>
      <c r="B886" s="6">
        <f>COUNTIF(Levels!B:B,A886)</f>
        <v>7</v>
      </c>
      <c r="C886" s="6">
        <f>IFERROR(AVERAGEIF(Levels!B:B,A886,Levels!E:E),0)</f>
        <v>8.3014285714285716</v>
      </c>
      <c r="D886" s="6">
        <f>IFERROR(AVERAGEIF(Levels!B:B,A886,Levels!F:F),0)</f>
        <v>6.3042857142857143</v>
      </c>
      <c r="E886" s="6">
        <f>_xlfn.MAXIFS(Levels!E:E,Levels!B:B,A886)</f>
        <v>20.67</v>
      </c>
      <c r="F886" s="6">
        <f>_xlfn.MAXIFS(Levels!F:F,Levels!B:B,A886)</f>
        <v>7.26</v>
      </c>
    </row>
    <row r="887" spans="1:6" x14ac:dyDescent="0.3">
      <c r="A887" t="s">
        <v>4076</v>
      </c>
      <c r="B887" s="9">
        <f>COUNTIF(Levels!B:B,A887)</f>
        <v>9</v>
      </c>
      <c r="C887" s="9">
        <f>IFERROR(AVERAGEIF(Levels!B:B,A887,Levels!E:E),0)</f>
        <v>7.3133333333333344</v>
      </c>
      <c r="D887" s="9">
        <f>IFERROR(AVERAGEIF(Levels!B:B,A887,Levels!F:F),0)</f>
        <v>7.8622222222222211</v>
      </c>
      <c r="E887" s="9">
        <f>_xlfn.MAXIFS(Levels!E:E,Levels!B:B,A887)</f>
        <v>13.35</v>
      </c>
      <c r="F887" s="9">
        <f>_xlfn.MAXIFS(Levels!F:F,Levels!B:B,A887)</f>
        <v>8.9</v>
      </c>
    </row>
    <row r="888" spans="1:6" x14ac:dyDescent="0.3">
      <c r="A888" t="s">
        <v>4078</v>
      </c>
      <c r="B888" s="6">
        <f>COUNTIF(Levels!B:B,A888)</f>
        <v>9</v>
      </c>
      <c r="C888" s="6">
        <f>IFERROR(AVERAGEIF(Levels!B:B,A888,Levels!E:E),0)</f>
        <v>8.0522222222222215</v>
      </c>
      <c r="D888" s="6">
        <f>IFERROR(AVERAGEIF(Levels!B:B,A888,Levels!F:F),0)</f>
        <v>6.4011111111111108</v>
      </c>
      <c r="E888" s="6">
        <f>_xlfn.MAXIFS(Levels!E:E,Levels!B:B,A888)</f>
        <v>18.8</v>
      </c>
      <c r="F888" s="6">
        <f>_xlfn.MAXIFS(Levels!F:F,Levels!B:B,A888)</f>
        <v>7.83</v>
      </c>
    </row>
    <row r="889" spans="1:6" x14ac:dyDescent="0.3">
      <c r="A889" t="s">
        <v>4083</v>
      </c>
      <c r="B889" s="9">
        <f>COUNTIF(Levels!B:B,A889)</f>
        <v>1</v>
      </c>
      <c r="C889" s="9">
        <f>IFERROR(AVERAGEIF(Levels!B:B,A889,Levels!E:E),0)</f>
        <v>19.86</v>
      </c>
      <c r="D889" s="9">
        <f>IFERROR(AVERAGEIF(Levels!B:B,A889,Levels!F:F),0)</f>
        <v>9.64</v>
      </c>
      <c r="E889" s="9">
        <f>_xlfn.MAXIFS(Levels!E:E,Levels!B:B,A889)</f>
        <v>19.86</v>
      </c>
      <c r="F889" s="9">
        <f>_xlfn.MAXIFS(Levels!F:F,Levels!B:B,A889)</f>
        <v>9.64</v>
      </c>
    </row>
    <row r="890" spans="1:6" x14ac:dyDescent="0.3">
      <c r="A890" t="s">
        <v>4088</v>
      </c>
      <c r="B890" s="6">
        <f>COUNTIF(Levels!B:B,A890)</f>
        <v>1</v>
      </c>
      <c r="C890" s="6">
        <f>IFERROR(AVERAGEIF(Levels!B:B,A890,Levels!E:E),0)</f>
        <v>10</v>
      </c>
      <c r="D890" s="6">
        <f>IFERROR(AVERAGEIF(Levels!B:B,A890,Levels!F:F),0)</f>
        <v>4.25</v>
      </c>
      <c r="E890" s="6">
        <f>_xlfn.MAXIFS(Levels!E:E,Levels!B:B,A890)</f>
        <v>10</v>
      </c>
      <c r="F890" s="6">
        <f>_xlfn.MAXIFS(Levels!F:F,Levels!B:B,A890)</f>
        <v>4.25</v>
      </c>
    </row>
    <row r="891" spans="1:6" x14ac:dyDescent="0.3">
      <c r="A891" t="s">
        <v>4091</v>
      </c>
      <c r="B891" s="9">
        <f>COUNTIF(Levels!B:B,A891)</f>
        <v>1</v>
      </c>
      <c r="C891" s="9">
        <f>IFERROR(AVERAGEIF(Levels!B:B,A891,Levels!E:E),0)</f>
        <v>8.25</v>
      </c>
      <c r="D891" s="9">
        <f>IFERROR(AVERAGEIF(Levels!B:B,A891,Levels!F:F),0)</f>
        <v>6.67</v>
      </c>
      <c r="E891" s="9">
        <f>_xlfn.MAXIFS(Levels!E:E,Levels!B:B,A891)</f>
        <v>8.25</v>
      </c>
      <c r="F891" s="9">
        <f>_xlfn.MAXIFS(Levels!F:F,Levels!B:B,A891)</f>
        <v>6.67</v>
      </c>
    </row>
    <row r="892" spans="1:6" x14ac:dyDescent="0.3">
      <c r="A892" t="s">
        <v>4097</v>
      </c>
      <c r="B892" s="6">
        <f>COUNTIF(Levels!B:B,A892)</f>
        <v>2</v>
      </c>
      <c r="C892" s="6">
        <f>IFERROR(AVERAGEIF(Levels!B:B,A892,Levels!E:E),0)</f>
        <v>4.6050000000000004</v>
      </c>
      <c r="D892" s="6">
        <f>IFERROR(AVERAGEIF(Levels!B:B,A892,Levels!F:F),0)</f>
        <v>6.6899999999999995</v>
      </c>
      <c r="E892" s="6">
        <f>_xlfn.MAXIFS(Levels!E:E,Levels!B:B,A892)</f>
        <v>5.38</v>
      </c>
      <c r="F892" s="6">
        <f>_xlfn.MAXIFS(Levels!F:F,Levels!B:B,A892)</f>
        <v>6.71</v>
      </c>
    </row>
    <row r="893" spans="1:6" x14ac:dyDescent="0.3">
      <c r="A893" t="s">
        <v>4100</v>
      </c>
      <c r="B893" s="9">
        <f>COUNTIF(Levels!B:B,A893)</f>
        <v>18</v>
      </c>
      <c r="C893" s="9">
        <f>IFERROR(AVERAGEIF(Levels!B:B,A893,Levels!E:E),0)</f>
        <v>4.9700000000000006</v>
      </c>
      <c r="D893" s="9">
        <f>IFERROR(AVERAGEIF(Levels!B:B,A893,Levels!F:F),0)</f>
        <v>6.3727777777777774</v>
      </c>
      <c r="E893" s="9">
        <f>_xlfn.MAXIFS(Levels!E:E,Levels!B:B,A893)</f>
        <v>18.2</v>
      </c>
      <c r="F893" s="9">
        <f>_xlfn.MAXIFS(Levels!F:F,Levels!B:B,A893)</f>
        <v>7.6</v>
      </c>
    </row>
    <row r="894" spans="1:6" x14ac:dyDescent="0.3">
      <c r="A894" t="s">
        <v>4102</v>
      </c>
      <c r="B894" s="6">
        <f>COUNTIF(Levels!B:B,A894)</f>
        <v>1</v>
      </c>
      <c r="C894" s="6">
        <f>IFERROR(AVERAGEIF(Levels!B:B,A894,Levels!E:E),0)</f>
        <v>1.1299999999999999</v>
      </c>
      <c r="D894" s="6">
        <f>IFERROR(AVERAGEIF(Levels!B:B,A894,Levels!F:F),0)</f>
        <v>5.1100000000000003</v>
      </c>
      <c r="E894" s="6">
        <f>_xlfn.MAXIFS(Levels!E:E,Levels!B:B,A894)</f>
        <v>1.1299999999999999</v>
      </c>
      <c r="F894" s="6">
        <f>_xlfn.MAXIFS(Levels!F:F,Levels!B:B,A894)</f>
        <v>5.1100000000000003</v>
      </c>
    </row>
    <row r="895" spans="1:6" x14ac:dyDescent="0.3">
      <c r="A895" t="s">
        <v>4110</v>
      </c>
      <c r="B895" s="9">
        <f>COUNTIF(Levels!B:B,A895)</f>
        <v>4</v>
      </c>
      <c r="C895" s="9">
        <f>IFERROR(AVERAGEIF(Levels!B:B,A895,Levels!E:E),0)</f>
        <v>3.3174999999999999</v>
      </c>
      <c r="D895" s="9">
        <f>IFERROR(AVERAGEIF(Levels!B:B,A895,Levels!F:F),0)</f>
        <v>6.1850000000000005</v>
      </c>
      <c r="E895" s="9">
        <f>_xlfn.MAXIFS(Levels!E:E,Levels!B:B,A895)</f>
        <v>4.3</v>
      </c>
      <c r="F895" s="9">
        <f>_xlfn.MAXIFS(Levels!F:F,Levels!B:B,A895)</f>
        <v>7.51</v>
      </c>
    </row>
    <row r="896" spans="1:6" x14ac:dyDescent="0.3">
      <c r="A896" t="s">
        <v>4113</v>
      </c>
      <c r="B896" s="6">
        <f>COUNTIF(Levels!B:B,A896)</f>
        <v>1</v>
      </c>
      <c r="C896" s="6">
        <f>IFERROR(AVERAGEIF(Levels!B:B,A896,Levels!E:E),0)</f>
        <v>6</v>
      </c>
      <c r="D896" s="6">
        <f>IFERROR(AVERAGEIF(Levels!B:B,A896,Levels!F:F),0)</f>
        <v>5.5</v>
      </c>
      <c r="E896" s="6">
        <f>_xlfn.MAXIFS(Levels!E:E,Levels!B:B,A896)</f>
        <v>6</v>
      </c>
      <c r="F896" s="6">
        <f>_xlfn.MAXIFS(Levels!F:F,Levels!B:B,A896)</f>
        <v>5.5</v>
      </c>
    </row>
    <row r="897" spans="1:6" x14ac:dyDescent="0.3">
      <c r="A897" t="s">
        <v>4115</v>
      </c>
      <c r="B897" s="9">
        <f>COUNTIF(Levels!B:B,A897)</f>
        <v>4</v>
      </c>
      <c r="C897" s="9">
        <f>IFERROR(AVERAGEIF(Levels!B:B,A897,Levels!E:E),0)</f>
        <v>9.8825000000000003</v>
      </c>
      <c r="D897" s="9">
        <f>IFERROR(AVERAGEIF(Levels!B:B,A897,Levels!F:F),0)</f>
        <v>6.2925000000000004</v>
      </c>
      <c r="E897" s="9">
        <f>_xlfn.MAXIFS(Levels!E:E,Levels!B:B,A897)</f>
        <v>12.67</v>
      </c>
      <c r="F897" s="9">
        <f>_xlfn.MAXIFS(Levels!F:F,Levels!B:B,A897)</f>
        <v>7.25</v>
      </c>
    </row>
    <row r="898" spans="1:6" x14ac:dyDescent="0.3">
      <c r="A898" t="s">
        <v>4120</v>
      </c>
      <c r="B898" s="6">
        <f>COUNTIF(Levels!B:B,A898)</f>
        <v>9</v>
      </c>
      <c r="C898" s="6">
        <f>IFERROR(AVERAGEIF(Levels!B:B,A898,Levels!E:E),0)</f>
        <v>14.853333333333333</v>
      </c>
      <c r="D898" s="6">
        <f>IFERROR(AVERAGEIF(Levels!B:B,A898,Levels!F:F),0)</f>
        <v>7.5188888888888892</v>
      </c>
      <c r="E898" s="6">
        <f>_xlfn.MAXIFS(Levels!E:E,Levels!B:B,A898)</f>
        <v>21.36</v>
      </c>
      <c r="F898" s="6">
        <f>_xlfn.MAXIFS(Levels!F:F,Levels!B:B,A898)</f>
        <v>8.86</v>
      </c>
    </row>
    <row r="899" spans="1:6" x14ac:dyDescent="0.3">
      <c r="A899" t="s">
        <v>4124</v>
      </c>
      <c r="B899" s="9">
        <f>COUNTIF(Levels!B:B,A899)</f>
        <v>3</v>
      </c>
      <c r="C899" s="9">
        <f>IFERROR(AVERAGEIF(Levels!B:B,A899,Levels!E:E),0)</f>
        <v>5.69</v>
      </c>
      <c r="D899" s="9">
        <f>IFERROR(AVERAGEIF(Levels!B:B,A899,Levels!F:F),0)</f>
        <v>6.9899999999999993</v>
      </c>
      <c r="E899" s="9">
        <f>_xlfn.MAXIFS(Levels!E:E,Levels!B:B,A899)</f>
        <v>11.92</v>
      </c>
      <c r="F899" s="9">
        <f>_xlfn.MAXIFS(Levels!F:F,Levels!B:B,A899)</f>
        <v>7.86</v>
      </c>
    </row>
    <row r="900" spans="1:6" x14ac:dyDescent="0.3">
      <c r="A900" t="s">
        <v>4128</v>
      </c>
      <c r="B900" s="6">
        <f>COUNTIF(Levels!B:B,A900)</f>
        <v>4</v>
      </c>
      <c r="C900" s="6">
        <f>IFERROR(AVERAGEIF(Levels!B:B,A900,Levels!E:E),0)</f>
        <v>20.285</v>
      </c>
      <c r="D900" s="6">
        <f>IFERROR(AVERAGEIF(Levels!B:B,A900,Levels!F:F),0)</f>
        <v>6.8175000000000008</v>
      </c>
      <c r="E900" s="6">
        <f>_xlfn.MAXIFS(Levels!E:E,Levels!B:B,A900)</f>
        <v>27.33</v>
      </c>
      <c r="F900" s="6">
        <f>_xlfn.MAXIFS(Levels!F:F,Levels!B:B,A900)</f>
        <v>7.33</v>
      </c>
    </row>
    <row r="901" spans="1:6" x14ac:dyDescent="0.3">
      <c r="A901" t="s">
        <v>4133</v>
      </c>
      <c r="B901" s="9">
        <f>COUNTIF(Levels!B:B,A901)</f>
        <v>1</v>
      </c>
      <c r="C901" s="9">
        <f>IFERROR(AVERAGEIF(Levels!B:B,A901,Levels!E:E),0)</f>
        <v>7.14</v>
      </c>
      <c r="D901" s="9">
        <f>IFERROR(AVERAGEIF(Levels!B:B,A901,Levels!F:F),0)</f>
        <v>7.31</v>
      </c>
      <c r="E901" s="9">
        <f>_xlfn.MAXIFS(Levels!E:E,Levels!B:B,A901)</f>
        <v>7.14</v>
      </c>
      <c r="F901" s="9">
        <f>_xlfn.MAXIFS(Levels!F:F,Levels!B:B,A901)</f>
        <v>7.31</v>
      </c>
    </row>
    <row r="902" spans="1:6" x14ac:dyDescent="0.3">
      <c r="A902" t="s">
        <v>4138</v>
      </c>
      <c r="B902" s="6">
        <f>COUNTIF(Levels!B:B,A902)</f>
        <v>1</v>
      </c>
      <c r="C902" s="6">
        <f>IFERROR(AVERAGEIF(Levels!B:B,A902,Levels!E:E),0)</f>
        <v>22.67</v>
      </c>
      <c r="D902" s="6">
        <f>IFERROR(AVERAGEIF(Levels!B:B,A902,Levels!F:F),0)</f>
        <v>4.8899999999999997</v>
      </c>
      <c r="E902" s="6">
        <f>_xlfn.MAXIFS(Levels!E:E,Levels!B:B,A902)</f>
        <v>22.67</v>
      </c>
      <c r="F902" s="6">
        <f>_xlfn.MAXIFS(Levels!F:F,Levels!B:B,A902)</f>
        <v>4.8899999999999997</v>
      </c>
    </row>
    <row r="903" spans="1:6" x14ac:dyDescent="0.3">
      <c r="A903" t="s">
        <v>4143</v>
      </c>
      <c r="B903" s="9">
        <f>COUNTIF(Levels!B:B,A903)</f>
        <v>2</v>
      </c>
      <c r="C903" s="9">
        <f>IFERROR(AVERAGEIF(Levels!B:B,A903,Levels!E:E),0)</f>
        <v>3.04</v>
      </c>
      <c r="D903" s="9">
        <f>IFERROR(AVERAGEIF(Levels!B:B,A903,Levels!F:F),0)</f>
        <v>6.1749999999999998</v>
      </c>
      <c r="E903" s="9">
        <f>_xlfn.MAXIFS(Levels!E:E,Levels!B:B,A903)</f>
        <v>3.33</v>
      </c>
      <c r="F903" s="9">
        <f>_xlfn.MAXIFS(Levels!F:F,Levels!B:B,A903)</f>
        <v>6.18</v>
      </c>
    </row>
    <row r="904" spans="1:6" x14ac:dyDescent="0.3">
      <c r="A904" t="s">
        <v>4146</v>
      </c>
      <c r="B904" s="6">
        <f>COUNTIF(Levels!B:B,A904)</f>
        <v>3</v>
      </c>
      <c r="C904" s="6">
        <f>IFERROR(AVERAGEIF(Levels!B:B,A904,Levels!E:E),0)</f>
        <v>5.293333333333333</v>
      </c>
      <c r="D904" s="6">
        <f>IFERROR(AVERAGEIF(Levels!B:B,A904,Levels!F:F),0)</f>
        <v>6.2333333333333334</v>
      </c>
      <c r="E904" s="6">
        <f>_xlfn.MAXIFS(Levels!E:E,Levels!B:B,A904)</f>
        <v>7.5</v>
      </c>
      <c r="F904" s="6">
        <f>_xlfn.MAXIFS(Levels!F:F,Levels!B:B,A904)</f>
        <v>6.5</v>
      </c>
    </row>
    <row r="905" spans="1:6" x14ac:dyDescent="0.3">
      <c r="A905" t="s">
        <v>4150</v>
      </c>
      <c r="B905" s="9">
        <f>COUNTIF(Levels!B:B,A905)</f>
        <v>3</v>
      </c>
      <c r="C905" s="9">
        <f>IFERROR(AVERAGEIF(Levels!B:B,A905,Levels!E:E),0)</f>
        <v>6.6933333333333325</v>
      </c>
      <c r="D905" s="9">
        <f>IFERROR(AVERAGEIF(Levels!B:B,A905,Levels!F:F),0)</f>
        <v>6.9433333333333325</v>
      </c>
      <c r="E905" s="9">
        <f>_xlfn.MAXIFS(Levels!E:E,Levels!B:B,A905)</f>
        <v>11.07</v>
      </c>
      <c r="F905" s="9">
        <f>_xlfn.MAXIFS(Levels!F:F,Levels!B:B,A905)</f>
        <v>8</v>
      </c>
    </row>
    <row r="906" spans="1:6" x14ac:dyDescent="0.3">
      <c r="A906" t="s">
        <v>4154</v>
      </c>
      <c r="B906" s="6">
        <f>COUNTIF(Levels!B:B,A906)</f>
        <v>12</v>
      </c>
      <c r="C906" s="6">
        <f>IFERROR(AVERAGEIF(Levels!B:B,A906,Levels!E:E),0)</f>
        <v>12.99</v>
      </c>
      <c r="D906" s="6">
        <f>IFERROR(AVERAGEIF(Levels!B:B,A906,Levels!F:F),0)</f>
        <v>6.7341666666666669</v>
      </c>
      <c r="E906" s="6">
        <f>_xlfn.MAXIFS(Levels!E:E,Levels!B:B,A906)</f>
        <v>30.17</v>
      </c>
      <c r="F906" s="6">
        <f>_xlfn.MAXIFS(Levels!F:F,Levels!B:B,A906)</f>
        <v>9</v>
      </c>
    </row>
    <row r="907" spans="1:6" x14ac:dyDescent="0.3">
      <c r="A907" t="s">
        <v>4159</v>
      </c>
      <c r="B907" s="9">
        <f>COUNTIF(Levels!B:B,A907)</f>
        <v>6</v>
      </c>
      <c r="C907" s="9">
        <f>IFERROR(AVERAGEIF(Levels!B:B,A907,Levels!E:E),0)</f>
        <v>10.403333333333334</v>
      </c>
      <c r="D907" s="9">
        <f>IFERROR(AVERAGEIF(Levels!B:B,A907,Levels!F:F),0)</f>
        <v>6.1533333333333333</v>
      </c>
      <c r="E907" s="9">
        <f>_xlfn.MAXIFS(Levels!E:E,Levels!B:B,A907)</f>
        <v>14.89</v>
      </c>
      <c r="F907" s="9">
        <f>_xlfn.MAXIFS(Levels!F:F,Levels!B:B,A907)</f>
        <v>8.5399999999999991</v>
      </c>
    </row>
    <row r="908" spans="1:6" x14ac:dyDescent="0.3">
      <c r="A908" t="s">
        <v>4162</v>
      </c>
      <c r="B908" s="6">
        <f>COUNTIF(Levels!B:B,A908)</f>
        <v>3</v>
      </c>
      <c r="C908" s="6">
        <f>IFERROR(AVERAGEIF(Levels!B:B,A908,Levels!E:E),0)</f>
        <v>30.333333333333332</v>
      </c>
      <c r="D908" s="6">
        <f>IFERROR(AVERAGEIF(Levels!B:B,A908,Levels!F:F),0)</f>
        <v>6.3066666666666675</v>
      </c>
      <c r="E908" s="6">
        <f>_xlfn.MAXIFS(Levels!E:E,Levels!B:B,A908)</f>
        <v>32</v>
      </c>
      <c r="F908" s="6">
        <f>_xlfn.MAXIFS(Levels!F:F,Levels!B:B,A908)</f>
        <v>8</v>
      </c>
    </row>
    <row r="909" spans="1:6" x14ac:dyDescent="0.3">
      <c r="A909" t="s">
        <v>4168</v>
      </c>
      <c r="B909" s="9">
        <f>COUNTIF(Levels!B:B,A909)</f>
        <v>2</v>
      </c>
      <c r="C909" s="9">
        <f>IFERROR(AVERAGEIF(Levels!B:B,A909,Levels!E:E),0)</f>
        <v>2.375</v>
      </c>
      <c r="D909" s="9">
        <f>IFERROR(AVERAGEIF(Levels!B:B,A909,Levels!F:F),0)</f>
        <v>6.8449999999999998</v>
      </c>
      <c r="E909" s="9">
        <f>_xlfn.MAXIFS(Levels!E:E,Levels!B:B,A909)</f>
        <v>3</v>
      </c>
      <c r="F909" s="9">
        <f>_xlfn.MAXIFS(Levels!F:F,Levels!B:B,A909)</f>
        <v>6.93</v>
      </c>
    </row>
    <row r="910" spans="1:6" x14ac:dyDescent="0.3">
      <c r="A910" t="s">
        <v>4171</v>
      </c>
      <c r="B910" s="6">
        <f>COUNTIF(Levels!B:B,A910)</f>
        <v>6</v>
      </c>
      <c r="C910" s="6">
        <f>IFERROR(AVERAGEIF(Levels!B:B,A910,Levels!E:E),0)</f>
        <v>6.8166666666666664</v>
      </c>
      <c r="D910" s="6">
        <f>IFERROR(AVERAGEIF(Levels!B:B,A910,Levels!F:F),0)</f>
        <v>6.4716666666666667</v>
      </c>
      <c r="E910" s="6">
        <f>_xlfn.MAXIFS(Levels!E:E,Levels!B:B,A910)</f>
        <v>23</v>
      </c>
      <c r="F910" s="6">
        <f>_xlfn.MAXIFS(Levels!F:F,Levels!B:B,A910)</f>
        <v>8</v>
      </c>
    </row>
    <row r="911" spans="1:6" x14ac:dyDescent="0.3">
      <c r="A911" t="s">
        <v>4177</v>
      </c>
      <c r="B911" s="9">
        <f>COUNTIF(Levels!B:B,A911)</f>
        <v>2</v>
      </c>
      <c r="C911" s="9">
        <f>IFERROR(AVERAGEIF(Levels!B:B,A911,Levels!E:E),0)</f>
        <v>29.5</v>
      </c>
      <c r="D911" s="9">
        <f>IFERROR(AVERAGEIF(Levels!B:B,A911,Levels!F:F),0)</f>
        <v>6.2</v>
      </c>
      <c r="E911" s="9">
        <f>_xlfn.MAXIFS(Levels!E:E,Levels!B:B,A911)</f>
        <v>31</v>
      </c>
      <c r="F911" s="9">
        <f>_xlfn.MAXIFS(Levels!F:F,Levels!B:B,A911)</f>
        <v>6.4</v>
      </c>
    </row>
    <row r="912" spans="1:6" x14ac:dyDescent="0.3">
      <c r="A912" t="s">
        <v>4184</v>
      </c>
      <c r="B912" s="6">
        <f>COUNTIF(Levels!B:B,A912)</f>
        <v>20</v>
      </c>
      <c r="C912" s="6">
        <f>IFERROR(AVERAGEIF(Levels!B:B,A912,Levels!E:E),0)</f>
        <v>6.378000000000001</v>
      </c>
      <c r="D912" s="6">
        <f>IFERROR(AVERAGEIF(Levels!B:B,A912,Levels!F:F),0)</f>
        <v>6.4874999999999998</v>
      </c>
      <c r="E912" s="6">
        <f>_xlfn.MAXIFS(Levels!E:E,Levels!B:B,A912)</f>
        <v>17.420000000000002</v>
      </c>
      <c r="F912" s="6">
        <f>_xlfn.MAXIFS(Levels!F:F,Levels!B:B,A912)</f>
        <v>8.06</v>
      </c>
    </row>
    <row r="913" spans="1:6" x14ac:dyDescent="0.3">
      <c r="A913" t="s">
        <v>4188</v>
      </c>
      <c r="B913" s="9">
        <f>COUNTIF(Levels!B:B,A913)</f>
        <v>1</v>
      </c>
      <c r="C913" s="9">
        <f>IFERROR(AVERAGEIF(Levels!B:B,A913,Levels!E:E),0)</f>
        <v>4.33</v>
      </c>
      <c r="D913" s="9">
        <f>IFERROR(AVERAGEIF(Levels!B:B,A913,Levels!F:F),0)</f>
        <v>5.74</v>
      </c>
      <c r="E913" s="9">
        <f>_xlfn.MAXIFS(Levels!E:E,Levels!B:B,A913)</f>
        <v>4.33</v>
      </c>
      <c r="F913" s="9">
        <f>_xlfn.MAXIFS(Levels!F:F,Levels!B:B,A913)</f>
        <v>5.74</v>
      </c>
    </row>
    <row r="914" spans="1:6" x14ac:dyDescent="0.3">
      <c r="A914" t="s">
        <v>4196</v>
      </c>
      <c r="B914" s="6">
        <f>COUNTIF(Levels!B:B,A914)</f>
        <v>9</v>
      </c>
      <c r="C914" s="6">
        <f>IFERROR(AVERAGEIF(Levels!B:B,A914,Levels!E:E),0)</f>
        <v>13.543333333333333</v>
      </c>
      <c r="D914" s="6">
        <f>IFERROR(AVERAGEIF(Levels!B:B,A914,Levels!F:F),0)</f>
        <v>6.7055555555555557</v>
      </c>
      <c r="E914" s="6">
        <f>_xlfn.MAXIFS(Levels!E:E,Levels!B:B,A914)</f>
        <v>26.54</v>
      </c>
      <c r="F914" s="6">
        <f>_xlfn.MAXIFS(Levels!F:F,Levels!B:B,A914)</f>
        <v>7.44</v>
      </c>
    </row>
    <row r="915" spans="1:6" x14ac:dyDescent="0.3">
      <c r="A915" t="s">
        <v>4199</v>
      </c>
      <c r="B915" s="9">
        <f>COUNTIF(Levels!B:B,A915)</f>
        <v>1</v>
      </c>
      <c r="C915" s="9">
        <f>IFERROR(AVERAGEIF(Levels!B:B,A915,Levels!E:E),0)</f>
        <v>4.5999999999999996</v>
      </c>
      <c r="D915" s="9">
        <f>IFERROR(AVERAGEIF(Levels!B:B,A915,Levels!F:F),0)</f>
        <v>6.25</v>
      </c>
      <c r="E915" s="9">
        <f>_xlfn.MAXIFS(Levels!E:E,Levels!B:B,A915)</f>
        <v>4.5999999999999996</v>
      </c>
      <c r="F915" s="9">
        <f>_xlfn.MAXIFS(Levels!F:F,Levels!B:B,A915)</f>
        <v>6.25</v>
      </c>
    </row>
    <row r="916" spans="1:6" x14ac:dyDescent="0.3">
      <c r="A916" t="s">
        <v>4202</v>
      </c>
      <c r="B916" s="6">
        <f>COUNTIF(Levels!B:B,A916)</f>
        <v>1</v>
      </c>
      <c r="C916" s="6">
        <f>IFERROR(AVERAGEIF(Levels!B:B,A916,Levels!E:E),0)</f>
        <v>11.4</v>
      </c>
      <c r="D916" s="6">
        <f>IFERROR(AVERAGEIF(Levels!B:B,A916,Levels!F:F),0)</f>
        <v>5</v>
      </c>
      <c r="E916" s="6">
        <f>_xlfn.MAXIFS(Levels!E:E,Levels!B:B,A916)</f>
        <v>11.4</v>
      </c>
      <c r="F916" s="6">
        <f>_xlfn.MAXIFS(Levels!F:F,Levels!B:B,A916)</f>
        <v>5</v>
      </c>
    </row>
    <row r="917" spans="1:6" x14ac:dyDescent="0.3">
      <c r="A917" t="s">
        <v>4208</v>
      </c>
      <c r="B917" s="9">
        <f>COUNTIF(Levels!B:B,A917)</f>
        <v>12</v>
      </c>
      <c r="C917" s="9">
        <f>IFERROR(AVERAGEIF(Levels!B:B,A917,Levels!E:E),0)</f>
        <v>4.4758333333333331</v>
      </c>
      <c r="D917" s="9">
        <f>IFERROR(AVERAGEIF(Levels!B:B,A917,Levels!F:F),0)</f>
        <v>6.8283333333333331</v>
      </c>
      <c r="E917" s="9">
        <f>_xlfn.MAXIFS(Levels!E:E,Levels!B:B,A917)</f>
        <v>11.85</v>
      </c>
      <c r="F917" s="9">
        <f>_xlfn.MAXIFS(Levels!F:F,Levels!B:B,A917)</f>
        <v>8.08</v>
      </c>
    </row>
    <row r="918" spans="1:6" x14ac:dyDescent="0.3">
      <c r="A918" t="s">
        <v>4215</v>
      </c>
      <c r="B918" s="6">
        <f>COUNTIF(Levels!B:B,A918)</f>
        <v>3</v>
      </c>
      <c r="C918" s="6">
        <f>IFERROR(AVERAGEIF(Levels!B:B,A918,Levels!E:E),0)</f>
        <v>8.6133333333333333</v>
      </c>
      <c r="D918" s="6">
        <f>IFERROR(AVERAGEIF(Levels!B:B,A918,Levels!F:F),0)</f>
        <v>5.166666666666667</v>
      </c>
      <c r="E918" s="6">
        <f>_xlfn.MAXIFS(Levels!E:E,Levels!B:B,A918)</f>
        <v>10.42</v>
      </c>
      <c r="F918" s="6">
        <f>_xlfn.MAXIFS(Levels!F:F,Levels!B:B,A918)</f>
        <v>8</v>
      </c>
    </row>
    <row r="919" spans="1:6" x14ac:dyDescent="0.3">
      <c r="A919" t="s">
        <v>4218</v>
      </c>
      <c r="B919" s="9">
        <f>COUNTIF(Levels!B:B,A919)</f>
        <v>3</v>
      </c>
      <c r="C919" s="9">
        <f>IFERROR(AVERAGEIF(Levels!B:B,A919,Levels!E:E),0)</f>
        <v>9.7899999999999991</v>
      </c>
      <c r="D919" s="9">
        <f>IFERROR(AVERAGEIF(Levels!B:B,A919,Levels!F:F),0)</f>
        <v>5.9266666666666667</v>
      </c>
      <c r="E919" s="9">
        <f>_xlfn.MAXIFS(Levels!E:E,Levels!B:B,A919)</f>
        <v>12.5</v>
      </c>
      <c r="F919" s="9">
        <f>_xlfn.MAXIFS(Levels!F:F,Levels!B:B,A919)</f>
        <v>7</v>
      </c>
    </row>
    <row r="920" spans="1:6" x14ac:dyDescent="0.3">
      <c r="A920" t="s">
        <v>4234</v>
      </c>
      <c r="B920" s="6">
        <f>COUNTIF(Levels!B:B,A920)</f>
        <v>6</v>
      </c>
      <c r="C920" s="6">
        <f>IFERROR(AVERAGEIF(Levels!B:B,A920,Levels!E:E),0)</f>
        <v>3.168333333333333</v>
      </c>
      <c r="D920" s="6">
        <f>IFERROR(AVERAGEIF(Levels!B:B,A920,Levels!F:F),0)</f>
        <v>6.5</v>
      </c>
      <c r="E920" s="6">
        <f>_xlfn.MAXIFS(Levels!E:E,Levels!B:B,A920)</f>
        <v>5.19</v>
      </c>
      <c r="F920" s="6">
        <f>_xlfn.MAXIFS(Levels!F:F,Levels!B:B,A920)</f>
        <v>6.88</v>
      </c>
    </row>
    <row r="921" spans="1:6" x14ac:dyDescent="0.3">
      <c r="A921" t="s">
        <v>4238</v>
      </c>
      <c r="B921" s="9">
        <f>COUNTIF(Levels!B:B,A921)</f>
        <v>1</v>
      </c>
      <c r="C921" s="9">
        <f>IFERROR(AVERAGEIF(Levels!B:B,A921,Levels!E:E),0)</f>
        <v>6.25</v>
      </c>
      <c r="D921" s="9">
        <f>IFERROR(AVERAGEIF(Levels!B:B,A921,Levels!F:F),0)</f>
        <v>4</v>
      </c>
      <c r="E921" s="9">
        <f>_xlfn.MAXIFS(Levels!E:E,Levels!B:B,A921)</f>
        <v>6.25</v>
      </c>
      <c r="F921" s="9">
        <f>_xlfn.MAXIFS(Levels!F:F,Levels!B:B,A921)</f>
        <v>4</v>
      </c>
    </row>
    <row r="922" spans="1:6" x14ac:dyDescent="0.3">
      <c r="A922" t="s">
        <v>4246</v>
      </c>
      <c r="B922" s="6">
        <f>COUNTIF(Levels!B:B,A922)</f>
        <v>2</v>
      </c>
      <c r="C922" s="6">
        <f>IFERROR(AVERAGEIF(Levels!B:B,A922,Levels!E:E),0)</f>
        <v>14.13</v>
      </c>
      <c r="D922" s="6">
        <f>IFERROR(AVERAGEIF(Levels!B:B,A922,Levels!F:F),0)</f>
        <v>7.37</v>
      </c>
      <c r="E922" s="6">
        <f>_xlfn.MAXIFS(Levels!E:E,Levels!B:B,A922)</f>
        <v>14.13</v>
      </c>
      <c r="F922" s="6">
        <f>_xlfn.MAXIFS(Levels!F:F,Levels!B:B,A922)</f>
        <v>7.5</v>
      </c>
    </row>
    <row r="923" spans="1:6" x14ac:dyDescent="0.3">
      <c r="A923" t="s">
        <v>4256</v>
      </c>
      <c r="B923" s="9">
        <f>COUNTIF(Levels!B:B,A923)</f>
        <v>2</v>
      </c>
      <c r="C923" s="9">
        <f>IFERROR(AVERAGEIF(Levels!B:B,A923,Levels!E:E),0)</f>
        <v>22.25</v>
      </c>
      <c r="D923" s="9">
        <f>IFERROR(AVERAGEIF(Levels!B:B,A923,Levels!F:F),0)</f>
        <v>6.3250000000000002</v>
      </c>
      <c r="E923" s="9">
        <f>_xlfn.MAXIFS(Levels!E:E,Levels!B:B,A923)</f>
        <v>25</v>
      </c>
      <c r="F923" s="9">
        <f>_xlfn.MAXIFS(Levels!F:F,Levels!B:B,A923)</f>
        <v>7.25</v>
      </c>
    </row>
    <row r="924" spans="1:6" x14ac:dyDescent="0.3">
      <c r="A924" t="s">
        <v>4259</v>
      </c>
      <c r="B924" s="6">
        <f>COUNTIF(Levels!B:B,A924)</f>
        <v>3</v>
      </c>
      <c r="C924" s="6">
        <f>IFERROR(AVERAGEIF(Levels!B:B,A924,Levels!E:E),0)</f>
        <v>8.1266666666666669</v>
      </c>
      <c r="D924" s="6">
        <f>IFERROR(AVERAGEIF(Levels!B:B,A924,Levels!F:F),0)</f>
        <v>5.4866666666666672</v>
      </c>
      <c r="E924" s="6">
        <f>_xlfn.MAXIFS(Levels!E:E,Levels!B:B,A924)</f>
        <v>14.22</v>
      </c>
      <c r="F924" s="6">
        <f>_xlfn.MAXIFS(Levels!F:F,Levels!B:B,A924)</f>
        <v>6</v>
      </c>
    </row>
    <row r="925" spans="1:6" x14ac:dyDescent="0.3">
      <c r="A925" t="s">
        <v>4261</v>
      </c>
      <c r="B925" s="9">
        <f>COUNTIF(Levels!B:B,A925)</f>
        <v>8</v>
      </c>
      <c r="C925" s="9">
        <f>IFERROR(AVERAGEIF(Levels!B:B,A925,Levels!E:E),0)</f>
        <v>6.2100000000000009</v>
      </c>
      <c r="D925" s="9">
        <f>IFERROR(AVERAGEIF(Levels!B:B,A925,Levels!F:F),0)</f>
        <v>6.2687499999999998</v>
      </c>
      <c r="E925" s="9">
        <f>_xlfn.MAXIFS(Levels!E:E,Levels!B:B,A925)</f>
        <v>9.31</v>
      </c>
      <c r="F925" s="9">
        <f>_xlfn.MAXIFS(Levels!F:F,Levels!B:B,A925)</f>
        <v>7.43</v>
      </c>
    </row>
    <row r="926" spans="1:6" x14ac:dyDescent="0.3">
      <c r="A926" t="s">
        <v>4267</v>
      </c>
      <c r="B926" s="6">
        <f>COUNTIF(Levels!B:B,A926)</f>
        <v>2</v>
      </c>
      <c r="C926" s="6">
        <f>IFERROR(AVERAGEIF(Levels!B:B,A926,Levels!E:E),0)</f>
        <v>7.0500000000000007</v>
      </c>
      <c r="D926" s="6">
        <f>IFERROR(AVERAGEIF(Levels!B:B,A926,Levels!F:F),0)</f>
        <v>6.7450000000000001</v>
      </c>
      <c r="E926" s="6">
        <f>_xlfn.MAXIFS(Levels!E:E,Levels!B:B,A926)</f>
        <v>7.19</v>
      </c>
      <c r="F926" s="6">
        <f>_xlfn.MAXIFS(Levels!F:F,Levels!B:B,A926)</f>
        <v>6.99</v>
      </c>
    </row>
    <row r="927" spans="1:6" x14ac:dyDescent="0.3">
      <c r="A927" t="s">
        <v>4271</v>
      </c>
      <c r="B927" s="9">
        <f>COUNTIF(Levels!B:B,A927)</f>
        <v>4</v>
      </c>
      <c r="C927" s="9">
        <f>IFERROR(AVERAGEIF(Levels!B:B,A927,Levels!E:E),0)</f>
        <v>7.9124999999999996</v>
      </c>
      <c r="D927" s="9">
        <f>IFERROR(AVERAGEIF(Levels!B:B,A927,Levels!F:F),0)</f>
        <v>6.1749999999999998</v>
      </c>
      <c r="E927" s="9">
        <f>_xlfn.MAXIFS(Levels!E:E,Levels!B:B,A927)</f>
        <v>14.3</v>
      </c>
      <c r="F927" s="9">
        <f>_xlfn.MAXIFS(Levels!F:F,Levels!B:B,A927)</f>
        <v>8.33</v>
      </c>
    </row>
    <row r="928" spans="1:6" x14ac:dyDescent="0.3">
      <c r="A928" t="s">
        <v>4277</v>
      </c>
      <c r="B928" s="6">
        <f>COUNTIF(Levels!B:B,A928)</f>
        <v>4</v>
      </c>
      <c r="C928" s="6">
        <f>IFERROR(AVERAGEIF(Levels!B:B,A928,Levels!E:E),0)</f>
        <v>12.280000000000001</v>
      </c>
      <c r="D928" s="6">
        <f>IFERROR(AVERAGEIF(Levels!B:B,A928,Levels!F:F),0)</f>
        <v>7.4524999999999997</v>
      </c>
      <c r="E928" s="6">
        <f>_xlfn.MAXIFS(Levels!E:E,Levels!B:B,A928)</f>
        <v>16.12</v>
      </c>
      <c r="F928" s="6">
        <f>_xlfn.MAXIFS(Levels!F:F,Levels!B:B,A928)</f>
        <v>8.66</v>
      </c>
    </row>
    <row r="929" spans="1:6" x14ac:dyDescent="0.3">
      <c r="A929" t="s">
        <v>4285</v>
      </c>
      <c r="B929" s="9">
        <f>COUNTIF(Levels!B:B,A929)</f>
        <v>2</v>
      </c>
      <c r="C929" s="9">
        <f>IFERROR(AVERAGEIF(Levels!B:B,A929,Levels!E:E),0)</f>
        <v>7.0050000000000008</v>
      </c>
      <c r="D929" s="9">
        <f>IFERROR(AVERAGEIF(Levels!B:B,A929,Levels!F:F),0)</f>
        <v>6.25</v>
      </c>
      <c r="E929" s="9">
        <f>_xlfn.MAXIFS(Levels!E:E,Levels!B:B,A929)</f>
        <v>9.4</v>
      </c>
      <c r="F929" s="9">
        <f>_xlfn.MAXIFS(Levels!F:F,Levels!B:B,A929)</f>
        <v>6.7</v>
      </c>
    </row>
    <row r="930" spans="1:6" x14ac:dyDescent="0.3">
      <c r="A930" t="s">
        <v>4293</v>
      </c>
      <c r="B930" s="6">
        <f>COUNTIF(Levels!B:B,A930)</f>
        <v>6</v>
      </c>
      <c r="C930" s="6">
        <f>IFERROR(AVERAGEIF(Levels!B:B,A930,Levels!E:E),0)</f>
        <v>15.395000000000001</v>
      </c>
      <c r="D930" s="6">
        <f>IFERROR(AVERAGEIF(Levels!B:B,A930,Levels!F:F),0)</f>
        <v>7.1533333333333324</v>
      </c>
      <c r="E930" s="6">
        <f>_xlfn.MAXIFS(Levels!E:E,Levels!B:B,A930)</f>
        <v>23.75</v>
      </c>
      <c r="F930" s="6">
        <f>_xlfn.MAXIFS(Levels!F:F,Levels!B:B,A930)</f>
        <v>9.25</v>
      </c>
    </row>
    <row r="931" spans="1:6" x14ac:dyDescent="0.3">
      <c r="A931" t="s">
        <v>4299</v>
      </c>
      <c r="B931" s="9">
        <f>COUNTIF(Levels!B:B,A931)</f>
        <v>1</v>
      </c>
      <c r="C931" s="9">
        <f>IFERROR(AVERAGEIF(Levels!B:B,A931,Levels!E:E),0)</f>
        <v>22</v>
      </c>
      <c r="D931" s="9">
        <f>IFERROR(AVERAGEIF(Levels!B:B,A931,Levels!F:F),0)</f>
        <v>8</v>
      </c>
      <c r="E931" s="9">
        <f>_xlfn.MAXIFS(Levels!E:E,Levels!B:B,A931)</f>
        <v>22</v>
      </c>
      <c r="F931" s="9">
        <f>_xlfn.MAXIFS(Levels!F:F,Levels!B:B,A931)</f>
        <v>8</v>
      </c>
    </row>
    <row r="932" spans="1:6" x14ac:dyDescent="0.3">
      <c r="A932" t="s">
        <v>4302</v>
      </c>
      <c r="B932" s="6">
        <f>COUNTIF(Levels!B:B,A932)</f>
        <v>1</v>
      </c>
      <c r="C932" s="6">
        <f>IFERROR(AVERAGEIF(Levels!B:B,A932,Levels!E:E),0)</f>
        <v>32.5</v>
      </c>
      <c r="D932" s="6">
        <f>IFERROR(AVERAGEIF(Levels!B:B,A932,Levels!F:F),0)</f>
        <v>6</v>
      </c>
      <c r="E932" s="6">
        <f>_xlfn.MAXIFS(Levels!E:E,Levels!B:B,A932)</f>
        <v>32.5</v>
      </c>
      <c r="F932" s="6">
        <f>_xlfn.MAXIFS(Levels!F:F,Levels!B:B,A932)</f>
        <v>6</v>
      </c>
    </row>
    <row r="933" spans="1:6" x14ac:dyDescent="0.3">
      <c r="A933" t="s">
        <v>4305</v>
      </c>
      <c r="B933" s="9">
        <f>COUNTIF(Levels!B:B,A933)</f>
        <v>11</v>
      </c>
      <c r="C933" s="9">
        <f>IFERROR(AVERAGEIF(Levels!B:B,A933,Levels!E:E),0)</f>
        <v>7.8463636363636367</v>
      </c>
      <c r="D933" s="9">
        <f>IFERROR(AVERAGEIF(Levels!B:B,A933,Levels!F:F),0)</f>
        <v>6.7918181818181829</v>
      </c>
      <c r="E933" s="9">
        <f>_xlfn.MAXIFS(Levels!E:E,Levels!B:B,A933)</f>
        <v>32</v>
      </c>
      <c r="F933" s="9">
        <f>_xlfn.MAXIFS(Levels!F:F,Levels!B:B,A933)</f>
        <v>8.5</v>
      </c>
    </row>
    <row r="934" spans="1:6" x14ac:dyDescent="0.3">
      <c r="A934" t="s">
        <v>4308</v>
      </c>
      <c r="B934" s="6">
        <f>COUNTIF(Levels!B:B,A934)</f>
        <v>1</v>
      </c>
      <c r="C934" s="6">
        <f>IFERROR(AVERAGEIF(Levels!B:B,A934,Levels!E:E),0)</f>
        <v>27.05</v>
      </c>
      <c r="D934" s="6">
        <f>IFERROR(AVERAGEIF(Levels!B:B,A934,Levels!F:F),0)</f>
        <v>3.83</v>
      </c>
      <c r="E934" s="6">
        <f>_xlfn.MAXIFS(Levels!E:E,Levels!B:B,A934)</f>
        <v>27.05</v>
      </c>
      <c r="F934" s="6">
        <f>_xlfn.MAXIFS(Levels!F:F,Levels!B:B,A934)</f>
        <v>3.83</v>
      </c>
    </row>
    <row r="935" spans="1:6" x14ac:dyDescent="0.3">
      <c r="A935" t="s">
        <v>4317</v>
      </c>
      <c r="B935" s="9">
        <f>COUNTIF(Levels!B:B,A935)</f>
        <v>2</v>
      </c>
      <c r="C935" s="9">
        <f>IFERROR(AVERAGEIF(Levels!B:B,A935,Levels!E:E),0)</f>
        <v>4.88</v>
      </c>
      <c r="D935" s="9">
        <f>IFERROR(AVERAGEIF(Levels!B:B,A935,Levels!F:F),0)</f>
        <v>5.49</v>
      </c>
      <c r="E935" s="9">
        <f>_xlfn.MAXIFS(Levels!E:E,Levels!B:B,A935)</f>
        <v>6.97</v>
      </c>
      <c r="F935" s="9">
        <f>_xlfn.MAXIFS(Levels!F:F,Levels!B:B,A935)</f>
        <v>6</v>
      </c>
    </row>
    <row r="936" spans="1:6" x14ac:dyDescent="0.3">
      <c r="A936" t="s">
        <v>4328</v>
      </c>
      <c r="B936" s="6">
        <f>COUNTIF(Levels!B:B,A936)</f>
        <v>2</v>
      </c>
      <c r="C936" s="6">
        <f>IFERROR(AVERAGEIF(Levels!B:B,A936,Levels!E:E),0)</f>
        <v>14.23</v>
      </c>
      <c r="D936" s="6">
        <f>IFERROR(AVERAGEIF(Levels!B:B,A936,Levels!F:F),0)</f>
        <v>6.3949999999999996</v>
      </c>
      <c r="E936" s="6">
        <f>_xlfn.MAXIFS(Levels!E:E,Levels!B:B,A936)</f>
        <v>16.600000000000001</v>
      </c>
      <c r="F936" s="6">
        <f>_xlfn.MAXIFS(Levels!F:F,Levels!B:B,A936)</f>
        <v>7</v>
      </c>
    </row>
    <row r="937" spans="1:6" x14ac:dyDescent="0.3">
      <c r="A937" t="s">
        <v>4333</v>
      </c>
      <c r="B937" s="9">
        <f>COUNTIF(Levels!B:B,A937)</f>
        <v>1</v>
      </c>
      <c r="C937" s="9">
        <f>IFERROR(AVERAGEIF(Levels!B:B,A937,Levels!E:E),0)</f>
        <v>7.9</v>
      </c>
      <c r="D937" s="9">
        <f>IFERROR(AVERAGEIF(Levels!B:B,A937,Levels!F:F),0)</f>
        <v>7.27</v>
      </c>
      <c r="E937" s="9">
        <f>_xlfn.MAXIFS(Levels!E:E,Levels!B:B,A937)</f>
        <v>7.9</v>
      </c>
      <c r="F937" s="9">
        <f>_xlfn.MAXIFS(Levels!F:F,Levels!B:B,A937)</f>
        <v>7.27</v>
      </c>
    </row>
    <row r="938" spans="1:6" x14ac:dyDescent="0.3">
      <c r="A938" t="s">
        <v>4335</v>
      </c>
      <c r="B938" s="6">
        <f>COUNTIF(Levels!B:B,A938)</f>
        <v>2</v>
      </c>
      <c r="C938" s="6">
        <f>IFERROR(AVERAGEIF(Levels!B:B,A938,Levels!E:E),0)</f>
        <v>3.3000000000000003</v>
      </c>
      <c r="D938" s="6">
        <f>IFERROR(AVERAGEIF(Levels!B:B,A938,Levels!F:F),0)</f>
        <v>5.93</v>
      </c>
      <c r="E938" s="6">
        <f>_xlfn.MAXIFS(Levels!E:E,Levels!B:B,A938)</f>
        <v>4.6900000000000004</v>
      </c>
      <c r="F938" s="6">
        <f>_xlfn.MAXIFS(Levels!F:F,Levels!B:B,A938)</f>
        <v>6.59</v>
      </c>
    </row>
    <row r="939" spans="1:6" x14ac:dyDescent="0.3">
      <c r="A939" t="s">
        <v>4341</v>
      </c>
      <c r="B939" s="9">
        <f>COUNTIF(Levels!B:B,A939)</f>
        <v>1</v>
      </c>
      <c r="C939" s="9">
        <f>IFERROR(AVERAGEIF(Levels!B:B,A939,Levels!E:E),0)</f>
        <v>6.8</v>
      </c>
      <c r="D939" s="9">
        <f>IFERROR(AVERAGEIF(Levels!B:B,A939,Levels!F:F),0)</f>
        <v>6.4</v>
      </c>
      <c r="E939" s="9">
        <f>_xlfn.MAXIFS(Levels!E:E,Levels!B:B,A939)</f>
        <v>6.8</v>
      </c>
      <c r="F939" s="9">
        <f>_xlfn.MAXIFS(Levels!F:F,Levels!B:B,A939)</f>
        <v>6.4</v>
      </c>
    </row>
    <row r="940" spans="1:6" x14ac:dyDescent="0.3">
      <c r="A940" t="s">
        <v>4347</v>
      </c>
      <c r="B940" s="6">
        <f>COUNTIF(Levels!B:B,A940)</f>
        <v>2</v>
      </c>
      <c r="C940" s="6">
        <f>IFERROR(AVERAGEIF(Levels!B:B,A940,Levels!E:E),0)</f>
        <v>15.164999999999999</v>
      </c>
      <c r="D940" s="6">
        <f>IFERROR(AVERAGEIF(Levels!B:B,A940,Levels!F:F),0)</f>
        <v>5.33</v>
      </c>
      <c r="E940" s="6">
        <f>_xlfn.MAXIFS(Levels!E:E,Levels!B:B,A940)</f>
        <v>17.329999999999998</v>
      </c>
      <c r="F940" s="6">
        <f>_xlfn.MAXIFS(Levels!F:F,Levels!B:B,A940)</f>
        <v>6.33</v>
      </c>
    </row>
    <row r="941" spans="1:6" x14ac:dyDescent="0.3">
      <c r="A941" t="s">
        <v>4350</v>
      </c>
      <c r="B941" s="9">
        <f>COUNTIF(Levels!B:B,A941)</f>
        <v>5</v>
      </c>
      <c r="C941" s="9">
        <f>IFERROR(AVERAGEIF(Levels!B:B,A941,Levels!E:E),0)</f>
        <v>9.9360000000000017</v>
      </c>
      <c r="D941" s="9">
        <f>IFERROR(AVERAGEIF(Levels!B:B,A941,Levels!F:F),0)</f>
        <v>7.3719999999999999</v>
      </c>
      <c r="E941" s="9">
        <f>_xlfn.MAXIFS(Levels!E:E,Levels!B:B,A941)</f>
        <v>22.74</v>
      </c>
      <c r="F941" s="9">
        <f>_xlfn.MAXIFS(Levels!F:F,Levels!B:B,A941)</f>
        <v>7.82</v>
      </c>
    </row>
    <row r="942" spans="1:6" x14ac:dyDescent="0.3">
      <c r="A942" t="s">
        <v>4354</v>
      </c>
      <c r="B942" s="6">
        <f>COUNTIF(Levels!B:B,A942)</f>
        <v>5</v>
      </c>
      <c r="C942" s="6">
        <f>IFERROR(AVERAGEIF(Levels!B:B,A942,Levels!E:E),0)</f>
        <v>14.263999999999999</v>
      </c>
      <c r="D942" s="6">
        <f>IFERROR(AVERAGEIF(Levels!B:B,A942,Levels!F:F),0)</f>
        <v>6.4600000000000009</v>
      </c>
      <c r="E942" s="6">
        <f>_xlfn.MAXIFS(Levels!E:E,Levels!B:B,A942)</f>
        <v>21.28</v>
      </c>
      <c r="F942" s="6">
        <f>_xlfn.MAXIFS(Levels!F:F,Levels!B:B,A942)</f>
        <v>8.25</v>
      </c>
    </row>
    <row r="943" spans="1:6" x14ac:dyDescent="0.3">
      <c r="A943" t="s">
        <v>4366</v>
      </c>
      <c r="B943" s="9">
        <f>COUNTIF(Levels!B:B,A943)</f>
        <v>7</v>
      </c>
      <c r="C943" s="9">
        <f>IFERROR(AVERAGEIF(Levels!B:B,A943,Levels!E:E),0)</f>
        <v>17.33285714285714</v>
      </c>
      <c r="D943" s="9">
        <f>IFERROR(AVERAGEIF(Levels!B:B,A943,Levels!F:F),0)</f>
        <v>6.0471428571428572</v>
      </c>
      <c r="E943" s="9">
        <f>_xlfn.MAXIFS(Levels!E:E,Levels!B:B,A943)</f>
        <v>28</v>
      </c>
      <c r="F943" s="9">
        <f>_xlfn.MAXIFS(Levels!F:F,Levels!B:B,A943)</f>
        <v>9.2200000000000006</v>
      </c>
    </row>
    <row r="944" spans="1:6" x14ac:dyDescent="0.3">
      <c r="A944" t="s">
        <v>4377</v>
      </c>
      <c r="B944" s="6">
        <f>COUNTIF(Levels!B:B,A944)</f>
        <v>6</v>
      </c>
      <c r="C944" s="6">
        <f>IFERROR(AVERAGEIF(Levels!B:B,A944,Levels!E:E),0)</f>
        <v>7.5883333333333338</v>
      </c>
      <c r="D944" s="6">
        <f>IFERROR(AVERAGEIF(Levels!B:B,A944,Levels!F:F),0)</f>
        <v>6.7416666666666671</v>
      </c>
      <c r="E944" s="6">
        <f>_xlfn.MAXIFS(Levels!E:E,Levels!B:B,A944)</f>
        <v>19.75</v>
      </c>
      <c r="F944" s="6">
        <f>_xlfn.MAXIFS(Levels!F:F,Levels!B:B,A944)</f>
        <v>7.67</v>
      </c>
    </row>
    <row r="945" spans="1:6" x14ac:dyDescent="0.3">
      <c r="A945" t="s">
        <v>4380</v>
      </c>
      <c r="B945" s="9">
        <f>COUNTIF(Levels!B:B,A945)</f>
        <v>3</v>
      </c>
      <c r="C945" s="9">
        <f>IFERROR(AVERAGEIF(Levels!B:B,A945,Levels!E:E),0)</f>
        <v>14.090000000000002</v>
      </c>
      <c r="D945" s="9">
        <f>IFERROR(AVERAGEIF(Levels!B:B,A945,Levels!F:F),0)</f>
        <v>7.253333333333333</v>
      </c>
      <c r="E945" s="9">
        <f>_xlfn.MAXIFS(Levels!E:E,Levels!B:B,A945)</f>
        <v>17.78</v>
      </c>
      <c r="F945" s="9">
        <f>_xlfn.MAXIFS(Levels!F:F,Levels!B:B,A945)</f>
        <v>7.79</v>
      </c>
    </row>
    <row r="946" spans="1:6" x14ac:dyDescent="0.3">
      <c r="A946" t="s">
        <v>4383</v>
      </c>
      <c r="B946" s="6">
        <f>COUNTIF(Levels!B:B,A946)</f>
        <v>1</v>
      </c>
      <c r="C946" s="6">
        <f>IFERROR(AVERAGEIF(Levels!B:B,A946,Levels!E:E),0)</f>
        <v>19.82</v>
      </c>
      <c r="D946" s="6">
        <f>IFERROR(AVERAGEIF(Levels!B:B,A946,Levels!F:F),0)</f>
        <v>6.25</v>
      </c>
      <c r="E946" s="6">
        <f>_xlfn.MAXIFS(Levels!E:E,Levels!B:B,A946)</f>
        <v>19.82</v>
      </c>
      <c r="F946" s="6">
        <f>_xlfn.MAXIFS(Levels!F:F,Levels!B:B,A946)</f>
        <v>6.25</v>
      </c>
    </row>
    <row r="947" spans="1:6" x14ac:dyDescent="0.3">
      <c r="A947" t="s">
        <v>4387</v>
      </c>
      <c r="B947" s="9">
        <f>COUNTIF(Levels!B:B,A947)</f>
        <v>3</v>
      </c>
      <c r="C947" s="9">
        <f>IFERROR(AVERAGEIF(Levels!B:B,A947,Levels!E:E),0)</f>
        <v>7.080000000000001</v>
      </c>
      <c r="D947" s="9">
        <f>IFERROR(AVERAGEIF(Levels!B:B,A947,Levels!F:F),0)</f>
        <v>6.2666666666666666</v>
      </c>
      <c r="E947" s="9">
        <f>_xlfn.MAXIFS(Levels!E:E,Levels!B:B,A947)</f>
        <v>10.74</v>
      </c>
      <c r="F947" s="9">
        <f>_xlfn.MAXIFS(Levels!F:F,Levels!B:B,A947)</f>
        <v>7.77</v>
      </c>
    </row>
    <row r="948" spans="1:6" x14ac:dyDescent="0.3">
      <c r="A948" t="s">
        <v>4390</v>
      </c>
      <c r="B948" s="6">
        <f>COUNTIF(Levels!B:B,A948)</f>
        <v>6</v>
      </c>
      <c r="C948" s="6">
        <f>IFERROR(AVERAGEIF(Levels!B:B,A948,Levels!E:E),0)</f>
        <v>5.1933333333333342</v>
      </c>
      <c r="D948" s="6">
        <f>IFERROR(AVERAGEIF(Levels!B:B,A948,Levels!F:F),0)</f>
        <v>7.078333333333334</v>
      </c>
      <c r="E948" s="6">
        <f>_xlfn.MAXIFS(Levels!E:E,Levels!B:B,A948)</f>
        <v>6.86</v>
      </c>
      <c r="F948" s="6">
        <f>_xlfn.MAXIFS(Levels!F:F,Levels!B:B,A948)</f>
        <v>8.35</v>
      </c>
    </row>
    <row r="949" spans="1:6" x14ac:dyDescent="0.3">
      <c r="A949" t="s">
        <v>4392</v>
      </c>
      <c r="B949" s="9">
        <f>COUNTIF(Levels!B:B,A949)</f>
        <v>2</v>
      </c>
      <c r="C949" s="9">
        <f>IFERROR(AVERAGEIF(Levels!B:B,A949,Levels!E:E),0)</f>
        <v>17.54</v>
      </c>
      <c r="D949" s="9">
        <f>IFERROR(AVERAGEIF(Levels!B:B,A949,Levels!F:F),0)</f>
        <v>7.6899999999999995</v>
      </c>
      <c r="E949" s="9">
        <f>_xlfn.MAXIFS(Levels!E:E,Levels!B:B,A949)</f>
        <v>21.33</v>
      </c>
      <c r="F949" s="9">
        <f>_xlfn.MAXIFS(Levels!F:F,Levels!B:B,A949)</f>
        <v>7.8</v>
      </c>
    </row>
    <row r="950" spans="1:6" x14ac:dyDescent="0.3">
      <c r="A950" t="s">
        <v>4395</v>
      </c>
      <c r="B950" s="6">
        <f>COUNTIF(Levels!B:B,A950)</f>
        <v>5</v>
      </c>
      <c r="C950" s="6">
        <f>IFERROR(AVERAGEIF(Levels!B:B,A950,Levels!E:E),0)</f>
        <v>14.571999999999999</v>
      </c>
      <c r="D950" s="6">
        <f>IFERROR(AVERAGEIF(Levels!B:B,A950,Levels!F:F),0)</f>
        <v>4.7539999999999996</v>
      </c>
      <c r="E950" s="6">
        <f>_xlfn.MAXIFS(Levels!E:E,Levels!B:B,A950)</f>
        <v>24</v>
      </c>
      <c r="F950" s="6">
        <f>_xlfn.MAXIFS(Levels!F:F,Levels!B:B,A950)</f>
        <v>7.26</v>
      </c>
    </row>
    <row r="951" spans="1:6" x14ac:dyDescent="0.3">
      <c r="A951" t="s">
        <v>4408</v>
      </c>
      <c r="B951" s="9">
        <f>COUNTIF(Levels!B:B,A951)</f>
        <v>1</v>
      </c>
      <c r="C951" s="9">
        <f>IFERROR(AVERAGEIF(Levels!B:B,A951,Levels!E:E),0)</f>
        <v>4</v>
      </c>
      <c r="D951" s="9">
        <f>IFERROR(AVERAGEIF(Levels!B:B,A951,Levels!F:F),0)</f>
        <v>3.67</v>
      </c>
      <c r="E951" s="9">
        <f>_xlfn.MAXIFS(Levels!E:E,Levels!B:B,A951)</f>
        <v>4</v>
      </c>
      <c r="F951" s="9">
        <f>_xlfn.MAXIFS(Levels!F:F,Levels!B:B,A951)</f>
        <v>3.67</v>
      </c>
    </row>
    <row r="952" spans="1:6" x14ac:dyDescent="0.3">
      <c r="A952" t="s">
        <v>4413</v>
      </c>
      <c r="B952" s="6">
        <f>COUNTIF(Levels!B:B,A952)</f>
        <v>5</v>
      </c>
      <c r="C952" s="6">
        <f>IFERROR(AVERAGEIF(Levels!B:B,A952,Levels!E:E),0)</f>
        <v>9.8559999999999999</v>
      </c>
      <c r="D952" s="6">
        <f>IFERROR(AVERAGEIF(Levels!B:B,A952,Levels!F:F),0)</f>
        <v>5.2380000000000004</v>
      </c>
      <c r="E952" s="6">
        <f>_xlfn.MAXIFS(Levels!E:E,Levels!B:B,A952)</f>
        <v>21.06</v>
      </c>
      <c r="F952" s="6">
        <f>_xlfn.MAXIFS(Levels!F:F,Levels!B:B,A952)</f>
        <v>6.5</v>
      </c>
    </row>
    <row r="953" spans="1:6" x14ac:dyDescent="0.3">
      <c r="A953" t="s">
        <v>4418</v>
      </c>
      <c r="B953" s="9">
        <f>COUNTIF(Levels!B:B,A953)</f>
        <v>1</v>
      </c>
      <c r="C953" s="9">
        <f>IFERROR(AVERAGEIF(Levels!B:B,A953,Levels!E:E),0)</f>
        <v>5.67</v>
      </c>
      <c r="D953" s="9">
        <f>IFERROR(AVERAGEIF(Levels!B:B,A953,Levels!F:F),0)</f>
        <v>5.5</v>
      </c>
      <c r="E953" s="9">
        <f>_xlfn.MAXIFS(Levels!E:E,Levels!B:B,A953)</f>
        <v>5.67</v>
      </c>
      <c r="F953" s="9">
        <f>_xlfn.MAXIFS(Levels!F:F,Levels!B:B,A953)</f>
        <v>5.5</v>
      </c>
    </row>
    <row r="954" spans="1:6" x14ac:dyDescent="0.3">
      <c r="A954" t="s">
        <v>4421</v>
      </c>
      <c r="B954" s="6">
        <f>COUNTIF(Levels!B:B,A954)</f>
        <v>3</v>
      </c>
      <c r="C954" s="6">
        <f>IFERROR(AVERAGEIF(Levels!B:B,A954,Levels!E:E),0)</f>
        <v>2.9966666666666666</v>
      </c>
      <c r="D954" s="6">
        <f>IFERROR(AVERAGEIF(Levels!B:B,A954,Levels!F:F),0)</f>
        <v>6.253333333333333</v>
      </c>
      <c r="E954" s="6">
        <f>_xlfn.MAXIFS(Levels!E:E,Levels!B:B,A954)</f>
        <v>3.87</v>
      </c>
      <c r="F954" s="6">
        <f>_xlfn.MAXIFS(Levels!F:F,Levels!B:B,A954)</f>
        <v>6.65</v>
      </c>
    </row>
    <row r="955" spans="1:6" x14ac:dyDescent="0.3">
      <c r="A955" t="s">
        <v>4432</v>
      </c>
      <c r="B955" s="9">
        <f>COUNTIF(Levels!B:B,A955)</f>
        <v>7</v>
      </c>
      <c r="C955" s="9">
        <f>IFERROR(AVERAGEIF(Levels!B:B,A955,Levels!E:E),0)</f>
        <v>9.4066666666666663</v>
      </c>
      <c r="D955" s="9">
        <f>IFERROR(AVERAGEIF(Levels!B:B,A955,Levels!F:F),0)</f>
        <v>5.0166666666666666</v>
      </c>
      <c r="E955" s="9">
        <f>_xlfn.MAXIFS(Levels!E:E,Levels!B:B,A955)</f>
        <v>24.93</v>
      </c>
      <c r="F955" s="9">
        <f>_xlfn.MAXIFS(Levels!F:F,Levels!B:B,A955)</f>
        <v>6.63</v>
      </c>
    </row>
    <row r="956" spans="1:6" x14ac:dyDescent="0.3">
      <c r="A956" t="s">
        <v>4434</v>
      </c>
      <c r="B956" s="6">
        <f>COUNTIF(Levels!B:B,A956)</f>
        <v>2</v>
      </c>
      <c r="C956" s="6">
        <f>IFERROR(AVERAGEIF(Levels!B:B,A956,Levels!E:E),0)</f>
        <v>2.83</v>
      </c>
      <c r="D956" s="6">
        <f>IFERROR(AVERAGEIF(Levels!B:B,A956,Levels!F:F),0)</f>
        <v>6.2550000000000008</v>
      </c>
      <c r="E956" s="6">
        <f>_xlfn.MAXIFS(Levels!E:E,Levels!B:B,A956)</f>
        <v>3.1</v>
      </c>
      <c r="F956" s="6">
        <f>_xlfn.MAXIFS(Levels!F:F,Levels!B:B,A956)</f>
        <v>6.61</v>
      </c>
    </row>
    <row r="957" spans="1:6" x14ac:dyDescent="0.3">
      <c r="A957" t="s">
        <v>4439</v>
      </c>
      <c r="B957" s="9">
        <f>COUNTIF(Levels!B:B,A957)</f>
        <v>6</v>
      </c>
      <c r="C957" s="9">
        <f>IFERROR(AVERAGEIF(Levels!B:B,A957,Levels!E:E),0)</f>
        <v>26.0625</v>
      </c>
      <c r="D957" s="9">
        <f>IFERROR(AVERAGEIF(Levels!B:B,A957,Levels!F:F),0)</f>
        <v>7.5</v>
      </c>
      <c r="E957" s="9">
        <f>_xlfn.MAXIFS(Levels!E:E,Levels!B:B,A957)</f>
        <v>35</v>
      </c>
      <c r="F957" s="9">
        <f>_xlfn.MAXIFS(Levels!F:F,Levels!B:B,A957)</f>
        <v>10</v>
      </c>
    </row>
    <row r="958" spans="1:6" x14ac:dyDescent="0.3">
      <c r="A958" t="s">
        <v>4441</v>
      </c>
      <c r="B958" s="6">
        <f>COUNTIF(Levels!B:B,A958)</f>
        <v>4</v>
      </c>
      <c r="C958" s="6">
        <f>IFERROR(AVERAGEIF(Levels!B:B,A958,Levels!E:E),0)</f>
        <v>32</v>
      </c>
      <c r="D958" s="6">
        <f>IFERROR(AVERAGEIF(Levels!B:B,A958,Levels!F:F),0)</f>
        <v>8</v>
      </c>
      <c r="E958" s="6">
        <f>_xlfn.MAXIFS(Levels!E:E,Levels!B:B,A958)</f>
        <v>32</v>
      </c>
      <c r="F958" s="6">
        <f>_xlfn.MAXIFS(Levels!F:F,Levels!B:B,A958)</f>
        <v>8</v>
      </c>
    </row>
    <row r="959" spans="1:6" x14ac:dyDescent="0.3">
      <c r="A959" t="s">
        <v>4445</v>
      </c>
      <c r="B959" s="9">
        <f>COUNTIF(Levels!B:B,A959)</f>
        <v>5</v>
      </c>
      <c r="C959" s="9">
        <f>IFERROR(AVERAGEIF(Levels!B:B,A959,Levels!E:E),0)</f>
        <v>4.6659999999999995</v>
      </c>
      <c r="D959" s="9">
        <f>IFERROR(AVERAGEIF(Levels!B:B,A959,Levels!F:F),0)</f>
        <v>6.2780000000000005</v>
      </c>
      <c r="E959" s="9">
        <f>_xlfn.MAXIFS(Levels!E:E,Levels!B:B,A959)</f>
        <v>7.97</v>
      </c>
      <c r="F959" s="9">
        <f>_xlfn.MAXIFS(Levels!F:F,Levels!B:B,A959)</f>
        <v>8</v>
      </c>
    </row>
    <row r="960" spans="1:6" x14ac:dyDescent="0.3">
      <c r="A960" t="s">
        <v>4449</v>
      </c>
      <c r="B960" s="6">
        <f>COUNTIF(Levels!B:B,A960)</f>
        <v>1</v>
      </c>
      <c r="C960" s="6">
        <f>IFERROR(AVERAGEIF(Levels!B:B,A960,Levels!E:E),0)</f>
        <v>15</v>
      </c>
      <c r="D960" s="6">
        <f>IFERROR(AVERAGEIF(Levels!B:B,A960,Levels!F:F),0)</f>
        <v>6</v>
      </c>
      <c r="E960" s="6">
        <f>_xlfn.MAXIFS(Levels!E:E,Levels!B:B,A960)</f>
        <v>15</v>
      </c>
      <c r="F960" s="6">
        <f>_xlfn.MAXIFS(Levels!F:F,Levels!B:B,A960)</f>
        <v>6</v>
      </c>
    </row>
    <row r="961" spans="1:6" x14ac:dyDescent="0.3">
      <c r="A961" t="s">
        <v>4455</v>
      </c>
      <c r="B961" s="9">
        <f>COUNTIF(Levels!B:B,A961)</f>
        <v>1</v>
      </c>
      <c r="C961" s="9">
        <f>IFERROR(AVERAGEIF(Levels!B:B,A961,Levels!E:E),0)</f>
        <v>17</v>
      </c>
      <c r="D961" s="9">
        <f>IFERROR(AVERAGEIF(Levels!B:B,A961,Levels!F:F),0)</f>
        <v>6</v>
      </c>
      <c r="E961" s="9">
        <f>_xlfn.MAXIFS(Levels!E:E,Levels!B:B,A961)</f>
        <v>17</v>
      </c>
      <c r="F961" s="9">
        <f>_xlfn.MAXIFS(Levels!F:F,Levels!B:B,A961)</f>
        <v>6</v>
      </c>
    </row>
    <row r="962" spans="1:6" x14ac:dyDescent="0.3">
      <c r="A962">
        <v>1374</v>
      </c>
      <c r="B962" s="6">
        <f>COUNTIF(Levels!B:B,A962)</f>
        <v>2</v>
      </c>
      <c r="C962" s="6">
        <f>IFERROR(AVERAGEIF(Levels!B:B,A962,Levels!E:E),0)</f>
        <v>4.54</v>
      </c>
      <c r="D962" s="6">
        <f>IFERROR(AVERAGEIF(Levels!B:B,A962,Levels!F:F),0)</f>
        <v>7.41</v>
      </c>
      <c r="E962" s="6">
        <f>_xlfn.MAXIFS(Levels!E:E,Levels!B:B,A962)</f>
        <v>6.92</v>
      </c>
      <c r="F962" s="6">
        <f>_xlfn.MAXIFS(Levels!F:F,Levels!B:B,A962)</f>
        <v>8.23</v>
      </c>
    </row>
    <row r="963" spans="1:6" x14ac:dyDescent="0.3">
      <c r="A963" t="s">
        <v>4460</v>
      </c>
      <c r="B963" s="9">
        <f>COUNTIF(Levels!B:B,A963)</f>
        <v>1</v>
      </c>
      <c r="C963" s="9">
        <f>IFERROR(AVERAGEIF(Levels!B:B,A963,Levels!E:E),0)</f>
        <v>12</v>
      </c>
      <c r="D963" s="9">
        <f>IFERROR(AVERAGEIF(Levels!B:B,A963,Levels!F:F),0)</f>
        <v>6</v>
      </c>
      <c r="E963" s="9">
        <f>_xlfn.MAXIFS(Levels!E:E,Levels!B:B,A963)</f>
        <v>12</v>
      </c>
      <c r="F963" s="9">
        <f>_xlfn.MAXIFS(Levels!F:F,Levels!B:B,A963)</f>
        <v>6</v>
      </c>
    </row>
    <row r="964" spans="1:6" x14ac:dyDescent="0.3">
      <c r="A964" t="s">
        <v>4468</v>
      </c>
      <c r="B964" s="6">
        <f>COUNTIF(Levels!B:B,A964)</f>
        <v>1</v>
      </c>
      <c r="C964" s="6">
        <f>IFERROR(AVERAGEIF(Levels!B:B,A964,Levels!E:E),0)</f>
        <v>20.6</v>
      </c>
      <c r="D964" s="6">
        <f>IFERROR(AVERAGEIF(Levels!B:B,A964,Levels!F:F),0)</f>
        <v>2.9</v>
      </c>
      <c r="E964" s="6">
        <f>_xlfn.MAXIFS(Levels!E:E,Levels!B:B,A964)</f>
        <v>20.6</v>
      </c>
      <c r="F964" s="6">
        <f>_xlfn.MAXIFS(Levels!F:F,Levels!B:B,A964)</f>
        <v>2.9</v>
      </c>
    </row>
    <row r="965" spans="1:6" x14ac:dyDescent="0.3">
      <c r="A965" t="s">
        <v>4471</v>
      </c>
      <c r="B965" s="9">
        <f>COUNTIF(Levels!B:B,A965)</f>
        <v>2</v>
      </c>
      <c r="C965" s="9">
        <f>IFERROR(AVERAGEIF(Levels!B:B,A965,Levels!E:E),0)</f>
        <v>9.75</v>
      </c>
      <c r="D965" s="9">
        <f>IFERROR(AVERAGEIF(Levels!B:B,A965,Levels!F:F),0)</f>
        <v>6.2650000000000006</v>
      </c>
      <c r="E965" s="9">
        <f>_xlfn.MAXIFS(Levels!E:E,Levels!B:B,A965)</f>
        <v>13.1</v>
      </c>
      <c r="F965" s="9">
        <f>_xlfn.MAXIFS(Levels!F:F,Levels!B:B,A965)</f>
        <v>6.33</v>
      </c>
    </row>
    <row r="966" spans="1:6" x14ac:dyDescent="0.3">
      <c r="A966" t="s">
        <v>4475</v>
      </c>
      <c r="B966" s="6">
        <f>COUNTIF(Levels!B:B,A966)</f>
        <v>1</v>
      </c>
      <c r="C966" s="6">
        <f>IFERROR(AVERAGEIF(Levels!B:B,A966,Levels!E:E),0)</f>
        <v>23</v>
      </c>
      <c r="D966" s="6">
        <f>IFERROR(AVERAGEIF(Levels!B:B,A966,Levels!F:F),0)</f>
        <v>6</v>
      </c>
      <c r="E966" s="6">
        <f>_xlfn.MAXIFS(Levels!E:E,Levels!B:B,A966)</f>
        <v>23</v>
      </c>
      <c r="F966" s="6">
        <f>_xlfn.MAXIFS(Levels!F:F,Levels!B:B,A966)</f>
        <v>6</v>
      </c>
    </row>
    <row r="967" spans="1:6" x14ac:dyDescent="0.3">
      <c r="A967" t="s">
        <v>4477</v>
      </c>
      <c r="B967" s="9">
        <f>COUNTIF(Levels!B:B,A967)</f>
        <v>1</v>
      </c>
      <c r="C967" s="9">
        <f>IFERROR(AVERAGEIF(Levels!B:B,A967,Levels!E:E),0)</f>
        <v>5.35</v>
      </c>
      <c r="D967" s="9">
        <f>IFERROR(AVERAGEIF(Levels!B:B,A967,Levels!F:F),0)</f>
        <v>7.08</v>
      </c>
      <c r="E967" s="9">
        <f>_xlfn.MAXIFS(Levels!E:E,Levels!B:B,A967)</f>
        <v>5.35</v>
      </c>
      <c r="F967" s="9">
        <f>_xlfn.MAXIFS(Levels!F:F,Levels!B:B,A967)</f>
        <v>7.08</v>
      </c>
    </row>
    <row r="968" spans="1:6" x14ac:dyDescent="0.3">
      <c r="A968" t="s">
        <v>4479</v>
      </c>
      <c r="B968" s="6">
        <f>COUNTIF(Levels!B:B,A968)</f>
        <v>12</v>
      </c>
      <c r="C968" s="6">
        <f>IFERROR(AVERAGEIF(Levels!B:B,A968,Levels!E:E),0)</f>
        <v>6.4981818181818189</v>
      </c>
      <c r="D968" s="6">
        <f>IFERROR(AVERAGEIF(Levels!B:B,A968,Levels!F:F),0)</f>
        <v>6.421666666666666</v>
      </c>
      <c r="E968" s="6">
        <f>_xlfn.MAXIFS(Levels!E:E,Levels!B:B,A968)</f>
        <v>19.75</v>
      </c>
      <c r="F968" s="6">
        <f>_xlfn.MAXIFS(Levels!F:F,Levels!B:B,A968)</f>
        <v>7.5</v>
      </c>
    </row>
    <row r="969" spans="1:6" x14ac:dyDescent="0.3">
      <c r="A969" t="s">
        <v>4483</v>
      </c>
      <c r="B969" s="9">
        <f>COUNTIF(Levels!B:B,A969)</f>
        <v>4</v>
      </c>
      <c r="C969" s="9">
        <f>IFERROR(AVERAGEIF(Levels!B:B,A969,Levels!E:E),0)</f>
        <v>1.8674999999999999</v>
      </c>
      <c r="D969" s="9">
        <f>IFERROR(AVERAGEIF(Levels!B:B,A969,Levels!F:F),0)</f>
        <v>6.9574999999999996</v>
      </c>
      <c r="E969" s="9">
        <f>_xlfn.MAXIFS(Levels!E:E,Levels!B:B,A969)</f>
        <v>2.84</v>
      </c>
      <c r="F969" s="9">
        <f>_xlfn.MAXIFS(Levels!F:F,Levels!B:B,A969)</f>
        <v>7.61</v>
      </c>
    </row>
    <row r="970" spans="1:6" x14ac:dyDescent="0.3">
      <c r="A970" t="s">
        <v>4485</v>
      </c>
      <c r="B970" s="6">
        <f>COUNTIF(Levels!B:B,A970)</f>
        <v>1</v>
      </c>
      <c r="C970" s="6">
        <f>IFERROR(AVERAGEIF(Levels!B:B,A970,Levels!E:E),0)</f>
        <v>3.64</v>
      </c>
      <c r="D970" s="6">
        <f>IFERROR(AVERAGEIF(Levels!B:B,A970,Levels!F:F),0)</f>
        <v>5.6</v>
      </c>
      <c r="E970" s="6">
        <f>_xlfn.MAXIFS(Levels!E:E,Levels!B:B,A970)</f>
        <v>3.64</v>
      </c>
      <c r="F970" s="6">
        <f>_xlfn.MAXIFS(Levels!F:F,Levels!B:B,A970)</f>
        <v>5.6</v>
      </c>
    </row>
    <row r="971" spans="1:6" x14ac:dyDescent="0.3">
      <c r="A971" t="s">
        <v>4493</v>
      </c>
      <c r="B971" s="9">
        <f>COUNTIF(Levels!B:B,A971)</f>
        <v>2</v>
      </c>
      <c r="C971" s="9">
        <f>IFERROR(AVERAGEIF(Levels!B:B,A971,Levels!E:E),0)</f>
        <v>17.25</v>
      </c>
      <c r="D971" s="9">
        <f>IFERROR(AVERAGEIF(Levels!B:B,A971,Levels!F:F),0)</f>
        <v>5.75</v>
      </c>
      <c r="E971" s="9">
        <f>_xlfn.MAXIFS(Levels!E:E,Levels!B:B,A971)</f>
        <v>18</v>
      </c>
      <c r="F971" s="9">
        <f>_xlfn.MAXIFS(Levels!F:F,Levels!B:B,A971)</f>
        <v>7</v>
      </c>
    </row>
    <row r="972" spans="1:6" x14ac:dyDescent="0.3">
      <c r="A972" t="s">
        <v>4497</v>
      </c>
      <c r="B972" s="6">
        <f>COUNTIF(Levels!B:B,A972)</f>
        <v>1</v>
      </c>
      <c r="C972" s="6">
        <f>IFERROR(AVERAGEIF(Levels!B:B,A972,Levels!E:E),0)</f>
        <v>9.86</v>
      </c>
      <c r="D972" s="6">
        <f>IFERROR(AVERAGEIF(Levels!B:B,A972,Levels!F:F),0)</f>
        <v>5.75</v>
      </c>
      <c r="E972" s="6">
        <f>_xlfn.MAXIFS(Levels!E:E,Levels!B:B,A972)</f>
        <v>9.86</v>
      </c>
      <c r="F972" s="6">
        <f>_xlfn.MAXIFS(Levels!F:F,Levels!B:B,A972)</f>
        <v>5.75</v>
      </c>
    </row>
    <row r="973" spans="1:6" x14ac:dyDescent="0.3">
      <c r="A973" t="s">
        <v>4503</v>
      </c>
      <c r="B973" s="9">
        <f>COUNTIF(Levels!B:B,A973)</f>
        <v>1</v>
      </c>
      <c r="C973" s="9">
        <f>IFERROR(AVERAGEIF(Levels!B:B,A973,Levels!E:E),0)</f>
        <v>2.66</v>
      </c>
      <c r="D973" s="9">
        <f>IFERROR(AVERAGEIF(Levels!B:B,A973,Levels!F:F),0)</f>
        <v>5.67</v>
      </c>
      <c r="E973" s="9">
        <f>_xlfn.MAXIFS(Levels!E:E,Levels!B:B,A973)</f>
        <v>2.66</v>
      </c>
      <c r="F973" s="9">
        <f>_xlfn.MAXIFS(Levels!F:F,Levels!B:B,A973)</f>
        <v>5.67</v>
      </c>
    </row>
    <row r="974" spans="1:6" x14ac:dyDescent="0.3">
      <c r="A974" t="s">
        <v>4507</v>
      </c>
      <c r="B974" s="6">
        <f>COUNTIF(Levels!B:B,A974)</f>
        <v>1</v>
      </c>
      <c r="C974" s="6">
        <f>IFERROR(AVERAGEIF(Levels!B:B,A974,Levels!E:E),0)</f>
        <v>13.78</v>
      </c>
      <c r="D974" s="6">
        <f>IFERROR(AVERAGEIF(Levels!B:B,A974,Levels!F:F),0)</f>
        <v>6.4</v>
      </c>
      <c r="E974" s="6">
        <f>_xlfn.MAXIFS(Levels!E:E,Levels!B:B,A974)</f>
        <v>13.78</v>
      </c>
      <c r="F974" s="6">
        <f>_xlfn.MAXIFS(Levels!F:F,Levels!B:B,A974)</f>
        <v>6.4</v>
      </c>
    </row>
    <row r="975" spans="1:6" x14ac:dyDescent="0.3">
      <c r="A975" t="s">
        <v>4511</v>
      </c>
      <c r="B975" s="9">
        <f>COUNTIF(Levels!B:B,A975)</f>
        <v>1</v>
      </c>
      <c r="C975" s="9">
        <f>IFERROR(AVERAGEIF(Levels!B:B,A975,Levels!E:E),0)</f>
        <v>6.33</v>
      </c>
      <c r="D975" s="9">
        <f>IFERROR(AVERAGEIF(Levels!B:B,A975,Levels!F:F),0)</f>
        <v>4.75</v>
      </c>
      <c r="E975" s="9">
        <f>_xlfn.MAXIFS(Levels!E:E,Levels!B:B,A975)</f>
        <v>6.33</v>
      </c>
      <c r="F975" s="9">
        <f>_xlfn.MAXIFS(Levels!F:F,Levels!B:B,A975)</f>
        <v>4.75</v>
      </c>
    </row>
    <row r="976" spans="1:6" x14ac:dyDescent="0.3">
      <c r="A976" t="s">
        <v>4515</v>
      </c>
      <c r="B976" s="6">
        <f>COUNTIF(Levels!B:B,A976)</f>
        <v>1</v>
      </c>
      <c r="C976" s="6">
        <f>IFERROR(AVERAGEIF(Levels!B:B,A976,Levels!E:E),0)</f>
        <v>16</v>
      </c>
      <c r="D976" s="6">
        <f>IFERROR(AVERAGEIF(Levels!B:B,A976,Levels!F:F),0)</f>
        <v>5.33</v>
      </c>
      <c r="E976" s="6">
        <f>_xlfn.MAXIFS(Levels!E:E,Levels!B:B,A976)</f>
        <v>16</v>
      </c>
      <c r="F976" s="6">
        <f>_xlfn.MAXIFS(Levels!F:F,Levels!B:B,A976)</f>
        <v>5.33</v>
      </c>
    </row>
    <row r="977" spans="1:6" x14ac:dyDescent="0.3">
      <c r="A977" t="s">
        <v>4521</v>
      </c>
      <c r="B977" s="9">
        <f>COUNTIF(Levels!B:B,A977)</f>
        <v>3</v>
      </c>
      <c r="C977" s="9">
        <f>IFERROR(AVERAGEIF(Levels!B:B,A977,Levels!E:E),0)</f>
        <v>9.19</v>
      </c>
      <c r="D977" s="9">
        <f>IFERROR(AVERAGEIF(Levels!B:B,A977,Levels!F:F),0)</f>
        <v>6.6966666666666663</v>
      </c>
      <c r="E977" s="9">
        <f>_xlfn.MAXIFS(Levels!E:E,Levels!B:B,A977)</f>
        <v>17.25</v>
      </c>
      <c r="F977" s="9">
        <f>_xlfn.MAXIFS(Levels!F:F,Levels!B:B,A977)</f>
        <v>8</v>
      </c>
    </row>
    <row r="978" spans="1:6" x14ac:dyDescent="0.3">
      <c r="A978" t="s">
        <v>4523</v>
      </c>
      <c r="B978" s="6">
        <f>COUNTIF(Levels!B:B,A978)</f>
        <v>1</v>
      </c>
      <c r="C978" s="6">
        <f>IFERROR(AVERAGEIF(Levels!B:B,A978,Levels!E:E),0)</f>
        <v>2.69</v>
      </c>
      <c r="D978" s="6">
        <f>IFERROR(AVERAGEIF(Levels!B:B,A978,Levels!F:F),0)</f>
        <v>7.42</v>
      </c>
      <c r="E978" s="6">
        <f>_xlfn.MAXIFS(Levels!E:E,Levels!B:B,A978)</f>
        <v>2.69</v>
      </c>
      <c r="F978" s="6">
        <f>_xlfn.MAXIFS(Levels!F:F,Levels!B:B,A978)</f>
        <v>7.42</v>
      </c>
    </row>
    <row r="979" spans="1:6" x14ac:dyDescent="0.3">
      <c r="A979" t="s">
        <v>4525</v>
      </c>
      <c r="B979" s="9">
        <f>COUNTIF(Levels!B:B,A979)</f>
        <v>1</v>
      </c>
      <c r="C979" s="9">
        <f>IFERROR(AVERAGEIF(Levels!B:B,A979,Levels!E:E),0)</f>
        <v>13.94</v>
      </c>
      <c r="D979" s="9">
        <f>IFERROR(AVERAGEIF(Levels!B:B,A979,Levels!F:F),0)</f>
        <v>7.23</v>
      </c>
      <c r="E979" s="9">
        <f>_xlfn.MAXIFS(Levels!E:E,Levels!B:B,A979)</f>
        <v>13.94</v>
      </c>
      <c r="F979" s="9">
        <f>_xlfn.MAXIFS(Levels!F:F,Levels!B:B,A979)</f>
        <v>7.23</v>
      </c>
    </row>
    <row r="980" spans="1:6" x14ac:dyDescent="0.3">
      <c r="A980" t="s">
        <v>4532</v>
      </c>
      <c r="B980" s="6">
        <f>COUNTIF(Levels!B:B,A980)</f>
        <v>1</v>
      </c>
      <c r="C980" s="6">
        <f>IFERROR(AVERAGEIF(Levels!B:B,A980,Levels!E:E),0)</f>
        <v>20.68</v>
      </c>
      <c r="D980" s="6">
        <f>IFERROR(AVERAGEIF(Levels!B:B,A980,Levels!F:F),0)</f>
        <v>5.38</v>
      </c>
      <c r="E980" s="6">
        <f>_xlfn.MAXIFS(Levels!E:E,Levels!B:B,A980)</f>
        <v>20.68</v>
      </c>
      <c r="F980" s="6">
        <f>_xlfn.MAXIFS(Levels!F:F,Levels!B:B,A980)</f>
        <v>5.38</v>
      </c>
    </row>
    <row r="981" spans="1:6" x14ac:dyDescent="0.3">
      <c r="A981" t="s">
        <v>4536</v>
      </c>
      <c r="B981" s="9">
        <f>COUNTIF(Levels!B:B,A981)</f>
        <v>4</v>
      </c>
      <c r="C981" s="9">
        <f>IFERROR(AVERAGEIF(Levels!B:B,A981,Levels!E:E),0)</f>
        <v>5.6924999999999999</v>
      </c>
      <c r="D981" s="9">
        <f>IFERROR(AVERAGEIF(Levels!B:B,A981,Levels!F:F),0)</f>
        <v>5.6</v>
      </c>
      <c r="E981" s="9">
        <f>_xlfn.MAXIFS(Levels!E:E,Levels!B:B,A981)</f>
        <v>8.5</v>
      </c>
      <c r="F981" s="9">
        <f>_xlfn.MAXIFS(Levels!F:F,Levels!B:B,A981)</f>
        <v>7.31</v>
      </c>
    </row>
    <row r="982" spans="1:6" x14ac:dyDescent="0.3">
      <c r="A982" t="s">
        <v>4540</v>
      </c>
      <c r="B982" s="6">
        <f>COUNTIF(Levels!B:B,A982)</f>
        <v>5</v>
      </c>
      <c r="C982" s="6">
        <f>IFERROR(AVERAGEIF(Levels!B:B,A982,Levels!E:E),0)</f>
        <v>14.18</v>
      </c>
      <c r="D982" s="6">
        <f>IFERROR(AVERAGEIF(Levels!B:B,A982,Levels!F:F),0)</f>
        <v>6.21</v>
      </c>
      <c r="E982" s="6">
        <f>_xlfn.MAXIFS(Levels!E:E,Levels!B:B,A982)</f>
        <v>33</v>
      </c>
      <c r="F982" s="6">
        <f>_xlfn.MAXIFS(Levels!F:F,Levels!B:B,A982)</f>
        <v>9.11</v>
      </c>
    </row>
    <row r="983" spans="1:6" x14ac:dyDescent="0.3">
      <c r="A983" t="s">
        <v>4541</v>
      </c>
      <c r="B983" s="9">
        <f>COUNTIF(Levels!B:B,A983)</f>
        <v>2</v>
      </c>
      <c r="C983" s="9">
        <f>IFERROR(AVERAGEIF(Levels!B:B,A983,Levels!E:E),0)</f>
        <v>5.2549999999999999</v>
      </c>
      <c r="D983" s="9">
        <f>IFERROR(AVERAGEIF(Levels!B:B,A983,Levels!F:F),0)</f>
        <v>5.2549999999999999</v>
      </c>
      <c r="E983" s="9">
        <f>_xlfn.MAXIFS(Levels!E:E,Levels!B:B,A983)</f>
        <v>7.2</v>
      </c>
      <c r="F983" s="9">
        <f>_xlfn.MAXIFS(Levels!F:F,Levels!B:B,A983)</f>
        <v>6.91</v>
      </c>
    </row>
    <row r="984" spans="1:6" x14ac:dyDescent="0.3">
      <c r="A984" t="s">
        <v>4544</v>
      </c>
      <c r="B984" s="6">
        <f>COUNTIF(Levels!B:B,A984)</f>
        <v>3</v>
      </c>
      <c r="C984" s="6">
        <f>IFERROR(AVERAGEIF(Levels!B:B,A984,Levels!E:E),0)</f>
        <v>5.3049999999999997</v>
      </c>
      <c r="D984" s="6">
        <f>IFERROR(AVERAGEIF(Levels!B:B,A984,Levels!F:F),0)</f>
        <v>5.5466666666666669</v>
      </c>
      <c r="E984" s="6">
        <f>_xlfn.MAXIFS(Levels!E:E,Levels!B:B,A984)</f>
        <v>7.86</v>
      </c>
      <c r="F984" s="6">
        <f>_xlfn.MAXIFS(Levels!F:F,Levels!B:B,A984)</f>
        <v>6.71</v>
      </c>
    </row>
    <row r="985" spans="1:6" x14ac:dyDescent="0.3">
      <c r="A985" t="s">
        <v>4547</v>
      </c>
      <c r="B985" s="9">
        <f>COUNTIF(Levels!B:B,A985)</f>
        <v>1</v>
      </c>
      <c r="C985" s="9">
        <f>IFERROR(AVERAGEIF(Levels!B:B,A985,Levels!E:E),0)</f>
        <v>5.81</v>
      </c>
      <c r="D985" s="9">
        <f>IFERROR(AVERAGEIF(Levels!B:B,A985,Levels!F:F),0)</f>
        <v>2.4</v>
      </c>
      <c r="E985" s="9">
        <f>_xlfn.MAXIFS(Levels!E:E,Levels!B:B,A985)</f>
        <v>5.81</v>
      </c>
      <c r="F985" s="9">
        <f>_xlfn.MAXIFS(Levels!F:F,Levels!B:B,A985)</f>
        <v>2.4</v>
      </c>
    </row>
    <row r="986" spans="1:6" x14ac:dyDescent="0.3">
      <c r="A986" t="s">
        <v>4549</v>
      </c>
      <c r="B986" s="6">
        <f>COUNTIF(Levels!B:B,A986)</f>
        <v>1</v>
      </c>
      <c r="C986" s="6">
        <f>IFERROR(AVERAGEIF(Levels!B:B,A986,Levels!E:E),0)</f>
        <v>14.43</v>
      </c>
      <c r="D986" s="6">
        <f>IFERROR(AVERAGEIF(Levels!B:B,A986,Levels!F:F),0)</f>
        <v>3.88</v>
      </c>
      <c r="E986" s="6">
        <f>_xlfn.MAXIFS(Levels!E:E,Levels!B:B,A986)</f>
        <v>14.43</v>
      </c>
      <c r="F986" s="6">
        <f>_xlfn.MAXIFS(Levels!F:F,Levels!B:B,A986)</f>
        <v>3.88</v>
      </c>
    </row>
    <row r="987" spans="1:6" x14ac:dyDescent="0.3">
      <c r="A987" t="s">
        <v>4552</v>
      </c>
      <c r="B987" s="9">
        <f>COUNTIF(Levels!B:B,A987)</f>
        <v>1</v>
      </c>
      <c r="C987" s="9">
        <f>IFERROR(AVERAGEIF(Levels!B:B,A987,Levels!E:E),0)</f>
        <v>7.07</v>
      </c>
      <c r="D987" s="9">
        <f>IFERROR(AVERAGEIF(Levels!B:B,A987,Levels!F:F),0)</f>
        <v>4.5</v>
      </c>
      <c r="E987" s="9">
        <f>_xlfn.MAXIFS(Levels!E:E,Levels!B:B,A987)</f>
        <v>7.07</v>
      </c>
      <c r="F987" s="9">
        <f>_xlfn.MAXIFS(Levels!F:F,Levels!B:B,A987)</f>
        <v>4.5</v>
      </c>
    </row>
    <row r="988" spans="1:6" x14ac:dyDescent="0.3">
      <c r="A988" t="s">
        <v>4554</v>
      </c>
      <c r="B988" s="6">
        <f>COUNTIF(Levels!B:B,A988)</f>
        <v>1</v>
      </c>
      <c r="C988" s="6">
        <f>IFERROR(AVERAGEIF(Levels!B:B,A988,Levels!E:E),0)</f>
        <v>2.2400000000000002</v>
      </c>
      <c r="D988" s="6">
        <f>IFERROR(AVERAGEIF(Levels!B:B,A988,Levels!F:F),0)</f>
        <v>6.14</v>
      </c>
      <c r="E988" s="6">
        <f>_xlfn.MAXIFS(Levels!E:E,Levels!B:B,A988)</f>
        <v>2.2400000000000002</v>
      </c>
      <c r="F988" s="6">
        <f>_xlfn.MAXIFS(Levels!F:F,Levels!B:B,A988)</f>
        <v>6.14</v>
      </c>
    </row>
    <row r="989" spans="1:6" x14ac:dyDescent="0.3">
      <c r="A989" t="s">
        <v>4561</v>
      </c>
      <c r="B989" s="9">
        <f>COUNTIF(Levels!B:B,A989)</f>
        <v>12</v>
      </c>
      <c r="C989" s="9">
        <f>IFERROR(AVERAGEIF(Levels!B:B,A989,Levels!E:E),0)</f>
        <v>9.6</v>
      </c>
      <c r="D989" s="9">
        <f>IFERROR(AVERAGEIF(Levels!B:B,A989,Levels!F:F),0)</f>
        <v>6.9191666666666665</v>
      </c>
      <c r="E989" s="9">
        <f>_xlfn.MAXIFS(Levels!E:E,Levels!B:B,A989)</f>
        <v>25.5</v>
      </c>
      <c r="F989" s="9">
        <f>_xlfn.MAXIFS(Levels!F:F,Levels!B:B,A989)</f>
        <v>10</v>
      </c>
    </row>
    <row r="990" spans="1:6" x14ac:dyDescent="0.3">
      <c r="A990" t="s">
        <v>4563</v>
      </c>
      <c r="B990" s="6">
        <f>COUNTIF(Levels!B:B,A990)</f>
        <v>2</v>
      </c>
      <c r="C990" s="6">
        <f>IFERROR(AVERAGEIF(Levels!B:B,A990,Levels!E:E),0)</f>
        <v>8.9600000000000009</v>
      </c>
      <c r="D990" s="6">
        <f>IFERROR(AVERAGEIF(Levels!B:B,A990,Levels!F:F),0)</f>
        <v>7.415</v>
      </c>
      <c r="E990" s="6">
        <f>_xlfn.MAXIFS(Levels!E:E,Levels!B:B,A990)</f>
        <v>9.17</v>
      </c>
      <c r="F990" s="6">
        <f>_xlfn.MAXIFS(Levels!F:F,Levels!B:B,A990)</f>
        <v>7.83</v>
      </c>
    </row>
    <row r="991" spans="1:6" x14ac:dyDescent="0.3">
      <c r="A991" t="s">
        <v>4568</v>
      </c>
      <c r="B991" s="9">
        <f>COUNTIF(Levels!B:B,A991)</f>
        <v>1</v>
      </c>
      <c r="C991" s="9">
        <f>IFERROR(AVERAGEIF(Levels!B:B,A991,Levels!E:E),0)</f>
        <v>15.5</v>
      </c>
      <c r="D991" s="9">
        <f>IFERROR(AVERAGEIF(Levels!B:B,A991,Levels!F:F),0)</f>
        <v>6.67</v>
      </c>
      <c r="E991" s="9">
        <f>_xlfn.MAXIFS(Levels!E:E,Levels!B:B,A991)</f>
        <v>15.5</v>
      </c>
      <c r="F991" s="9">
        <f>_xlfn.MAXIFS(Levels!F:F,Levels!B:B,A991)</f>
        <v>6.67</v>
      </c>
    </row>
    <row r="992" spans="1:6" x14ac:dyDescent="0.3">
      <c r="A992" t="s">
        <v>4578</v>
      </c>
      <c r="B992" s="6">
        <f>COUNTIF(Levels!B:B,A992)</f>
        <v>7</v>
      </c>
      <c r="C992" s="6">
        <f>IFERROR(AVERAGEIF(Levels!B:B,A992,Levels!E:E),0)</f>
        <v>8.3842857142857135</v>
      </c>
      <c r="D992" s="6">
        <f>IFERROR(AVERAGEIF(Levels!B:B,A992,Levels!F:F),0)</f>
        <v>7.24</v>
      </c>
      <c r="E992" s="6">
        <f>_xlfn.MAXIFS(Levels!E:E,Levels!B:B,A992)</f>
        <v>16.25</v>
      </c>
      <c r="F992" s="6">
        <f>_xlfn.MAXIFS(Levels!F:F,Levels!B:B,A992)</f>
        <v>8.18</v>
      </c>
    </row>
    <row r="993" spans="1:6" x14ac:dyDescent="0.3">
      <c r="A993" t="s">
        <v>4580</v>
      </c>
      <c r="B993" s="9">
        <f>COUNTIF(Levels!B:B,A993)</f>
        <v>9</v>
      </c>
      <c r="C993" s="9">
        <f>IFERROR(AVERAGEIF(Levels!B:B,A993,Levels!E:E),0)</f>
        <v>9.1744444444444433</v>
      </c>
      <c r="D993" s="9">
        <f>IFERROR(AVERAGEIF(Levels!B:B,A993,Levels!F:F),0)</f>
        <v>7.7266666666666657</v>
      </c>
      <c r="E993" s="9">
        <f>_xlfn.MAXIFS(Levels!E:E,Levels!B:B,A993)</f>
        <v>26.54</v>
      </c>
      <c r="F993" s="9">
        <f>_xlfn.MAXIFS(Levels!F:F,Levels!B:B,A993)</f>
        <v>8.92</v>
      </c>
    </row>
    <row r="994" spans="1:6" x14ac:dyDescent="0.3">
      <c r="A994" t="s">
        <v>4582</v>
      </c>
      <c r="B994" s="6">
        <f>COUNTIF(Levels!B:B,A994)</f>
        <v>1</v>
      </c>
      <c r="C994" s="6">
        <f>IFERROR(AVERAGEIF(Levels!B:B,A994,Levels!E:E),0)</f>
        <v>21.5</v>
      </c>
      <c r="D994" s="6">
        <f>IFERROR(AVERAGEIF(Levels!B:B,A994,Levels!F:F),0)</f>
        <v>6.26</v>
      </c>
      <c r="E994" s="6">
        <f>_xlfn.MAXIFS(Levels!E:E,Levels!B:B,A994)</f>
        <v>21.5</v>
      </c>
      <c r="F994" s="6">
        <f>_xlfn.MAXIFS(Levels!F:F,Levels!B:B,A994)</f>
        <v>6.26</v>
      </c>
    </row>
    <row r="995" spans="1:6" x14ac:dyDescent="0.3">
      <c r="A995" t="s">
        <v>4586</v>
      </c>
      <c r="B995" s="9">
        <f>COUNTIF(Levels!B:B,A995)</f>
        <v>1</v>
      </c>
      <c r="C995" s="9">
        <f>IFERROR(AVERAGEIF(Levels!B:B,A995,Levels!E:E),0)</f>
        <v>9.6300000000000008</v>
      </c>
      <c r="D995" s="9">
        <f>IFERROR(AVERAGEIF(Levels!B:B,A995,Levels!F:F),0)</f>
        <v>7.85</v>
      </c>
      <c r="E995" s="9">
        <f>_xlfn.MAXIFS(Levels!E:E,Levels!B:B,A995)</f>
        <v>9.6300000000000008</v>
      </c>
      <c r="F995" s="9">
        <f>_xlfn.MAXIFS(Levels!F:F,Levels!B:B,A995)</f>
        <v>7.85</v>
      </c>
    </row>
    <row r="996" spans="1:6" x14ac:dyDescent="0.3">
      <c r="A996" t="s">
        <v>4604</v>
      </c>
      <c r="B996" s="6">
        <f>COUNTIF(Levels!B:B,A996)</f>
        <v>2</v>
      </c>
      <c r="C996" s="6">
        <f>IFERROR(AVERAGEIF(Levels!B:B,A996,Levels!E:E),0)</f>
        <v>5.1750000000000007</v>
      </c>
      <c r="D996" s="6">
        <f>IFERROR(AVERAGEIF(Levels!B:B,A996,Levels!F:F),0)</f>
        <v>8.48</v>
      </c>
      <c r="E996" s="6">
        <f>_xlfn.MAXIFS(Levels!E:E,Levels!B:B,A996)</f>
        <v>6.11</v>
      </c>
      <c r="F996" s="6">
        <f>_xlfn.MAXIFS(Levels!F:F,Levels!B:B,A996)</f>
        <v>9.25</v>
      </c>
    </row>
    <row r="997" spans="1:6" x14ac:dyDescent="0.3">
      <c r="A997" t="s">
        <v>4606</v>
      </c>
      <c r="B997" s="9">
        <f>COUNTIF(Levels!B:B,A997)</f>
        <v>2</v>
      </c>
      <c r="C997" s="9">
        <f>IFERROR(AVERAGEIF(Levels!B:B,A997,Levels!E:E),0)</f>
        <v>12.815</v>
      </c>
      <c r="D997" s="9">
        <f>IFERROR(AVERAGEIF(Levels!B:B,A997,Levels!F:F),0)</f>
        <v>5.57</v>
      </c>
      <c r="E997" s="9">
        <f>_xlfn.MAXIFS(Levels!E:E,Levels!B:B,A997)</f>
        <v>20.65</v>
      </c>
      <c r="F997" s="9">
        <f>_xlfn.MAXIFS(Levels!F:F,Levels!B:B,A997)</f>
        <v>6.09</v>
      </c>
    </row>
    <row r="998" spans="1:6" x14ac:dyDescent="0.3">
      <c r="A998" t="s">
        <v>4613</v>
      </c>
      <c r="B998" s="6">
        <f>COUNTIF(Levels!B:B,A998)</f>
        <v>4</v>
      </c>
      <c r="C998" s="6">
        <f>IFERROR(AVERAGEIF(Levels!B:B,A998,Levels!E:E),0)</f>
        <v>15.510000000000002</v>
      </c>
      <c r="D998" s="6">
        <f>IFERROR(AVERAGEIF(Levels!B:B,A998,Levels!F:F),0)</f>
        <v>8</v>
      </c>
      <c r="E998" s="6">
        <f>_xlfn.MAXIFS(Levels!E:E,Levels!B:B,A998)</f>
        <v>22.83</v>
      </c>
      <c r="F998" s="6">
        <f>_xlfn.MAXIFS(Levels!F:F,Levels!B:B,A998)</f>
        <v>8.6300000000000008</v>
      </c>
    </row>
    <row r="999" spans="1:6" x14ac:dyDescent="0.3">
      <c r="A999" t="s">
        <v>4615</v>
      </c>
      <c r="B999" s="9">
        <f>COUNTIF(Levels!B:B,A999)</f>
        <v>2</v>
      </c>
      <c r="C999" s="9">
        <f>IFERROR(AVERAGEIF(Levels!B:B,A999,Levels!E:E),0)</f>
        <v>4.3900000000000006</v>
      </c>
      <c r="D999" s="9">
        <f>IFERROR(AVERAGEIF(Levels!B:B,A999,Levels!F:F),0)</f>
        <v>6.4749999999999996</v>
      </c>
      <c r="E999" s="9">
        <f>_xlfn.MAXIFS(Levels!E:E,Levels!B:B,A999)</f>
        <v>5.7</v>
      </c>
      <c r="F999" s="9">
        <f>_xlfn.MAXIFS(Levels!F:F,Levels!B:B,A999)</f>
        <v>6.73</v>
      </c>
    </row>
    <row r="1000" spans="1:6" x14ac:dyDescent="0.3">
      <c r="A1000" t="s">
        <v>4618</v>
      </c>
      <c r="B1000" s="6">
        <f>COUNTIF(Levels!B:B,A1000)</f>
        <v>4</v>
      </c>
      <c r="C1000" s="6">
        <f>IFERROR(AVERAGEIF(Levels!B:B,A1000,Levels!E:E),0)</f>
        <v>5.6099999999999994</v>
      </c>
      <c r="D1000" s="6">
        <f>IFERROR(AVERAGEIF(Levels!B:B,A1000,Levels!F:F),0)</f>
        <v>6.9024999999999999</v>
      </c>
      <c r="E1000" s="6">
        <f>_xlfn.MAXIFS(Levels!E:E,Levels!B:B,A1000)</f>
        <v>11.06</v>
      </c>
      <c r="F1000" s="6">
        <f>_xlfn.MAXIFS(Levels!F:F,Levels!B:B,A1000)</f>
        <v>8</v>
      </c>
    </row>
    <row r="1001" spans="1:6" x14ac:dyDescent="0.3">
      <c r="A1001" t="s">
        <v>4630</v>
      </c>
      <c r="B1001" s="9">
        <f>COUNTIF(Levels!B:B,A1001)</f>
        <v>4</v>
      </c>
      <c r="C1001" s="9">
        <f>IFERROR(AVERAGEIF(Levels!B:B,A1001,Levels!E:E),0)</f>
        <v>9.7675000000000001</v>
      </c>
      <c r="D1001" s="9">
        <f>IFERROR(AVERAGEIF(Levels!B:B,A1001,Levels!F:F),0)</f>
        <v>6.1425000000000001</v>
      </c>
      <c r="E1001" s="9">
        <f>_xlfn.MAXIFS(Levels!E:E,Levels!B:B,A1001)</f>
        <v>16.39</v>
      </c>
      <c r="F1001" s="9">
        <f>_xlfn.MAXIFS(Levels!F:F,Levels!B:B,A1001)</f>
        <v>7.5</v>
      </c>
    </row>
    <row r="1002" spans="1:6" x14ac:dyDescent="0.3">
      <c r="A1002" t="s">
        <v>4648</v>
      </c>
      <c r="B1002" s="6">
        <f>COUNTIF(Levels!B:B,A1002)</f>
        <v>2</v>
      </c>
      <c r="C1002" s="6">
        <f>IFERROR(AVERAGEIF(Levels!B:B,A1002,Levels!E:E),0)</f>
        <v>22.39</v>
      </c>
      <c r="D1002" s="6">
        <f>IFERROR(AVERAGEIF(Levels!B:B,A1002,Levels!F:F),0)</f>
        <v>7.04</v>
      </c>
      <c r="E1002" s="6">
        <f>_xlfn.MAXIFS(Levels!E:E,Levels!B:B,A1002)</f>
        <v>24.04</v>
      </c>
      <c r="F1002" s="6">
        <f>_xlfn.MAXIFS(Levels!F:F,Levels!B:B,A1002)</f>
        <v>7.55</v>
      </c>
    </row>
    <row r="1003" spans="1:6" x14ac:dyDescent="0.3">
      <c r="A1003" t="s">
        <v>4656</v>
      </c>
      <c r="B1003" s="9">
        <f>COUNTIF(Levels!B:B,A1003)</f>
        <v>2</v>
      </c>
      <c r="C1003" s="9">
        <f>IFERROR(AVERAGEIF(Levels!B:B,A1003,Levels!E:E),0)</f>
        <v>4.2149999999999999</v>
      </c>
      <c r="D1003" s="9">
        <f>IFERROR(AVERAGEIF(Levels!B:B,A1003,Levels!F:F),0)</f>
        <v>7.3650000000000002</v>
      </c>
      <c r="E1003" s="9">
        <f>_xlfn.MAXIFS(Levels!E:E,Levels!B:B,A1003)</f>
        <v>6.2</v>
      </c>
      <c r="F1003" s="9">
        <f>_xlfn.MAXIFS(Levels!F:F,Levels!B:B,A1003)</f>
        <v>8</v>
      </c>
    </row>
    <row r="1004" spans="1:6" x14ac:dyDescent="0.3">
      <c r="A1004" t="s">
        <v>4660</v>
      </c>
      <c r="B1004" s="6">
        <f>COUNTIF(Levels!B:B,A1004)</f>
        <v>2</v>
      </c>
      <c r="C1004" s="6">
        <f>IFERROR(AVERAGEIF(Levels!B:B,A1004,Levels!E:E),0)</f>
        <v>6.1150000000000002</v>
      </c>
      <c r="D1004" s="6">
        <f>IFERROR(AVERAGEIF(Levels!B:B,A1004,Levels!F:F),0)</f>
        <v>5.29</v>
      </c>
      <c r="E1004" s="6">
        <f>_xlfn.MAXIFS(Levels!E:E,Levels!B:B,A1004)</f>
        <v>6.14</v>
      </c>
      <c r="F1004" s="6">
        <f>_xlfn.MAXIFS(Levels!F:F,Levels!B:B,A1004)</f>
        <v>5.75</v>
      </c>
    </row>
    <row r="1005" spans="1:6" x14ac:dyDescent="0.3">
      <c r="A1005" t="s">
        <v>4662</v>
      </c>
      <c r="B1005" s="9">
        <f>COUNTIF(Levels!B:B,A1005)</f>
        <v>5</v>
      </c>
      <c r="C1005" s="9">
        <f>IFERROR(AVERAGEIF(Levels!B:B,A1005,Levels!E:E),0)</f>
        <v>10.57</v>
      </c>
      <c r="D1005" s="9">
        <f>IFERROR(AVERAGEIF(Levels!B:B,A1005,Levels!F:F),0)</f>
        <v>6.7020000000000008</v>
      </c>
      <c r="E1005" s="9">
        <f>_xlfn.MAXIFS(Levels!E:E,Levels!B:B,A1005)</f>
        <v>20.3</v>
      </c>
      <c r="F1005" s="9">
        <f>_xlfn.MAXIFS(Levels!F:F,Levels!B:B,A1005)</f>
        <v>8</v>
      </c>
    </row>
    <row r="1006" spans="1:6" x14ac:dyDescent="0.3">
      <c r="A1006" t="s">
        <v>4669</v>
      </c>
      <c r="B1006" s="6">
        <f>COUNTIF(Levels!B:B,A1006)</f>
        <v>2</v>
      </c>
      <c r="C1006" s="6">
        <f>IFERROR(AVERAGEIF(Levels!B:B,A1006,Levels!E:E),0)</f>
        <v>16.835000000000001</v>
      </c>
      <c r="D1006" s="6">
        <f>IFERROR(AVERAGEIF(Levels!B:B,A1006,Levels!F:F),0)</f>
        <v>5.375</v>
      </c>
      <c r="E1006" s="6">
        <f>_xlfn.MAXIFS(Levels!E:E,Levels!B:B,A1006)</f>
        <v>28</v>
      </c>
      <c r="F1006" s="6">
        <f>_xlfn.MAXIFS(Levels!F:F,Levels!B:B,A1006)</f>
        <v>6.5</v>
      </c>
    </row>
    <row r="1007" spans="1:6" x14ac:dyDescent="0.3">
      <c r="A1007" t="s">
        <v>4674</v>
      </c>
      <c r="B1007" s="9">
        <f>COUNTIF(Levels!B:B,A1007)</f>
        <v>1</v>
      </c>
      <c r="C1007" s="9">
        <f>IFERROR(AVERAGEIF(Levels!B:B,A1007,Levels!E:E),0)</f>
        <v>3.26</v>
      </c>
      <c r="D1007" s="9">
        <f>IFERROR(AVERAGEIF(Levels!B:B,A1007,Levels!F:F),0)</f>
        <v>6.14</v>
      </c>
      <c r="E1007" s="9">
        <f>_xlfn.MAXIFS(Levels!E:E,Levels!B:B,A1007)</f>
        <v>3.26</v>
      </c>
      <c r="F1007" s="9">
        <f>_xlfn.MAXIFS(Levels!F:F,Levels!B:B,A1007)</f>
        <v>6.14</v>
      </c>
    </row>
    <row r="1008" spans="1:6" x14ac:dyDescent="0.3">
      <c r="A1008" t="s">
        <v>4686</v>
      </c>
      <c r="B1008" s="6">
        <f>COUNTIF(Levels!B:B,A1008)</f>
        <v>18</v>
      </c>
      <c r="C1008" s="6">
        <f>IFERROR(AVERAGEIF(Levels!B:B,A1008,Levels!E:E),0)</f>
        <v>17.113999999999997</v>
      </c>
      <c r="D1008" s="6">
        <f>IFERROR(AVERAGEIF(Levels!B:B,A1008,Levels!F:F),0)</f>
        <v>7.0046666666666662</v>
      </c>
      <c r="E1008" s="6">
        <f>_xlfn.MAXIFS(Levels!E:E,Levels!B:B,A1008)</f>
        <v>35</v>
      </c>
      <c r="F1008" s="6">
        <f>_xlfn.MAXIFS(Levels!F:F,Levels!B:B,A1008)</f>
        <v>9.09</v>
      </c>
    </row>
    <row r="1009" spans="1:6" x14ac:dyDescent="0.3">
      <c r="A1009" t="s">
        <v>4690</v>
      </c>
      <c r="B1009" s="9">
        <f>COUNTIF(Levels!B:B,A1009)</f>
        <v>20</v>
      </c>
      <c r="C1009" s="9">
        <f>IFERROR(AVERAGEIF(Levels!B:B,A1009,Levels!E:E),0)</f>
        <v>11.366499999999998</v>
      </c>
      <c r="D1009" s="9">
        <f>IFERROR(AVERAGEIF(Levels!B:B,A1009,Levels!F:F),0)</f>
        <v>6.8804999999999996</v>
      </c>
      <c r="E1009" s="9">
        <f>_xlfn.MAXIFS(Levels!E:E,Levels!B:B,A1009)</f>
        <v>32.33</v>
      </c>
      <c r="F1009" s="9">
        <f>_xlfn.MAXIFS(Levels!F:F,Levels!B:B,A1009)</f>
        <v>9.33</v>
      </c>
    </row>
    <row r="1010" spans="1:6" x14ac:dyDescent="0.3">
      <c r="A1010" t="s">
        <v>4698</v>
      </c>
      <c r="B1010" s="6">
        <f>COUNTIF(Levels!B:B,A1010)</f>
        <v>3</v>
      </c>
      <c r="C1010" s="6">
        <f>IFERROR(AVERAGEIF(Levels!B:B,A1010,Levels!E:E),0)</f>
        <v>18.846666666666668</v>
      </c>
      <c r="D1010" s="6">
        <f>IFERROR(AVERAGEIF(Levels!B:B,A1010,Levels!F:F),0)</f>
        <v>6.7366666666666672</v>
      </c>
      <c r="E1010" s="6">
        <f>_xlfn.MAXIFS(Levels!E:E,Levels!B:B,A1010)</f>
        <v>26.75</v>
      </c>
      <c r="F1010" s="6">
        <f>_xlfn.MAXIFS(Levels!F:F,Levels!B:B,A1010)</f>
        <v>7.25</v>
      </c>
    </row>
    <row r="1011" spans="1:6" x14ac:dyDescent="0.3">
      <c r="A1011" t="s">
        <v>4700</v>
      </c>
      <c r="B1011" s="9">
        <f>COUNTIF(Levels!B:B,A1011)</f>
        <v>1</v>
      </c>
      <c r="C1011" s="9">
        <f>IFERROR(AVERAGEIF(Levels!B:B,A1011,Levels!E:E),0)</f>
        <v>1.97</v>
      </c>
      <c r="D1011" s="9">
        <f>IFERROR(AVERAGEIF(Levels!B:B,A1011,Levels!F:F),0)</f>
        <v>6.39</v>
      </c>
      <c r="E1011" s="9">
        <f>_xlfn.MAXIFS(Levels!E:E,Levels!B:B,A1011)</f>
        <v>1.97</v>
      </c>
      <c r="F1011" s="9">
        <f>_xlfn.MAXIFS(Levels!F:F,Levels!B:B,A1011)</f>
        <v>6.39</v>
      </c>
    </row>
    <row r="1012" spans="1:6" x14ac:dyDescent="0.3">
      <c r="A1012" t="s">
        <v>4702</v>
      </c>
      <c r="B1012" s="6">
        <f>COUNTIF(Levels!B:B,A1012)</f>
        <v>1</v>
      </c>
      <c r="C1012" s="6">
        <f>IFERROR(AVERAGEIF(Levels!B:B,A1012,Levels!E:E),0)</f>
        <v>30.75</v>
      </c>
      <c r="D1012" s="6">
        <f>IFERROR(AVERAGEIF(Levels!B:B,A1012,Levels!F:F),0)</f>
        <v>8.75</v>
      </c>
      <c r="E1012" s="6">
        <f>_xlfn.MAXIFS(Levels!E:E,Levels!B:B,A1012)</f>
        <v>30.75</v>
      </c>
      <c r="F1012" s="6">
        <f>_xlfn.MAXIFS(Levels!F:F,Levels!B:B,A1012)</f>
        <v>8.75</v>
      </c>
    </row>
    <row r="1013" spans="1:6" x14ac:dyDescent="0.3">
      <c r="A1013" t="s">
        <v>4705</v>
      </c>
      <c r="B1013" s="9">
        <f>COUNTIF(Levels!B:B,A1013)</f>
        <v>2</v>
      </c>
      <c r="C1013" s="9">
        <f>IFERROR(AVERAGEIF(Levels!B:B,A1013,Levels!E:E),0)</f>
        <v>17.18</v>
      </c>
      <c r="D1013" s="9">
        <f>IFERROR(AVERAGEIF(Levels!B:B,A1013,Levels!F:F),0)</f>
        <v>5.1899999999999995</v>
      </c>
      <c r="E1013" s="9">
        <f>_xlfn.MAXIFS(Levels!E:E,Levels!B:B,A1013)</f>
        <v>18.5</v>
      </c>
      <c r="F1013" s="9">
        <f>_xlfn.MAXIFS(Levels!F:F,Levels!B:B,A1013)</f>
        <v>6.88</v>
      </c>
    </row>
    <row r="1014" spans="1:6" x14ac:dyDescent="0.3">
      <c r="A1014" t="s">
        <v>4709</v>
      </c>
      <c r="B1014" s="6">
        <f>COUNTIF(Levels!B:B,A1014)</f>
        <v>1</v>
      </c>
      <c r="C1014" s="6">
        <f>IFERROR(AVERAGEIF(Levels!B:B,A1014,Levels!E:E),0)</f>
        <v>8.5</v>
      </c>
      <c r="D1014" s="6">
        <f>IFERROR(AVERAGEIF(Levels!B:B,A1014,Levels!F:F),0)</f>
        <v>4.9000000000000004</v>
      </c>
      <c r="E1014" s="6">
        <f>_xlfn.MAXIFS(Levels!E:E,Levels!B:B,A1014)</f>
        <v>8.5</v>
      </c>
      <c r="F1014" s="6">
        <f>_xlfn.MAXIFS(Levels!F:F,Levels!B:B,A1014)</f>
        <v>4.9000000000000004</v>
      </c>
    </row>
    <row r="1015" spans="1:6" x14ac:dyDescent="0.3">
      <c r="A1015" t="s">
        <v>4711</v>
      </c>
      <c r="B1015" s="9">
        <f>COUNTIF(Levels!B:B,A1015)</f>
        <v>3</v>
      </c>
      <c r="C1015" s="9">
        <f>IFERROR(AVERAGEIF(Levels!B:B,A1015,Levels!E:E),0)</f>
        <v>3.1066666666666669</v>
      </c>
      <c r="D1015" s="9">
        <f>IFERROR(AVERAGEIF(Levels!B:B,A1015,Levels!F:F),0)</f>
        <v>6.34</v>
      </c>
      <c r="E1015" s="9">
        <f>_xlfn.MAXIFS(Levels!E:E,Levels!B:B,A1015)</f>
        <v>3.3</v>
      </c>
      <c r="F1015" s="9">
        <f>_xlfn.MAXIFS(Levels!F:F,Levels!B:B,A1015)</f>
        <v>6.67</v>
      </c>
    </row>
    <row r="1016" spans="1:6" x14ac:dyDescent="0.3">
      <c r="A1016" t="s">
        <v>4718</v>
      </c>
      <c r="B1016" s="6">
        <f>COUNTIF(Levels!B:B,A1016)</f>
        <v>3</v>
      </c>
      <c r="C1016" s="6">
        <f>IFERROR(AVERAGEIF(Levels!B:B,A1016,Levels!E:E),0)</f>
        <v>13.550000000000002</v>
      </c>
      <c r="D1016" s="6">
        <f>IFERROR(AVERAGEIF(Levels!B:B,A1016,Levels!F:F),0)</f>
        <v>6.39</v>
      </c>
      <c r="E1016" s="6">
        <f>_xlfn.MAXIFS(Levels!E:E,Levels!B:B,A1016)</f>
        <v>21.73</v>
      </c>
      <c r="F1016" s="6">
        <f>_xlfn.MAXIFS(Levels!F:F,Levels!B:B,A1016)</f>
        <v>7.47</v>
      </c>
    </row>
    <row r="1017" spans="1:6" x14ac:dyDescent="0.3">
      <c r="A1017" t="s">
        <v>4722</v>
      </c>
      <c r="B1017" s="9">
        <f>COUNTIF(Levels!B:B,A1017)</f>
        <v>2</v>
      </c>
      <c r="C1017" s="9">
        <f>IFERROR(AVERAGEIF(Levels!B:B,A1017,Levels!E:E),0)</f>
        <v>4.4649999999999999</v>
      </c>
      <c r="D1017" s="9">
        <f>IFERROR(AVERAGEIF(Levels!B:B,A1017,Levels!F:F),0)</f>
        <v>7</v>
      </c>
      <c r="E1017" s="9">
        <f>_xlfn.MAXIFS(Levels!E:E,Levels!B:B,A1017)</f>
        <v>4.67</v>
      </c>
      <c r="F1017" s="9">
        <f>_xlfn.MAXIFS(Levels!F:F,Levels!B:B,A1017)</f>
        <v>8</v>
      </c>
    </row>
    <row r="1018" spans="1:6" x14ac:dyDescent="0.3">
      <c r="A1018" t="s">
        <v>4725</v>
      </c>
      <c r="B1018" s="6">
        <f>COUNTIF(Levels!B:B,A1018)</f>
        <v>1</v>
      </c>
      <c r="C1018" s="6">
        <f>IFERROR(AVERAGEIF(Levels!B:B,A1018,Levels!E:E),0)</f>
        <v>5.07</v>
      </c>
      <c r="D1018" s="6">
        <f>IFERROR(AVERAGEIF(Levels!B:B,A1018,Levels!F:F),0)</f>
        <v>5.5</v>
      </c>
      <c r="E1018" s="6">
        <f>_xlfn.MAXIFS(Levels!E:E,Levels!B:B,A1018)</f>
        <v>5.07</v>
      </c>
      <c r="F1018" s="6">
        <f>_xlfn.MAXIFS(Levels!F:F,Levels!B:B,A1018)</f>
        <v>5.5</v>
      </c>
    </row>
    <row r="1019" spans="1:6" x14ac:dyDescent="0.3">
      <c r="A1019" t="s">
        <v>4728</v>
      </c>
      <c r="B1019" s="9">
        <f>COUNTIF(Levels!B:B,A1019)</f>
        <v>2</v>
      </c>
      <c r="C1019" s="9">
        <f>IFERROR(AVERAGEIF(Levels!B:B,A1019,Levels!E:E),0)</f>
        <v>4.9049999999999994</v>
      </c>
      <c r="D1019" s="9">
        <f>IFERROR(AVERAGEIF(Levels!B:B,A1019,Levels!F:F),0)</f>
        <v>6.5</v>
      </c>
      <c r="E1019" s="9">
        <f>_xlfn.MAXIFS(Levels!E:E,Levels!B:B,A1019)</f>
        <v>5.81</v>
      </c>
      <c r="F1019" s="9">
        <f>_xlfn.MAXIFS(Levels!F:F,Levels!B:B,A1019)</f>
        <v>6.71</v>
      </c>
    </row>
    <row r="1020" spans="1:6" x14ac:dyDescent="0.3">
      <c r="A1020" t="s">
        <v>4730</v>
      </c>
      <c r="B1020" s="6">
        <f>COUNTIF(Levels!B:B,A1020)</f>
        <v>4</v>
      </c>
      <c r="C1020" s="6">
        <f>IFERROR(AVERAGEIF(Levels!B:B,A1020,Levels!E:E),0)</f>
        <v>10.297499999999999</v>
      </c>
      <c r="D1020" s="6">
        <f>IFERROR(AVERAGEIF(Levels!B:B,A1020,Levels!F:F),0)</f>
        <v>4.0975000000000001</v>
      </c>
      <c r="E1020" s="6">
        <f>_xlfn.MAXIFS(Levels!E:E,Levels!B:B,A1020)</f>
        <v>13.52</v>
      </c>
      <c r="F1020" s="6">
        <f>_xlfn.MAXIFS(Levels!F:F,Levels!B:B,A1020)</f>
        <v>5.91</v>
      </c>
    </row>
    <row r="1021" spans="1:6" x14ac:dyDescent="0.3">
      <c r="A1021" t="s">
        <v>4732</v>
      </c>
      <c r="B1021" s="9">
        <f>COUNTIF(Levels!B:B,A1021)</f>
        <v>1</v>
      </c>
      <c r="C1021" s="9">
        <f>IFERROR(AVERAGEIF(Levels!B:B,A1021,Levels!E:E),0)</f>
        <v>8.33</v>
      </c>
      <c r="D1021" s="9">
        <f>IFERROR(AVERAGEIF(Levels!B:B,A1021,Levels!F:F),0)</f>
        <v>4.57</v>
      </c>
      <c r="E1021" s="9">
        <f>_xlfn.MAXIFS(Levels!E:E,Levels!B:B,A1021)</f>
        <v>8.33</v>
      </c>
      <c r="F1021" s="9">
        <f>_xlfn.MAXIFS(Levels!F:F,Levels!B:B,A1021)</f>
        <v>4.57</v>
      </c>
    </row>
    <row r="1022" spans="1:6" x14ac:dyDescent="0.3">
      <c r="A1022" t="s">
        <v>4739</v>
      </c>
      <c r="B1022" s="6">
        <f>COUNTIF(Levels!B:B,A1022)</f>
        <v>4</v>
      </c>
      <c r="C1022" s="6">
        <f>IFERROR(AVERAGEIF(Levels!B:B,A1022,Levels!E:E),0)</f>
        <v>1.8174999999999999</v>
      </c>
      <c r="D1022" s="6">
        <f>IFERROR(AVERAGEIF(Levels!B:B,A1022,Levels!F:F),0)</f>
        <v>6.3875000000000002</v>
      </c>
      <c r="E1022" s="6">
        <f>_xlfn.MAXIFS(Levels!E:E,Levels!B:B,A1022)</f>
        <v>3.35</v>
      </c>
      <c r="F1022" s="6">
        <f>_xlfn.MAXIFS(Levels!F:F,Levels!B:B,A1022)</f>
        <v>6.95</v>
      </c>
    </row>
    <row r="1023" spans="1:6" x14ac:dyDescent="0.3">
      <c r="A1023" t="s">
        <v>4741</v>
      </c>
      <c r="B1023" s="9">
        <f>COUNTIF(Levels!B:B,A1023)</f>
        <v>2</v>
      </c>
      <c r="C1023" s="9">
        <f>IFERROR(AVERAGEIF(Levels!B:B,A1023,Levels!E:E),0)</f>
        <v>15.094999999999999</v>
      </c>
      <c r="D1023" s="9">
        <f>IFERROR(AVERAGEIF(Levels!B:B,A1023,Levels!F:F),0)</f>
        <v>5.9950000000000001</v>
      </c>
      <c r="E1023" s="9">
        <f>_xlfn.MAXIFS(Levels!E:E,Levels!B:B,A1023)</f>
        <v>16.75</v>
      </c>
      <c r="F1023" s="9">
        <f>_xlfn.MAXIFS(Levels!F:F,Levels!B:B,A1023)</f>
        <v>7.13</v>
      </c>
    </row>
    <row r="1024" spans="1:6" x14ac:dyDescent="0.3">
      <c r="A1024" t="s">
        <v>4743</v>
      </c>
      <c r="B1024" s="6">
        <f>COUNTIF(Levels!B:B,A1024)</f>
        <v>5</v>
      </c>
      <c r="C1024" s="6">
        <f>IFERROR(AVERAGEIF(Levels!B:B,A1024,Levels!E:E),0)</f>
        <v>4.4939999999999998</v>
      </c>
      <c r="D1024" s="6">
        <f>IFERROR(AVERAGEIF(Levels!B:B,A1024,Levels!F:F),0)</f>
        <v>6.1580000000000004</v>
      </c>
      <c r="E1024" s="6">
        <f>_xlfn.MAXIFS(Levels!E:E,Levels!B:B,A1024)</f>
        <v>6.94</v>
      </c>
      <c r="F1024" s="6">
        <f>_xlfn.MAXIFS(Levels!F:F,Levels!B:B,A1024)</f>
        <v>7.19</v>
      </c>
    </row>
    <row r="1025" spans="1:6" x14ac:dyDescent="0.3">
      <c r="A1025" t="s">
        <v>4756</v>
      </c>
      <c r="B1025" s="9">
        <f>COUNTIF(Levels!B:B,A1025)</f>
        <v>7</v>
      </c>
      <c r="C1025" s="9">
        <f>IFERROR(AVERAGEIF(Levels!B:B,A1025,Levels!E:E),0)</f>
        <v>17.721428571428568</v>
      </c>
      <c r="D1025" s="9">
        <f>IFERROR(AVERAGEIF(Levels!B:B,A1025,Levels!F:F),0)</f>
        <v>7.6428571428571432</v>
      </c>
      <c r="E1025" s="9">
        <f>_xlfn.MAXIFS(Levels!E:E,Levels!B:B,A1025)</f>
        <v>26.5</v>
      </c>
      <c r="F1025" s="9">
        <f>_xlfn.MAXIFS(Levels!F:F,Levels!B:B,A1025)</f>
        <v>9</v>
      </c>
    </row>
    <row r="1026" spans="1:6" x14ac:dyDescent="0.3">
      <c r="A1026" t="s">
        <v>4761</v>
      </c>
      <c r="B1026" s="6">
        <f>COUNTIF(Levels!B:B,A1026)</f>
        <v>3</v>
      </c>
      <c r="C1026" s="6">
        <f>IFERROR(AVERAGEIF(Levels!B:B,A1026,Levels!E:E),0)</f>
        <v>7.23</v>
      </c>
      <c r="D1026" s="6">
        <f>IFERROR(AVERAGEIF(Levels!B:B,A1026,Levels!F:F),0)</f>
        <v>6.996666666666667</v>
      </c>
      <c r="E1026" s="6">
        <f>_xlfn.MAXIFS(Levels!E:E,Levels!B:B,A1026)</f>
        <v>13</v>
      </c>
      <c r="F1026" s="6">
        <f>_xlfn.MAXIFS(Levels!F:F,Levels!B:B,A1026)</f>
        <v>7.75</v>
      </c>
    </row>
    <row r="1027" spans="1:6" x14ac:dyDescent="0.3">
      <c r="A1027" t="s">
        <v>4763</v>
      </c>
      <c r="B1027" s="9">
        <f>COUNTIF(Levels!B:B,A1027)</f>
        <v>1</v>
      </c>
      <c r="C1027" s="9">
        <f>IFERROR(AVERAGEIF(Levels!B:B,A1027,Levels!E:E),0)</f>
        <v>5.81</v>
      </c>
      <c r="D1027" s="9">
        <f>IFERROR(AVERAGEIF(Levels!B:B,A1027,Levels!F:F),0)</f>
        <v>6.6</v>
      </c>
      <c r="E1027" s="9">
        <f>_xlfn.MAXIFS(Levels!E:E,Levels!B:B,A1027)</f>
        <v>5.81</v>
      </c>
      <c r="F1027" s="9">
        <f>_xlfn.MAXIFS(Levels!F:F,Levels!B:B,A1027)</f>
        <v>6.6</v>
      </c>
    </row>
    <row r="1028" spans="1:6" x14ac:dyDescent="0.3">
      <c r="A1028" t="s">
        <v>4765</v>
      </c>
      <c r="B1028" s="6">
        <f>COUNTIF(Levels!B:B,A1028)</f>
        <v>3</v>
      </c>
      <c r="C1028" s="6">
        <f>IFERROR(AVERAGEIF(Levels!B:B,A1028,Levels!E:E),0)</f>
        <v>15.916666666666666</v>
      </c>
      <c r="D1028" s="6">
        <f>IFERROR(AVERAGEIF(Levels!B:B,A1028,Levels!F:F),0)</f>
        <v>7.05</v>
      </c>
      <c r="E1028" s="6">
        <f>_xlfn.MAXIFS(Levels!E:E,Levels!B:B,A1028)</f>
        <v>18.43</v>
      </c>
      <c r="F1028" s="6">
        <f>_xlfn.MAXIFS(Levels!F:F,Levels!B:B,A1028)</f>
        <v>7.59</v>
      </c>
    </row>
    <row r="1029" spans="1:6" x14ac:dyDescent="0.3">
      <c r="A1029" t="s">
        <v>4770</v>
      </c>
      <c r="B1029" s="9">
        <f>COUNTIF(Levels!B:B,A1029)</f>
        <v>5</v>
      </c>
      <c r="C1029" s="9">
        <f>IFERROR(AVERAGEIF(Levels!B:B,A1029,Levels!E:E),0)</f>
        <v>13.214000000000002</v>
      </c>
      <c r="D1029" s="9">
        <f>IFERROR(AVERAGEIF(Levels!B:B,A1029,Levels!F:F),0)</f>
        <v>7.6779999999999999</v>
      </c>
      <c r="E1029" s="9">
        <f>_xlfn.MAXIFS(Levels!E:E,Levels!B:B,A1029)</f>
        <v>30</v>
      </c>
      <c r="F1029" s="9">
        <f>_xlfn.MAXIFS(Levels!F:F,Levels!B:B,A1029)</f>
        <v>8.67</v>
      </c>
    </row>
    <row r="1030" spans="1:6" x14ac:dyDescent="0.3">
      <c r="A1030" t="s">
        <v>4781</v>
      </c>
      <c r="B1030" s="6">
        <f>COUNTIF(Levels!B:B,A1030)</f>
        <v>1</v>
      </c>
      <c r="C1030" s="6">
        <f>IFERROR(AVERAGEIF(Levels!B:B,A1030,Levels!E:E),0)</f>
        <v>16.579999999999998</v>
      </c>
      <c r="D1030" s="6">
        <f>IFERROR(AVERAGEIF(Levels!B:B,A1030,Levels!F:F),0)</f>
        <v>5.75</v>
      </c>
      <c r="E1030" s="6">
        <f>_xlfn.MAXIFS(Levels!E:E,Levels!B:B,A1030)</f>
        <v>16.579999999999998</v>
      </c>
      <c r="F1030" s="6">
        <f>_xlfn.MAXIFS(Levels!F:F,Levels!B:B,A1030)</f>
        <v>5.75</v>
      </c>
    </row>
    <row r="1031" spans="1:6" x14ac:dyDescent="0.3">
      <c r="A1031" t="s">
        <v>4783</v>
      </c>
      <c r="B1031" s="9">
        <f>COUNTIF(Levels!B:B,A1031)</f>
        <v>3</v>
      </c>
      <c r="C1031" s="9">
        <f>IFERROR(AVERAGEIF(Levels!B:B,A1031,Levels!E:E),0)</f>
        <v>11.36</v>
      </c>
      <c r="D1031" s="9">
        <f>IFERROR(AVERAGEIF(Levels!B:B,A1031,Levels!F:F),0)</f>
        <v>6.3533333333333326</v>
      </c>
      <c r="E1031" s="9">
        <f>_xlfn.MAXIFS(Levels!E:E,Levels!B:B,A1031)</f>
        <v>23</v>
      </c>
      <c r="F1031" s="9">
        <f>_xlfn.MAXIFS(Levels!F:F,Levels!B:B,A1031)</f>
        <v>8</v>
      </c>
    </row>
    <row r="1032" spans="1:6" x14ac:dyDescent="0.3">
      <c r="A1032" t="s">
        <v>4787</v>
      </c>
      <c r="B1032" s="6">
        <f>COUNTIF(Levels!B:B,A1032)</f>
        <v>7</v>
      </c>
      <c r="C1032" s="6">
        <f>IFERROR(AVERAGEIF(Levels!B:B,A1032,Levels!E:E),0)</f>
        <v>12.12857142857143</v>
      </c>
      <c r="D1032" s="6">
        <f>IFERROR(AVERAGEIF(Levels!B:B,A1032,Levels!F:F),0)</f>
        <v>7.2528571428571427</v>
      </c>
      <c r="E1032" s="6">
        <f>_xlfn.MAXIFS(Levels!E:E,Levels!B:B,A1032)</f>
        <v>27</v>
      </c>
      <c r="F1032" s="6">
        <f>_xlfn.MAXIFS(Levels!F:F,Levels!B:B,A1032)</f>
        <v>8.42</v>
      </c>
    </row>
    <row r="1033" spans="1:6" x14ac:dyDescent="0.3">
      <c r="A1033" t="s">
        <v>4790</v>
      </c>
      <c r="B1033" s="9">
        <f>COUNTIF(Levels!B:B,A1033)</f>
        <v>1</v>
      </c>
      <c r="C1033" s="9">
        <f>IFERROR(AVERAGEIF(Levels!B:B,A1033,Levels!E:E),0)</f>
        <v>32.799999999999997</v>
      </c>
      <c r="D1033" s="9">
        <f>IFERROR(AVERAGEIF(Levels!B:B,A1033,Levels!F:F),0)</f>
        <v>6.6</v>
      </c>
      <c r="E1033" s="9">
        <f>_xlfn.MAXIFS(Levels!E:E,Levels!B:B,A1033)</f>
        <v>32.799999999999997</v>
      </c>
      <c r="F1033" s="9">
        <f>_xlfn.MAXIFS(Levels!F:F,Levels!B:B,A1033)</f>
        <v>6.6</v>
      </c>
    </row>
    <row r="1034" spans="1:6" x14ac:dyDescent="0.3">
      <c r="A1034" t="s">
        <v>4793</v>
      </c>
      <c r="B1034" s="6">
        <f>COUNTIF(Levels!B:B,A1034)</f>
        <v>2</v>
      </c>
      <c r="C1034" s="6">
        <f>IFERROR(AVERAGEIF(Levels!B:B,A1034,Levels!E:E),0)</f>
        <v>4.0250000000000004</v>
      </c>
      <c r="D1034" s="6">
        <f>IFERROR(AVERAGEIF(Levels!B:B,A1034,Levels!F:F),0)</f>
        <v>6.5449999999999999</v>
      </c>
      <c r="E1034" s="6">
        <f>_xlfn.MAXIFS(Levels!E:E,Levels!B:B,A1034)</f>
        <v>4.95</v>
      </c>
      <c r="F1034" s="6">
        <f>_xlfn.MAXIFS(Levels!F:F,Levels!B:B,A1034)</f>
        <v>7.24</v>
      </c>
    </row>
    <row r="1035" spans="1:6" x14ac:dyDescent="0.3">
      <c r="A1035" t="s">
        <v>4797</v>
      </c>
      <c r="B1035" s="9">
        <f>COUNTIF(Levels!B:B,A1035)</f>
        <v>4</v>
      </c>
      <c r="C1035" s="9">
        <f>IFERROR(AVERAGEIF(Levels!B:B,A1035,Levels!E:E),0)</f>
        <v>4.6475</v>
      </c>
      <c r="D1035" s="9">
        <f>IFERROR(AVERAGEIF(Levels!B:B,A1035,Levels!F:F),0)</f>
        <v>5.23</v>
      </c>
      <c r="E1035" s="9">
        <f>_xlfn.MAXIFS(Levels!E:E,Levels!B:B,A1035)</f>
        <v>6.8</v>
      </c>
      <c r="F1035" s="9">
        <f>_xlfn.MAXIFS(Levels!F:F,Levels!B:B,A1035)</f>
        <v>6.82</v>
      </c>
    </row>
    <row r="1036" spans="1:6" x14ac:dyDescent="0.3">
      <c r="A1036" t="s">
        <v>4799</v>
      </c>
      <c r="B1036" s="6">
        <f>COUNTIF(Levels!B:B,A1036)</f>
        <v>2</v>
      </c>
      <c r="C1036" s="6">
        <f>IFERROR(AVERAGEIF(Levels!B:B,A1036,Levels!E:E),0)</f>
        <v>10.26</v>
      </c>
      <c r="D1036" s="6">
        <f>IFERROR(AVERAGEIF(Levels!B:B,A1036,Levels!F:F),0)</f>
        <v>5.17</v>
      </c>
      <c r="E1036" s="6">
        <f>_xlfn.MAXIFS(Levels!E:E,Levels!B:B,A1036)</f>
        <v>13.53</v>
      </c>
      <c r="F1036" s="6">
        <f>_xlfn.MAXIFS(Levels!F:F,Levels!B:B,A1036)</f>
        <v>5.67</v>
      </c>
    </row>
    <row r="1037" spans="1:6" x14ac:dyDescent="0.3">
      <c r="A1037" t="s">
        <v>4805</v>
      </c>
      <c r="B1037" s="9">
        <f>COUNTIF(Levels!B:B,A1037)</f>
        <v>1</v>
      </c>
      <c r="C1037" s="9">
        <f>IFERROR(AVERAGEIF(Levels!B:B,A1037,Levels!E:E),0)</f>
        <v>25</v>
      </c>
      <c r="D1037" s="9">
        <f>IFERROR(AVERAGEIF(Levels!B:B,A1037,Levels!F:F),0)</f>
        <v>0</v>
      </c>
      <c r="E1037" s="9">
        <f>_xlfn.MAXIFS(Levels!E:E,Levels!B:B,A1037)</f>
        <v>25</v>
      </c>
      <c r="F1037" s="9">
        <f>_xlfn.MAXIFS(Levels!F:F,Levels!B:B,A1037)</f>
        <v>0</v>
      </c>
    </row>
    <row r="1038" spans="1:6" x14ac:dyDescent="0.3">
      <c r="A1038" t="s">
        <v>4812</v>
      </c>
      <c r="B1038" s="6">
        <f>COUNTIF(Levels!B:B,A1038)</f>
        <v>4</v>
      </c>
      <c r="C1038" s="6">
        <f>IFERROR(AVERAGEIF(Levels!B:B,A1038,Levels!E:E),0)</f>
        <v>9.1074999999999999</v>
      </c>
      <c r="D1038" s="6">
        <f>IFERROR(AVERAGEIF(Levels!B:B,A1038,Levels!F:F),0)</f>
        <v>5.7274999999999991</v>
      </c>
      <c r="E1038" s="6">
        <f>_xlfn.MAXIFS(Levels!E:E,Levels!B:B,A1038)</f>
        <v>17.5</v>
      </c>
      <c r="F1038" s="6">
        <f>_xlfn.MAXIFS(Levels!F:F,Levels!B:B,A1038)</f>
        <v>6.35</v>
      </c>
    </row>
    <row r="1039" spans="1:6" x14ac:dyDescent="0.3">
      <c r="A1039" t="s">
        <v>4814</v>
      </c>
      <c r="B1039" s="9">
        <f>COUNTIF(Levels!B:B,A1039)</f>
        <v>4</v>
      </c>
      <c r="C1039" s="9">
        <f>IFERROR(AVERAGEIF(Levels!B:B,A1039,Levels!E:E),0)</f>
        <v>6.5350000000000001</v>
      </c>
      <c r="D1039" s="9">
        <f>IFERROR(AVERAGEIF(Levels!B:B,A1039,Levels!F:F),0)</f>
        <v>6.1</v>
      </c>
      <c r="E1039" s="9">
        <f>_xlfn.MAXIFS(Levels!E:E,Levels!B:B,A1039)</f>
        <v>16.3</v>
      </c>
      <c r="F1039" s="9">
        <f>_xlfn.MAXIFS(Levels!F:F,Levels!B:B,A1039)</f>
        <v>7.06</v>
      </c>
    </row>
    <row r="1040" spans="1:6" x14ac:dyDescent="0.3">
      <c r="A1040" t="s">
        <v>4817</v>
      </c>
      <c r="B1040" s="6">
        <f>COUNTIF(Levels!B:B,A1040)</f>
        <v>3</v>
      </c>
      <c r="C1040" s="6">
        <f>IFERROR(AVERAGEIF(Levels!B:B,A1040,Levels!E:E),0)</f>
        <v>28.083333333333332</v>
      </c>
      <c r="D1040" s="6">
        <f>IFERROR(AVERAGEIF(Levels!B:B,A1040,Levels!F:F),0)</f>
        <v>5.77</v>
      </c>
      <c r="E1040" s="6">
        <f>_xlfn.MAXIFS(Levels!E:E,Levels!B:B,A1040)</f>
        <v>31.5</v>
      </c>
      <c r="F1040" s="6">
        <f>_xlfn.MAXIFS(Levels!F:F,Levels!B:B,A1040)</f>
        <v>7.17</v>
      </c>
    </row>
    <row r="1041" spans="1:6" x14ac:dyDescent="0.3">
      <c r="A1041" t="s">
        <v>4825</v>
      </c>
      <c r="B1041" s="9">
        <f>COUNTIF(Levels!B:B,A1041)</f>
        <v>2</v>
      </c>
      <c r="C1041" s="9">
        <f>IFERROR(AVERAGEIF(Levels!B:B,A1041,Levels!E:E),0)</f>
        <v>1.9</v>
      </c>
      <c r="D1041" s="9">
        <f>IFERROR(AVERAGEIF(Levels!B:B,A1041,Levels!F:F),0)</f>
        <v>6.25</v>
      </c>
      <c r="E1041" s="9">
        <f>_xlfn.MAXIFS(Levels!E:E,Levels!B:B,A1041)</f>
        <v>2.04</v>
      </c>
      <c r="F1041" s="9">
        <f>_xlfn.MAXIFS(Levels!F:F,Levels!B:B,A1041)</f>
        <v>6.86</v>
      </c>
    </row>
    <row r="1042" spans="1:6" x14ac:dyDescent="0.3">
      <c r="A1042" t="s">
        <v>4829</v>
      </c>
      <c r="B1042" s="6">
        <f>COUNTIF(Levels!B:B,A1042)</f>
        <v>1</v>
      </c>
      <c r="C1042" s="6">
        <f>IFERROR(AVERAGEIF(Levels!B:B,A1042,Levels!E:E),0)</f>
        <v>4.63</v>
      </c>
      <c r="D1042" s="6">
        <f>IFERROR(AVERAGEIF(Levels!B:B,A1042,Levels!F:F),0)</f>
        <v>5.29</v>
      </c>
      <c r="E1042" s="6">
        <f>_xlfn.MAXIFS(Levels!E:E,Levels!B:B,A1042)</f>
        <v>4.63</v>
      </c>
      <c r="F1042" s="6">
        <f>_xlfn.MAXIFS(Levels!F:F,Levels!B:B,A1042)</f>
        <v>5.29</v>
      </c>
    </row>
    <row r="1043" spans="1:6" x14ac:dyDescent="0.3">
      <c r="A1043" t="s">
        <v>4833</v>
      </c>
      <c r="B1043" s="9">
        <f>COUNTIF(Levels!B:B,A1043)</f>
        <v>1</v>
      </c>
      <c r="C1043" s="9">
        <f>IFERROR(AVERAGEIF(Levels!B:B,A1043,Levels!E:E),0)</f>
        <v>6.26</v>
      </c>
      <c r="D1043" s="9">
        <f>IFERROR(AVERAGEIF(Levels!B:B,A1043,Levels!F:F),0)</f>
        <v>7.45</v>
      </c>
      <c r="E1043" s="9">
        <f>_xlfn.MAXIFS(Levels!E:E,Levels!B:B,A1043)</f>
        <v>6.26</v>
      </c>
      <c r="F1043" s="9">
        <f>_xlfn.MAXIFS(Levels!F:F,Levels!B:B,A1043)</f>
        <v>7.45</v>
      </c>
    </row>
    <row r="1044" spans="1:6" x14ac:dyDescent="0.3">
      <c r="A1044" t="s">
        <v>4834</v>
      </c>
      <c r="B1044" s="6">
        <f>COUNTIF(Levels!B:B,A1044)</f>
        <v>1</v>
      </c>
      <c r="C1044" s="6">
        <f>IFERROR(AVERAGEIF(Levels!B:B,A1044,Levels!E:E),0)</f>
        <v>21.67</v>
      </c>
      <c r="D1044" s="6">
        <f>IFERROR(AVERAGEIF(Levels!B:B,A1044,Levels!F:F),0)</f>
        <v>6.33</v>
      </c>
      <c r="E1044" s="6">
        <f>_xlfn.MAXIFS(Levels!E:E,Levels!B:B,A1044)</f>
        <v>21.67</v>
      </c>
      <c r="F1044" s="6">
        <f>_xlfn.MAXIFS(Levels!F:F,Levels!B:B,A1044)</f>
        <v>6.33</v>
      </c>
    </row>
    <row r="1045" spans="1:6" x14ac:dyDescent="0.3">
      <c r="A1045" t="s">
        <v>4836</v>
      </c>
      <c r="B1045" s="9">
        <f>COUNTIF(Levels!B:B,A1045)</f>
        <v>1</v>
      </c>
      <c r="C1045" s="9">
        <f>IFERROR(AVERAGEIF(Levels!B:B,A1045,Levels!E:E),0)</f>
        <v>6.86</v>
      </c>
      <c r="D1045" s="9">
        <f>IFERROR(AVERAGEIF(Levels!B:B,A1045,Levels!F:F),0)</f>
        <v>7.5</v>
      </c>
      <c r="E1045" s="9">
        <f>_xlfn.MAXIFS(Levels!E:E,Levels!B:B,A1045)</f>
        <v>6.86</v>
      </c>
      <c r="F1045" s="9">
        <f>_xlfn.MAXIFS(Levels!F:F,Levels!B:B,A1045)</f>
        <v>7.5</v>
      </c>
    </row>
    <row r="1046" spans="1:6" x14ac:dyDescent="0.3">
      <c r="A1046" t="s">
        <v>4838</v>
      </c>
      <c r="B1046" s="6">
        <f>COUNTIF(Levels!B:B,A1046)</f>
        <v>3</v>
      </c>
      <c r="C1046" s="6">
        <f>IFERROR(AVERAGEIF(Levels!B:B,A1046,Levels!E:E),0)</f>
        <v>15.829999999999998</v>
      </c>
      <c r="D1046" s="6">
        <f>IFERROR(AVERAGEIF(Levels!B:B,A1046,Levels!F:F),0)</f>
        <v>7.0666666666666664</v>
      </c>
      <c r="E1046" s="6">
        <f>_xlfn.MAXIFS(Levels!E:E,Levels!B:B,A1046)</f>
        <v>20.69</v>
      </c>
      <c r="F1046" s="6">
        <f>_xlfn.MAXIFS(Levels!F:F,Levels!B:B,A1046)</f>
        <v>7.38</v>
      </c>
    </row>
    <row r="1047" spans="1:6" x14ac:dyDescent="0.3">
      <c r="A1047" t="s">
        <v>4843</v>
      </c>
      <c r="B1047" s="9">
        <f>COUNTIF(Levels!B:B,A1047)</f>
        <v>2</v>
      </c>
      <c r="C1047" s="9">
        <f>IFERROR(AVERAGEIF(Levels!B:B,A1047,Levels!E:E),0)</f>
        <v>10.5</v>
      </c>
      <c r="D1047" s="9">
        <f>IFERROR(AVERAGEIF(Levels!B:B,A1047,Levels!F:F),0)</f>
        <v>6.3900000000000006</v>
      </c>
      <c r="E1047" s="9">
        <f>_xlfn.MAXIFS(Levels!E:E,Levels!B:B,A1047)</f>
        <v>12.6</v>
      </c>
      <c r="F1047" s="9">
        <f>_xlfn.MAXIFS(Levels!F:F,Levels!B:B,A1047)</f>
        <v>7.11</v>
      </c>
    </row>
    <row r="1048" spans="1:6" x14ac:dyDescent="0.3">
      <c r="A1048" t="s">
        <v>4849</v>
      </c>
      <c r="B1048" s="6">
        <f>COUNTIF(Levels!B:B,A1048)</f>
        <v>3</v>
      </c>
      <c r="C1048" s="6">
        <f>IFERROR(AVERAGEIF(Levels!B:B,A1048,Levels!E:E),0)</f>
        <v>27.783333333333331</v>
      </c>
      <c r="D1048" s="6">
        <f>IFERROR(AVERAGEIF(Levels!B:B,A1048,Levels!F:F),0)</f>
        <v>7.8866666666666667</v>
      </c>
      <c r="E1048" s="6">
        <f>_xlfn.MAXIFS(Levels!E:E,Levels!B:B,A1048)</f>
        <v>31.05</v>
      </c>
      <c r="F1048" s="6">
        <f>_xlfn.MAXIFS(Levels!F:F,Levels!B:B,A1048)</f>
        <v>8.83</v>
      </c>
    </row>
    <row r="1049" spans="1:6" x14ac:dyDescent="0.3">
      <c r="A1049" t="s">
        <v>4851</v>
      </c>
      <c r="B1049" s="9">
        <f>COUNTIF(Levels!B:B,A1049)</f>
        <v>1</v>
      </c>
      <c r="C1049" s="9">
        <f>IFERROR(AVERAGEIF(Levels!B:B,A1049,Levels!E:E),0)</f>
        <v>12.66</v>
      </c>
      <c r="D1049" s="9">
        <f>IFERROR(AVERAGEIF(Levels!B:B,A1049,Levels!F:F),0)</f>
        <v>8.09</v>
      </c>
      <c r="E1049" s="9">
        <f>_xlfn.MAXIFS(Levels!E:E,Levels!B:B,A1049)</f>
        <v>12.66</v>
      </c>
      <c r="F1049" s="9">
        <f>_xlfn.MAXIFS(Levels!F:F,Levels!B:B,A1049)</f>
        <v>8.09</v>
      </c>
    </row>
    <row r="1050" spans="1:6" x14ac:dyDescent="0.3">
      <c r="A1050" t="s">
        <v>4854</v>
      </c>
      <c r="B1050" s="6">
        <f>COUNTIF(Levels!B:B,A1050)</f>
        <v>1</v>
      </c>
      <c r="C1050" s="6">
        <f>IFERROR(AVERAGEIF(Levels!B:B,A1050,Levels!E:E),0)</f>
        <v>17.329999999999998</v>
      </c>
      <c r="D1050" s="6">
        <f>IFERROR(AVERAGEIF(Levels!B:B,A1050,Levels!F:F),0)</f>
        <v>4</v>
      </c>
      <c r="E1050" s="6">
        <f>_xlfn.MAXIFS(Levels!E:E,Levels!B:B,A1050)</f>
        <v>17.329999999999998</v>
      </c>
      <c r="F1050" s="6">
        <f>_xlfn.MAXIFS(Levels!F:F,Levels!B:B,A1050)</f>
        <v>4</v>
      </c>
    </row>
    <row r="1051" spans="1:6" x14ac:dyDescent="0.3">
      <c r="A1051" t="s">
        <v>4857</v>
      </c>
      <c r="B1051" s="9">
        <f>COUNTIF(Levels!B:B,A1051)</f>
        <v>3</v>
      </c>
      <c r="C1051" s="9">
        <f>IFERROR(AVERAGEIF(Levels!B:B,A1051,Levels!E:E),0)</f>
        <v>7.3133333333333335</v>
      </c>
      <c r="D1051" s="9">
        <f>IFERROR(AVERAGEIF(Levels!B:B,A1051,Levels!F:F),0)</f>
        <v>6.6966666666666663</v>
      </c>
      <c r="E1051" s="9">
        <f>_xlfn.MAXIFS(Levels!E:E,Levels!B:B,A1051)</f>
        <v>11.2</v>
      </c>
      <c r="F1051" s="9">
        <f>_xlfn.MAXIFS(Levels!F:F,Levels!B:B,A1051)</f>
        <v>7.48</v>
      </c>
    </row>
    <row r="1052" spans="1:6" x14ac:dyDescent="0.3">
      <c r="A1052" t="s">
        <v>4862</v>
      </c>
      <c r="B1052" s="6">
        <f>COUNTIF(Levels!B:B,A1052)</f>
        <v>1</v>
      </c>
      <c r="C1052" s="6">
        <f>IFERROR(AVERAGEIF(Levels!B:B,A1052,Levels!E:E),0)</f>
        <v>3.38</v>
      </c>
      <c r="D1052" s="6">
        <f>IFERROR(AVERAGEIF(Levels!B:B,A1052,Levels!F:F),0)</f>
        <v>5.31</v>
      </c>
      <c r="E1052" s="6">
        <f>_xlfn.MAXIFS(Levels!E:E,Levels!B:B,A1052)</f>
        <v>3.38</v>
      </c>
      <c r="F1052" s="6">
        <f>_xlfn.MAXIFS(Levels!F:F,Levels!B:B,A1052)</f>
        <v>5.31</v>
      </c>
    </row>
    <row r="1053" spans="1:6" x14ac:dyDescent="0.3">
      <c r="A1053" t="s">
        <v>4876</v>
      </c>
      <c r="B1053" s="9">
        <f>COUNTIF(Levels!B:B,A1053)</f>
        <v>2</v>
      </c>
      <c r="C1053" s="9">
        <f>IFERROR(AVERAGEIF(Levels!B:B,A1053,Levels!E:E),0)</f>
        <v>3.9</v>
      </c>
      <c r="D1053" s="9">
        <f>IFERROR(AVERAGEIF(Levels!B:B,A1053,Levels!F:F),0)</f>
        <v>5.2850000000000001</v>
      </c>
      <c r="E1053" s="9">
        <f>_xlfn.MAXIFS(Levels!E:E,Levels!B:B,A1053)</f>
        <v>5.5</v>
      </c>
      <c r="F1053" s="9">
        <f>_xlfn.MAXIFS(Levels!F:F,Levels!B:B,A1053)</f>
        <v>5.57</v>
      </c>
    </row>
    <row r="1054" spans="1:6" x14ac:dyDescent="0.3">
      <c r="A1054" t="s">
        <v>4883</v>
      </c>
      <c r="B1054" s="6">
        <f>COUNTIF(Levels!B:B,A1054)</f>
        <v>2</v>
      </c>
      <c r="C1054" s="6">
        <f>IFERROR(AVERAGEIF(Levels!B:B,A1054,Levels!E:E),0)</f>
        <v>17.615000000000002</v>
      </c>
      <c r="D1054" s="6">
        <f>IFERROR(AVERAGEIF(Levels!B:B,A1054,Levels!F:F),0)</f>
        <v>6.2650000000000006</v>
      </c>
      <c r="E1054" s="6">
        <f>_xlfn.MAXIFS(Levels!E:E,Levels!B:B,A1054)</f>
        <v>18.559999999999999</v>
      </c>
      <c r="F1054" s="6">
        <f>_xlfn.MAXIFS(Levels!F:F,Levels!B:B,A1054)</f>
        <v>6.86</v>
      </c>
    </row>
    <row r="1055" spans="1:6" x14ac:dyDescent="0.3">
      <c r="A1055" t="s">
        <v>4886</v>
      </c>
      <c r="B1055" s="9">
        <f>COUNTIF(Levels!B:B,A1055)</f>
        <v>2</v>
      </c>
      <c r="C1055" s="9">
        <f>IFERROR(AVERAGEIF(Levels!B:B,A1055,Levels!E:E),0)</f>
        <v>9.42</v>
      </c>
      <c r="D1055" s="9">
        <f>IFERROR(AVERAGEIF(Levels!B:B,A1055,Levels!F:F),0)</f>
        <v>6.8</v>
      </c>
      <c r="E1055" s="9">
        <f>_xlfn.MAXIFS(Levels!E:E,Levels!B:B,A1055)</f>
        <v>10.41</v>
      </c>
      <c r="F1055" s="9">
        <f>_xlfn.MAXIFS(Levels!F:F,Levels!B:B,A1055)</f>
        <v>7</v>
      </c>
    </row>
    <row r="1056" spans="1:6" x14ac:dyDescent="0.3">
      <c r="A1056" t="s">
        <v>4890</v>
      </c>
      <c r="B1056" s="6">
        <f>COUNTIF(Levels!B:B,A1056)</f>
        <v>1</v>
      </c>
      <c r="C1056" s="6">
        <f>IFERROR(AVERAGEIF(Levels!B:B,A1056,Levels!E:E),0)</f>
        <v>3.1</v>
      </c>
      <c r="D1056" s="6">
        <f>IFERROR(AVERAGEIF(Levels!B:B,A1056,Levels!F:F),0)</f>
        <v>5.73</v>
      </c>
      <c r="E1056" s="6">
        <f>_xlfn.MAXIFS(Levels!E:E,Levels!B:B,A1056)</f>
        <v>3.1</v>
      </c>
      <c r="F1056" s="6">
        <f>_xlfn.MAXIFS(Levels!F:F,Levels!B:B,A1056)</f>
        <v>5.73</v>
      </c>
    </row>
    <row r="1057" spans="1:6" x14ac:dyDescent="0.3">
      <c r="A1057" t="s">
        <v>4893</v>
      </c>
      <c r="B1057" s="9">
        <f>COUNTIF(Levels!B:B,A1057)</f>
        <v>6</v>
      </c>
      <c r="C1057" s="9">
        <f>IFERROR(AVERAGEIF(Levels!B:B,A1057,Levels!E:E),0)</f>
        <v>11.006666666666668</v>
      </c>
      <c r="D1057" s="9">
        <f>IFERROR(AVERAGEIF(Levels!B:B,A1057,Levels!F:F),0)</f>
        <v>7.3633333333333333</v>
      </c>
      <c r="E1057" s="9">
        <f>_xlfn.MAXIFS(Levels!E:E,Levels!B:B,A1057)</f>
        <v>22.25</v>
      </c>
      <c r="F1057" s="9">
        <f>_xlfn.MAXIFS(Levels!F:F,Levels!B:B,A1057)</f>
        <v>8.15</v>
      </c>
    </row>
    <row r="1058" spans="1:6" x14ac:dyDescent="0.3">
      <c r="A1058" t="s">
        <v>4896</v>
      </c>
      <c r="B1058" s="6">
        <f>COUNTIF(Levels!B:B,A1058)</f>
        <v>2</v>
      </c>
      <c r="C1058" s="6">
        <f>IFERROR(AVERAGEIF(Levels!B:B,A1058,Levels!E:E),0)</f>
        <v>5.3599999999999994</v>
      </c>
      <c r="D1058" s="6">
        <f>IFERROR(AVERAGEIF(Levels!B:B,A1058,Levels!F:F),0)</f>
        <v>5.49</v>
      </c>
      <c r="E1058" s="6">
        <f>_xlfn.MAXIFS(Levels!E:E,Levels!B:B,A1058)</f>
        <v>6.18</v>
      </c>
      <c r="F1058" s="6">
        <f>_xlfn.MAXIFS(Levels!F:F,Levels!B:B,A1058)</f>
        <v>6.5</v>
      </c>
    </row>
    <row r="1059" spans="1:6" x14ac:dyDescent="0.3">
      <c r="A1059" t="s">
        <v>4899</v>
      </c>
      <c r="B1059" s="9">
        <f>COUNTIF(Levels!B:B,A1059)</f>
        <v>2</v>
      </c>
      <c r="C1059" s="9">
        <f>IFERROR(AVERAGEIF(Levels!B:B,A1059,Levels!E:E),0)</f>
        <v>12.39</v>
      </c>
      <c r="D1059" s="9">
        <f>IFERROR(AVERAGEIF(Levels!B:B,A1059,Levels!F:F),0)</f>
        <v>3.2149999999999999</v>
      </c>
      <c r="E1059" s="9">
        <f>_xlfn.MAXIFS(Levels!E:E,Levels!B:B,A1059)</f>
        <v>14.86</v>
      </c>
      <c r="F1059" s="9">
        <f>_xlfn.MAXIFS(Levels!F:F,Levels!B:B,A1059)</f>
        <v>3.68</v>
      </c>
    </row>
    <row r="1060" spans="1:6" x14ac:dyDescent="0.3">
      <c r="A1060" t="s">
        <v>4911</v>
      </c>
      <c r="B1060" s="6">
        <f>COUNTIF(Levels!B:B,A1060)</f>
        <v>9</v>
      </c>
      <c r="C1060" s="6">
        <f>IFERROR(AVERAGEIF(Levels!B:B,A1060,Levels!E:E),0)</f>
        <v>4.1362499999999995</v>
      </c>
      <c r="D1060" s="6">
        <f>IFERROR(AVERAGEIF(Levels!B:B,A1060,Levels!F:F),0)</f>
        <v>6.6077777777777786</v>
      </c>
      <c r="E1060" s="6">
        <f>_xlfn.MAXIFS(Levels!E:E,Levels!B:B,A1060)</f>
        <v>15.83</v>
      </c>
      <c r="F1060" s="6">
        <f>_xlfn.MAXIFS(Levels!F:F,Levels!B:B,A1060)</f>
        <v>7.7</v>
      </c>
    </row>
    <row r="1061" spans="1:6" x14ac:dyDescent="0.3">
      <c r="A1061" t="s">
        <v>4913</v>
      </c>
      <c r="B1061" s="9">
        <f>COUNTIF(Levels!B:B,A1061)</f>
        <v>4</v>
      </c>
      <c r="C1061" s="9">
        <f>IFERROR(AVERAGEIF(Levels!B:B,A1061,Levels!E:E),0)</f>
        <v>17.233333333333334</v>
      </c>
      <c r="D1061" s="9">
        <f>IFERROR(AVERAGEIF(Levels!B:B,A1061,Levels!F:F),0)</f>
        <v>7.1624999999999996</v>
      </c>
      <c r="E1061" s="9">
        <f>_xlfn.MAXIFS(Levels!E:E,Levels!B:B,A1061)</f>
        <v>26</v>
      </c>
      <c r="F1061" s="9">
        <f>_xlfn.MAXIFS(Levels!F:F,Levels!B:B,A1061)</f>
        <v>9</v>
      </c>
    </row>
    <row r="1062" spans="1:6" x14ac:dyDescent="0.3">
      <c r="A1062" t="s">
        <v>4918</v>
      </c>
      <c r="B1062" s="6">
        <f>COUNTIF(Levels!B:B,A1062)</f>
        <v>1</v>
      </c>
      <c r="C1062" s="6">
        <f>IFERROR(AVERAGEIF(Levels!B:B,A1062,Levels!E:E),0)</f>
        <v>16.8</v>
      </c>
      <c r="D1062" s="6">
        <f>IFERROR(AVERAGEIF(Levels!B:B,A1062,Levels!F:F),0)</f>
        <v>7.25</v>
      </c>
      <c r="E1062" s="6">
        <f>_xlfn.MAXIFS(Levels!E:E,Levels!B:B,A1062)</f>
        <v>16.8</v>
      </c>
      <c r="F1062" s="6">
        <f>_xlfn.MAXIFS(Levels!F:F,Levels!B:B,A1062)</f>
        <v>7.25</v>
      </c>
    </row>
    <row r="1063" spans="1:6" x14ac:dyDescent="0.3">
      <c r="A1063" t="s">
        <v>4920</v>
      </c>
      <c r="B1063" s="9">
        <f>COUNTIF(Levels!B:B,A1063)</f>
        <v>2</v>
      </c>
      <c r="C1063" s="9">
        <f>IFERROR(AVERAGEIF(Levels!B:B,A1063,Levels!E:E),0)</f>
        <v>5.07</v>
      </c>
      <c r="D1063" s="9">
        <f>IFERROR(AVERAGEIF(Levels!B:B,A1063,Levels!F:F),0)</f>
        <v>6.6899999999999995</v>
      </c>
      <c r="E1063" s="9">
        <f>_xlfn.MAXIFS(Levels!E:E,Levels!B:B,A1063)</f>
        <v>6.33</v>
      </c>
      <c r="F1063" s="9">
        <f>_xlfn.MAXIFS(Levels!F:F,Levels!B:B,A1063)</f>
        <v>6.71</v>
      </c>
    </row>
    <row r="1064" spans="1:6" x14ac:dyDescent="0.3">
      <c r="A1064" t="s">
        <v>4923</v>
      </c>
      <c r="B1064" s="6">
        <f>COUNTIF(Levels!B:B,A1064)</f>
        <v>2</v>
      </c>
      <c r="C1064" s="6">
        <f>IFERROR(AVERAGEIF(Levels!B:B,A1064,Levels!E:E),0)</f>
        <v>10.199999999999999</v>
      </c>
      <c r="D1064" s="6">
        <f>IFERROR(AVERAGEIF(Levels!B:B,A1064,Levels!F:F),0)</f>
        <v>7.35</v>
      </c>
      <c r="E1064" s="6">
        <f>_xlfn.MAXIFS(Levels!E:E,Levels!B:B,A1064)</f>
        <v>13.51</v>
      </c>
      <c r="F1064" s="6">
        <f>_xlfn.MAXIFS(Levels!F:F,Levels!B:B,A1064)</f>
        <v>7.7</v>
      </c>
    </row>
    <row r="1065" spans="1:6" x14ac:dyDescent="0.3">
      <c r="A1065" t="s">
        <v>4925</v>
      </c>
      <c r="B1065" s="9">
        <f>COUNTIF(Levels!B:B,A1065)</f>
        <v>5</v>
      </c>
      <c r="C1065" s="9">
        <f>IFERROR(AVERAGEIF(Levels!B:B,A1065,Levels!E:E),0)</f>
        <v>11.008000000000001</v>
      </c>
      <c r="D1065" s="9">
        <f>IFERROR(AVERAGEIF(Levels!B:B,A1065,Levels!F:F),0)</f>
        <v>7.2439999999999998</v>
      </c>
      <c r="E1065" s="9">
        <f>_xlfn.MAXIFS(Levels!E:E,Levels!B:B,A1065)</f>
        <v>20.57</v>
      </c>
      <c r="F1065" s="9">
        <f>_xlfn.MAXIFS(Levels!F:F,Levels!B:B,A1065)</f>
        <v>8</v>
      </c>
    </row>
    <row r="1066" spans="1:6" x14ac:dyDescent="0.3">
      <c r="A1066" t="s">
        <v>4927</v>
      </c>
      <c r="B1066" s="6">
        <f>COUNTIF(Levels!B:B,A1066)</f>
        <v>2</v>
      </c>
      <c r="C1066" s="6">
        <f>IFERROR(AVERAGEIF(Levels!B:B,A1066,Levels!E:E),0)</f>
        <v>3.645</v>
      </c>
      <c r="D1066" s="6">
        <f>IFERROR(AVERAGEIF(Levels!B:B,A1066,Levels!F:F),0)</f>
        <v>6.33</v>
      </c>
      <c r="E1066" s="6">
        <f>_xlfn.MAXIFS(Levels!E:E,Levels!B:B,A1066)</f>
        <v>4.25</v>
      </c>
      <c r="F1066" s="6">
        <f>_xlfn.MAXIFS(Levels!F:F,Levels!B:B,A1066)</f>
        <v>6.9</v>
      </c>
    </row>
    <row r="1067" spans="1:6" x14ac:dyDescent="0.3">
      <c r="A1067" t="s">
        <v>4930</v>
      </c>
      <c r="B1067" s="9">
        <f>COUNTIF(Levels!B:B,A1067)</f>
        <v>5</v>
      </c>
      <c r="C1067" s="9">
        <f>IFERROR(AVERAGEIF(Levels!B:B,A1067,Levels!E:E),0)</f>
        <v>12.162000000000001</v>
      </c>
      <c r="D1067" s="9">
        <f>IFERROR(AVERAGEIF(Levels!B:B,A1067,Levels!F:F),0)</f>
        <v>7.17</v>
      </c>
      <c r="E1067" s="9">
        <f>_xlfn.MAXIFS(Levels!E:E,Levels!B:B,A1067)</f>
        <v>21.75</v>
      </c>
      <c r="F1067" s="9">
        <f>_xlfn.MAXIFS(Levels!F:F,Levels!B:B,A1067)</f>
        <v>7.93</v>
      </c>
    </row>
    <row r="1068" spans="1:6" x14ac:dyDescent="0.3">
      <c r="A1068" t="s">
        <v>4934</v>
      </c>
      <c r="B1068" s="6">
        <f>COUNTIF(Levels!B:B,A1068)</f>
        <v>3</v>
      </c>
      <c r="C1068" s="6">
        <f>IFERROR(AVERAGEIF(Levels!B:B,A1068,Levels!E:E),0)</f>
        <v>6.2700000000000005</v>
      </c>
      <c r="D1068" s="6">
        <f>IFERROR(AVERAGEIF(Levels!B:B,A1068,Levels!F:F),0)</f>
        <v>6.8666666666666663</v>
      </c>
      <c r="E1068" s="6">
        <f>_xlfn.MAXIFS(Levels!E:E,Levels!B:B,A1068)</f>
        <v>9.48</v>
      </c>
      <c r="F1068" s="6">
        <f>_xlfn.MAXIFS(Levels!F:F,Levels!B:B,A1068)</f>
        <v>7.56</v>
      </c>
    </row>
    <row r="1069" spans="1:6" x14ac:dyDescent="0.3">
      <c r="A1069" t="s">
        <v>4936</v>
      </c>
      <c r="B1069" s="9">
        <f>COUNTIF(Levels!B:B,A1069)</f>
        <v>10</v>
      </c>
      <c r="C1069" s="9">
        <f>IFERROR(AVERAGEIF(Levels!B:B,A1069,Levels!E:E),0)</f>
        <v>9.3739999999999988</v>
      </c>
      <c r="D1069" s="9">
        <f>IFERROR(AVERAGEIF(Levels!B:B,A1069,Levels!F:F),0)</f>
        <v>7.9069999999999991</v>
      </c>
      <c r="E1069" s="9">
        <f>_xlfn.MAXIFS(Levels!E:E,Levels!B:B,A1069)</f>
        <v>12.37</v>
      </c>
      <c r="F1069" s="9">
        <f>_xlfn.MAXIFS(Levels!F:F,Levels!B:B,A1069)</f>
        <v>8.41</v>
      </c>
    </row>
    <row r="1070" spans="1:6" x14ac:dyDescent="0.3">
      <c r="A1070" t="s">
        <v>4944</v>
      </c>
      <c r="B1070" s="6">
        <f>COUNTIF(Levels!B:B,A1070)</f>
        <v>1</v>
      </c>
      <c r="C1070" s="6">
        <f>IFERROR(AVERAGEIF(Levels!B:B,A1070,Levels!E:E),0)</f>
        <v>15</v>
      </c>
      <c r="D1070" s="6">
        <f>IFERROR(AVERAGEIF(Levels!B:B,A1070,Levels!F:F),0)</f>
        <v>6</v>
      </c>
      <c r="E1070" s="6">
        <f>_xlfn.MAXIFS(Levels!E:E,Levels!B:B,A1070)</f>
        <v>15</v>
      </c>
      <c r="F1070" s="6">
        <f>_xlfn.MAXIFS(Levels!F:F,Levels!B:B,A1070)</f>
        <v>6</v>
      </c>
    </row>
    <row r="1071" spans="1:6" x14ac:dyDescent="0.3">
      <c r="A1071" t="s">
        <v>4948</v>
      </c>
      <c r="B1071" s="9">
        <f>COUNTIF(Levels!B:B,A1071)</f>
        <v>5</v>
      </c>
      <c r="C1071" s="9">
        <f>IFERROR(AVERAGEIF(Levels!B:B,A1071,Levels!E:E),0)</f>
        <v>2.3660000000000001</v>
      </c>
      <c r="D1071" s="9">
        <f>IFERROR(AVERAGEIF(Levels!B:B,A1071,Levels!F:F),0)</f>
        <v>7.3</v>
      </c>
      <c r="E1071" s="9">
        <f>_xlfn.MAXIFS(Levels!E:E,Levels!B:B,A1071)</f>
        <v>3.81</v>
      </c>
      <c r="F1071" s="9">
        <f>_xlfn.MAXIFS(Levels!F:F,Levels!B:B,A1071)</f>
        <v>7.59</v>
      </c>
    </row>
    <row r="1072" spans="1:6" x14ac:dyDescent="0.3">
      <c r="A1072" t="s">
        <v>4956</v>
      </c>
      <c r="B1072" s="6">
        <f>COUNTIF(Levels!B:B,A1072)</f>
        <v>1</v>
      </c>
      <c r="C1072" s="6">
        <f>IFERROR(AVERAGEIF(Levels!B:B,A1072,Levels!E:E),0)</f>
        <v>3.12</v>
      </c>
      <c r="D1072" s="6">
        <f>IFERROR(AVERAGEIF(Levels!B:B,A1072,Levels!F:F),0)</f>
        <v>6.44</v>
      </c>
      <c r="E1072" s="6">
        <f>_xlfn.MAXIFS(Levels!E:E,Levels!B:B,A1072)</f>
        <v>3.12</v>
      </c>
      <c r="F1072" s="6">
        <f>_xlfn.MAXIFS(Levels!F:F,Levels!B:B,A1072)</f>
        <v>6.44</v>
      </c>
    </row>
    <row r="1073" spans="1:6" x14ac:dyDescent="0.3">
      <c r="A1073" t="s">
        <v>4958</v>
      </c>
      <c r="B1073" s="9">
        <f>COUNTIF(Levels!B:B,A1073)</f>
        <v>1</v>
      </c>
      <c r="C1073" s="9">
        <f>IFERROR(AVERAGEIF(Levels!B:B,A1073,Levels!E:E),0)</f>
        <v>8.75</v>
      </c>
      <c r="D1073" s="9">
        <f>IFERROR(AVERAGEIF(Levels!B:B,A1073,Levels!F:F),0)</f>
        <v>5.57</v>
      </c>
      <c r="E1073" s="9">
        <f>_xlfn.MAXIFS(Levels!E:E,Levels!B:B,A1073)</f>
        <v>8.75</v>
      </c>
      <c r="F1073" s="9">
        <f>_xlfn.MAXIFS(Levels!F:F,Levels!B:B,A1073)</f>
        <v>5.57</v>
      </c>
    </row>
    <row r="1074" spans="1:6" x14ac:dyDescent="0.3">
      <c r="A1074" t="s">
        <v>4960</v>
      </c>
      <c r="B1074" s="6">
        <f>COUNTIF(Levels!B:B,A1074)</f>
        <v>4</v>
      </c>
      <c r="C1074" s="6">
        <f>IFERROR(AVERAGEIF(Levels!B:B,A1074,Levels!E:E),0)</f>
        <v>5.2175000000000002</v>
      </c>
      <c r="D1074" s="6">
        <f>IFERROR(AVERAGEIF(Levels!B:B,A1074,Levels!F:F),0)</f>
        <v>6.2200000000000006</v>
      </c>
      <c r="E1074" s="6">
        <f>_xlfn.MAXIFS(Levels!E:E,Levels!B:B,A1074)</f>
        <v>11.83</v>
      </c>
      <c r="F1074" s="6">
        <f>_xlfn.MAXIFS(Levels!F:F,Levels!B:B,A1074)</f>
        <v>7.4</v>
      </c>
    </row>
    <row r="1075" spans="1:6" x14ac:dyDescent="0.3">
      <c r="A1075" t="s">
        <v>4962</v>
      </c>
      <c r="B1075" s="9">
        <f>COUNTIF(Levels!B:B,A1075)</f>
        <v>4</v>
      </c>
      <c r="C1075" s="9">
        <f>IFERROR(AVERAGEIF(Levels!B:B,A1075,Levels!E:E),0)</f>
        <v>9.1875</v>
      </c>
      <c r="D1075" s="9">
        <f>IFERROR(AVERAGEIF(Levels!B:B,A1075,Levels!F:F),0)</f>
        <v>5.2474999999999996</v>
      </c>
      <c r="E1075" s="9">
        <f>_xlfn.MAXIFS(Levels!E:E,Levels!B:B,A1075)</f>
        <v>20.79</v>
      </c>
      <c r="F1075" s="9">
        <f>_xlfn.MAXIFS(Levels!F:F,Levels!B:B,A1075)</f>
        <v>7.72</v>
      </c>
    </row>
    <row r="1076" spans="1:6" x14ac:dyDescent="0.3">
      <c r="A1076" t="s">
        <v>4966</v>
      </c>
      <c r="B1076" s="6">
        <f>COUNTIF(Levels!B:B,A1076)</f>
        <v>1</v>
      </c>
      <c r="C1076" s="6">
        <f>IFERROR(AVERAGEIF(Levels!B:B,A1076,Levels!E:E),0)</f>
        <v>3.64</v>
      </c>
      <c r="D1076" s="6">
        <f>IFERROR(AVERAGEIF(Levels!B:B,A1076,Levels!F:F),0)</f>
        <v>7.24</v>
      </c>
      <c r="E1076" s="6">
        <f>_xlfn.MAXIFS(Levels!E:E,Levels!B:B,A1076)</f>
        <v>3.64</v>
      </c>
      <c r="F1076" s="6">
        <f>_xlfn.MAXIFS(Levels!F:F,Levels!B:B,A1076)</f>
        <v>7.24</v>
      </c>
    </row>
    <row r="1077" spans="1:6" x14ac:dyDescent="0.3">
      <c r="A1077" t="s">
        <v>4968</v>
      </c>
      <c r="B1077" s="9">
        <f>COUNTIF(Levels!B:B,A1077)</f>
        <v>1</v>
      </c>
      <c r="C1077" s="9">
        <f>IFERROR(AVERAGEIF(Levels!B:B,A1077,Levels!E:E),0)</f>
        <v>9.2899999999999991</v>
      </c>
      <c r="D1077" s="9">
        <f>IFERROR(AVERAGEIF(Levels!B:B,A1077,Levels!F:F),0)</f>
        <v>6.5</v>
      </c>
      <c r="E1077" s="9">
        <f>_xlfn.MAXIFS(Levels!E:E,Levels!B:B,A1077)</f>
        <v>9.2899999999999991</v>
      </c>
      <c r="F1077" s="9">
        <f>_xlfn.MAXIFS(Levels!F:F,Levels!B:B,A1077)</f>
        <v>6.5</v>
      </c>
    </row>
    <row r="1078" spans="1:6" x14ac:dyDescent="0.3">
      <c r="A1078" t="s">
        <v>4971</v>
      </c>
      <c r="B1078" s="6">
        <f>COUNTIF(Levels!B:B,A1078)</f>
        <v>4</v>
      </c>
      <c r="C1078" s="6">
        <f>IFERROR(AVERAGEIF(Levels!B:B,A1078,Levels!E:E),0)</f>
        <v>7.1675000000000004</v>
      </c>
      <c r="D1078" s="6">
        <f>IFERROR(AVERAGEIF(Levels!B:B,A1078,Levels!F:F),0)</f>
        <v>7.4250000000000007</v>
      </c>
      <c r="E1078" s="6">
        <f>_xlfn.MAXIFS(Levels!E:E,Levels!B:B,A1078)</f>
        <v>23.01</v>
      </c>
      <c r="F1078" s="6">
        <f>_xlfn.MAXIFS(Levels!F:F,Levels!B:B,A1078)</f>
        <v>7.78</v>
      </c>
    </row>
    <row r="1079" spans="1:6" x14ac:dyDescent="0.3">
      <c r="A1079" t="s">
        <v>4976</v>
      </c>
      <c r="B1079" s="9">
        <f>COUNTIF(Levels!B:B,A1079)</f>
        <v>1</v>
      </c>
      <c r="C1079" s="9">
        <f>IFERROR(AVERAGEIF(Levels!B:B,A1079,Levels!E:E),0)</f>
        <v>2.66</v>
      </c>
      <c r="D1079" s="9">
        <f>IFERROR(AVERAGEIF(Levels!B:B,A1079,Levels!F:F),0)</f>
        <v>7.36</v>
      </c>
      <c r="E1079" s="9">
        <f>_xlfn.MAXIFS(Levels!E:E,Levels!B:B,A1079)</f>
        <v>2.66</v>
      </c>
      <c r="F1079" s="9">
        <f>_xlfn.MAXIFS(Levels!F:F,Levels!B:B,A1079)</f>
        <v>7.36</v>
      </c>
    </row>
    <row r="1080" spans="1:6" x14ac:dyDescent="0.3">
      <c r="A1080" t="s">
        <v>4978</v>
      </c>
      <c r="B1080" s="6">
        <f>COUNTIF(Levels!B:B,A1080)</f>
        <v>1</v>
      </c>
      <c r="C1080" s="6">
        <f>IFERROR(AVERAGEIF(Levels!B:B,A1080,Levels!E:E),0)</f>
        <v>5.67</v>
      </c>
      <c r="D1080" s="6">
        <f>IFERROR(AVERAGEIF(Levels!B:B,A1080,Levels!F:F),0)</f>
        <v>4</v>
      </c>
      <c r="E1080" s="6">
        <f>_xlfn.MAXIFS(Levels!E:E,Levels!B:B,A1080)</f>
        <v>5.67</v>
      </c>
      <c r="F1080" s="6">
        <f>_xlfn.MAXIFS(Levels!F:F,Levels!B:B,A1080)</f>
        <v>4</v>
      </c>
    </row>
    <row r="1081" spans="1:6" x14ac:dyDescent="0.3">
      <c r="A1081" t="s">
        <v>4984</v>
      </c>
      <c r="B1081" s="9">
        <f>COUNTIF(Levels!B:B,A1081)</f>
        <v>1</v>
      </c>
      <c r="C1081" s="9">
        <f>IFERROR(AVERAGEIF(Levels!B:B,A1081,Levels!E:E),0)</f>
        <v>6.33</v>
      </c>
      <c r="D1081" s="9">
        <f>IFERROR(AVERAGEIF(Levels!B:B,A1081,Levels!F:F),0)</f>
        <v>8.43</v>
      </c>
      <c r="E1081" s="9">
        <f>_xlfn.MAXIFS(Levels!E:E,Levels!B:B,A1081)</f>
        <v>6.33</v>
      </c>
      <c r="F1081" s="9">
        <f>_xlfn.MAXIFS(Levels!F:F,Levels!B:B,A1081)</f>
        <v>8.43</v>
      </c>
    </row>
    <row r="1082" spans="1:6" x14ac:dyDescent="0.3">
      <c r="A1082" t="s">
        <v>4988</v>
      </c>
      <c r="B1082" s="6">
        <f>COUNTIF(Levels!B:B,A1082)</f>
        <v>3</v>
      </c>
      <c r="C1082" s="6">
        <f>IFERROR(AVERAGEIF(Levels!B:B,A1082,Levels!E:E),0)</f>
        <v>9.0166666666666657</v>
      </c>
      <c r="D1082" s="6">
        <f>IFERROR(AVERAGEIF(Levels!B:B,A1082,Levels!F:F),0)</f>
        <v>6.98</v>
      </c>
      <c r="E1082" s="6">
        <f>_xlfn.MAXIFS(Levels!E:E,Levels!B:B,A1082)</f>
        <v>15.99</v>
      </c>
      <c r="F1082" s="6">
        <f>_xlfn.MAXIFS(Levels!F:F,Levels!B:B,A1082)</f>
        <v>8.33</v>
      </c>
    </row>
    <row r="1083" spans="1:6" x14ac:dyDescent="0.3">
      <c r="A1083" t="s">
        <v>4990</v>
      </c>
      <c r="B1083" s="9">
        <f>COUNTIF(Levels!B:B,A1083)</f>
        <v>2</v>
      </c>
      <c r="C1083" s="9">
        <f>IFERROR(AVERAGEIF(Levels!B:B,A1083,Levels!E:E),0)</f>
        <v>6.95</v>
      </c>
      <c r="D1083" s="9">
        <f>IFERROR(AVERAGEIF(Levels!B:B,A1083,Levels!F:F),0)</f>
        <v>7.085</v>
      </c>
      <c r="E1083" s="9">
        <f>_xlfn.MAXIFS(Levels!E:E,Levels!B:B,A1083)</f>
        <v>11.4</v>
      </c>
      <c r="F1083" s="9">
        <f>_xlfn.MAXIFS(Levels!F:F,Levels!B:B,A1083)</f>
        <v>7.5</v>
      </c>
    </row>
    <row r="1084" spans="1:6" x14ac:dyDescent="0.3">
      <c r="A1084" t="s">
        <v>4992</v>
      </c>
      <c r="B1084" s="6">
        <f>COUNTIF(Levels!B:B,A1084)</f>
        <v>1</v>
      </c>
      <c r="C1084" s="6">
        <f>IFERROR(AVERAGEIF(Levels!B:B,A1084,Levels!E:E),0)</f>
        <v>9.66</v>
      </c>
      <c r="D1084" s="6">
        <f>IFERROR(AVERAGEIF(Levels!B:B,A1084,Levels!F:F),0)</f>
        <v>4.5</v>
      </c>
      <c r="E1084" s="6">
        <f>_xlfn.MAXIFS(Levels!E:E,Levels!B:B,A1084)</f>
        <v>9.66</v>
      </c>
      <c r="F1084" s="6">
        <f>_xlfn.MAXIFS(Levels!F:F,Levels!B:B,A1084)</f>
        <v>4.5</v>
      </c>
    </row>
    <row r="1085" spans="1:6" x14ac:dyDescent="0.3">
      <c r="A1085" t="s">
        <v>4995</v>
      </c>
      <c r="B1085" s="9">
        <f>COUNTIF(Levels!B:B,A1085)</f>
        <v>1</v>
      </c>
      <c r="C1085" s="9">
        <f>IFERROR(AVERAGEIF(Levels!B:B,A1085,Levels!E:E),0)</f>
        <v>15.4</v>
      </c>
      <c r="D1085" s="9">
        <f>IFERROR(AVERAGEIF(Levels!B:B,A1085,Levels!F:F),0)</f>
        <v>3.85</v>
      </c>
      <c r="E1085" s="9">
        <f>_xlfn.MAXIFS(Levels!E:E,Levels!B:B,A1085)</f>
        <v>15.4</v>
      </c>
      <c r="F1085" s="9">
        <f>_xlfn.MAXIFS(Levels!F:F,Levels!B:B,A1085)</f>
        <v>3.85</v>
      </c>
    </row>
    <row r="1086" spans="1:6" x14ac:dyDescent="0.3">
      <c r="A1086" t="s">
        <v>4997</v>
      </c>
      <c r="B1086" s="6">
        <f>COUNTIF(Levels!B:B,A1086)</f>
        <v>1</v>
      </c>
      <c r="C1086" s="6">
        <f>IFERROR(AVERAGEIF(Levels!B:B,A1086,Levels!E:E),0)</f>
        <v>15.68</v>
      </c>
      <c r="D1086" s="6">
        <f>IFERROR(AVERAGEIF(Levels!B:B,A1086,Levels!F:F),0)</f>
        <v>7.73</v>
      </c>
      <c r="E1086" s="6">
        <f>_xlfn.MAXIFS(Levels!E:E,Levels!B:B,A1086)</f>
        <v>15.68</v>
      </c>
      <c r="F1086" s="6">
        <f>_xlfn.MAXIFS(Levels!F:F,Levels!B:B,A1086)</f>
        <v>7.73</v>
      </c>
    </row>
    <row r="1087" spans="1:6" x14ac:dyDescent="0.3">
      <c r="A1087" t="s">
        <v>5006</v>
      </c>
      <c r="B1087" s="9">
        <f>COUNTIF(Levels!B:B,A1087)</f>
        <v>18</v>
      </c>
      <c r="C1087" s="9">
        <f>IFERROR(AVERAGEIF(Levels!B:B,A1087,Levels!E:E),0)</f>
        <v>6.2416666666666654</v>
      </c>
      <c r="D1087" s="9">
        <f>IFERROR(AVERAGEIF(Levels!B:B,A1087,Levels!F:F),0)</f>
        <v>6.5344444444444436</v>
      </c>
      <c r="E1087" s="9">
        <f>_xlfn.MAXIFS(Levels!E:E,Levels!B:B,A1087)</f>
        <v>12.76</v>
      </c>
      <c r="F1087" s="9">
        <f>_xlfn.MAXIFS(Levels!F:F,Levels!B:B,A1087)</f>
        <v>8.09</v>
      </c>
    </row>
    <row r="1088" spans="1:6" x14ac:dyDescent="0.3">
      <c r="A1088" t="s">
        <v>5008</v>
      </c>
      <c r="B1088" s="6">
        <f>COUNTIF(Levels!B:B,A1088)</f>
        <v>1</v>
      </c>
      <c r="C1088" s="6">
        <f>IFERROR(AVERAGEIF(Levels!B:B,A1088,Levels!E:E),0)</f>
        <v>8.5</v>
      </c>
      <c r="D1088" s="6">
        <f>IFERROR(AVERAGEIF(Levels!B:B,A1088,Levels!F:F),0)</f>
        <v>4.33</v>
      </c>
      <c r="E1088" s="6">
        <f>_xlfn.MAXIFS(Levels!E:E,Levels!B:B,A1088)</f>
        <v>8.5</v>
      </c>
      <c r="F1088" s="6">
        <f>_xlfn.MAXIFS(Levels!F:F,Levels!B:B,A1088)</f>
        <v>4.33</v>
      </c>
    </row>
    <row r="1089" spans="1:6" x14ac:dyDescent="0.3">
      <c r="A1089" t="s">
        <v>5012</v>
      </c>
      <c r="B1089" s="9">
        <f>COUNTIF(Levels!B:B,A1089)</f>
        <v>1</v>
      </c>
      <c r="C1089" s="9">
        <f>IFERROR(AVERAGEIF(Levels!B:B,A1089,Levels!E:E),0)</f>
        <v>3</v>
      </c>
      <c r="D1089" s="9">
        <f>IFERROR(AVERAGEIF(Levels!B:B,A1089,Levels!F:F),0)</f>
        <v>4.71</v>
      </c>
      <c r="E1089" s="9">
        <f>_xlfn.MAXIFS(Levels!E:E,Levels!B:B,A1089)</f>
        <v>3</v>
      </c>
      <c r="F1089" s="9">
        <f>_xlfn.MAXIFS(Levels!F:F,Levels!B:B,A1089)</f>
        <v>4.71</v>
      </c>
    </row>
    <row r="1090" spans="1:6" x14ac:dyDescent="0.3">
      <c r="A1090" t="s">
        <v>5014</v>
      </c>
      <c r="B1090" s="6">
        <f>COUNTIF(Levels!B:B,A1090)</f>
        <v>1</v>
      </c>
      <c r="C1090" s="6">
        <f>IFERROR(AVERAGEIF(Levels!B:B,A1090,Levels!E:E),0)</f>
        <v>2.87</v>
      </c>
      <c r="D1090" s="6">
        <f>IFERROR(AVERAGEIF(Levels!B:B,A1090,Levels!F:F),0)</f>
        <v>6.94</v>
      </c>
      <c r="E1090" s="6">
        <f>_xlfn.MAXIFS(Levels!E:E,Levels!B:B,A1090)</f>
        <v>2.87</v>
      </c>
      <c r="F1090" s="6">
        <f>_xlfn.MAXIFS(Levels!F:F,Levels!B:B,A1090)</f>
        <v>6.94</v>
      </c>
    </row>
    <row r="1091" spans="1:6" x14ac:dyDescent="0.3">
      <c r="A1091" t="s">
        <v>5022</v>
      </c>
      <c r="B1091" s="9">
        <f>COUNTIF(Levels!B:B,A1091)</f>
        <v>2</v>
      </c>
      <c r="C1091" s="9">
        <f>IFERROR(AVERAGEIF(Levels!B:B,A1091,Levels!E:E),0)</f>
        <v>3.5249999999999999</v>
      </c>
      <c r="D1091" s="9">
        <f>IFERROR(AVERAGEIF(Levels!B:B,A1091,Levels!F:F),0)</f>
        <v>6.5150000000000006</v>
      </c>
      <c r="E1091" s="9">
        <f>_xlfn.MAXIFS(Levels!E:E,Levels!B:B,A1091)</f>
        <v>5.33</v>
      </c>
      <c r="F1091" s="9">
        <f>_xlfn.MAXIFS(Levels!F:F,Levels!B:B,A1091)</f>
        <v>6.57</v>
      </c>
    </row>
    <row r="1092" spans="1:6" x14ac:dyDescent="0.3">
      <c r="A1092" t="s">
        <v>5024</v>
      </c>
      <c r="B1092" s="6">
        <f>COUNTIF(Levels!B:B,A1092)</f>
        <v>1</v>
      </c>
      <c r="C1092" s="6">
        <f>IFERROR(AVERAGEIF(Levels!B:B,A1092,Levels!E:E),0)</f>
        <v>13.67</v>
      </c>
      <c r="D1092" s="6">
        <f>IFERROR(AVERAGEIF(Levels!B:B,A1092,Levels!F:F),0)</f>
        <v>7.57</v>
      </c>
      <c r="E1092" s="6">
        <f>_xlfn.MAXIFS(Levels!E:E,Levels!B:B,A1092)</f>
        <v>13.67</v>
      </c>
      <c r="F1092" s="6">
        <f>_xlfn.MAXIFS(Levels!F:F,Levels!B:B,A1092)</f>
        <v>7.57</v>
      </c>
    </row>
    <row r="1093" spans="1:6" x14ac:dyDescent="0.3">
      <c r="A1093" t="s">
        <v>5031</v>
      </c>
      <c r="B1093" s="9">
        <f>COUNTIF(Levels!B:B,A1093)</f>
        <v>14</v>
      </c>
      <c r="C1093" s="9">
        <f>IFERROR(AVERAGEIF(Levels!B:B,A1093,Levels!E:E),0)</f>
        <v>18.343846153846155</v>
      </c>
      <c r="D1093" s="9">
        <f>IFERROR(AVERAGEIF(Levels!B:B,A1093,Levels!F:F),0)</f>
        <v>7.8369230769230764</v>
      </c>
      <c r="E1093" s="9">
        <f>_xlfn.MAXIFS(Levels!E:E,Levels!B:B,A1093)</f>
        <v>25</v>
      </c>
      <c r="F1093" s="9">
        <f>_xlfn.MAXIFS(Levels!F:F,Levels!B:B,A1093)</f>
        <v>10</v>
      </c>
    </row>
    <row r="1094" spans="1:6" x14ac:dyDescent="0.3">
      <c r="A1094" t="s">
        <v>5034</v>
      </c>
      <c r="B1094" s="6">
        <f>COUNTIF(Levels!B:B,A1094)</f>
        <v>2</v>
      </c>
      <c r="C1094" s="6">
        <f>IFERROR(AVERAGEIF(Levels!B:B,A1094,Levels!E:E),0)</f>
        <v>2.79</v>
      </c>
      <c r="D1094" s="6">
        <f>IFERROR(AVERAGEIF(Levels!B:B,A1094,Levels!F:F),0)</f>
        <v>5.5150000000000006</v>
      </c>
      <c r="E1094" s="6">
        <f>_xlfn.MAXIFS(Levels!E:E,Levels!B:B,A1094)</f>
        <v>3.06</v>
      </c>
      <c r="F1094" s="6">
        <f>_xlfn.MAXIFS(Levels!F:F,Levels!B:B,A1094)</f>
        <v>6.45</v>
      </c>
    </row>
    <row r="1095" spans="1:6" x14ac:dyDescent="0.3">
      <c r="A1095" t="s">
        <v>5038</v>
      </c>
      <c r="B1095" s="9">
        <f>COUNTIF(Levels!B:B,A1095)</f>
        <v>1</v>
      </c>
      <c r="C1095" s="9">
        <f>IFERROR(AVERAGEIF(Levels!B:B,A1095,Levels!E:E),0)</f>
        <v>10.220000000000001</v>
      </c>
      <c r="D1095" s="9">
        <f>IFERROR(AVERAGEIF(Levels!B:B,A1095,Levels!F:F),0)</f>
        <v>7</v>
      </c>
      <c r="E1095" s="9">
        <f>_xlfn.MAXIFS(Levels!E:E,Levels!B:B,A1095)</f>
        <v>10.220000000000001</v>
      </c>
      <c r="F1095" s="9">
        <f>_xlfn.MAXIFS(Levels!F:F,Levels!B:B,A1095)</f>
        <v>7</v>
      </c>
    </row>
    <row r="1096" spans="1:6" x14ac:dyDescent="0.3">
      <c r="A1096" t="s">
        <v>5051</v>
      </c>
      <c r="B1096" s="6">
        <f>COUNTIF(Levels!B:B,A1096)</f>
        <v>6</v>
      </c>
      <c r="C1096" s="6">
        <f>IFERROR(AVERAGEIF(Levels!B:B,A1096,Levels!E:E),0)</f>
        <v>6.4849999999999994</v>
      </c>
      <c r="D1096" s="6">
        <f>IFERROR(AVERAGEIF(Levels!B:B,A1096,Levels!F:F),0)</f>
        <v>6.4066666666666663</v>
      </c>
      <c r="E1096" s="6">
        <f>_xlfn.MAXIFS(Levels!E:E,Levels!B:B,A1096)</f>
        <v>18.399999999999999</v>
      </c>
      <c r="F1096" s="6">
        <f>_xlfn.MAXIFS(Levels!F:F,Levels!B:B,A1096)</f>
        <v>7.29</v>
      </c>
    </row>
    <row r="1097" spans="1:6" x14ac:dyDescent="0.3">
      <c r="A1097" t="s">
        <v>5053</v>
      </c>
      <c r="B1097" s="9">
        <f>COUNTIF(Levels!B:B,A1097)</f>
        <v>3</v>
      </c>
      <c r="C1097" s="9">
        <f>IFERROR(AVERAGEIF(Levels!B:B,A1097,Levels!E:E),0)</f>
        <v>27</v>
      </c>
      <c r="D1097" s="9">
        <f>IFERROR(AVERAGEIF(Levels!B:B,A1097,Levels!F:F),0)</f>
        <v>7.1099999999999994</v>
      </c>
      <c r="E1097" s="9">
        <f>_xlfn.MAXIFS(Levels!E:E,Levels!B:B,A1097)</f>
        <v>31</v>
      </c>
      <c r="F1097" s="9">
        <f>_xlfn.MAXIFS(Levels!F:F,Levels!B:B,A1097)</f>
        <v>8</v>
      </c>
    </row>
    <row r="1098" spans="1:6" x14ac:dyDescent="0.3">
      <c r="A1098" t="s">
        <v>5057</v>
      </c>
      <c r="B1098" s="6">
        <f>COUNTIF(Levels!B:B,A1098)</f>
        <v>1</v>
      </c>
      <c r="C1098" s="6">
        <f>IFERROR(AVERAGEIF(Levels!B:B,A1098,Levels!E:E),0)</f>
        <v>24.33</v>
      </c>
      <c r="D1098" s="6">
        <f>IFERROR(AVERAGEIF(Levels!B:B,A1098,Levels!F:F),0)</f>
        <v>7.5</v>
      </c>
      <c r="E1098" s="6">
        <f>_xlfn.MAXIFS(Levels!E:E,Levels!B:B,A1098)</f>
        <v>24.33</v>
      </c>
      <c r="F1098" s="6">
        <f>_xlfn.MAXIFS(Levels!F:F,Levels!B:B,A1098)</f>
        <v>7.5</v>
      </c>
    </row>
    <row r="1099" spans="1:6" x14ac:dyDescent="0.3">
      <c r="A1099" t="s">
        <v>5060</v>
      </c>
      <c r="B1099" s="9">
        <f>COUNTIF(Levels!B:B,A1099)</f>
        <v>5</v>
      </c>
      <c r="C1099" s="9">
        <f>IFERROR(AVERAGEIF(Levels!B:B,A1099,Levels!E:E),0)</f>
        <v>13.010000000000002</v>
      </c>
      <c r="D1099" s="9">
        <f>IFERROR(AVERAGEIF(Levels!B:B,A1099,Levels!F:F),0)</f>
        <v>7.1199999999999992</v>
      </c>
      <c r="E1099" s="9">
        <f>_xlfn.MAXIFS(Levels!E:E,Levels!B:B,A1099)</f>
        <v>17.149999999999999</v>
      </c>
      <c r="F1099" s="9">
        <f>_xlfn.MAXIFS(Levels!F:F,Levels!B:B,A1099)</f>
        <v>7.56</v>
      </c>
    </row>
    <row r="1100" spans="1:6" x14ac:dyDescent="0.3">
      <c r="A1100" t="s">
        <v>5063</v>
      </c>
      <c r="B1100" s="6">
        <f>COUNTIF(Levels!B:B,A1100)</f>
        <v>1</v>
      </c>
      <c r="C1100" s="6">
        <f>IFERROR(AVERAGEIF(Levels!B:B,A1100,Levels!E:E),0)</f>
        <v>5.33</v>
      </c>
      <c r="D1100" s="6">
        <f>IFERROR(AVERAGEIF(Levels!B:B,A1100,Levels!F:F),0)</f>
        <v>3</v>
      </c>
      <c r="E1100" s="6">
        <f>_xlfn.MAXIFS(Levels!E:E,Levels!B:B,A1100)</f>
        <v>5.33</v>
      </c>
      <c r="F1100" s="6">
        <f>_xlfn.MAXIFS(Levels!F:F,Levels!B:B,A1100)</f>
        <v>3</v>
      </c>
    </row>
    <row r="1101" spans="1:6" x14ac:dyDescent="0.3">
      <c r="A1101" t="s">
        <v>5075</v>
      </c>
      <c r="B1101" s="9">
        <f>COUNTIF(Levels!B:B,A1101)</f>
        <v>12</v>
      </c>
      <c r="C1101" s="9">
        <f>IFERROR(AVERAGEIF(Levels!B:B,A1101,Levels!E:E),0)</f>
        <v>8.8825000000000003</v>
      </c>
      <c r="D1101" s="9">
        <f>IFERROR(AVERAGEIF(Levels!B:B,A1101,Levels!F:F),0)</f>
        <v>6.7233333333333336</v>
      </c>
      <c r="E1101" s="9">
        <f>_xlfn.MAXIFS(Levels!E:E,Levels!B:B,A1101)</f>
        <v>21</v>
      </c>
      <c r="F1101" s="9">
        <f>_xlfn.MAXIFS(Levels!F:F,Levels!B:B,A1101)</f>
        <v>8.3000000000000007</v>
      </c>
    </row>
    <row r="1102" spans="1:6" x14ac:dyDescent="0.3">
      <c r="A1102" t="s">
        <v>5081</v>
      </c>
      <c r="B1102" s="6">
        <f>COUNTIF(Levels!B:B,A1102)</f>
        <v>1</v>
      </c>
      <c r="C1102" s="6">
        <f>IFERROR(AVERAGEIF(Levels!B:B,A1102,Levels!E:E),0)</f>
        <v>12.33</v>
      </c>
      <c r="D1102" s="6">
        <f>IFERROR(AVERAGEIF(Levels!B:B,A1102,Levels!F:F),0)</f>
        <v>3.86</v>
      </c>
      <c r="E1102" s="6">
        <f>_xlfn.MAXIFS(Levels!E:E,Levels!B:B,A1102)</f>
        <v>12.33</v>
      </c>
      <c r="F1102" s="6">
        <f>_xlfn.MAXIFS(Levels!F:F,Levels!B:B,A1102)</f>
        <v>3.86</v>
      </c>
    </row>
    <row r="1103" spans="1:6" x14ac:dyDescent="0.3">
      <c r="A1103" t="s">
        <v>5090</v>
      </c>
      <c r="B1103" s="9">
        <f>COUNTIF(Levels!B:B,A1103)</f>
        <v>3</v>
      </c>
      <c r="C1103" s="9">
        <f>IFERROR(AVERAGEIF(Levels!B:B,A1103,Levels!E:E),0)</f>
        <v>3.91</v>
      </c>
      <c r="D1103" s="9">
        <f>IFERROR(AVERAGEIF(Levels!B:B,A1103,Levels!F:F),0)</f>
        <v>6.1400000000000006</v>
      </c>
      <c r="E1103" s="9">
        <f>_xlfn.MAXIFS(Levels!E:E,Levels!B:B,A1103)</f>
        <v>4.26</v>
      </c>
      <c r="F1103" s="9">
        <f>_xlfn.MAXIFS(Levels!F:F,Levels!B:B,A1103)</f>
        <v>6.75</v>
      </c>
    </row>
    <row r="1104" spans="1:6" x14ac:dyDescent="0.3">
      <c r="A1104" t="s">
        <v>5093</v>
      </c>
      <c r="B1104" s="6">
        <f>COUNTIF(Levels!B:B,A1104)</f>
        <v>10</v>
      </c>
      <c r="C1104" s="6">
        <f>IFERROR(AVERAGEIF(Levels!B:B,A1104,Levels!E:E),0)</f>
        <v>6.7060000000000004</v>
      </c>
      <c r="D1104" s="6">
        <f>IFERROR(AVERAGEIF(Levels!B:B,A1104,Levels!F:F),0)</f>
        <v>6.81</v>
      </c>
      <c r="E1104" s="6">
        <f>_xlfn.MAXIFS(Levels!E:E,Levels!B:B,A1104)</f>
        <v>14.65</v>
      </c>
      <c r="F1104" s="6">
        <f>_xlfn.MAXIFS(Levels!F:F,Levels!B:B,A1104)</f>
        <v>8.3800000000000008</v>
      </c>
    </row>
    <row r="1105" spans="1:6" x14ac:dyDescent="0.3">
      <c r="A1105" t="s">
        <v>5095</v>
      </c>
      <c r="B1105" s="9">
        <f>COUNTIF(Levels!B:B,A1105)</f>
        <v>1</v>
      </c>
      <c r="C1105" s="9">
        <f>IFERROR(AVERAGEIF(Levels!B:B,A1105,Levels!E:E),0)</f>
        <v>2.8</v>
      </c>
      <c r="D1105" s="9">
        <f>IFERROR(AVERAGEIF(Levels!B:B,A1105,Levels!F:F),0)</f>
        <v>5.33</v>
      </c>
      <c r="E1105" s="9">
        <f>_xlfn.MAXIFS(Levels!E:E,Levels!B:B,A1105)</f>
        <v>2.8</v>
      </c>
      <c r="F1105" s="9">
        <f>_xlfn.MAXIFS(Levels!F:F,Levels!B:B,A1105)</f>
        <v>5.33</v>
      </c>
    </row>
    <row r="1106" spans="1:6" x14ac:dyDescent="0.3">
      <c r="A1106" t="s">
        <v>5105</v>
      </c>
      <c r="B1106" s="6">
        <f>COUNTIF(Levels!B:B,A1106)</f>
        <v>1</v>
      </c>
      <c r="C1106" s="6">
        <f>IFERROR(AVERAGEIF(Levels!B:B,A1106,Levels!E:E),0)</f>
        <v>3.44</v>
      </c>
      <c r="D1106" s="6">
        <f>IFERROR(AVERAGEIF(Levels!B:B,A1106,Levels!F:F),0)</f>
        <v>5.45</v>
      </c>
      <c r="E1106" s="6">
        <f>_xlfn.MAXIFS(Levels!E:E,Levels!B:B,A1106)</f>
        <v>3.44</v>
      </c>
      <c r="F1106" s="6">
        <f>_xlfn.MAXIFS(Levels!F:F,Levels!B:B,A1106)</f>
        <v>5.45</v>
      </c>
    </row>
    <row r="1107" spans="1:6" x14ac:dyDescent="0.3">
      <c r="A1107" t="s">
        <v>5107</v>
      </c>
      <c r="B1107" s="9">
        <f>COUNTIF(Levels!B:B,A1107)</f>
        <v>4</v>
      </c>
      <c r="C1107" s="9">
        <f>IFERROR(AVERAGEIF(Levels!B:B,A1107,Levels!E:E),0)</f>
        <v>2.5825</v>
      </c>
      <c r="D1107" s="9">
        <f>IFERROR(AVERAGEIF(Levels!B:B,A1107,Levels!F:F),0)</f>
        <v>6.3274999999999997</v>
      </c>
      <c r="E1107" s="9">
        <f>_xlfn.MAXIFS(Levels!E:E,Levels!B:B,A1107)</f>
        <v>3.14</v>
      </c>
      <c r="F1107" s="9">
        <f>_xlfn.MAXIFS(Levels!F:F,Levels!B:B,A1107)</f>
        <v>7.26</v>
      </c>
    </row>
    <row r="1108" spans="1:6" x14ac:dyDescent="0.3">
      <c r="A1108" t="s">
        <v>5109</v>
      </c>
      <c r="B1108" s="6">
        <f>COUNTIF(Levels!B:B,A1108)</f>
        <v>1</v>
      </c>
      <c r="C1108" s="6">
        <f>IFERROR(AVERAGEIF(Levels!B:B,A1108,Levels!E:E),0)</f>
        <v>2.13</v>
      </c>
      <c r="D1108" s="6">
        <f>IFERROR(AVERAGEIF(Levels!B:B,A1108,Levels!F:F),0)</f>
        <v>4.8499999999999996</v>
      </c>
      <c r="E1108" s="6">
        <f>_xlfn.MAXIFS(Levels!E:E,Levels!B:B,A1108)</f>
        <v>2.13</v>
      </c>
      <c r="F1108" s="6">
        <f>_xlfn.MAXIFS(Levels!F:F,Levels!B:B,A1108)</f>
        <v>4.8499999999999996</v>
      </c>
    </row>
    <row r="1109" spans="1:6" x14ac:dyDescent="0.3">
      <c r="A1109" t="s">
        <v>5111</v>
      </c>
      <c r="B1109" s="9">
        <f>COUNTIF(Levels!B:B,A1109)</f>
        <v>2</v>
      </c>
      <c r="C1109" s="9">
        <f>IFERROR(AVERAGEIF(Levels!B:B,A1109,Levels!E:E),0)</f>
        <v>16.605</v>
      </c>
      <c r="D1109" s="9">
        <f>IFERROR(AVERAGEIF(Levels!B:B,A1109,Levels!F:F),0)</f>
        <v>6.1449999999999996</v>
      </c>
      <c r="E1109" s="9">
        <f>_xlfn.MAXIFS(Levels!E:E,Levels!B:B,A1109)</f>
        <v>21.09</v>
      </c>
      <c r="F1109" s="9">
        <f>_xlfn.MAXIFS(Levels!F:F,Levels!B:B,A1109)</f>
        <v>7.79</v>
      </c>
    </row>
    <row r="1110" spans="1:6" x14ac:dyDescent="0.3">
      <c r="A1110" t="s">
        <v>5115</v>
      </c>
      <c r="B1110" s="6">
        <f>COUNTIF(Levels!B:B,A1110)</f>
        <v>5</v>
      </c>
      <c r="C1110" s="6">
        <f>IFERROR(AVERAGEIF(Levels!B:B,A1110,Levels!E:E),0)</f>
        <v>14.284000000000001</v>
      </c>
      <c r="D1110" s="6">
        <f>IFERROR(AVERAGEIF(Levels!B:B,A1110,Levels!F:F),0)</f>
        <v>6.1719999999999997</v>
      </c>
      <c r="E1110" s="6">
        <f>_xlfn.MAXIFS(Levels!E:E,Levels!B:B,A1110)</f>
        <v>30.5</v>
      </c>
      <c r="F1110" s="6">
        <f>_xlfn.MAXIFS(Levels!F:F,Levels!B:B,A1110)</f>
        <v>6.78</v>
      </c>
    </row>
    <row r="1111" spans="1:6" x14ac:dyDescent="0.3">
      <c r="A1111" t="s">
        <v>5123</v>
      </c>
      <c r="B1111" s="9">
        <f>COUNTIF(Levels!B:B,A1111)</f>
        <v>4</v>
      </c>
      <c r="C1111" s="9">
        <f>IFERROR(AVERAGEIF(Levels!B:B,A1111,Levels!E:E),0)</f>
        <v>3.7549999999999999</v>
      </c>
      <c r="D1111" s="9">
        <f>IFERROR(AVERAGEIF(Levels!B:B,A1111,Levels!F:F),0)</f>
        <v>5.52</v>
      </c>
      <c r="E1111" s="9">
        <f>_xlfn.MAXIFS(Levels!E:E,Levels!B:B,A1111)</f>
        <v>3.77</v>
      </c>
      <c r="F1111" s="9">
        <f>_xlfn.MAXIFS(Levels!F:F,Levels!B:B,A1111)</f>
        <v>6.18</v>
      </c>
    </row>
    <row r="1112" spans="1:6" x14ac:dyDescent="0.3">
      <c r="A1112" t="s">
        <v>5128</v>
      </c>
      <c r="B1112" s="6">
        <f>COUNTIF(Levels!B:B,A1112)</f>
        <v>1</v>
      </c>
      <c r="C1112" s="6">
        <f>IFERROR(AVERAGEIF(Levels!B:B,A1112,Levels!E:E),0)</f>
        <v>4</v>
      </c>
      <c r="D1112" s="6">
        <f>IFERROR(AVERAGEIF(Levels!B:B,A1112,Levels!F:F),0)</f>
        <v>7.25</v>
      </c>
      <c r="E1112" s="6">
        <f>_xlfn.MAXIFS(Levels!E:E,Levels!B:B,A1112)</f>
        <v>4</v>
      </c>
      <c r="F1112" s="6">
        <f>_xlfn.MAXIFS(Levels!F:F,Levels!B:B,A1112)</f>
        <v>7.25</v>
      </c>
    </row>
    <row r="1113" spans="1:6" x14ac:dyDescent="0.3">
      <c r="A1113" t="s">
        <v>5133</v>
      </c>
      <c r="B1113" s="9">
        <f>COUNTIF(Levels!B:B,A1113)</f>
        <v>2</v>
      </c>
      <c r="C1113" s="9">
        <f>IFERROR(AVERAGEIF(Levels!B:B,A1113,Levels!E:E),0)</f>
        <v>3.2300000000000004</v>
      </c>
      <c r="D1113" s="9">
        <f>IFERROR(AVERAGEIF(Levels!B:B,A1113,Levels!F:F),0)</f>
        <v>6.6349999999999998</v>
      </c>
      <c r="E1113" s="9">
        <f>_xlfn.MAXIFS(Levels!E:E,Levels!B:B,A1113)</f>
        <v>4.24</v>
      </c>
      <c r="F1113" s="9">
        <f>_xlfn.MAXIFS(Levels!F:F,Levels!B:B,A1113)</f>
        <v>6.82</v>
      </c>
    </row>
    <row r="1114" spans="1:6" x14ac:dyDescent="0.3">
      <c r="A1114" t="s">
        <v>5140</v>
      </c>
      <c r="B1114" s="6">
        <f>COUNTIF(Levels!B:B,A1114)</f>
        <v>3</v>
      </c>
      <c r="C1114" s="6">
        <f>IFERROR(AVERAGEIF(Levels!B:B,A1114,Levels!E:E),0)</f>
        <v>5.0133333333333336</v>
      </c>
      <c r="D1114" s="6">
        <f>IFERROR(AVERAGEIF(Levels!B:B,A1114,Levels!F:F),0)</f>
        <v>6.09</v>
      </c>
      <c r="E1114" s="6">
        <f>_xlfn.MAXIFS(Levels!E:E,Levels!B:B,A1114)</f>
        <v>9.65</v>
      </c>
      <c r="F1114" s="6">
        <f>_xlfn.MAXIFS(Levels!F:F,Levels!B:B,A1114)</f>
        <v>6.3</v>
      </c>
    </row>
    <row r="1115" spans="1:6" x14ac:dyDescent="0.3">
      <c r="A1115" t="s">
        <v>5142</v>
      </c>
      <c r="B1115" s="9">
        <f>COUNTIF(Levels!B:B,A1115)</f>
        <v>3</v>
      </c>
      <c r="C1115" s="9">
        <f>IFERROR(AVERAGEIF(Levels!B:B,A1115,Levels!E:E),0)</f>
        <v>17.98</v>
      </c>
      <c r="D1115" s="9">
        <f>IFERROR(AVERAGEIF(Levels!B:B,A1115,Levels!F:F),0)</f>
        <v>6.77</v>
      </c>
      <c r="E1115" s="9">
        <f>_xlfn.MAXIFS(Levels!E:E,Levels!B:B,A1115)</f>
        <v>21.27</v>
      </c>
      <c r="F1115" s="9">
        <f>_xlfn.MAXIFS(Levels!F:F,Levels!B:B,A1115)</f>
        <v>7.67</v>
      </c>
    </row>
    <row r="1116" spans="1:6" x14ac:dyDescent="0.3">
      <c r="A1116" t="s">
        <v>5143</v>
      </c>
      <c r="B1116" s="6">
        <f>COUNTIF(Levels!B:B,A1116)</f>
        <v>5</v>
      </c>
      <c r="C1116" s="6">
        <f>IFERROR(AVERAGEIF(Levels!B:B,A1116,Levels!E:E),0)</f>
        <v>17.27</v>
      </c>
      <c r="D1116" s="6">
        <f>IFERROR(AVERAGEIF(Levels!B:B,A1116,Levels!F:F),0)</f>
        <v>7.1560000000000006</v>
      </c>
      <c r="E1116" s="6">
        <f>_xlfn.MAXIFS(Levels!E:E,Levels!B:B,A1116)</f>
        <v>24.25</v>
      </c>
      <c r="F1116" s="6">
        <f>_xlfn.MAXIFS(Levels!F:F,Levels!B:B,A1116)</f>
        <v>8.6</v>
      </c>
    </row>
    <row r="1117" spans="1:6" x14ac:dyDescent="0.3">
      <c r="A1117" t="s">
        <v>5145</v>
      </c>
      <c r="B1117" s="9">
        <f>COUNTIF(Levels!B:B,A1117)</f>
        <v>7</v>
      </c>
      <c r="C1117" s="9">
        <f>IFERROR(AVERAGEIF(Levels!B:B,A1117,Levels!E:E),0)</f>
        <v>7.9171428571428564</v>
      </c>
      <c r="D1117" s="9">
        <f>IFERROR(AVERAGEIF(Levels!B:B,A1117,Levels!F:F),0)</f>
        <v>7.0271428571428567</v>
      </c>
      <c r="E1117" s="9">
        <f>_xlfn.MAXIFS(Levels!E:E,Levels!B:B,A1117)</f>
        <v>22</v>
      </c>
      <c r="F1117" s="9">
        <f>_xlfn.MAXIFS(Levels!F:F,Levels!B:B,A1117)</f>
        <v>7.85</v>
      </c>
    </row>
    <row r="1118" spans="1:6" x14ac:dyDescent="0.3">
      <c r="A1118" t="s">
        <v>5147</v>
      </c>
      <c r="B1118" s="6">
        <f>COUNTIF(Levels!B:B,A1118)</f>
        <v>1</v>
      </c>
      <c r="C1118" s="6">
        <f>IFERROR(AVERAGEIF(Levels!B:B,A1118,Levels!E:E),0)</f>
        <v>13.13</v>
      </c>
      <c r="D1118" s="6">
        <f>IFERROR(AVERAGEIF(Levels!B:B,A1118,Levels!F:F),0)</f>
        <v>6.2</v>
      </c>
      <c r="E1118" s="6">
        <f>_xlfn.MAXIFS(Levels!E:E,Levels!B:B,A1118)</f>
        <v>13.13</v>
      </c>
      <c r="F1118" s="6">
        <f>_xlfn.MAXIFS(Levels!F:F,Levels!B:B,A1118)</f>
        <v>6.2</v>
      </c>
    </row>
    <row r="1119" spans="1:6" x14ac:dyDescent="0.3">
      <c r="A1119" t="s">
        <v>5156</v>
      </c>
      <c r="B1119" s="9">
        <f>COUNTIF(Levels!B:B,A1119)</f>
        <v>3</v>
      </c>
      <c r="C1119" s="9">
        <f>IFERROR(AVERAGEIF(Levels!B:B,A1119,Levels!E:E),0)</f>
        <v>21.493333333333336</v>
      </c>
      <c r="D1119" s="9">
        <f>IFERROR(AVERAGEIF(Levels!B:B,A1119,Levels!F:F),0)</f>
        <v>6.6700000000000008</v>
      </c>
      <c r="E1119" s="9">
        <f>_xlfn.MAXIFS(Levels!E:E,Levels!B:B,A1119)</f>
        <v>24.73</v>
      </c>
      <c r="F1119" s="9">
        <f>_xlfn.MAXIFS(Levels!F:F,Levels!B:B,A1119)</f>
        <v>7.07</v>
      </c>
    </row>
    <row r="1120" spans="1:6" x14ac:dyDescent="0.3">
      <c r="A1120" t="s">
        <v>5158</v>
      </c>
      <c r="B1120" s="6">
        <f>COUNTIF(Levels!B:B,A1120)</f>
        <v>2</v>
      </c>
      <c r="C1120" s="6">
        <f>IFERROR(AVERAGEIF(Levels!B:B,A1120,Levels!E:E),0)</f>
        <v>4.6850000000000005</v>
      </c>
      <c r="D1120" s="6">
        <f>IFERROR(AVERAGEIF(Levels!B:B,A1120,Levels!F:F),0)</f>
        <v>6.4049999999999994</v>
      </c>
      <c r="E1120" s="6">
        <f>_xlfn.MAXIFS(Levels!E:E,Levels!B:B,A1120)</f>
        <v>6.37</v>
      </c>
      <c r="F1120" s="6">
        <f>_xlfn.MAXIFS(Levels!F:F,Levels!B:B,A1120)</f>
        <v>6.67</v>
      </c>
    </row>
    <row r="1121" spans="1:6" x14ac:dyDescent="0.3">
      <c r="A1121" t="s">
        <v>5161</v>
      </c>
      <c r="B1121" s="9">
        <f>COUNTIF(Levels!B:B,A1121)</f>
        <v>1</v>
      </c>
      <c r="C1121" s="9">
        <f>IFERROR(AVERAGEIF(Levels!B:B,A1121,Levels!E:E),0)</f>
        <v>3</v>
      </c>
      <c r="D1121" s="9">
        <f>IFERROR(AVERAGEIF(Levels!B:B,A1121,Levels!F:F),0)</f>
        <v>6.88</v>
      </c>
      <c r="E1121" s="9">
        <f>_xlfn.MAXIFS(Levels!E:E,Levels!B:B,A1121)</f>
        <v>3</v>
      </c>
      <c r="F1121" s="9">
        <f>_xlfn.MAXIFS(Levels!F:F,Levels!B:B,A1121)</f>
        <v>6.88</v>
      </c>
    </row>
    <row r="1122" spans="1:6" x14ac:dyDescent="0.3">
      <c r="A1122" t="s">
        <v>5163</v>
      </c>
      <c r="B1122" s="6">
        <f>COUNTIF(Levels!B:B,A1122)</f>
        <v>4</v>
      </c>
      <c r="C1122" s="6">
        <f>IFERROR(AVERAGEIF(Levels!B:B,A1122,Levels!E:E),0)</f>
        <v>3.5249999999999999</v>
      </c>
      <c r="D1122" s="6">
        <f>IFERROR(AVERAGEIF(Levels!B:B,A1122,Levels!F:F),0)</f>
        <v>5.3999999999999995</v>
      </c>
      <c r="E1122" s="6">
        <f>_xlfn.MAXIFS(Levels!E:E,Levels!B:B,A1122)</f>
        <v>6.17</v>
      </c>
      <c r="F1122" s="6">
        <f>_xlfn.MAXIFS(Levels!F:F,Levels!B:B,A1122)</f>
        <v>6.68</v>
      </c>
    </row>
    <row r="1123" spans="1:6" x14ac:dyDescent="0.3">
      <c r="A1123" t="s">
        <v>5168</v>
      </c>
      <c r="B1123" s="9">
        <f>COUNTIF(Levels!B:B,A1123)</f>
        <v>1</v>
      </c>
      <c r="C1123" s="9">
        <f>IFERROR(AVERAGEIF(Levels!B:B,A1123,Levels!E:E),0)</f>
        <v>3</v>
      </c>
      <c r="D1123" s="9">
        <f>IFERROR(AVERAGEIF(Levels!B:B,A1123,Levels!F:F),0)</f>
        <v>4.9000000000000004</v>
      </c>
      <c r="E1123" s="9">
        <f>_xlfn.MAXIFS(Levels!E:E,Levels!B:B,A1123)</f>
        <v>3</v>
      </c>
      <c r="F1123" s="9">
        <f>_xlfn.MAXIFS(Levels!F:F,Levels!B:B,A1123)</f>
        <v>4.9000000000000004</v>
      </c>
    </row>
    <row r="1124" spans="1:6" x14ac:dyDescent="0.3">
      <c r="A1124" t="s">
        <v>5176</v>
      </c>
      <c r="B1124" s="6">
        <f>COUNTIF(Levels!B:B,A1124)</f>
        <v>4</v>
      </c>
      <c r="C1124" s="6">
        <f>IFERROR(AVERAGEIF(Levels!B:B,A1124,Levels!E:E),0)</f>
        <v>9.6125000000000007</v>
      </c>
      <c r="D1124" s="6">
        <f>IFERROR(AVERAGEIF(Levels!B:B,A1124,Levels!F:F),0)</f>
        <v>5.9975000000000005</v>
      </c>
      <c r="E1124" s="6">
        <f>_xlfn.MAXIFS(Levels!E:E,Levels!B:B,A1124)</f>
        <v>17.91</v>
      </c>
      <c r="F1124" s="6">
        <f>_xlfn.MAXIFS(Levels!F:F,Levels!B:B,A1124)</f>
        <v>6.86</v>
      </c>
    </row>
    <row r="1125" spans="1:6" x14ac:dyDescent="0.3">
      <c r="A1125" t="s">
        <v>5188</v>
      </c>
      <c r="B1125" s="9">
        <f>COUNTIF(Levels!B:B,A1125)</f>
        <v>2</v>
      </c>
      <c r="C1125" s="9">
        <f>IFERROR(AVERAGEIF(Levels!B:B,A1125,Levels!E:E),0)</f>
        <v>9.6950000000000003</v>
      </c>
      <c r="D1125" s="9">
        <f>IFERROR(AVERAGEIF(Levels!B:B,A1125,Levels!F:F),0)</f>
        <v>5.9</v>
      </c>
      <c r="E1125" s="9">
        <f>_xlfn.MAXIFS(Levels!E:E,Levels!B:B,A1125)</f>
        <v>10.89</v>
      </c>
      <c r="F1125" s="9">
        <f>_xlfn.MAXIFS(Levels!F:F,Levels!B:B,A1125)</f>
        <v>7.13</v>
      </c>
    </row>
    <row r="1126" spans="1:6" x14ac:dyDescent="0.3">
      <c r="A1126" t="s">
        <v>5192</v>
      </c>
      <c r="B1126" s="6">
        <f>COUNTIF(Levels!B:B,A1126)</f>
        <v>3</v>
      </c>
      <c r="C1126" s="6">
        <f>IFERROR(AVERAGEIF(Levels!B:B,A1126,Levels!E:E),0)</f>
        <v>5.8166666666666664</v>
      </c>
      <c r="D1126" s="6">
        <f>IFERROR(AVERAGEIF(Levels!B:B,A1126,Levels!F:F),0)</f>
        <v>7.1566666666666663</v>
      </c>
      <c r="E1126" s="6">
        <f>_xlfn.MAXIFS(Levels!E:E,Levels!B:B,A1126)</f>
        <v>9.5</v>
      </c>
      <c r="F1126" s="6">
        <f>_xlfn.MAXIFS(Levels!F:F,Levels!B:B,A1126)</f>
        <v>8.31</v>
      </c>
    </row>
    <row r="1127" spans="1:6" x14ac:dyDescent="0.3">
      <c r="A1127" t="s">
        <v>5195</v>
      </c>
      <c r="B1127" s="9">
        <f>COUNTIF(Levels!B:B,A1127)</f>
        <v>1</v>
      </c>
      <c r="C1127" s="9">
        <f>IFERROR(AVERAGEIF(Levels!B:B,A1127,Levels!E:E),0)</f>
        <v>15.02</v>
      </c>
      <c r="D1127" s="9">
        <f>IFERROR(AVERAGEIF(Levels!B:B,A1127,Levels!F:F),0)</f>
        <v>4.75</v>
      </c>
      <c r="E1127" s="9">
        <f>_xlfn.MAXIFS(Levels!E:E,Levels!B:B,A1127)</f>
        <v>15.02</v>
      </c>
      <c r="F1127" s="9">
        <f>_xlfn.MAXIFS(Levels!F:F,Levels!B:B,A1127)</f>
        <v>4.75</v>
      </c>
    </row>
    <row r="1128" spans="1:6" x14ac:dyDescent="0.3">
      <c r="A1128" t="s">
        <v>5198</v>
      </c>
      <c r="B1128" s="6">
        <f>COUNTIF(Levels!B:B,A1128)</f>
        <v>1</v>
      </c>
      <c r="C1128" s="6">
        <f>IFERROR(AVERAGEIF(Levels!B:B,A1128,Levels!E:E),0)</f>
        <v>25</v>
      </c>
      <c r="D1128" s="6">
        <f>IFERROR(AVERAGEIF(Levels!B:B,A1128,Levels!F:F),0)</f>
        <v>8.67</v>
      </c>
      <c r="E1128" s="6">
        <f>_xlfn.MAXIFS(Levels!E:E,Levels!B:B,A1128)</f>
        <v>25</v>
      </c>
      <c r="F1128" s="6">
        <f>_xlfn.MAXIFS(Levels!F:F,Levels!B:B,A1128)</f>
        <v>8.67</v>
      </c>
    </row>
    <row r="1129" spans="1:6" x14ac:dyDescent="0.3">
      <c r="A1129" t="s">
        <v>5202</v>
      </c>
      <c r="B1129" s="9">
        <f>COUNTIF(Levels!B:B,A1129)</f>
        <v>1</v>
      </c>
      <c r="C1129" s="9">
        <f>IFERROR(AVERAGEIF(Levels!B:B,A1129,Levels!E:E),0)</f>
        <v>2.73</v>
      </c>
      <c r="D1129" s="9">
        <f>IFERROR(AVERAGEIF(Levels!B:B,A1129,Levels!F:F),0)</f>
        <v>5.89</v>
      </c>
      <c r="E1129" s="9">
        <f>_xlfn.MAXIFS(Levels!E:E,Levels!B:B,A1129)</f>
        <v>2.73</v>
      </c>
      <c r="F1129" s="9">
        <f>_xlfn.MAXIFS(Levels!F:F,Levels!B:B,A1129)</f>
        <v>5.89</v>
      </c>
    </row>
    <row r="1130" spans="1:6" x14ac:dyDescent="0.3">
      <c r="A1130" t="s">
        <v>5206</v>
      </c>
      <c r="B1130" s="6">
        <f>COUNTIF(Levels!B:B,A1130)</f>
        <v>11</v>
      </c>
      <c r="C1130" s="6">
        <f>IFERROR(AVERAGEIF(Levels!B:B,A1130,Levels!E:E),0)</f>
        <v>16.896000000000001</v>
      </c>
      <c r="D1130" s="6">
        <f>IFERROR(AVERAGEIF(Levels!B:B,A1130,Levels!F:F),0)</f>
        <v>7.7690909090909086</v>
      </c>
      <c r="E1130" s="6">
        <f>_xlfn.MAXIFS(Levels!E:E,Levels!B:B,A1130)</f>
        <v>30</v>
      </c>
      <c r="F1130" s="6">
        <f>_xlfn.MAXIFS(Levels!F:F,Levels!B:B,A1130)</f>
        <v>9.33</v>
      </c>
    </row>
    <row r="1131" spans="1:6" x14ac:dyDescent="0.3">
      <c r="A1131" t="s">
        <v>5208</v>
      </c>
      <c r="B1131" s="9">
        <f>COUNTIF(Levels!B:B,A1131)</f>
        <v>3</v>
      </c>
      <c r="C1131" s="9">
        <f>IFERROR(AVERAGEIF(Levels!B:B,A1131,Levels!E:E),0)</f>
        <v>1.96</v>
      </c>
      <c r="D1131" s="9">
        <f>IFERROR(AVERAGEIF(Levels!B:B,A1131,Levels!F:F),0)</f>
        <v>6.56</v>
      </c>
      <c r="E1131" s="9">
        <f>_xlfn.MAXIFS(Levels!E:E,Levels!B:B,A1131)</f>
        <v>2.0499999999999998</v>
      </c>
      <c r="F1131" s="9">
        <f>_xlfn.MAXIFS(Levels!F:F,Levels!B:B,A1131)</f>
        <v>7.54</v>
      </c>
    </row>
    <row r="1132" spans="1:6" x14ac:dyDescent="0.3">
      <c r="A1132" t="s">
        <v>5214</v>
      </c>
      <c r="B1132" s="6">
        <f>COUNTIF(Levels!B:B,A1132)</f>
        <v>1</v>
      </c>
      <c r="C1132" s="6">
        <f>IFERROR(AVERAGEIF(Levels!B:B,A1132,Levels!E:E),0)</f>
        <v>8.1999999999999993</v>
      </c>
      <c r="D1132" s="6">
        <f>IFERROR(AVERAGEIF(Levels!B:B,A1132,Levels!F:F),0)</f>
        <v>2.91</v>
      </c>
      <c r="E1132" s="6">
        <f>_xlfn.MAXIFS(Levels!E:E,Levels!B:B,A1132)</f>
        <v>8.1999999999999993</v>
      </c>
      <c r="F1132" s="6">
        <f>_xlfn.MAXIFS(Levels!F:F,Levels!B:B,A1132)</f>
        <v>2.91</v>
      </c>
    </row>
    <row r="1133" spans="1:6" x14ac:dyDescent="0.3">
      <c r="A1133" t="s">
        <v>5228</v>
      </c>
      <c r="B1133" s="9">
        <f>COUNTIF(Levels!B:B,A1133)</f>
        <v>6</v>
      </c>
      <c r="C1133" s="9">
        <f>IFERROR(AVERAGEIF(Levels!B:B,A1133,Levels!E:E),0)</f>
        <v>14.438333333333333</v>
      </c>
      <c r="D1133" s="9">
        <f>IFERROR(AVERAGEIF(Levels!B:B,A1133,Levels!F:F),0)</f>
        <v>6.9066666666666663</v>
      </c>
      <c r="E1133" s="9">
        <f>_xlfn.MAXIFS(Levels!E:E,Levels!B:B,A1133)</f>
        <v>31.56</v>
      </c>
      <c r="F1133" s="9">
        <f>_xlfn.MAXIFS(Levels!F:F,Levels!B:B,A1133)</f>
        <v>7.53</v>
      </c>
    </row>
    <row r="1134" spans="1:6" x14ac:dyDescent="0.3">
      <c r="A1134" t="s">
        <v>5235</v>
      </c>
      <c r="B1134" s="6">
        <f>COUNTIF(Levels!B:B,A1134)</f>
        <v>2</v>
      </c>
      <c r="C1134" s="6">
        <f>IFERROR(AVERAGEIF(Levels!B:B,A1134,Levels!E:E),0)</f>
        <v>5.2249999999999996</v>
      </c>
      <c r="D1134" s="6">
        <f>IFERROR(AVERAGEIF(Levels!B:B,A1134,Levels!F:F),0)</f>
        <v>5.9450000000000003</v>
      </c>
      <c r="E1134" s="6">
        <f>_xlfn.MAXIFS(Levels!E:E,Levels!B:B,A1134)</f>
        <v>7.08</v>
      </c>
      <c r="F1134" s="6">
        <f>_xlfn.MAXIFS(Levels!F:F,Levels!B:B,A1134)</f>
        <v>7.11</v>
      </c>
    </row>
    <row r="1135" spans="1:6" x14ac:dyDescent="0.3">
      <c r="A1135" t="s">
        <v>5238</v>
      </c>
      <c r="B1135" s="9">
        <f>COUNTIF(Levels!B:B,A1135)</f>
        <v>7</v>
      </c>
      <c r="C1135" s="9">
        <f>IFERROR(AVERAGEIF(Levels!B:B,A1135,Levels!E:E),0)</f>
        <v>13.762857142857143</v>
      </c>
      <c r="D1135" s="9">
        <f>IFERROR(AVERAGEIF(Levels!B:B,A1135,Levels!F:F),0)</f>
        <v>6.3585714285714285</v>
      </c>
      <c r="E1135" s="9">
        <f>_xlfn.MAXIFS(Levels!E:E,Levels!B:B,A1135)</f>
        <v>21.95</v>
      </c>
      <c r="F1135" s="9">
        <f>_xlfn.MAXIFS(Levels!F:F,Levels!B:B,A1135)</f>
        <v>7.18</v>
      </c>
    </row>
    <row r="1136" spans="1:6" x14ac:dyDescent="0.3">
      <c r="A1136" t="s">
        <v>5245</v>
      </c>
      <c r="B1136" s="6">
        <f>COUNTIF(Levels!B:B,A1136)</f>
        <v>1</v>
      </c>
      <c r="C1136" s="6">
        <f>IFERROR(AVERAGEIF(Levels!B:B,A1136,Levels!E:E),0)</f>
        <v>1.87</v>
      </c>
      <c r="D1136" s="6">
        <f>IFERROR(AVERAGEIF(Levels!B:B,A1136,Levels!F:F),0)</f>
        <v>6.24</v>
      </c>
      <c r="E1136" s="6">
        <f>_xlfn.MAXIFS(Levels!E:E,Levels!B:B,A1136)</f>
        <v>1.87</v>
      </c>
      <c r="F1136" s="6">
        <f>_xlfn.MAXIFS(Levels!F:F,Levels!B:B,A1136)</f>
        <v>6.24</v>
      </c>
    </row>
    <row r="1137" spans="1:6" x14ac:dyDescent="0.3">
      <c r="A1137" t="s">
        <v>5252</v>
      </c>
      <c r="B1137" s="9">
        <f>COUNTIF(Levels!B:B,A1137)</f>
        <v>1</v>
      </c>
      <c r="C1137" s="9">
        <f>IFERROR(AVERAGEIF(Levels!B:B,A1137,Levels!E:E),0)</f>
        <v>8.2200000000000006</v>
      </c>
      <c r="D1137" s="9">
        <f>IFERROR(AVERAGEIF(Levels!B:B,A1137,Levels!F:F),0)</f>
        <v>7.63</v>
      </c>
      <c r="E1137" s="9">
        <f>_xlfn.MAXIFS(Levels!E:E,Levels!B:B,A1137)</f>
        <v>8.2200000000000006</v>
      </c>
      <c r="F1137" s="9">
        <f>_xlfn.MAXIFS(Levels!F:F,Levels!B:B,A1137)</f>
        <v>7.63</v>
      </c>
    </row>
    <row r="1138" spans="1:6" x14ac:dyDescent="0.3">
      <c r="A1138" t="s">
        <v>5255</v>
      </c>
      <c r="B1138" s="6">
        <f>COUNTIF(Levels!B:B,A1138)</f>
        <v>1</v>
      </c>
      <c r="C1138" s="6">
        <f>IFERROR(AVERAGEIF(Levels!B:B,A1138,Levels!E:E),0)</f>
        <v>10.57</v>
      </c>
      <c r="D1138" s="6">
        <f>IFERROR(AVERAGEIF(Levels!B:B,A1138,Levels!F:F),0)</f>
        <v>4.29</v>
      </c>
      <c r="E1138" s="6">
        <f>_xlfn.MAXIFS(Levels!E:E,Levels!B:B,A1138)</f>
        <v>10.57</v>
      </c>
      <c r="F1138" s="6">
        <f>_xlfn.MAXIFS(Levels!F:F,Levels!B:B,A1138)</f>
        <v>4.29</v>
      </c>
    </row>
    <row r="1139" spans="1:6" x14ac:dyDescent="0.3">
      <c r="A1139" t="s">
        <v>5262</v>
      </c>
      <c r="B1139" s="9">
        <f>COUNTIF(Levels!B:B,A1139)</f>
        <v>3</v>
      </c>
      <c r="C1139" s="9">
        <f>IFERROR(AVERAGEIF(Levels!B:B,A1139,Levels!E:E),0)</f>
        <v>4.4433333333333325</v>
      </c>
      <c r="D1139" s="9">
        <f>IFERROR(AVERAGEIF(Levels!B:B,A1139,Levels!F:F),0)</f>
        <v>6.6400000000000006</v>
      </c>
      <c r="E1139" s="9">
        <f>_xlfn.MAXIFS(Levels!E:E,Levels!B:B,A1139)</f>
        <v>4.7300000000000004</v>
      </c>
      <c r="F1139" s="9">
        <f>_xlfn.MAXIFS(Levels!F:F,Levels!B:B,A1139)</f>
        <v>7.17</v>
      </c>
    </row>
    <row r="1140" spans="1:6" x14ac:dyDescent="0.3">
      <c r="A1140" t="s">
        <v>5264</v>
      </c>
      <c r="B1140" s="6">
        <f>COUNTIF(Levels!B:B,A1140)</f>
        <v>1</v>
      </c>
      <c r="C1140" s="6">
        <f>IFERROR(AVERAGEIF(Levels!B:B,A1140,Levels!E:E),0)</f>
        <v>9.98</v>
      </c>
      <c r="D1140" s="6">
        <f>IFERROR(AVERAGEIF(Levels!B:B,A1140,Levels!F:F),0)</f>
        <v>3.92</v>
      </c>
      <c r="E1140" s="6">
        <f>_xlfn.MAXIFS(Levels!E:E,Levels!B:B,A1140)</f>
        <v>9.98</v>
      </c>
      <c r="F1140" s="6">
        <f>_xlfn.MAXIFS(Levels!F:F,Levels!B:B,A1140)</f>
        <v>3.92</v>
      </c>
    </row>
    <row r="1141" spans="1:6" x14ac:dyDescent="0.3">
      <c r="A1141" t="s">
        <v>5269</v>
      </c>
      <c r="B1141" s="9">
        <f>COUNTIF(Levels!B:B,A1141)</f>
        <v>1</v>
      </c>
      <c r="C1141" s="9">
        <f>IFERROR(AVERAGEIF(Levels!B:B,A1141,Levels!E:E),0)</f>
        <v>6.6</v>
      </c>
      <c r="D1141" s="9">
        <f>IFERROR(AVERAGEIF(Levels!B:B,A1141,Levels!F:F),0)</f>
        <v>6.67</v>
      </c>
      <c r="E1141" s="9">
        <f>_xlfn.MAXIFS(Levels!E:E,Levels!B:B,A1141)</f>
        <v>6.6</v>
      </c>
      <c r="F1141" s="9">
        <f>_xlfn.MAXIFS(Levels!F:F,Levels!B:B,A1141)</f>
        <v>6.67</v>
      </c>
    </row>
    <row r="1142" spans="1:6" x14ac:dyDescent="0.3">
      <c r="A1142" t="s">
        <v>5277</v>
      </c>
      <c r="B1142" s="6">
        <f>COUNTIF(Levels!B:B,A1142)</f>
        <v>1</v>
      </c>
      <c r="C1142" s="6">
        <f>IFERROR(AVERAGEIF(Levels!B:B,A1142,Levels!E:E),0)</f>
        <v>15.01</v>
      </c>
      <c r="D1142" s="6">
        <f>IFERROR(AVERAGEIF(Levels!B:B,A1142,Levels!F:F),0)</f>
        <v>6</v>
      </c>
      <c r="E1142" s="6">
        <f>_xlfn.MAXIFS(Levels!E:E,Levels!B:B,A1142)</f>
        <v>15.01</v>
      </c>
      <c r="F1142" s="6">
        <f>_xlfn.MAXIFS(Levels!F:F,Levels!B:B,A1142)</f>
        <v>6</v>
      </c>
    </row>
    <row r="1143" spans="1:6" x14ac:dyDescent="0.3">
      <c r="A1143" t="s">
        <v>5283</v>
      </c>
      <c r="B1143" s="9">
        <f>COUNTIF(Levels!B:B,A1143)</f>
        <v>3</v>
      </c>
      <c r="C1143" s="9">
        <f>IFERROR(AVERAGEIF(Levels!B:B,A1143,Levels!E:E),0)</f>
        <v>5.416666666666667</v>
      </c>
      <c r="D1143" s="9">
        <f>IFERROR(AVERAGEIF(Levels!B:B,A1143,Levels!F:F),0)</f>
        <v>7.1466666666666656</v>
      </c>
      <c r="E1143" s="9">
        <f>_xlfn.MAXIFS(Levels!E:E,Levels!B:B,A1143)</f>
        <v>8</v>
      </c>
      <c r="F1143" s="9">
        <f>_xlfn.MAXIFS(Levels!F:F,Levels!B:B,A1143)</f>
        <v>7.67</v>
      </c>
    </row>
    <row r="1144" spans="1:6" x14ac:dyDescent="0.3">
      <c r="A1144" t="s">
        <v>5288</v>
      </c>
      <c r="B1144" s="6">
        <f>COUNTIF(Levels!B:B,A1144)</f>
        <v>1</v>
      </c>
      <c r="C1144" s="6">
        <f>IFERROR(AVERAGEIF(Levels!B:B,A1144,Levels!E:E),0)</f>
        <v>13.97</v>
      </c>
      <c r="D1144" s="6">
        <f>IFERROR(AVERAGEIF(Levels!B:B,A1144,Levels!F:F),0)</f>
        <v>5.83</v>
      </c>
      <c r="E1144" s="6">
        <f>_xlfn.MAXIFS(Levels!E:E,Levels!B:B,A1144)</f>
        <v>13.97</v>
      </c>
      <c r="F1144" s="6">
        <f>_xlfn.MAXIFS(Levels!F:F,Levels!B:B,A1144)</f>
        <v>5.83</v>
      </c>
    </row>
    <row r="1145" spans="1:6" x14ac:dyDescent="0.3">
      <c r="A1145" t="s">
        <v>5292</v>
      </c>
      <c r="B1145" s="9">
        <f>COUNTIF(Levels!B:B,A1145)</f>
        <v>2</v>
      </c>
      <c r="C1145" s="9">
        <f>IFERROR(AVERAGEIF(Levels!B:B,A1145,Levels!E:E),0)</f>
        <v>3.375</v>
      </c>
      <c r="D1145" s="9">
        <f>IFERROR(AVERAGEIF(Levels!B:B,A1145,Levels!F:F),0)</f>
        <v>5.0949999999999998</v>
      </c>
      <c r="E1145" s="9">
        <f>_xlfn.MAXIFS(Levels!E:E,Levels!B:B,A1145)</f>
        <v>3.67</v>
      </c>
      <c r="F1145" s="9">
        <f>_xlfn.MAXIFS(Levels!F:F,Levels!B:B,A1145)</f>
        <v>5.56</v>
      </c>
    </row>
    <row r="1146" spans="1:6" x14ac:dyDescent="0.3">
      <c r="A1146" t="s">
        <v>5296</v>
      </c>
      <c r="B1146" s="6">
        <f>COUNTIF(Levels!B:B,A1146)</f>
        <v>2</v>
      </c>
      <c r="C1146" s="6">
        <f>IFERROR(AVERAGEIF(Levels!B:B,A1146,Levels!E:E),0)</f>
        <v>1.915</v>
      </c>
      <c r="D1146" s="6">
        <f>IFERROR(AVERAGEIF(Levels!B:B,A1146,Levels!F:F),0)</f>
        <v>6.165</v>
      </c>
      <c r="E1146" s="6">
        <f>_xlfn.MAXIFS(Levels!E:E,Levels!B:B,A1146)</f>
        <v>1.94</v>
      </c>
      <c r="F1146" s="6">
        <f>_xlfn.MAXIFS(Levels!F:F,Levels!B:B,A1146)</f>
        <v>7.18</v>
      </c>
    </row>
    <row r="1147" spans="1:6" x14ac:dyDescent="0.3">
      <c r="A1147" t="s">
        <v>5299</v>
      </c>
      <c r="B1147" s="9">
        <f>COUNTIF(Levels!B:B,A1147)</f>
        <v>3</v>
      </c>
      <c r="C1147" s="9">
        <f>IFERROR(AVERAGEIF(Levels!B:B,A1147,Levels!E:E),0)</f>
        <v>18</v>
      </c>
      <c r="D1147" s="9">
        <f>IFERROR(AVERAGEIF(Levels!B:B,A1147,Levels!F:F),0)</f>
        <v>6.9933333333333332</v>
      </c>
      <c r="E1147" s="9">
        <f>_xlfn.MAXIFS(Levels!E:E,Levels!B:B,A1147)</f>
        <v>32</v>
      </c>
      <c r="F1147" s="9">
        <f>_xlfn.MAXIFS(Levels!F:F,Levels!B:B,A1147)</f>
        <v>8.11</v>
      </c>
    </row>
    <row r="1148" spans="1:6" x14ac:dyDescent="0.3">
      <c r="A1148" t="s">
        <v>5302</v>
      </c>
      <c r="B1148" s="6">
        <f>COUNTIF(Levels!B:B,A1148)</f>
        <v>2</v>
      </c>
      <c r="C1148" s="6">
        <f>IFERROR(AVERAGEIF(Levels!B:B,A1148,Levels!E:E),0)</f>
        <v>3.02</v>
      </c>
      <c r="D1148" s="6">
        <f>IFERROR(AVERAGEIF(Levels!B:B,A1148,Levels!F:F),0)</f>
        <v>5.8000000000000007</v>
      </c>
      <c r="E1148" s="6">
        <f>_xlfn.MAXIFS(Levels!E:E,Levels!B:B,A1148)</f>
        <v>4.2</v>
      </c>
      <c r="F1148" s="6">
        <f>_xlfn.MAXIFS(Levels!F:F,Levels!B:B,A1148)</f>
        <v>6.03</v>
      </c>
    </row>
    <row r="1149" spans="1:6" x14ac:dyDescent="0.3">
      <c r="A1149" t="s">
        <v>5305</v>
      </c>
      <c r="B1149" s="9">
        <f>COUNTIF(Levels!B:B,A1149)</f>
        <v>1</v>
      </c>
      <c r="C1149" s="9">
        <f>IFERROR(AVERAGEIF(Levels!B:B,A1149,Levels!E:E),0)</f>
        <v>16.18</v>
      </c>
      <c r="D1149" s="9">
        <f>IFERROR(AVERAGEIF(Levels!B:B,A1149,Levels!F:F),0)</f>
        <v>6.7</v>
      </c>
      <c r="E1149" s="9">
        <f>_xlfn.MAXIFS(Levels!E:E,Levels!B:B,A1149)</f>
        <v>16.18</v>
      </c>
      <c r="F1149" s="9">
        <f>_xlfn.MAXIFS(Levels!F:F,Levels!B:B,A1149)</f>
        <v>6.7</v>
      </c>
    </row>
    <row r="1150" spans="1:6" x14ac:dyDescent="0.3">
      <c r="A1150" t="s">
        <v>5314</v>
      </c>
      <c r="B1150" s="6">
        <f>COUNTIF(Levels!B:B,A1150)</f>
        <v>1</v>
      </c>
      <c r="C1150" s="6">
        <f>IFERROR(AVERAGEIF(Levels!B:B,A1150,Levels!E:E),0)</f>
        <v>7.57</v>
      </c>
      <c r="D1150" s="6">
        <f>IFERROR(AVERAGEIF(Levels!B:B,A1150,Levels!F:F),0)</f>
        <v>6.83</v>
      </c>
      <c r="E1150" s="6">
        <f>_xlfn.MAXIFS(Levels!E:E,Levels!B:B,A1150)</f>
        <v>7.57</v>
      </c>
      <c r="F1150" s="6">
        <f>_xlfn.MAXIFS(Levels!F:F,Levels!B:B,A1150)</f>
        <v>6.83</v>
      </c>
    </row>
    <row r="1151" spans="1:6" x14ac:dyDescent="0.3">
      <c r="A1151" t="s">
        <v>5317</v>
      </c>
      <c r="B1151" s="9">
        <f>COUNTIF(Levels!B:B,A1151)</f>
        <v>1</v>
      </c>
      <c r="C1151" s="9">
        <f>IFERROR(AVERAGEIF(Levels!B:B,A1151,Levels!E:E),0)</f>
        <v>2.65</v>
      </c>
      <c r="D1151" s="9">
        <f>IFERROR(AVERAGEIF(Levels!B:B,A1151,Levels!F:F),0)</f>
        <v>3.7</v>
      </c>
      <c r="E1151" s="9">
        <f>_xlfn.MAXIFS(Levels!E:E,Levels!B:B,A1151)</f>
        <v>2.65</v>
      </c>
      <c r="F1151" s="9">
        <f>_xlfn.MAXIFS(Levels!F:F,Levels!B:B,A1151)</f>
        <v>3.7</v>
      </c>
    </row>
    <row r="1152" spans="1:6" x14ac:dyDescent="0.3">
      <c r="A1152" t="s">
        <v>5319</v>
      </c>
      <c r="B1152" s="6">
        <f>COUNTIF(Levels!B:B,A1152)</f>
        <v>2</v>
      </c>
      <c r="C1152" s="6">
        <f>IFERROR(AVERAGEIF(Levels!B:B,A1152,Levels!E:E),0)</f>
        <v>2.0300000000000002</v>
      </c>
      <c r="D1152" s="6">
        <f>IFERROR(AVERAGEIF(Levels!B:B,A1152,Levels!F:F),0)</f>
        <v>6.45</v>
      </c>
      <c r="E1152" s="6">
        <f>_xlfn.MAXIFS(Levels!E:E,Levels!B:B,A1152)</f>
        <v>2.73</v>
      </c>
      <c r="F1152" s="6">
        <f>_xlfn.MAXIFS(Levels!F:F,Levels!B:B,A1152)</f>
        <v>6.69</v>
      </c>
    </row>
    <row r="1153" spans="1:6" x14ac:dyDescent="0.3">
      <c r="A1153" t="s">
        <v>5322</v>
      </c>
      <c r="B1153" s="9">
        <f>COUNTIF(Levels!B:B,A1153)</f>
        <v>3</v>
      </c>
      <c r="C1153" s="9">
        <f>IFERROR(AVERAGEIF(Levels!B:B,A1153,Levels!E:E),0)</f>
        <v>19.396666666666665</v>
      </c>
      <c r="D1153" s="9">
        <f>IFERROR(AVERAGEIF(Levels!B:B,A1153,Levels!F:F),0)</f>
        <v>6.9766666666666666</v>
      </c>
      <c r="E1153" s="9">
        <f>_xlfn.MAXIFS(Levels!E:E,Levels!B:B,A1153)</f>
        <v>33</v>
      </c>
      <c r="F1153" s="9">
        <f>_xlfn.MAXIFS(Levels!F:F,Levels!B:B,A1153)</f>
        <v>8</v>
      </c>
    </row>
    <row r="1154" spans="1:6" x14ac:dyDescent="0.3">
      <c r="A1154" t="s">
        <v>5328</v>
      </c>
      <c r="B1154" s="6">
        <f>COUNTIF(Levels!B:B,A1154)</f>
        <v>6</v>
      </c>
      <c r="C1154" s="6">
        <f>IFERROR(AVERAGEIF(Levels!B:B,A1154,Levels!E:E),0)</f>
        <v>10.531666666666666</v>
      </c>
      <c r="D1154" s="6">
        <f>IFERROR(AVERAGEIF(Levels!B:B,A1154,Levels!F:F),0)</f>
        <v>6.5049999999999999</v>
      </c>
      <c r="E1154" s="6">
        <f>_xlfn.MAXIFS(Levels!E:E,Levels!B:B,A1154)</f>
        <v>15.86</v>
      </c>
      <c r="F1154" s="6">
        <f>_xlfn.MAXIFS(Levels!F:F,Levels!B:B,A1154)</f>
        <v>7.75</v>
      </c>
    </row>
    <row r="1155" spans="1:6" x14ac:dyDescent="0.3">
      <c r="A1155" t="s">
        <v>5330</v>
      </c>
      <c r="B1155" s="9">
        <f>COUNTIF(Levels!B:B,A1155)</f>
        <v>2</v>
      </c>
      <c r="C1155" s="9">
        <f>IFERROR(AVERAGEIF(Levels!B:B,A1155,Levels!E:E),0)</f>
        <v>15.18</v>
      </c>
      <c r="D1155" s="9">
        <f>IFERROR(AVERAGEIF(Levels!B:B,A1155,Levels!F:F),0)</f>
        <v>8.1150000000000002</v>
      </c>
      <c r="E1155" s="9">
        <f>_xlfn.MAXIFS(Levels!E:E,Levels!B:B,A1155)</f>
        <v>22.33</v>
      </c>
      <c r="F1155" s="9">
        <f>_xlfn.MAXIFS(Levels!F:F,Levels!B:B,A1155)</f>
        <v>9.33</v>
      </c>
    </row>
    <row r="1156" spans="1:6" x14ac:dyDescent="0.3">
      <c r="A1156" t="s">
        <v>5332</v>
      </c>
      <c r="B1156" s="6">
        <f>COUNTIF(Levels!B:B,A1156)</f>
        <v>1</v>
      </c>
      <c r="C1156" s="6">
        <f>IFERROR(AVERAGEIF(Levels!B:B,A1156,Levels!E:E),0)</f>
        <v>7.02</v>
      </c>
      <c r="D1156" s="6">
        <f>IFERROR(AVERAGEIF(Levels!B:B,A1156,Levels!F:F),0)</f>
        <v>6.91</v>
      </c>
      <c r="E1156" s="6">
        <f>_xlfn.MAXIFS(Levels!E:E,Levels!B:B,A1156)</f>
        <v>7.02</v>
      </c>
      <c r="F1156" s="6">
        <f>_xlfn.MAXIFS(Levels!F:F,Levels!B:B,A1156)</f>
        <v>6.91</v>
      </c>
    </row>
    <row r="1157" spans="1:6" x14ac:dyDescent="0.3">
      <c r="A1157" t="s">
        <v>5347</v>
      </c>
      <c r="B1157" s="9">
        <f>COUNTIF(Levels!B:B,A1157)</f>
        <v>1</v>
      </c>
      <c r="C1157" s="9">
        <f>IFERROR(AVERAGEIF(Levels!B:B,A1157,Levels!E:E),0)</f>
        <v>3.25</v>
      </c>
      <c r="D1157" s="9">
        <f>IFERROR(AVERAGEIF(Levels!B:B,A1157,Levels!F:F),0)</f>
        <v>6.33</v>
      </c>
      <c r="E1157" s="9">
        <f>_xlfn.MAXIFS(Levels!E:E,Levels!B:B,A1157)</f>
        <v>3.25</v>
      </c>
      <c r="F1157" s="9">
        <f>_xlfn.MAXIFS(Levels!F:F,Levels!B:B,A1157)</f>
        <v>6.33</v>
      </c>
    </row>
    <row r="1158" spans="1:6" x14ac:dyDescent="0.3">
      <c r="A1158" t="s">
        <v>5349</v>
      </c>
      <c r="B1158" s="6">
        <f>COUNTIF(Levels!B:B,A1158)</f>
        <v>3</v>
      </c>
      <c r="C1158" s="6">
        <f>IFERROR(AVERAGEIF(Levels!B:B,A1158,Levels!E:E),0)</f>
        <v>5.6033333333333344</v>
      </c>
      <c r="D1158" s="6">
        <f>IFERROR(AVERAGEIF(Levels!B:B,A1158,Levels!F:F),0)</f>
        <v>6.47</v>
      </c>
      <c r="E1158" s="6">
        <f>_xlfn.MAXIFS(Levels!E:E,Levels!B:B,A1158)</f>
        <v>6.4</v>
      </c>
      <c r="F1158" s="6">
        <f>_xlfn.MAXIFS(Levels!F:F,Levels!B:B,A1158)</f>
        <v>7.25</v>
      </c>
    </row>
    <row r="1159" spans="1:6" x14ac:dyDescent="0.3">
      <c r="A1159" t="s">
        <v>5350</v>
      </c>
      <c r="B1159" s="9">
        <f>COUNTIF(Levels!B:B,A1159)</f>
        <v>2</v>
      </c>
      <c r="C1159" s="9">
        <f>IFERROR(AVERAGEIF(Levels!B:B,A1159,Levels!E:E),0)</f>
        <v>8.98</v>
      </c>
      <c r="D1159" s="9">
        <f>IFERROR(AVERAGEIF(Levels!B:B,A1159,Levels!F:F),0)</f>
        <v>5.88</v>
      </c>
      <c r="E1159" s="9">
        <f>_xlfn.MAXIFS(Levels!E:E,Levels!B:B,A1159)</f>
        <v>15.03</v>
      </c>
      <c r="F1159" s="9">
        <f>_xlfn.MAXIFS(Levels!F:F,Levels!B:B,A1159)</f>
        <v>6.22</v>
      </c>
    </row>
    <row r="1160" spans="1:6" x14ac:dyDescent="0.3">
      <c r="A1160" t="s">
        <v>5352</v>
      </c>
      <c r="B1160" s="6">
        <f>COUNTIF(Levels!B:B,A1160)</f>
        <v>1</v>
      </c>
      <c r="C1160" s="6">
        <f>IFERROR(AVERAGEIF(Levels!B:B,A1160,Levels!E:E),0)</f>
        <v>19.89</v>
      </c>
      <c r="D1160" s="6">
        <f>IFERROR(AVERAGEIF(Levels!B:B,A1160,Levels!F:F),0)</f>
        <v>6.14</v>
      </c>
      <c r="E1160" s="6">
        <f>_xlfn.MAXIFS(Levels!E:E,Levels!B:B,A1160)</f>
        <v>19.89</v>
      </c>
      <c r="F1160" s="6">
        <f>_xlfn.MAXIFS(Levels!F:F,Levels!B:B,A1160)</f>
        <v>6.14</v>
      </c>
    </row>
    <row r="1161" spans="1:6" x14ac:dyDescent="0.3">
      <c r="A1161" t="s">
        <v>5354</v>
      </c>
      <c r="B1161" s="9">
        <f>COUNTIF(Levels!B:B,A1161)</f>
        <v>2</v>
      </c>
      <c r="C1161" s="9">
        <f>IFERROR(AVERAGEIF(Levels!B:B,A1161,Levels!E:E),0)</f>
        <v>3.2249999999999996</v>
      </c>
      <c r="D1161" s="9">
        <f>IFERROR(AVERAGEIF(Levels!B:B,A1161,Levels!F:F),0)</f>
        <v>5.915</v>
      </c>
      <c r="E1161" s="9">
        <f>_xlfn.MAXIFS(Levels!E:E,Levels!B:B,A1161)</f>
        <v>4.38</v>
      </c>
      <c r="F1161" s="9">
        <f>_xlfn.MAXIFS(Levels!F:F,Levels!B:B,A1161)</f>
        <v>6.6</v>
      </c>
    </row>
    <row r="1162" spans="1:6" x14ac:dyDescent="0.3">
      <c r="A1162" t="s">
        <v>5358</v>
      </c>
      <c r="B1162" s="6">
        <f>COUNTIF(Levels!B:B,A1162)</f>
        <v>2</v>
      </c>
      <c r="C1162" s="6">
        <f>IFERROR(AVERAGEIF(Levels!B:B,A1162,Levels!E:E),0)</f>
        <v>15.72</v>
      </c>
      <c r="D1162" s="6">
        <f>IFERROR(AVERAGEIF(Levels!B:B,A1162,Levels!F:F),0)</f>
        <v>4.2699999999999996</v>
      </c>
      <c r="E1162" s="6">
        <f>_xlfn.MAXIFS(Levels!E:E,Levels!B:B,A1162)</f>
        <v>15.72</v>
      </c>
      <c r="F1162" s="6">
        <f>_xlfn.MAXIFS(Levels!F:F,Levels!B:B,A1162)</f>
        <v>4.2699999999999996</v>
      </c>
    </row>
    <row r="1163" spans="1:6" x14ac:dyDescent="0.3">
      <c r="A1163" t="s">
        <v>5364</v>
      </c>
      <c r="B1163" s="9">
        <f>COUNTIF(Levels!B:B,A1163)</f>
        <v>1</v>
      </c>
      <c r="C1163" s="9">
        <f>IFERROR(AVERAGEIF(Levels!B:B,A1163,Levels!E:E),0)</f>
        <v>0</v>
      </c>
      <c r="D1163" s="9">
        <f>IFERROR(AVERAGEIF(Levels!B:B,A1163,Levels!F:F),0)</f>
        <v>0</v>
      </c>
      <c r="E1163" s="9">
        <f>_xlfn.MAXIFS(Levels!E:E,Levels!B:B,A1163)</f>
        <v>0</v>
      </c>
      <c r="F1163" s="9">
        <f>_xlfn.MAXIFS(Levels!F:F,Levels!B:B,A1163)</f>
        <v>0</v>
      </c>
    </row>
    <row r="1164" spans="1:6" x14ac:dyDescent="0.3">
      <c r="A1164" t="s">
        <v>5371</v>
      </c>
      <c r="B1164" s="6">
        <f>COUNTIF(Levels!B:B,A1164)</f>
        <v>1</v>
      </c>
      <c r="C1164" s="6">
        <f>IFERROR(AVERAGEIF(Levels!B:B,A1164,Levels!E:E),0)</f>
        <v>8.1</v>
      </c>
      <c r="D1164" s="6">
        <f>IFERROR(AVERAGEIF(Levels!B:B,A1164,Levels!F:F),0)</f>
        <v>4.4000000000000004</v>
      </c>
      <c r="E1164" s="6">
        <f>_xlfn.MAXIFS(Levels!E:E,Levels!B:B,A1164)</f>
        <v>8.1</v>
      </c>
      <c r="F1164" s="6">
        <f>_xlfn.MAXIFS(Levels!F:F,Levels!B:B,A1164)</f>
        <v>4.4000000000000004</v>
      </c>
    </row>
    <row r="1165" spans="1:6" x14ac:dyDescent="0.3">
      <c r="A1165" t="s">
        <v>5373</v>
      </c>
      <c r="B1165" s="9">
        <f>COUNTIF(Levels!B:B,A1165)</f>
        <v>6</v>
      </c>
      <c r="C1165" s="9">
        <f>IFERROR(AVERAGEIF(Levels!B:B,A1165,Levels!E:E),0)</f>
        <v>18.745000000000001</v>
      </c>
      <c r="D1165" s="9">
        <f>IFERROR(AVERAGEIF(Levels!B:B,A1165,Levels!F:F),0)</f>
        <v>7.336666666666666</v>
      </c>
      <c r="E1165" s="9">
        <f>_xlfn.MAXIFS(Levels!E:E,Levels!B:B,A1165)</f>
        <v>29.4</v>
      </c>
      <c r="F1165" s="9">
        <f>_xlfn.MAXIFS(Levels!F:F,Levels!B:B,A1165)</f>
        <v>8.48</v>
      </c>
    </row>
    <row r="1166" spans="1:6" x14ac:dyDescent="0.3">
      <c r="A1166" t="s">
        <v>5377</v>
      </c>
      <c r="B1166" s="6">
        <f>COUNTIF(Levels!B:B,A1166)</f>
        <v>1</v>
      </c>
      <c r="C1166" s="6">
        <f>IFERROR(AVERAGEIF(Levels!B:B,A1166,Levels!E:E),0)</f>
        <v>27.75</v>
      </c>
      <c r="D1166" s="6">
        <f>IFERROR(AVERAGEIF(Levels!B:B,A1166,Levels!F:F),0)</f>
        <v>8.1300000000000008</v>
      </c>
      <c r="E1166" s="6">
        <f>_xlfn.MAXIFS(Levels!E:E,Levels!B:B,A1166)</f>
        <v>27.75</v>
      </c>
      <c r="F1166" s="6">
        <f>_xlfn.MAXIFS(Levels!F:F,Levels!B:B,A1166)</f>
        <v>8.1300000000000008</v>
      </c>
    </row>
    <row r="1167" spans="1:6" x14ac:dyDescent="0.3">
      <c r="A1167" t="s">
        <v>5384</v>
      </c>
      <c r="B1167" s="9">
        <f>COUNTIF(Levels!B:B,A1167)</f>
        <v>4</v>
      </c>
      <c r="C1167" s="9">
        <f>IFERROR(AVERAGEIF(Levels!B:B,A1167,Levels!E:E),0)</f>
        <v>6.2125000000000004</v>
      </c>
      <c r="D1167" s="9">
        <f>IFERROR(AVERAGEIF(Levels!B:B,A1167,Levels!F:F),0)</f>
        <v>6.3125</v>
      </c>
      <c r="E1167" s="9">
        <f>_xlfn.MAXIFS(Levels!E:E,Levels!B:B,A1167)</f>
        <v>8.5500000000000007</v>
      </c>
      <c r="F1167" s="9">
        <f>_xlfn.MAXIFS(Levels!F:F,Levels!B:B,A1167)</f>
        <v>8</v>
      </c>
    </row>
    <row r="1168" spans="1:6" x14ac:dyDescent="0.3">
      <c r="A1168" t="s">
        <v>5386</v>
      </c>
      <c r="B1168" s="6">
        <f>COUNTIF(Levels!B:B,A1168)</f>
        <v>6</v>
      </c>
      <c r="C1168" s="6">
        <f>IFERROR(AVERAGEIF(Levels!B:B,A1168,Levels!E:E),0)</f>
        <v>6.2166666666666659</v>
      </c>
      <c r="D1168" s="6">
        <f>IFERROR(AVERAGEIF(Levels!B:B,A1168,Levels!F:F),0)</f>
        <v>7.1366666666666667</v>
      </c>
      <c r="E1168" s="6">
        <f>_xlfn.MAXIFS(Levels!E:E,Levels!B:B,A1168)</f>
        <v>16.55</v>
      </c>
      <c r="F1168" s="6">
        <f>_xlfn.MAXIFS(Levels!F:F,Levels!B:B,A1168)</f>
        <v>7.91</v>
      </c>
    </row>
    <row r="1169" spans="1:6" x14ac:dyDescent="0.3">
      <c r="A1169" t="s">
        <v>5393</v>
      </c>
      <c r="B1169" s="9">
        <f>COUNTIF(Levels!B:B,A1169)</f>
        <v>5</v>
      </c>
      <c r="C1169" s="9">
        <f>IFERROR(AVERAGEIF(Levels!B:B,A1169,Levels!E:E),0)</f>
        <v>14.99</v>
      </c>
      <c r="D1169" s="9">
        <f>IFERROR(AVERAGEIF(Levels!B:B,A1169,Levels!F:F),0)</f>
        <v>6.0660000000000007</v>
      </c>
      <c r="E1169" s="9">
        <f>_xlfn.MAXIFS(Levels!E:E,Levels!B:B,A1169)</f>
        <v>30</v>
      </c>
      <c r="F1169" s="9">
        <f>_xlfn.MAXIFS(Levels!F:F,Levels!B:B,A1169)</f>
        <v>7.25</v>
      </c>
    </row>
    <row r="1170" spans="1:6" x14ac:dyDescent="0.3">
      <c r="A1170" t="s">
        <v>5397</v>
      </c>
      <c r="B1170" s="6">
        <f>COUNTIF(Levels!B:B,A1170)</f>
        <v>1</v>
      </c>
      <c r="C1170" s="6">
        <f>IFERROR(AVERAGEIF(Levels!B:B,A1170,Levels!E:E),0)</f>
        <v>33</v>
      </c>
      <c r="D1170" s="6">
        <f>IFERROR(AVERAGEIF(Levels!B:B,A1170,Levels!F:F),0)</f>
        <v>7</v>
      </c>
      <c r="E1170" s="6">
        <f>_xlfn.MAXIFS(Levels!E:E,Levels!B:B,A1170)</f>
        <v>33</v>
      </c>
      <c r="F1170" s="6">
        <f>_xlfn.MAXIFS(Levels!F:F,Levels!B:B,A1170)</f>
        <v>7</v>
      </c>
    </row>
    <row r="1171" spans="1:6" x14ac:dyDescent="0.3">
      <c r="A1171" t="s">
        <v>5399</v>
      </c>
      <c r="B1171" s="9">
        <f>COUNTIF(Levels!B:B,A1171)</f>
        <v>6</v>
      </c>
      <c r="C1171" s="9">
        <f>IFERROR(AVERAGEIF(Levels!B:B,A1171,Levels!E:E),0)</f>
        <v>6.538333333333334</v>
      </c>
      <c r="D1171" s="9">
        <f>IFERROR(AVERAGEIF(Levels!B:B,A1171,Levels!F:F),0)</f>
        <v>6.6433333333333335</v>
      </c>
      <c r="E1171" s="9">
        <f>_xlfn.MAXIFS(Levels!E:E,Levels!B:B,A1171)</f>
        <v>13.59</v>
      </c>
      <c r="F1171" s="9">
        <f>_xlfn.MAXIFS(Levels!F:F,Levels!B:B,A1171)</f>
        <v>7.79</v>
      </c>
    </row>
    <row r="1172" spans="1:6" x14ac:dyDescent="0.3">
      <c r="A1172" t="s">
        <v>5401</v>
      </c>
      <c r="B1172" s="6">
        <f>COUNTIF(Levels!B:B,A1172)</f>
        <v>5</v>
      </c>
      <c r="C1172" s="6">
        <f>IFERROR(AVERAGEIF(Levels!B:B,A1172,Levels!E:E),0)</f>
        <v>6.5720000000000001</v>
      </c>
      <c r="D1172" s="6">
        <f>IFERROR(AVERAGEIF(Levels!B:B,A1172,Levels!F:F),0)</f>
        <v>6.56</v>
      </c>
      <c r="E1172" s="6">
        <f>_xlfn.MAXIFS(Levels!E:E,Levels!B:B,A1172)</f>
        <v>12.61</v>
      </c>
      <c r="F1172" s="6">
        <f>_xlfn.MAXIFS(Levels!F:F,Levels!B:B,A1172)</f>
        <v>8.09</v>
      </c>
    </row>
    <row r="1173" spans="1:6" x14ac:dyDescent="0.3">
      <c r="A1173" t="s">
        <v>5404</v>
      </c>
      <c r="B1173" s="9">
        <f>COUNTIF(Levels!B:B,A1173)</f>
        <v>1</v>
      </c>
      <c r="C1173" s="9">
        <f>IFERROR(AVERAGEIF(Levels!B:B,A1173,Levels!E:E),0)</f>
        <v>20.64</v>
      </c>
      <c r="D1173" s="9">
        <f>IFERROR(AVERAGEIF(Levels!B:B,A1173,Levels!F:F),0)</f>
        <v>5.47</v>
      </c>
      <c r="E1173" s="9">
        <f>_xlfn.MAXIFS(Levels!E:E,Levels!B:B,A1173)</f>
        <v>20.64</v>
      </c>
      <c r="F1173" s="9">
        <f>_xlfn.MAXIFS(Levels!F:F,Levels!B:B,A1173)</f>
        <v>5.47</v>
      </c>
    </row>
    <row r="1174" spans="1:6" x14ac:dyDescent="0.3">
      <c r="A1174" t="s">
        <v>5407</v>
      </c>
      <c r="B1174" s="6">
        <f>COUNTIF(Levels!B:B,A1174)</f>
        <v>5</v>
      </c>
      <c r="C1174" s="6">
        <f>IFERROR(AVERAGEIF(Levels!B:B,A1174,Levels!E:E),0)</f>
        <v>16.404</v>
      </c>
      <c r="D1174" s="6">
        <f>IFERROR(AVERAGEIF(Levels!B:B,A1174,Levels!F:F),0)</f>
        <v>5.5060000000000002</v>
      </c>
      <c r="E1174" s="6">
        <f>_xlfn.MAXIFS(Levels!E:E,Levels!B:B,A1174)</f>
        <v>34</v>
      </c>
      <c r="F1174" s="6">
        <f>_xlfn.MAXIFS(Levels!F:F,Levels!B:B,A1174)</f>
        <v>7.61</v>
      </c>
    </row>
    <row r="1175" spans="1:6" x14ac:dyDescent="0.3">
      <c r="A1175" t="s">
        <v>5410</v>
      </c>
      <c r="B1175" s="9">
        <f>COUNTIF(Levels!B:B,A1175)</f>
        <v>5</v>
      </c>
      <c r="C1175" s="9">
        <f>IFERROR(AVERAGEIF(Levels!B:B,A1175,Levels!E:E),0)</f>
        <v>9.3480000000000008</v>
      </c>
      <c r="D1175" s="9">
        <f>IFERROR(AVERAGEIF(Levels!B:B,A1175,Levels!F:F),0)</f>
        <v>6.5439999999999996</v>
      </c>
      <c r="E1175" s="9">
        <f>_xlfn.MAXIFS(Levels!E:E,Levels!B:B,A1175)</f>
        <v>21.5</v>
      </c>
      <c r="F1175" s="9">
        <f>_xlfn.MAXIFS(Levels!F:F,Levels!B:B,A1175)</f>
        <v>7.49</v>
      </c>
    </row>
    <row r="1176" spans="1:6" x14ac:dyDescent="0.3">
      <c r="A1176" t="s">
        <v>5412</v>
      </c>
      <c r="B1176" s="6">
        <f>COUNTIF(Levels!B:B,A1176)</f>
        <v>6</v>
      </c>
      <c r="C1176" s="6">
        <f>IFERROR(AVERAGEIF(Levels!B:B,A1176,Levels!E:E),0)</f>
        <v>15.700000000000001</v>
      </c>
      <c r="D1176" s="6">
        <f>IFERROR(AVERAGEIF(Levels!B:B,A1176,Levels!F:F),0)</f>
        <v>6.91</v>
      </c>
      <c r="E1176" s="6">
        <f>_xlfn.MAXIFS(Levels!E:E,Levels!B:B,A1176)</f>
        <v>34</v>
      </c>
      <c r="F1176" s="6">
        <f>_xlfn.MAXIFS(Levels!F:F,Levels!B:B,A1176)</f>
        <v>8</v>
      </c>
    </row>
    <row r="1177" spans="1:6" x14ac:dyDescent="0.3">
      <c r="A1177" t="s">
        <v>5415</v>
      </c>
      <c r="B1177" s="9">
        <f>COUNTIF(Levels!B:B,A1177)</f>
        <v>9</v>
      </c>
      <c r="C1177" s="9">
        <f>IFERROR(AVERAGEIF(Levels!B:B,A1177,Levels!E:E),0)</f>
        <v>7.5887500000000001</v>
      </c>
      <c r="D1177" s="9">
        <f>IFERROR(AVERAGEIF(Levels!B:B,A1177,Levels!F:F),0)</f>
        <v>6.6166666666666663</v>
      </c>
      <c r="E1177" s="9">
        <f>_xlfn.MAXIFS(Levels!E:E,Levels!B:B,A1177)</f>
        <v>20.67</v>
      </c>
      <c r="F1177" s="9">
        <f>_xlfn.MAXIFS(Levels!F:F,Levels!B:B,A1177)</f>
        <v>8.84</v>
      </c>
    </row>
    <row r="1178" spans="1:6" x14ac:dyDescent="0.3">
      <c r="A1178" t="s">
        <v>5417</v>
      </c>
      <c r="B1178" s="6">
        <f>COUNTIF(Levels!B:B,A1178)</f>
        <v>1</v>
      </c>
      <c r="C1178" s="6">
        <f>IFERROR(AVERAGEIF(Levels!B:B,A1178,Levels!E:E),0)</f>
        <v>26.28</v>
      </c>
      <c r="D1178" s="6">
        <f>IFERROR(AVERAGEIF(Levels!B:B,A1178,Levels!F:F),0)</f>
        <v>5.95</v>
      </c>
      <c r="E1178" s="6">
        <f>_xlfn.MAXIFS(Levels!E:E,Levels!B:B,A1178)</f>
        <v>26.28</v>
      </c>
      <c r="F1178" s="6">
        <f>_xlfn.MAXIFS(Levels!F:F,Levels!B:B,A1178)</f>
        <v>5.95</v>
      </c>
    </row>
    <row r="1179" spans="1:6" x14ac:dyDescent="0.3">
      <c r="A1179" t="s">
        <v>5423</v>
      </c>
      <c r="B1179" s="9">
        <f>COUNTIF(Levels!B:B,A1179)</f>
        <v>4</v>
      </c>
      <c r="C1179" s="9">
        <f>IFERROR(AVERAGEIF(Levels!B:B,A1179,Levels!E:E),0)</f>
        <v>7.8675000000000006</v>
      </c>
      <c r="D1179" s="9">
        <f>IFERROR(AVERAGEIF(Levels!B:B,A1179,Levels!F:F),0)</f>
        <v>7.1074999999999999</v>
      </c>
      <c r="E1179" s="9">
        <f>_xlfn.MAXIFS(Levels!E:E,Levels!B:B,A1179)</f>
        <v>11.73</v>
      </c>
      <c r="F1179" s="9">
        <f>_xlfn.MAXIFS(Levels!F:F,Levels!B:B,A1179)</f>
        <v>7.37</v>
      </c>
    </row>
    <row r="1180" spans="1:6" x14ac:dyDescent="0.3">
      <c r="A1180" t="s">
        <v>5425</v>
      </c>
      <c r="B1180" s="6">
        <f>COUNTIF(Levels!B:B,A1180)</f>
        <v>3</v>
      </c>
      <c r="C1180" s="6">
        <f>IFERROR(AVERAGEIF(Levels!B:B,A1180,Levels!E:E),0)</f>
        <v>4.46</v>
      </c>
      <c r="D1180" s="6">
        <f>IFERROR(AVERAGEIF(Levels!B:B,A1180,Levels!F:F),0)</f>
        <v>6.5166666666666666</v>
      </c>
      <c r="E1180" s="6">
        <f>_xlfn.MAXIFS(Levels!E:E,Levels!B:B,A1180)</f>
        <v>8</v>
      </c>
      <c r="F1180" s="6">
        <f>_xlfn.MAXIFS(Levels!F:F,Levels!B:B,A1180)</f>
        <v>7.33</v>
      </c>
    </row>
    <row r="1181" spans="1:6" x14ac:dyDescent="0.3">
      <c r="A1181" t="s">
        <v>5434</v>
      </c>
      <c r="B1181" s="9">
        <f>COUNTIF(Levels!B:B,A1181)</f>
        <v>2</v>
      </c>
      <c r="C1181" s="9">
        <f>IFERROR(AVERAGEIF(Levels!B:B,A1181,Levels!E:E),0)</f>
        <v>2.2799999999999998</v>
      </c>
      <c r="D1181" s="9">
        <f>IFERROR(AVERAGEIF(Levels!B:B,A1181,Levels!F:F),0)</f>
        <v>6.5649999999999995</v>
      </c>
      <c r="E1181" s="9">
        <f>_xlfn.MAXIFS(Levels!E:E,Levels!B:B,A1181)</f>
        <v>2.8</v>
      </c>
      <c r="F1181" s="9">
        <f>_xlfn.MAXIFS(Levels!F:F,Levels!B:B,A1181)</f>
        <v>6.78</v>
      </c>
    </row>
    <row r="1182" spans="1:6" x14ac:dyDescent="0.3">
      <c r="A1182" t="s">
        <v>5443</v>
      </c>
      <c r="B1182" s="6">
        <f>COUNTIF(Levels!B:B,A1182)</f>
        <v>4</v>
      </c>
      <c r="C1182" s="6">
        <f>IFERROR(AVERAGEIF(Levels!B:B,A1182,Levels!E:E),0)</f>
        <v>7.2524999999999995</v>
      </c>
      <c r="D1182" s="6">
        <f>IFERROR(AVERAGEIF(Levels!B:B,A1182,Levels!F:F),0)</f>
        <v>5.2075000000000005</v>
      </c>
      <c r="E1182" s="6">
        <f>_xlfn.MAXIFS(Levels!E:E,Levels!B:B,A1182)</f>
        <v>9.1999999999999993</v>
      </c>
      <c r="F1182" s="6">
        <f>_xlfn.MAXIFS(Levels!F:F,Levels!B:B,A1182)</f>
        <v>8.0500000000000007</v>
      </c>
    </row>
    <row r="1183" spans="1:6" x14ac:dyDescent="0.3">
      <c r="A1183" t="s">
        <v>5449</v>
      </c>
      <c r="B1183" s="9">
        <f>COUNTIF(Levels!B:B,A1183)</f>
        <v>15</v>
      </c>
      <c r="C1183" s="9">
        <f>IFERROR(AVERAGEIF(Levels!B:B,A1183,Levels!E:E),0)</f>
        <v>6.9326666666666661</v>
      </c>
      <c r="D1183" s="9">
        <f>IFERROR(AVERAGEIF(Levels!B:B,A1183,Levels!F:F),0)</f>
        <v>6.6400000000000006</v>
      </c>
      <c r="E1183" s="9">
        <f>_xlfn.MAXIFS(Levels!E:E,Levels!B:B,A1183)</f>
        <v>18.170000000000002</v>
      </c>
      <c r="F1183" s="9">
        <f>_xlfn.MAXIFS(Levels!F:F,Levels!B:B,A1183)</f>
        <v>8.14</v>
      </c>
    </row>
    <row r="1184" spans="1:6" x14ac:dyDescent="0.3">
      <c r="A1184" t="s">
        <v>5454</v>
      </c>
      <c r="B1184" s="6">
        <f>COUNTIF(Levels!B:B,A1184)</f>
        <v>1</v>
      </c>
      <c r="C1184" s="6">
        <f>IFERROR(AVERAGEIF(Levels!B:B,A1184,Levels!E:E),0)</f>
        <v>3.95</v>
      </c>
      <c r="D1184" s="6">
        <f>IFERROR(AVERAGEIF(Levels!B:B,A1184,Levels!F:F),0)</f>
        <v>5.33</v>
      </c>
      <c r="E1184" s="6">
        <f>_xlfn.MAXIFS(Levels!E:E,Levels!B:B,A1184)</f>
        <v>3.95</v>
      </c>
      <c r="F1184" s="6">
        <f>_xlfn.MAXIFS(Levels!F:F,Levels!B:B,A1184)</f>
        <v>5.33</v>
      </c>
    </row>
    <row r="1185" spans="1:6" x14ac:dyDescent="0.3">
      <c r="A1185" t="s">
        <v>5461</v>
      </c>
      <c r="B1185" s="9">
        <f>COUNTIF(Levels!B:B,A1185)</f>
        <v>1</v>
      </c>
      <c r="C1185" s="9">
        <f>IFERROR(AVERAGEIF(Levels!B:B,A1185,Levels!E:E),0)</f>
        <v>4.22</v>
      </c>
      <c r="D1185" s="9">
        <f>IFERROR(AVERAGEIF(Levels!B:B,A1185,Levels!F:F),0)</f>
        <v>5.71</v>
      </c>
      <c r="E1185" s="9">
        <f>_xlfn.MAXIFS(Levels!E:E,Levels!B:B,A1185)</f>
        <v>4.22</v>
      </c>
      <c r="F1185" s="9">
        <f>_xlfn.MAXIFS(Levels!F:F,Levels!B:B,A1185)</f>
        <v>5.71</v>
      </c>
    </row>
    <row r="1186" spans="1:6" x14ac:dyDescent="0.3">
      <c r="A1186" t="s">
        <v>5464</v>
      </c>
      <c r="B1186" s="6">
        <f>COUNTIF(Levels!B:B,A1186)</f>
        <v>6</v>
      </c>
      <c r="C1186" s="6">
        <f>IFERROR(AVERAGEIF(Levels!B:B,A1186,Levels!E:E),0)</f>
        <v>23.333333333333332</v>
      </c>
      <c r="D1186" s="6">
        <f>IFERROR(AVERAGEIF(Levels!B:B,A1186,Levels!F:F),0)</f>
        <v>7.8250000000000002</v>
      </c>
      <c r="E1186" s="6">
        <f>_xlfn.MAXIFS(Levels!E:E,Levels!B:B,A1186)</f>
        <v>33</v>
      </c>
      <c r="F1186" s="6">
        <f>_xlfn.MAXIFS(Levels!F:F,Levels!B:B,A1186)</f>
        <v>8.25</v>
      </c>
    </row>
    <row r="1187" spans="1:6" x14ac:dyDescent="0.3">
      <c r="A1187" t="s">
        <v>5474</v>
      </c>
      <c r="B1187" s="9">
        <f>COUNTIF(Levels!B:B,A1187)</f>
        <v>1</v>
      </c>
      <c r="C1187" s="9">
        <f>IFERROR(AVERAGEIF(Levels!B:B,A1187,Levels!E:E),0)</f>
        <v>5.91</v>
      </c>
      <c r="D1187" s="9">
        <f>IFERROR(AVERAGEIF(Levels!B:B,A1187,Levels!F:F),0)</f>
        <v>4.75</v>
      </c>
      <c r="E1187" s="9">
        <f>_xlfn.MAXIFS(Levels!E:E,Levels!B:B,A1187)</f>
        <v>5.91</v>
      </c>
      <c r="F1187" s="9">
        <f>_xlfn.MAXIFS(Levels!F:F,Levels!B:B,A1187)</f>
        <v>4.75</v>
      </c>
    </row>
    <row r="1188" spans="1:6" x14ac:dyDescent="0.3">
      <c r="A1188" t="s">
        <v>5477</v>
      </c>
      <c r="B1188" s="6">
        <f>COUNTIF(Levels!B:B,A1188)</f>
        <v>1</v>
      </c>
      <c r="C1188" s="6">
        <f>IFERROR(AVERAGEIF(Levels!B:B,A1188,Levels!E:E),0)</f>
        <v>33.25</v>
      </c>
      <c r="D1188" s="6">
        <f>IFERROR(AVERAGEIF(Levels!B:B,A1188,Levels!F:F),0)</f>
        <v>2</v>
      </c>
      <c r="E1188" s="6">
        <f>_xlfn.MAXIFS(Levels!E:E,Levels!B:B,A1188)</f>
        <v>33.25</v>
      </c>
      <c r="F1188" s="6">
        <f>_xlfn.MAXIFS(Levels!F:F,Levels!B:B,A1188)</f>
        <v>2</v>
      </c>
    </row>
    <row r="1189" spans="1:6" x14ac:dyDescent="0.3">
      <c r="A1189" t="s">
        <v>5484</v>
      </c>
      <c r="B1189" s="9">
        <f>COUNTIF(Levels!B:B,A1189)</f>
        <v>3</v>
      </c>
      <c r="C1189" s="9">
        <f>IFERROR(AVERAGEIF(Levels!B:B,A1189,Levels!E:E),0)</f>
        <v>10.49</v>
      </c>
      <c r="D1189" s="9">
        <f>IFERROR(AVERAGEIF(Levels!B:B,A1189,Levels!F:F),0)</f>
        <v>6.873333333333334</v>
      </c>
      <c r="E1189" s="9">
        <f>_xlfn.MAXIFS(Levels!E:E,Levels!B:B,A1189)</f>
        <v>16.75</v>
      </c>
      <c r="F1189" s="9">
        <f>_xlfn.MAXIFS(Levels!F:F,Levels!B:B,A1189)</f>
        <v>7.37</v>
      </c>
    </row>
    <row r="1190" spans="1:6" x14ac:dyDescent="0.3">
      <c r="A1190" t="s">
        <v>5486</v>
      </c>
      <c r="B1190" s="6">
        <f>COUNTIF(Levels!B:B,A1190)</f>
        <v>6</v>
      </c>
      <c r="C1190" s="6">
        <f>IFERROR(AVERAGEIF(Levels!B:B,A1190,Levels!E:E),0)</f>
        <v>18.606666666666666</v>
      </c>
      <c r="D1190" s="6">
        <f>IFERROR(AVERAGEIF(Levels!B:B,A1190,Levels!F:F),0)</f>
        <v>7.1849999999999996</v>
      </c>
      <c r="E1190" s="6">
        <f>_xlfn.MAXIFS(Levels!E:E,Levels!B:B,A1190)</f>
        <v>33</v>
      </c>
      <c r="F1190" s="6">
        <f>_xlfn.MAXIFS(Levels!F:F,Levels!B:B,A1190)</f>
        <v>10</v>
      </c>
    </row>
    <row r="1191" spans="1:6" x14ac:dyDescent="0.3">
      <c r="A1191" t="s">
        <v>5492</v>
      </c>
      <c r="B1191" s="9">
        <f>COUNTIF(Levels!B:B,A1191)</f>
        <v>3</v>
      </c>
      <c r="C1191" s="9">
        <f>IFERROR(AVERAGEIF(Levels!B:B,A1191,Levels!E:E),0)</f>
        <v>2.9033333333333338</v>
      </c>
      <c r="D1191" s="9">
        <f>IFERROR(AVERAGEIF(Levels!B:B,A1191,Levels!F:F),0)</f>
        <v>5.666666666666667</v>
      </c>
      <c r="E1191" s="9">
        <f>_xlfn.MAXIFS(Levels!E:E,Levels!B:B,A1191)</f>
        <v>4</v>
      </c>
      <c r="F1191" s="9">
        <f>_xlfn.MAXIFS(Levels!F:F,Levels!B:B,A1191)</f>
        <v>6.71</v>
      </c>
    </row>
    <row r="1192" spans="1:6" x14ac:dyDescent="0.3">
      <c r="A1192" t="s">
        <v>5498</v>
      </c>
      <c r="B1192" s="6">
        <f>COUNTIF(Levels!B:B,A1192)</f>
        <v>2</v>
      </c>
      <c r="C1192" s="6">
        <f>IFERROR(AVERAGEIF(Levels!B:B,A1192,Levels!E:E),0)</f>
        <v>2.6500000000000004</v>
      </c>
      <c r="D1192" s="6">
        <f>IFERROR(AVERAGEIF(Levels!B:B,A1192,Levels!F:F),0)</f>
        <v>6.8650000000000002</v>
      </c>
      <c r="E1192" s="6">
        <f>_xlfn.MAXIFS(Levels!E:E,Levels!B:B,A1192)</f>
        <v>2.68</v>
      </c>
      <c r="F1192" s="6">
        <f>_xlfn.MAXIFS(Levels!F:F,Levels!B:B,A1192)</f>
        <v>7.15</v>
      </c>
    </row>
    <row r="1193" spans="1:6" x14ac:dyDescent="0.3">
      <c r="A1193" t="s">
        <v>5505</v>
      </c>
      <c r="B1193" s="9">
        <f>COUNTIF(Levels!B:B,A1193)</f>
        <v>1</v>
      </c>
      <c r="C1193" s="9">
        <f>IFERROR(AVERAGEIF(Levels!B:B,A1193,Levels!E:E),0)</f>
        <v>7.84</v>
      </c>
      <c r="D1193" s="9">
        <f>IFERROR(AVERAGEIF(Levels!B:B,A1193,Levels!F:F),0)</f>
        <v>6.67</v>
      </c>
      <c r="E1193" s="9">
        <f>_xlfn.MAXIFS(Levels!E:E,Levels!B:B,A1193)</f>
        <v>7.84</v>
      </c>
      <c r="F1193" s="9">
        <f>_xlfn.MAXIFS(Levels!F:F,Levels!B:B,A1193)</f>
        <v>6.67</v>
      </c>
    </row>
    <row r="1194" spans="1:6" x14ac:dyDescent="0.3">
      <c r="A1194" t="s">
        <v>5509</v>
      </c>
      <c r="B1194" s="6">
        <f>COUNTIF(Levels!B:B,A1194)</f>
        <v>2</v>
      </c>
      <c r="C1194" s="6">
        <f>IFERROR(AVERAGEIF(Levels!B:B,A1194,Levels!E:E),0)</f>
        <v>11.510000000000002</v>
      </c>
      <c r="D1194" s="6">
        <f>IFERROR(AVERAGEIF(Levels!B:B,A1194,Levels!F:F),0)</f>
        <v>6.4749999999999996</v>
      </c>
      <c r="E1194" s="6">
        <f>_xlfn.MAXIFS(Levels!E:E,Levels!B:B,A1194)</f>
        <v>16.260000000000002</v>
      </c>
      <c r="F1194" s="6">
        <f>_xlfn.MAXIFS(Levels!F:F,Levels!B:B,A1194)</f>
        <v>8</v>
      </c>
    </row>
    <row r="1195" spans="1:6" x14ac:dyDescent="0.3">
      <c r="A1195" t="s">
        <v>5512</v>
      </c>
      <c r="B1195" s="9">
        <f>COUNTIF(Levels!B:B,A1195)</f>
        <v>7</v>
      </c>
      <c r="C1195" s="9">
        <f>IFERROR(AVERAGEIF(Levels!B:B,A1195,Levels!E:E),0)</f>
        <v>11.132857142857144</v>
      </c>
      <c r="D1195" s="9">
        <f>IFERROR(AVERAGEIF(Levels!B:B,A1195,Levels!F:F),0)</f>
        <v>6.0171428571428569</v>
      </c>
      <c r="E1195" s="9">
        <f>_xlfn.MAXIFS(Levels!E:E,Levels!B:B,A1195)</f>
        <v>28.94</v>
      </c>
      <c r="F1195" s="9">
        <f>_xlfn.MAXIFS(Levels!F:F,Levels!B:B,A1195)</f>
        <v>7.33</v>
      </c>
    </row>
    <row r="1196" spans="1:6" x14ac:dyDescent="0.3">
      <c r="A1196" t="s">
        <v>5515</v>
      </c>
      <c r="B1196" s="6">
        <f>COUNTIF(Levels!B:B,A1196)</f>
        <v>1</v>
      </c>
      <c r="C1196" s="6">
        <f>IFERROR(AVERAGEIF(Levels!B:B,A1196,Levels!E:E),0)</f>
        <v>3.46</v>
      </c>
      <c r="D1196" s="6">
        <f>IFERROR(AVERAGEIF(Levels!B:B,A1196,Levels!F:F),0)</f>
        <v>5.58</v>
      </c>
      <c r="E1196" s="6">
        <f>_xlfn.MAXIFS(Levels!E:E,Levels!B:B,A1196)</f>
        <v>3.46</v>
      </c>
      <c r="F1196" s="6">
        <f>_xlfn.MAXIFS(Levels!F:F,Levels!B:B,A1196)</f>
        <v>5.58</v>
      </c>
    </row>
    <row r="1197" spans="1:6" x14ac:dyDescent="0.3">
      <c r="A1197" t="s">
        <v>5517</v>
      </c>
      <c r="B1197" s="9">
        <f>COUNTIF(Levels!B:B,A1197)</f>
        <v>3</v>
      </c>
      <c r="C1197" s="9">
        <f>IFERROR(AVERAGEIF(Levels!B:B,A1197,Levels!E:E),0)</f>
        <v>5.52</v>
      </c>
      <c r="D1197" s="9">
        <f>IFERROR(AVERAGEIF(Levels!B:B,A1197,Levels!F:F),0)</f>
        <v>7.2199999999999989</v>
      </c>
      <c r="E1197" s="9">
        <f>_xlfn.MAXIFS(Levels!E:E,Levels!B:B,A1197)</f>
        <v>9.7799999999999994</v>
      </c>
      <c r="F1197" s="9">
        <f>_xlfn.MAXIFS(Levels!F:F,Levels!B:B,A1197)</f>
        <v>7.58</v>
      </c>
    </row>
    <row r="1198" spans="1:6" x14ac:dyDescent="0.3">
      <c r="A1198" t="s">
        <v>5525</v>
      </c>
      <c r="B1198" s="6">
        <f>COUNTIF(Levels!B:B,A1198)</f>
        <v>1</v>
      </c>
      <c r="C1198" s="6">
        <f>IFERROR(AVERAGEIF(Levels!B:B,A1198,Levels!E:E),0)</f>
        <v>2.56</v>
      </c>
      <c r="D1198" s="6">
        <f>IFERROR(AVERAGEIF(Levels!B:B,A1198,Levels!F:F),0)</f>
        <v>6.18</v>
      </c>
      <c r="E1198" s="6">
        <f>_xlfn.MAXIFS(Levels!E:E,Levels!B:B,A1198)</f>
        <v>2.56</v>
      </c>
      <c r="F1198" s="6">
        <f>_xlfn.MAXIFS(Levels!F:F,Levels!B:B,A1198)</f>
        <v>6.18</v>
      </c>
    </row>
    <row r="1199" spans="1:6" x14ac:dyDescent="0.3">
      <c r="A1199" t="s">
        <v>5529</v>
      </c>
      <c r="B1199" s="9">
        <f>COUNTIF(Levels!B:B,A1199)</f>
        <v>2</v>
      </c>
      <c r="C1199" s="9">
        <f>IFERROR(AVERAGEIF(Levels!B:B,A1199,Levels!E:E),0)</f>
        <v>4.43</v>
      </c>
      <c r="D1199" s="9">
        <f>IFERROR(AVERAGEIF(Levels!B:B,A1199,Levels!F:F),0)</f>
        <v>7.6849999999999996</v>
      </c>
      <c r="E1199" s="9">
        <f>_xlfn.MAXIFS(Levels!E:E,Levels!B:B,A1199)</f>
        <v>7.24</v>
      </c>
      <c r="F1199" s="9">
        <f>_xlfn.MAXIFS(Levels!F:F,Levels!B:B,A1199)</f>
        <v>8.61</v>
      </c>
    </row>
    <row r="1200" spans="1:6" x14ac:dyDescent="0.3">
      <c r="A1200" t="s">
        <v>5533</v>
      </c>
      <c r="B1200" s="6">
        <f>COUNTIF(Levels!B:B,A1200)</f>
        <v>1</v>
      </c>
      <c r="C1200" s="6">
        <f>IFERROR(AVERAGEIF(Levels!B:B,A1200,Levels!E:E),0)</f>
        <v>2.93</v>
      </c>
      <c r="D1200" s="6">
        <f>IFERROR(AVERAGEIF(Levels!B:B,A1200,Levels!F:F),0)</f>
        <v>5.6</v>
      </c>
      <c r="E1200" s="6">
        <f>_xlfn.MAXIFS(Levels!E:E,Levels!B:B,A1200)</f>
        <v>2.93</v>
      </c>
      <c r="F1200" s="6">
        <f>_xlfn.MAXIFS(Levels!F:F,Levels!B:B,A1200)</f>
        <v>5.6</v>
      </c>
    </row>
    <row r="1201" spans="1:6" x14ac:dyDescent="0.3">
      <c r="A1201" t="s">
        <v>5538</v>
      </c>
      <c r="B1201" s="9">
        <f>COUNTIF(Levels!B:B,A1201)</f>
        <v>5</v>
      </c>
      <c r="C1201" s="9">
        <f>IFERROR(AVERAGEIF(Levels!B:B,A1201,Levels!E:E),0)</f>
        <v>7.8574999999999999</v>
      </c>
      <c r="D1201" s="9">
        <f>IFERROR(AVERAGEIF(Levels!B:B,A1201,Levels!F:F),0)</f>
        <v>6.6639999999999997</v>
      </c>
      <c r="E1201" s="9">
        <f>_xlfn.MAXIFS(Levels!E:E,Levels!B:B,A1201)</f>
        <v>17.71</v>
      </c>
      <c r="F1201" s="9">
        <f>_xlfn.MAXIFS(Levels!F:F,Levels!B:B,A1201)</f>
        <v>7.25</v>
      </c>
    </row>
    <row r="1202" spans="1:6" x14ac:dyDescent="0.3">
      <c r="A1202" t="s">
        <v>5549</v>
      </c>
      <c r="B1202" s="6">
        <f>COUNTIF(Levels!B:B,A1202)</f>
        <v>4</v>
      </c>
      <c r="C1202" s="6">
        <f>IFERROR(AVERAGEIF(Levels!B:B,A1202,Levels!E:E),0)</f>
        <v>10.79</v>
      </c>
      <c r="D1202" s="6">
        <f>IFERROR(AVERAGEIF(Levels!B:B,A1202,Levels!F:F),0)</f>
        <v>6.45</v>
      </c>
      <c r="E1202" s="6">
        <f>_xlfn.MAXIFS(Levels!E:E,Levels!B:B,A1202)</f>
        <v>21.7</v>
      </c>
      <c r="F1202" s="6">
        <f>_xlfn.MAXIFS(Levels!F:F,Levels!B:B,A1202)</f>
        <v>6.9</v>
      </c>
    </row>
    <row r="1203" spans="1:6" x14ac:dyDescent="0.3">
      <c r="A1203" t="s">
        <v>5554</v>
      </c>
      <c r="B1203" s="9">
        <f>COUNTIF(Levels!B:B,A1203)</f>
        <v>6</v>
      </c>
      <c r="C1203" s="9">
        <f>IFERROR(AVERAGEIF(Levels!B:B,A1203,Levels!E:E),0)</f>
        <v>5.0549999999999997</v>
      </c>
      <c r="D1203" s="9">
        <f>IFERROR(AVERAGEIF(Levels!B:B,A1203,Levels!F:F),0)</f>
        <v>7.1899999999999986</v>
      </c>
      <c r="E1203" s="9">
        <f>_xlfn.MAXIFS(Levels!E:E,Levels!B:B,A1203)</f>
        <v>11.75</v>
      </c>
      <c r="F1203" s="9">
        <f>_xlfn.MAXIFS(Levels!F:F,Levels!B:B,A1203)</f>
        <v>7.98</v>
      </c>
    </row>
    <row r="1204" spans="1:6" x14ac:dyDescent="0.3">
      <c r="A1204" t="s">
        <v>5562</v>
      </c>
      <c r="B1204" s="6">
        <f>COUNTIF(Levels!B:B,A1204)</f>
        <v>3</v>
      </c>
      <c r="C1204" s="6">
        <f>IFERROR(AVERAGEIF(Levels!B:B,A1204,Levels!E:E),0)</f>
        <v>7.4866666666666672</v>
      </c>
      <c r="D1204" s="6">
        <f>IFERROR(AVERAGEIF(Levels!B:B,A1204,Levels!F:F),0)</f>
        <v>6.3599999999999994</v>
      </c>
      <c r="E1204" s="6">
        <f>_xlfn.MAXIFS(Levels!E:E,Levels!B:B,A1204)</f>
        <v>16.36</v>
      </c>
      <c r="F1204" s="6">
        <f>_xlfn.MAXIFS(Levels!F:F,Levels!B:B,A1204)</f>
        <v>6.66</v>
      </c>
    </row>
    <row r="1205" spans="1:6" x14ac:dyDescent="0.3">
      <c r="A1205" t="s">
        <v>5565</v>
      </c>
      <c r="B1205" s="9">
        <f>COUNTIF(Levels!B:B,A1205)</f>
        <v>1</v>
      </c>
      <c r="C1205" s="9">
        <f>IFERROR(AVERAGEIF(Levels!B:B,A1205,Levels!E:E),0)</f>
        <v>11</v>
      </c>
      <c r="D1205" s="9">
        <f>IFERROR(AVERAGEIF(Levels!B:B,A1205,Levels!F:F),0)</f>
        <v>9.33</v>
      </c>
      <c r="E1205" s="9">
        <f>_xlfn.MAXIFS(Levels!E:E,Levels!B:B,A1205)</f>
        <v>11</v>
      </c>
      <c r="F1205" s="9">
        <f>_xlfn.MAXIFS(Levels!F:F,Levels!B:B,A1205)</f>
        <v>9.33</v>
      </c>
    </row>
    <row r="1206" spans="1:6" x14ac:dyDescent="0.3">
      <c r="A1206" t="s">
        <v>5570</v>
      </c>
      <c r="B1206" s="6">
        <f>COUNTIF(Levels!B:B,A1206)</f>
        <v>2</v>
      </c>
      <c r="C1206" s="6">
        <f>IFERROR(AVERAGEIF(Levels!B:B,A1206,Levels!E:E),0)</f>
        <v>5.625</v>
      </c>
      <c r="D1206" s="6">
        <f>IFERROR(AVERAGEIF(Levels!B:B,A1206,Levels!F:F),0)</f>
        <v>5.835</v>
      </c>
      <c r="E1206" s="6">
        <f>_xlfn.MAXIFS(Levels!E:E,Levels!B:B,A1206)</f>
        <v>8.25</v>
      </c>
      <c r="F1206" s="6">
        <f>_xlfn.MAXIFS(Levels!F:F,Levels!B:B,A1206)</f>
        <v>6.25</v>
      </c>
    </row>
    <row r="1207" spans="1:6" x14ac:dyDescent="0.3">
      <c r="A1207" t="s">
        <v>5575</v>
      </c>
      <c r="B1207" s="9">
        <f>COUNTIF(Levels!B:B,A1207)</f>
        <v>1</v>
      </c>
      <c r="C1207" s="9">
        <f>IFERROR(AVERAGEIF(Levels!B:B,A1207,Levels!E:E),0)</f>
        <v>15.67</v>
      </c>
      <c r="D1207" s="9">
        <f>IFERROR(AVERAGEIF(Levels!B:B,A1207,Levels!F:F),0)</f>
        <v>6.25</v>
      </c>
      <c r="E1207" s="9">
        <f>_xlfn.MAXIFS(Levels!E:E,Levels!B:B,A1207)</f>
        <v>15.67</v>
      </c>
      <c r="F1207" s="9">
        <f>_xlfn.MAXIFS(Levels!F:F,Levels!B:B,A1207)</f>
        <v>6.25</v>
      </c>
    </row>
    <row r="1208" spans="1:6" x14ac:dyDescent="0.3">
      <c r="A1208" t="s">
        <v>5577</v>
      </c>
      <c r="B1208" s="6">
        <f>COUNTIF(Levels!B:B,A1208)</f>
        <v>1</v>
      </c>
      <c r="C1208" s="6">
        <f>IFERROR(AVERAGEIF(Levels!B:B,A1208,Levels!E:E),0)</f>
        <v>34</v>
      </c>
      <c r="D1208" s="6">
        <f>IFERROR(AVERAGEIF(Levels!B:B,A1208,Levels!F:F),0)</f>
        <v>6</v>
      </c>
      <c r="E1208" s="6">
        <f>_xlfn.MAXIFS(Levels!E:E,Levels!B:B,A1208)</f>
        <v>34</v>
      </c>
      <c r="F1208" s="6">
        <f>_xlfn.MAXIFS(Levels!F:F,Levels!B:B,A1208)</f>
        <v>6</v>
      </c>
    </row>
    <row r="1209" spans="1:6" x14ac:dyDescent="0.3">
      <c r="A1209" t="s">
        <v>5583</v>
      </c>
      <c r="B1209" s="9">
        <f>COUNTIF(Levels!B:B,A1209)</f>
        <v>1</v>
      </c>
      <c r="C1209" s="9">
        <f>IFERROR(AVERAGEIF(Levels!B:B,A1209,Levels!E:E),0)</f>
        <v>7.2</v>
      </c>
      <c r="D1209" s="9">
        <f>IFERROR(AVERAGEIF(Levels!B:B,A1209,Levels!F:F),0)</f>
        <v>4.25</v>
      </c>
      <c r="E1209" s="9">
        <f>_xlfn.MAXIFS(Levels!E:E,Levels!B:B,A1209)</f>
        <v>7.2</v>
      </c>
      <c r="F1209" s="9">
        <f>_xlfn.MAXIFS(Levels!F:F,Levels!B:B,A1209)</f>
        <v>4.25</v>
      </c>
    </row>
    <row r="1210" spans="1:6" x14ac:dyDescent="0.3">
      <c r="A1210" t="s">
        <v>5588</v>
      </c>
      <c r="B1210" s="6">
        <f>COUNTIF(Levels!B:B,A1210)</f>
        <v>4</v>
      </c>
      <c r="C1210" s="6">
        <f>IFERROR(AVERAGEIF(Levels!B:B,A1210,Levels!E:E),0)</f>
        <v>7.8674999999999997</v>
      </c>
      <c r="D1210" s="6">
        <f>IFERROR(AVERAGEIF(Levels!B:B,A1210,Levels!F:F),0)</f>
        <v>7.8074999999999992</v>
      </c>
      <c r="E1210" s="6">
        <f>_xlfn.MAXIFS(Levels!E:E,Levels!B:B,A1210)</f>
        <v>12.86</v>
      </c>
      <c r="F1210" s="6">
        <f>_xlfn.MAXIFS(Levels!F:F,Levels!B:B,A1210)</f>
        <v>8.17</v>
      </c>
    </row>
    <row r="1211" spans="1:6" x14ac:dyDescent="0.3">
      <c r="A1211" t="s">
        <v>5591</v>
      </c>
      <c r="B1211" s="9">
        <f>COUNTIF(Levels!B:B,A1211)</f>
        <v>3</v>
      </c>
      <c r="C1211" s="9">
        <f>IFERROR(AVERAGEIF(Levels!B:B,A1211,Levels!E:E),0)</f>
        <v>17.633333333333336</v>
      </c>
      <c r="D1211" s="9">
        <f>IFERROR(AVERAGEIF(Levels!B:B,A1211,Levels!F:F),0)</f>
        <v>6.34</v>
      </c>
      <c r="E1211" s="9">
        <f>_xlfn.MAXIFS(Levels!E:E,Levels!B:B,A1211)</f>
        <v>22.96</v>
      </c>
      <c r="F1211" s="9">
        <f>_xlfn.MAXIFS(Levels!F:F,Levels!B:B,A1211)</f>
        <v>7.25</v>
      </c>
    </row>
    <row r="1212" spans="1:6" x14ac:dyDescent="0.3">
      <c r="A1212" t="s">
        <v>5594</v>
      </c>
      <c r="B1212" s="6">
        <f>COUNTIF(Levels!B:B,A1212)</f>
        <v>2</v>
      </c>
      <c r="C1212" s="6">
        <f>IFERROR(AVERAGEIF(Levels!B:B,A1212,Levels!E:E),0)</f>
        <v>31</v>
      </c>
      <c r="D1212" s="6">
        <f>IFERROR(AVERAGEIF(Levels!B:B,A1212,Levels!F:F),0)</f>
        <v>8.6649999999999991</v>
      </c>
      <c r="E1212" s="6">
        <f>_xlfn.MAXIFS(Levels!E:E,Levels!B:B,A1212)</f>
        <v>31</v>
      </c>
      <c r="F1212" s="6">
        <f>_xlfn.MAXIFS(Levels!F:F,Levels!B:B,A1212)</f>
        <v>9</v>
      </c>
    </row>
    <row r="1213" spans="1:6" x14ac:dyDescent="0.3">
      <c r="A1213" t="s">
        <v>5599</v>
      </c>
      <c r="B1213" s="9">
        <f>COUNTIF(Levels!B:B,A1213)</f>
        <v>1</v>
      </c>
      <c r="C1213" s="9">
        <f>IFERROR(AVERAGEIF(Levels!B:B,A1213,Levels!E:E),0)</f>
        <v>2.31</v>
      </c>
      <c r="D1213" s="9">
        <f>IFERROR(AVERAGEIF(Levels!B:B,A1213,Levels!F:F),0)</f>
        <v>7.38</v>
      </c>
      <c r="E1213" s="9">
        <f>_xlfn.MAXIFS(Levels!E:E,Levels!B:B,A1213)</f>
        <v>2.31</v>
      </c>
      <c r="F1213" s="9">
        <f>_xlfn.MAXIFS(Levels!F:F,Levels!B:B,A1213)</f>
        <v>7.38</v>
      </c>
    </row>
    <row r="1214" spans="1:6" x14ac:dyDescent="0.3">
      <c r="A1214" t="s">
        <v>5604</v>
      </c>
      <c r="B1214" s="6">
        <f>COUNTIF(Levels!B:B,A1214)</f>
        <v>1</v>
      </c>
      <c r="C1214" s="6">
        <f>IFERROR(AVERAGEIF(Levels!B:B,A1214,Levels!E:E),0)</f>
        <v>5.5</v>
      </c>
      <c r="D1214" s="6">
        <f>IFERROR(AVERAGEIF(Levels!B:B,A1214,Levels!F:F),0)</f>
        <v>4</v>
      </c>
      <c r="E1214" s="6">
        <f>_xlfn.MAXIFS(Levels!E:E,Levels!B:B,A1214)</f>
        <v>5.5</v>
      </c>
      <c r="F1214" s="6">
        <f>_xlfn.MAXIFS(Levels!F:F,Levels!B:B,A1214)</f>
        <v>4</v>
      </c>
    </row>
    <row r="1215" spans="1:6" x14ac:dyDescent="0.3">
      <c r="A1215" t="s">
        <v>5606</v>
      </c>
      <c r="B1215" s="9">
        <f>COUNTIF(Levels!B:B,A1215)</f>
        <v>1</v>
      </c>
      <c r="C1215" s="9">
        <f>IFERROR(AVERAGEIF(Levels!B:B,A1215,Levels!E:E),0)</f>
        <v>6.8</v>
      </c>
      <c r="D1215" s="9">
        <f>IFERROR(AVERAGEIF(Levels!B:B,A1215,Levels!F:F),0)</f>
        <v>5.25</v>
      </c>
      <c r="E1215" s="9">
        <f>_xlfn.MAXIFS(Levels!E:E,Levels!B:B,A1215)</f>
        <v>6.8</v>
      </c>
      <c r="F1215" s="9">
        <f>_xlfn.MAXIFS(Levels!F:F,Levels!B:B,A1215)</f>
        <v>5.25</v>
      </c>
    </row>
    <row r="1216" spans="1:6" x14ac:dyDescent="0.3">
      <c r="A1216" t="s">
        <v>5612</v>
      </c>
      <c r="B1216" s="6">
        <f>COUNTIF(Levels!B:B,A1216)</f>
        <v>1</v>
      </c>
      <c r="C1216" s="6">
        <f>IFERROR(AVERAGEIF(Levels!B:B,A1216,Levels!E:E),0)</f>
        <v>10</v>
      </c>
      <c r="D1216" s="6">
        <f>IFERROR(AVERAGEIF(Levels!B:B,A1216,Levels!F:F),0)</f>
        <v>5.5</v>
      </c>
      <c r="E1216" s="6">
        <f>_xlfn.MAXIFS(Levels!E:E,Levels!B:B,A1216)</f>
        <v>10</v>
      </c>
      <c r="F1216" s="6">
        <f>_xlfn.MAXIFS(Levels!F:F,Levels!B:B,A1216)</f>
        <v>5.5</v>
      </c>
    </row>
    <row r="1217" spans="1:6" x14ac:dyDescent="0.3">
      <c r="A1217" t="s">
        <v>5614</v>
      </c>
      <c r="B1217" s="9">
        <f>COUNTIF(Levels!B:B,A1217)</f>
        <v>4</v>
      </c>
      <c r="C1217" s="9">
        <f>IFERROR(AVERAGEIF(Levels!B:B,A1217,Levels!E:E),0)</f>
        <v>4.8249999999999993</v>
      </c>
      <c r="D1217" s="9">
        <f>IFERROR(AVERAGEIF(Levels!B:B,A1217,Levels!F:F),0)</f>
        <v>5.6775000000000002</v>
      </c>
      <c r="E1217" s="9">
        <f>_xlfn.MAXIFS(Levels!E:E,Levels!B:B,A1217)</f>
        <v>7.29</v>
      </c>
      <c r="F1217" s="9">
        <f>_xlfn.MAXIFS(Levels!F:F,Levels!B:B,A1217)</f>
        <v>6.45</v>
      </c>
    </row>
    <row r="1218" spans="1:6" x14ac:dyDescent="0.3">
      <c r="A1218" t="s">
        <v>5616</v>
      </c>
      <c r="B1218" s="6">
        <f>COUNTIF(Levels!B:B,A1218)</f>
        <v>7</v>
      </c>
      <c r="C1218" s="6">
        <f>IFERROR(AVERAGEIF(Levels!B:B,A1218,Levels!E:E),0)</f>
        <v>28.35166666666667</v>
      </c>
      <c r="D1218" s="6">
        <f>IFERROR(AVERAGEIF(Levels!B:B,A1218,Levels!F:F),0)</f>
        <v>7.3949999999999996</v>
      </c>
      <c r="E1218" s="6">
        <f>_xlfn.MAXIFS(Levels!E:E,Levels!B:B,A1218)</f>
        <v>34</v>
      </c>
      <c r="F1218" s="6">
        <f>_xlfn.MAXIFS(Levels!F:F,Levels!B:B,A1218)</f>
        <v>10</v>
      </c>
    </row>
    <row r="1219" spans="1:6" x14ac:dyDescent="0.3">
      <c r="A1219" t="s">
        <v>5619</v>
      </c>
      <c r="B1219" s="9">
        <f>COUNTIF(Levels!B:B,A1219)</f>
        <v>2</v>
      </c>
      <c r="C1219" s="9">
        <f>IFERROR(AVERAGEIF(Levels!B:B,A1219,Levels!E:E),0)</f>
        <v>7.125</v>
      </c>
      <c r="D1219" s="9">
        <f>IFERROR(AVERAGEIF(Levels!B:B,A1219,Levels!F:F),0)</f>
        <v>5.4</v>
      </c>
      <c r="E1219" s="9">
        <f>_xlfn.MAXIFS(Levels!E:E,Levels!B:B,A1219)</f>
        <v>7.17</v>
      </c>
      <c r="F1219" s="9">
        <f>_xlfn.MAXIFS(Levels!F:F,Levels!B:B,A1219)</f>
        <v>6</v>
      </c>
    </row>
    <row r="1220" spans="1:6" x14ac:dyDescent="0.3">
      <c r="A1220" t="s">
        <v>5621</v>
      </c>
      <c r="B1220" s="6">
        <f>COUNTIF(Levels!B:B,A1220)</f>
        <v>1</v>
      </c>
      <c r="C1220" s="6">
        <f>IFERROR(AVERAGEIF(Levels!B:B,A1220,Levels!E:E),0)</f>
        <v>3.73</v>
      </c>
      <c r="D1220" s="6">
        <f>IFERROR(AVERAGEIF(Levels!B:B,A1220,Levels!F:F),0)</f>
        <v>2.9</v>
      </c>
      <c r="E1220" s="6">
        <f>_xlfn.MAXIFS(Levels!E:E,Levels!B:B,A1220)</f>
        <v>3.73</v>
      </c>
      <c r="F1220" s="6">
        <f>_xlfn.MAXIFS(Levels!F:F,Levels!B:B,A1220)</f>
        <v>2.9</v>
      </c>
    </row>
    <row r="1221" spans="1:6" x14ac:dyDescent="0.3">
      <c r="A1221" t="s">
        <v>5624</v>
      </c>
      <c r="B1221" s="9">
        <f>COUNTIF(Levels!B:B,A1221)</f>
        <v>1</v>
      </c>
      <c r="C1221" s="9">
        <f>IFERROR(AVERAGEIF(Levels!B:B,A1221,Levels!E:E),0)</f>
        <v>3.44</v>
      </c>
      <c r="D1221" s="9">
        <f>IFERROR(AVERAGEIF(Levels!B:B,A1221,Levels!F:F),0)</f>
        <v>7.55</v>
      </c>
      <c r="E1221" s="9">
        <f>_xlfn.MAXIFS(Levels!E:E,Levels!B:B,A1221)</f>
        <v>3.44</v>
      </c>
      <c r="F1221" s="9">
        <f>_xlfn.MAXIFS(Levels!F:F,Levels!B:B,A1221)</f>
        <v>7.55</v>
      </c>
    </row>
    <row r="1222" spans="1:6" x14ac:dyDescent="0.3">
      <c r="A1222" t="s">
        <v>5629</v>
      </c>
      <c r="B1222" s="6">
        <f>COUNTIF(Levels!B:B,A1222)</f>
        <v>1</v>
      </c>
      <c r="C1222" s="6">
        <f>IFERROR(AVERAGEIF(Levels!B:B,A1222,Levels!E:E),0)</f>
        <v>2.87</v>
      </c>
      <c r="D1222" s="6">
        <f>IFERROR(AVERAGEIF(Levels!B:B,A1222,Levels!F:F),0)</f>
        <v>3.53</v>
      </c>
      <c r="E1222" s="6">
        <f>_xlfn.MAXIFS(Levels!E:E,Levels!B:B,A1222)</f>
        <v>2.87</v>
      </c>
      <c r="F1222" s="6">
        <f>_xlfn.MAXIFS(Levels!F:F,Levels!B:B,A1222)</f>
        <v>3.53</v>
      </c>
    </row>
    <row r="1223" spans="1:6" x14ac:dyDescent="0.3">
      <c r="A1223" t="s">
        <v>5632</v>
      </c>
      <c r="B1223" s="9">
        <f>COUNTIF(Levels!B:B,A1223)</f>
        <v>1</v>
      </c>
      <c r="C1223" s="9">
        <f>IFERROR(AVERAGEIF(Levels!B:B,A1223,Levels!E:E),0)</f>
        <v>3.28</v>
      </c>
      <c r="D1223" s="9">
        <f>IFERROR(AVERAGEIF(Levels!B:B,A1223,Levels!F:F),0)</f>
        <v>6.14</v>
      </c>
      <c r="E1223" s="9">
        <f>_xlfn.MAXIFS(Levels!E:E,Levels!B:B,A1223)</f>
        <v>3.28</v>
      </c>
      <c r="F1223" s="9">
        <f>_xlfn.MAXIFS(Levels!F:F,Levels!B:B,A1223)</f>
        <v>6.14</v>
      </c>
    </row>
    <row r="1224" spans="1:6" x14ac:dyDescent="0.3">
      <c r="A1224" t="s">
        <v>5634</v>
      </c>
      <c r="B1224" s="6">
        <f>COUNTIF(Levels!B:B,A1224)</f>
        <v>2</v>
      </c>
      <c r="C1224" s="6">
        <f>IFERROR(AVERAGEIF(Levels!B:B,A1224,Levels!E:E),0)</f>
        <v>10.559999999999999</v>
      </c>
      <c r="D1224" s="6">
        <f>IFERROR(AVERAGEIF(Levels!B:B,A1224,Levels!F:F),0)</f>
        <v>6.01</v>
      </c>
      <c r="E1224" s="6">
        <f>_xlfn.MAXIFS(Levels!E:E,Levels!B:B,A1224)</f>
        <v>13.12</v>
      </c>
      <c r="F1224" s="6">
        <f>_xlfn.MAXIFS(Levels!F:F,Levels!B:B,A1224)</f>
        <v>6.02</v>
      </c>
    </row>
    <row r="1225" spans="1:6" x14ac:dyDescent="0.3">
      <c r="A1225" t="s">
        <v>5642</v>
      </c>
      <c r="B1225" s="9">
        <f>COUNTIF(Levels!B:B,A1225)</f>
        <v>3</v>
      </c>
      <c r="C1225" s="9">
        <f>IFERROR(AVERAGEIF(Levels!B:B,A1225,Levels!E:E),0)</f>
        <v>3.7099999999999995</v>
      </c>
      <c r="D1225" s="9">
        <f>IFERROR(AVERAGEIF(Levels!B:B,A1225,Levels!F:F),0)</f>
        <v>6.7966666666666669</v>
      </c>
      <c r="E1225" s="9">
        <f>_xlfn.MAXIFS(Levels!E:E,Levels!B:B,A1225)</f>
        <v>5.97</v>
      </c>
      <c r="F1225" s="9">
        <f>_xlfn.MAXIFS(Levels!F:F,Levels!B:B,A1225)</f>
        <v>7.11</v>
      </c>
    </row>
    <row r="1226" spans="1:6" x14ac:dyDescent="0.3">
      <c r="A1226" t="s">
        <v>5645</v>
      </c>
      <c r="B1226" s="6">
        <f>COUNTIF(Levels!B:B,A1226)</f>
        <v>1</v>
      </c>
      <c r="C1226" s="6">
        <f>IFERROR(AVERAGEIF(Levels!B:B,A1226,Levels!E:E),0)</f>
        <v>1.99</v>
      </c>
      <c r="D1226" s="6">
        <f>IFERROR(AVERAGEIF(Levels!B:B,A1226,Levels!F:F),0)</f>
        <v>6.15</v>
      </c>
      <c r="E1226" s="6">
        <f>_xlfn.MAXIFS(Levels!E:E,Levels!B:B,A1226)</f>
        <v>1.99</v>
      </c>
      <c r="F1226" s="6">
        <f>_xlfn.MAXIFS(Levels!F:F,Levels!B:B,A1226)</f>
        <v>6.15</v>
      </c>
    </row>
    <row r="1227" spans="1:6" x14ac:dyDescent="0.3">
      <c r="A1227" t="s">
        <v>5650</v>
      </c>
      <c r="B1227" s="9">
        <f>COUNTIF(Levels!B:B,A1227)</f>
        <v>3</v>
      </c>
      <c r="C1227" s="9">
        <f>IFERROR(AVERAGEIF(Levels!B:B,A1227,Levels!E:E),0)</f>
        <v>6.7766666666666664</v>
      </c>
      <c r="D1227" s="9">
        <f>IFERROR(AVERAGEIF(Levels!B:B,A1227,Levels!F:F),0)</f>
        <v>5.57</v>
      </c>
      <c r="E1227" s="9">
        <f>_xlfn.MAXIFS(Levels!E:E,Levels!B:B,A1227)</f>
        <v>7.95</v>
      </c>
      <c r="F1227" s="9">
        <f>_xlfn.MAXIFS(Levels!F:F,Levels!B:B,A1227)</f>
        <v>7</v>
      </c>
    </row>
    <row r="1228" spans="1:6" x14ac:dyDescent="0.3">
      <c r="A1228" t="s">
        <v>5654</v>
      </c>
      <c r="B1228" s="6">
        <f>COUNTIF(Levels!B:B,A1228)</f>
        <v>11</v>
      </c>
      <c r="C1228" s="6">
        <f>IFERROR(AVERAGEIF(Levels!B:B,A1228,Levels!E:E),0)</f>
        <v>3.3154545454545454</v>
      </c>
      <c r="D1228" s="6">
        <f>IFERROR(AVERAGEIF(Levels!B:B,A1228,Levels!F:F),0)</f>
        <v>6.8318181818181811</v>
      </c>
      <c r="E1228" s="6">
        <f>_xlfn.MAXIFS(Levels!E:E,Levels!B:B,A1228)</f>
        <v>6.8</v>
      </c>
      <c r="F1228" s="6">
        <f>_xlfn.MAXIFS(Levels!F:F,Levels!B:B,A1228)</f>
        <v>8.07</v>
      </c>
    </row>
    <row r="1229" spans="1:6" x14ac:dyDescent="0.3">
      <c r="A1229" t="s">
        <v>5672</v>
      </c>
      <c r="B1229" s="9">
        <f>COUNTIF(Levels!B:B,A1229)</f>
        <v>1</v>
      </c>
      <c r="C1229" s="9">
        <f>IFERROR(AVERAGEIF(Levels!B:B,A1229,Levels!E:E),0)</f>
        <v>11.88</v>
      </c>
      <c r="D1229" s="9">
        <f>IFERROR(AVERAGEIF(Levels!B:B,A1229,Levels!F:F),0)</f>
        <v>4.17</v>
      </c>
      <c r="E1229" s="9">
        <f>_xlfn.MAXIFS(Levels!E:E,Levels!B:B,A1229)</f>
        <v>11.88</v>
      </c>
      <c r="F1229" s="9">
        <f>_xlfn.MAXIFS(Levels!F:F,Levels!B:B,A1229)</f>
        <v>4.17</v>
      </c>
    </row>
    <row r="1230" spans="1:6" x14ac:dyDescent="0.3">
      <c r="A1230" t="s">
        <v>5675</v>
      </c>
      <c r="B1230" s="6">
        <f>COUNTIF(Levels!B:B,A1230)</f>
        <v>3</v>
      </c>
      <c r="C1230" s="6">
        <f>IFERROR(AVERAGEIF(Levels!B:B,A1230,Levels!E:E),0)</f>
        <v>6.64</v>
      </c>
      <c r="D1230" s="6">
        <f>IFERROR(AVERAGEIF(Levels!B:B,A1230,Levels!F:F),0)</f>
        <v>6.3733333333333322</v>
      </c>
      <c r="E1230" s="6">
        <f>_xlfn.MAXIFS(Levels!E:E,Levels!B:B,A1230)</f>
        <v>10.29</v>
      </c>
      <c r="F1230" s="6">
        <f>_xlfn.MAXIFS(Levels!F:F,Levels!B:B,A1230)</f>
        <v>7.03</v>
      </c>
    </row>
    <row r="1231" spans="1:6" x14ac:dyDescent="0.3">
      <c r="A1231" t="s">
        <v>5685</v>
      </c>
      <c r="B1231" s="9">
        <f>COUNTIF(Levels!B:B,A1231)</f>
        <v>4</v>
      </c>
      <c r="C1231" s="9">
        <f>IFERROR(AVERAGEIF(Levels!B:B,A1231,Levels!E:E),0)</f>
        <v>13.115000000000002</v>
      </c>
      <c r="D1231" s="9">
        <f>IFERROR(AVERAGEIF(Levels!B:B,A1231,Levels!F:F),0)</f>
        <v>5.8849999999999998</v>
      </c>
      <c r="E1231" s="9">
        <f>_xlfn.MAXIFS(Levels!E:E,Levels!B:B,A1231)</f>
        <v>26.67</v>
      </c>
      <c r="F1231" s="9">
        <f>_xlfn.MAXIFS(Levels!F:F,Levels!B:B,A1231)</f>
        <v>7.67</v>
      </c>
    </row>
    <row r="1232" spans="1:6" x14ac:dyDescent="0.3">
      <c r="A1232" t="s">
        <v>5687</v>
      </c>
      <c r="B1232" s="6">
        <f>COUNTIF(Levels!B:B,A1232)</f>
        <v>1</v>
      </c>
      <c r="C1232" s="6">
        <f>IFERROR(AVERAGEIF(Levels!B:B,A1232,Levels!E:E),0)</f>
        <v>10.75</v>
      </c>
      <c r="D1232" s="6">
        <f>IFERROR(AVERAGEIF(Levels!B:B,A1232,Levels!F:F),0)</f>
        <v>7.86</v>
      </c>
      <c r="E1232" s="6">
        <f>_xlfn.MAXIFS(Levels!E:E,Levels!B:B,A1232)</f>
        <v>10.75</v>
      </c>
      <c r="F1232" s="6">
        <f>_xlfn.MAXIFS(Levels!F:F,Levels!B:B,A1232)</f>
        <v>7.86</v>
      </c>
    </row>
    <row r="1233" spans="1:6" x14ac:dyDescent="0.3">
      <c r="A1233" t="s">
        <v>5689</v>
      </c>
      <c r="B1233" s="9">
        <f>COUNTIF(Levels!B:B,A1233)</f>
        <v>1</v>
      </c>
      <c r="C1233" s="9">
        <f>IFERROR(AVERAGEIF(Levels!B:B,A1233,Levels!E:E),0)</f>
        <v>6.57</v>
      </c>
      <c r="D1233" s="9">
        <f>IFERROR(AVERAGEIF(Levels!B:B,A1233,Levels!F:F),0)</f>
        <v>2.8</v>
      </c>
      <c r="E1233" s="9">
        <f>_xlfn.MAXIFS(Levels!E:E,Levels!B:B,A1233)</f>
        <v>6.57</v>
      </c>
      <c r="F1233" s="9">
        <f>_xlfn.MAXIFS(Levels!F:F,Levels!B:B,A1233)</f>
        <v>2.8</v>
      </c>
    </row>
    <row r="1234" spans="1:6" x14ac:dyDescent="0.3">
      <c r="A1234" t="s">
        <v>5696</v>
      </c>
      <c r="B1234" s="6">
        <f>COUNTIF(Levels!B:B,A1234)</f>
        <v>10</v>
      </c>
      <c r="C1234" s="6">
        <f>IFERROR(AVERAGEIF(Levels!B:B,A1234,Levels!E:E),0)</f>
        <v>15.092500000000001</v>
      </c>
      <c r="D1234" s="6">
        <f>IFERROR(AVERAGEIF(Levels!B:B,A1234,Levels!F:F),0)</f>
        <v>6.2487499999999994</v>
      </c>
      <c r="E1234" s="6">
        <f>_xlfn.MAXIFS(Levels!E:E,Levels!B:B,A1234)</f>
        <v>24.61</v>
      </c>
      <c r="F1234" s="6">
        <f>_xlfn.MAXIFS(Levels!F:F,Levels!B:B,A1234)</f>
        <v>7.86</v>
      </c>
    </row>
    <row r="1235" spans="1:6" x14ac:dyDescent="0.3">
      <c r="A1235" t="s">
        <v>5698</v>
      </c>
      <c r="B1235" s="9">
        <f>COUNTIF(Levels!B:B,A1235)</f>
        <v>14</v>
      </c>
      <c r="C1235" s="9">
        <f>IFERROR(AVERAGEIF(Levels!B:B,A1235,Levels!E:E),0)</f>
        <v>25.477499999999999</v>
      </c>
      <c r="D1235" s="9">
        <f>IFERROR(AVERAGEIF(Levels!B:B,A1235,Levels!F:F),0)</f>
        <v>5.7258333333333331</v>
      </c>
      <c r="E1235" s="9">
        <f>_xlfn.MAXIFS(Levels!E:E,Levels!B:B,A1235)</f>
        <v>34</v>
      </c>
      <c r="F1235" s="9">
        <f>_xlfn.MAXIFS(Levels!F:F,Levels!B:B,A1235)</f>
        <v>8</v>
      </c>
    </row>
    <row r="1236" spans="1:6" x14ac:dyDescent="0.3">
      <c r="A1236" t="s">
        <v>5701</v>
      </c>
      <c r="B1236" s="6">
        <f>COUNTIF(Levels!B:B,A1236)</f>
        <v>4</v>
      </c>
      <c r="C1236" s="6">
        <f>IFERROR(AVERAGEIF(Levels!B:B,A1236,Levels!E:E),0)</f>
        <v>5.2475000000000005</v>
      </c>
      <c r="D1236" s="6">
        <f>IFERROR(AVERAGEIF(Levels!B:B,A1236,Levels!F:F),0)</f>
        <v>6.464999999999999</v>
      </c>
      <c r="E1236" s="6">
        <f>_xlfn.MAXIFS(Levels!E:E,Levels!B:B,A1236)</f>
        <v>9.98</v>
      </c>
      <c r="F1236" s="6">
        <f>_xlfn.MAXIFS(Levels!F:F,Levels!B:B,A1236)</f>
        <v>6.92</v>
      </c>
    </row>
    <row r="1237" spans="1:6" x14ac:dyDescent="0.3">
      <c r="A1237" t="s">
        <v>5704</v>
      </c>
      <c r="B1237" s="9">
        <f>COUNTIF(Levels!B:B,A1237)</f>
        <v>2</v>
      </c>
      <c r="C1237" s="9">
        <f>IFERROR(AVERAGEIF(Levels!B:B,A1237,Levels!E:E),0)</f>
        <v>31.02</v>
      </c>
      <c r="D1237" s="9">
        <f>IFERROR(AVERAGEIF(Levels!B:B,A1237,Levels!F:F),0)</f>
        <v>6.8150000000000004</v>
      </c>
      <c r="E1237" s="9">
        <f>_xlfn.MAXIFS(Levels!E:E,Levels!B:B,A1237)</f>
        <v>31.04</v>
      </c>
      <c r="F1237" s="9">
        <f>_xlfn.MAXIFS(Levels!F:F,Levels!B:B,A1237)</f>
        <v>8.1300000000000008</v>
      </c>
    </row>
    <row r="1238" spans="1:6" x14ac:dyDescent="0.3">
      <c r="A1238" t="s">
        <v>5709</v>
      </c>
      <c r="B1238" s="6">
        <f>COUNTIF(Levels!B:B,A1238)</f>
        <v>2</v>
      </c>
      <c r="C1238" s="6">
        <f>IFERROR(AVERAGEIF(Levels!B:B,A1238,Levels!E:E),0)</f>
        <v>3.1799999999999997</v>
      </c>
      <c r="D1238" s="6">
        <f>IFERROR(AVERAGEIF(Levels!B:B,A1238,Levels!F:F),0)</f>
        <v>6.02</v>
      </c>
      <c r="E1238" s="6">
        <f>_xlfn.MAXIFS(Levels!E:E,Levels!B:B,A1238)</f>
        <v>3.57</v>
      </c>
      <c r="F1238" s="6">
        <f>_xlfn.MAXIFS(Levels!F:F,Levels!B:B,A1238)</f>
        <v>6.13</v>
      </c>
    </row>
    <row r="1239" spans="1:6" x14ac:dyDescent="0.3">
      <c r="A1239" t="s">
        <v>5711</v>
      </c>
      <c r="B1239" s="9">
        <f>COUNTIF(Levels!B:B,A1239)</f>
        <v>5</v>
      </c>
      <c r="C1239" s="9">
        <f>IFERROR(AVERAGEIF(Levels!B:B,A1239,Levels!E:E),0)</f>
        <v>15.63</v>
      </c>
      <c r="D1239" s="9">
        <f>IFERROR(AVERAGEIF(Levels!B:B,A1239,Levels!F:F),0)</f>
        <v>6.0900000000000007</v>
      </c>
      <c r="E1239" s="9">
        <f>_xlfn.MAXIFS(Levels!E:E,Levels!B:B,A1239)</f>
        <v>23.06</v>
      </c>
      <c r="F1239" s="9">
        <f>_xlfn.MAXIFS(Levels!F:F,Levels!B:B,A1239)</f>
        <v>7.23</v>
      </c>
    </row>
    <row r="1240" spans="1:6" x14ac:dyDescent="0.3">
      <c r="A1240" t="s">
        <v>5719</v>
      </c>
      <c r="B1240" s="6">
        <f>COUNTIF(Levels!B:B,A1240)</f>
        <v>3</v>
      </c>
      <c r="C1240" s="6">
        <f>IFERROR(AVERAGEIF(Levels!B:B,A1240,Levels!E:E),0)</f>
        <v>2.9166666666666665</v>
      </c>
      <c r="D1240" s="6">
        <f>IFERROR(AVERAGEIF(Levels!B:B,A1240,Levels!F:F),0)</f>
        <v>5.9966666666666661</v>
      </c>
      <c r="E1240" s="6">
        <f>_xlfn.MAXIFS(Levels!E:E,Levels!B:B,A1240)</f>
        <v>4.21</v>
      </c>
      <c r="F1240" s="6">
        <f>_xlfn.MAXIFS(Levels!F:F,Levels!B:B,A1240)</f>
        <v>6.11</v>
      </c>
    </row>
    <row r="1241" spans="1:6" x14ac:dyDescent="0.3">
      <c r="A1241" t="s">
        <v>5723</v>
      </c>
      <c r="B1241" s="9">
        <f>COUNTIF(Levels!B:B,A1241)</f>
        <v>1</v>
      </c>
      <c r="C1241" s="9">
        <f>IFERROR(AVERAGEIF(Levels!B:B,A1241,Levels!E:E),0)</f>
        <v>18.8</v>
      </c>
      <c r="D1241" s="9">
        <f>IFERROR(AVERAGEIF(Levels!B:B,A1241,Levels!F:F),0)</f>
        <v>7.75</v>
      </c>
      <c r="E1241" s="9">
        <f>_xlfn.MAXIFS(Levels!E:E,Levels!B:B,A1241)</f>
        <v>18.8</v>
      </c>
      <c r="F1241" s="9">
        <f>_xlfn.MAXIFS(Levels!F:F,Levels!B:B,A1241)</f>
        <v>7.75</v>
      </c>
    </row>
    <row r="1242" spans="1:6" x14ac:dyDescent="0.3">
      <c r="A1242" t="s">
        <v>5728</v>
      </c>
      <c r="B1242" s="6">
        <f>COUNTIF(Levels!B:B,A1242)</f>
        <v>1</v>
      </c>
      <c r="C1242" s="6">
        <f>IFERROR(AVERAGEIF(Levels!B:B,A1242,Levels!E:E),0)</f>
        <v>7.93</v>
      </c>
      <c r="D1242" s="6">
        <f>IFERROR(AVERAGEIF(Levels!B:B,A1242,Levels!F:F),0)</f>
        <v>7</v>
      </c>
      <c r="E1242" s="6">
        <f>_xlfn.MAXIFS(Levels!E:E,Levels!B:B,A1242)</f>
        <v>7.93</v>
      </c>
      <c r="F1242" s="6">
        <f>_xlfn.MAXIFS(Levels!F:F,Levels!B:B,A1242)</f>
        <v>7</v>
      </c>
    </row>
    <row r="1243" spans="1:6" x14ac:dyDescent="0.3">
      <c r="A1243" t="s">
        <v>5730</v>
      </c>
      <c r="B1243" s="9">
        <f>COUNTIF(Levels!B:B,A1243)</f>
        <v>5</v>
      </c>
      <c r="C1243" s="9">
        <f>IFERROR(AVERAGEIF(Levels!B:B,A1243,Levels!E:E),0)</f>
        <v>12.744999999999999</v>
      </c>
      <c r="D1243" s="9">
        <f>IFERROR(AVERAGEIF(Levels!B:B,A1243,Levels!F:F),0)</f>
        <v>6.7100000000000009</v>
      </c>
      <c r="E1243" s="9">
        <f>_xlfn.MAXIFS(Levels!E:E,Levels!B:B,A1243)</f>
        <v>21.4</v>
      </c>
      <c r="F1243" s="9">
        <f>_xlfn.MAXIFS(Levels!F:F,Levels!B:B,A1243)</f>
        <v>8</v>
      </c>
    </row>
    <row r="1244" spans="1:6" x14ac:dyDescent="0.3">
      <c r="A1244" t="s">
        <v>5733</v>
      </c>
      <c r="B1244" s="6">
        <f>COUNTIF(Levels!B:B,A1244)</f>
        <v>2</v>
      </c>
      <c r="C1244" s="6">
        <f>IFERROR(AVERAGEIF(Levels!B:B,A1244,Levels!E:E),0)</f>
        <v>4.34</v>
      </c>
      <c r="D1244" s="6">
        <f>IFERROR(AVERAGEIF(Levels!B:B,A1244,Levels!F:F),0)</f>
        <v>5.45</v>
      </c>
      <c r="E1244" s="6">
        <f>_xlfn.MAXIFS(Levels!E:E,Levels!B:B,A1244)</f>
        <v>5.6</v>
      </c>
      <c r="F1244" s="6">
        <f>_xlfn.MAXIFS(Levels!F:F,Levels!B:B,A1244)</f>
        <v>5.9</v>
      </c>
    </row>
    <row r="1245" spans="1:6" x14ac:dyDescent="0.3">
      <c r="A1245" t="s">
        <v>5738</v>
      </c>
      <c r="B1245" s="9">
        <f>COUNTIF(Levels!B:B,A1245)</f>
        <v>1</v>
      </c>
      <c r="C1245" s="9">
        <f>IFERROR(AVERAGEIF(Levels!B:B,A1245,Levels!E:E),0)</f>
        <v>1.8</v>
      </c>
      <c r="D1245" s="9">
        <f>IFERROR(AVERAGEIF(Levels!B:B,A1245,Levels!F:F),0)</f>
        <v>5.94</v>
      </c>
      <c r="E1245" s="9">
        <f>_xlfn.MAXIFS(Levels!E:E,Levels!B:B,A1245)</f>
        <v>1.8</v>
      </c>
      <c r="F1245" s="9">
        <f>_xlfn.MAXIFS(Levels!F:F,Levels!B:B,A1245)</f>
        <v>5.94</v>
      </c>
    </row>
    <row r="1246" spans="1:6" x14ac:dyDescent="0.3">
      <c r="A1246" t="s">
        <v>5741</v>
      </c>
      <c r="B1246" s="6">
        <f>COUNTIF(Levels!B:B,A1246)</f>
        <v>1</v>
      </c>
      <c r="C1246" s="6">
        <f>IFERROR(AVERAGEIF(Levels!B:B,A1246,Levels!E:E),0)</f>
        <v>2.93</v>
      </c>
      <c r="D1246" s="6">
        <f>IFERROR(AVERAGEIF(Levels!B:B,A1246,Levels!F:F),0)</f>
        <v>5.92</v>
      </c>
      <c r="E1246" s="6">
        <f>_xlfn.MAXIFS(Levels!E:E,Levels!B:B,A1246)</f>
        <v>2.93</v>
      </c>
      <c r="F1246" s="6">
        <f>_xlfn.MAXIFS(Levels!F:F,Levels!B:B,A1246)</f>
        <v>5.92</v>
      </c>
    </row>
    <row r="1247" spans="1:6" x14ac:dyDescent="0.3">
      <c r="A1247" t="s">
        <v>5744</v>
      </c>
      <c r="B1247" s="9">
        <f>COUNTIF(Levels!B:B,A1247)</f>
        <v>1</v>
      </c>
      <c r="C1247" s="9">
        <f>IFERROR(AVERAGEIF(Levels!B:B,A1247,Levels!E:E),0)</f>
        <v>32.5</v>
      </c>
      <c r="D1247" s="9">
        <f>IFERROR(AVERAGEIF(Levels!B:B,A1247,Levels!F:F),0)</f>
        <v>9</v>
      </c>
      <c r="E1247" s="9">
        <f>_xlfn.MAXIFS(Levels!E:E,Levels!B:B,A1247)</f>
        <v>32.5</v>
      </c>
      <c r="F1247" s="9">
        <f>_xlfn.MAXIFS(Levels!F:F,Levels!B:B,A1247)</f>
        <v>9</v>
      </c>
    </row>
    <row r="1248" spans="1:6" x14ac:dyDescent="0.3">
      <c r="A1248" t="s">
        <v>5746</v>
      </c>
      <c r="B1248" s="6">
        <f>COUNTIF(Levels!B:B,A1248)</f>
        <v>3</v>
      </c>
      <c r="C1248" s="6">
        <f>IFERROR(AVERAGEIF(Levels!B:B,A1248,Levels!E:E),0)</f>
        <v>4.5666666666666664</v>
      </c>
      <c r="D1248" s="6">
        <f>IFERROR(AVERAGEIF(Levels!B:B,A1248,Levels!F:F),0)</f>
        <v>6.0933333333333337</v>
      </c>
      <c r="E1248" s="6">
        <f>_xlfn.MAXIFS(Levels!E:E,Levels!B:B,A1248)</f>
        <v>8</v>
      </c>
      <c r="F1248" s="6">
        <f>_xlfn.MAXIFS(Levels!F:F,Levels!B:B,A1248)</f>
        <v>6.5</v>
      </c>
    </row>
    <row r="1249" spans="1:6" x14ac:dyDescent="0.3">
      <c r="A1249" t="s">
        <v>5754</v>
      </c>
      <c r="B1249" s="9">
        <f>COUNTIF(Levels!B:B,A1249)</f>
        <v>1</v>
      </c>
      <c r="C1249" s="9">
        <f>IFERROR(AVERAGEIF(Levels!B:B,A1249,Levels!E:E),0)</f>
        <v>6.29</v>
      </c>
      <c r="D1249" s="9">
        <f>IFERROR(AVERAGEIF(Levels!B:B,A1249,Levels!F:F),0)</f>
        <v>4</v>
      </c>
      <c r="E1249" s="9">
        <f>_xlfn.MAXIFS(Levels!E:E,Levels!B:B,A1249)</f>
        <v>6.29</v>
      </c>
      <c r="F1249" s="9">
        <f>_xlfn.MAXIFS(Levels!F:F,Levels!B:B,A1249)</f>
        <v>4</v>
      </c>
    </row>
    <row r="1250" spans="1:6" x14ac:dyDescent="0.3">
      <c r="A1250" t="s">
        <v>5758</v>
      </c>
      <c r="B1250" s="6">
        <f>COUNTIF(Levels!B:B,A1250)</f>
        <v>1</v>
      </c>
      <c r="C1250" s="6">
        <f>IFERROR(AVERAGEIF(Levels!B:B,A1250,Levels!E:E),0)</f>
        <v>24.5</v>
      </c>
      <c r="D1250" s="6">
        <f>IFERROR(AVERAGEIF(Levels!B:B,A1250,Levels!F:F),0)</f>
        <v>6.5</v>
      </c>
      <c r="E1250" s="6">
        <f>_xlfn.MAXIFS(Levels!E:E,Levels!B:B,A1250)</f>
        <v>24.5</v>
      </c>
      <c r="F1250" s="6">
        <f>_xlfn.MAXIFS(Levels!F:F,Levels!B:B,A1250)</f>
        <v>6.5</v>
      </c>
    </row>
    <row r="1251" spans="1:6" x14ac:dyDescent="0.3">
      <c r="A1251" t="s">
        <v>5760</v>
      </c>
      <c r="B1251" s="9">
        <f>COUNTIF(Levels!B:B,A1251)</f>
        <v>8</v>
      </c>
      <c r="C1251" s="9">
        <f>IFERROR(AVERAGEIF(Levels!B:B,A1251,Levels!E:E),0)</f>
        <v>10.104999999999999</v>
      </c>
      <c r="D1251" s="9">
        <f>IFERROR(AVERAGEIF(Levels!B:B,A1251,Levels!F:F),0)</f>
        <v>7.5525000000000002</v>
      </c>
      <c r="E1251" s="9">
        <f>_xlfn.MAXIFS(Levels!E:E,Levels!B:B,A1251)</f>
        <v>17.04</v>
      </c>
      <c r="F1251" s="9">
        <f>_xlfn.MAXIFS(Levels!F:F,Levels!B:B,A1251)</f>
        <v>8.5399999999999991</v>
      </c>
    </row>
    <row r="1252" spans="1:6" x14ac:dyDescent="0.3">
      <c r="A1252" t="s">
        <v>5763</v>
      </c>
      <c r="B1252" s="6">
        <f>COUNTIF(Levels!B:B,A1252)</f>
        <v>3</v>
      </c>
      <c r="C1252" s="6">
        <f>IFERROR(AVERAGEIF(Levels!B:B,A1252,Levels!E:E),0)</f>
        <v>5.4633333333333338</v>
      </c>
      <c r="D1252" s="6">
        <f>IFERROR(AVERAGEIF(Levels!B:B,A1252,Levels!F:F),0)</f>
        <v>7.4433333333333325</v>
      </c>
      <c r="E1252" s="6">
        <f>_xlfn.MAXIFS(Levels!E:E,Levels!B:B,A1252)</f>
        <v>9.35</v>
      </c>
      <c r="F1252" s="6">
        <f>_xlfn.MAXIFS(Levels!F:F,Levels!B:B,A1252)</f>
        <v>7.93</v>
      </c>
    </row>
    <row r="1253" spans="1:6" x14ac:dyDescent="0.3">
      <c r="A1253" t="s">
        <v>5767</v>
      </c>
      <c r="B1253" s="9">
        <f>COUNTIF(Levels!B:B,A1253)</f>
        <v>1</v>
      </c>
      <c r="C1253" s="9">
        <f>IFERROR(AVERAGEIF(Levels!B:B,A1253,Levels!E:E),0)</f>
        <v>13.33</v>
      </c>
      <c r="D1253" s="9">
        <f>IFERROR(AVERAGEIF(Levels!B:B,A1253,Levels!F:F),0)</f>
        <v>6.5</v>
      </c>
      <c r="E1253" s="9">
        <f>_xlfn.MAXIFS(Levels!E:E,Levels!B:B,A1253)</f>
        <v>13.33</v>
      </c>
      <c r="F1253" s="9">
        <f>_xlfn.MAXIFS(Levels!F:F,Levels!B:B,A1253)</f>
        <v>6.5</v>
      </c>
    </row>
    <row r="1254" spans="1:6" x14ac:dyDescent="0.3">
      <c r="A1254" t="s">
        <v>5771</v>
      </c>
      <c r="B1254" s="6">
        <f>COUNTIF(Levels!B:B,A1254)</f>
        <v>1</v>
      </c>
      <c r="C1254" s="6">
        <f>IFERROR(AVERAGEIF(Levels!B:B,A1254,Levels!E:E),0)</f>
        <v>9.2100000000000009</v>
      </c>
      <c r="D1254" s="6">
        <f>IFERROR(AVERAGEIF(Levels!B:B,A1254,Levels!F:F),0)</f>
        <v>6.1</v>
      </c>
      <c r="E1254" s="6">
        <f>_xlfn.MAXIFS(Levels!E:E,Levels!B:B,A1254)</f>
        <v>9.2100000000000009</v>
      </c>
      <c r="F1254" s="6">
        <f>_xlfn.MAXIFS(Levels!F:F,Levels!B:B,A1254)</f>
        <v>6.1</v>
      </c>
    </row>
    <row r="1255" spans="1:6" x14ac:dyDescent="0.3">
      <c r="A1255" t="s">
        <v>5775</v>
      </c>
      <c r="B1255" s="9">
        <f>COUNTIF(Levels!B:B,A1255)</f>
        <v>3</v>
      </c>
      <c r="C1255" s="9">
        <f>IFERROR(AVERAGEIF(Levels!B:B,A1255,Levels!E:E),0)</f>
        <v>10.773333333333333</v>
      </c>
      <c r="D1255" s="9">
        <f>IFERROR(AVERAGEIF(Levels!B:B,A1255,Levels!F:F),0)</f>
        <v>6.3</v>
      </c>
      <c r="E1255" s="9">
        <f>_xlfn.MAXIFS(Levels!E:E,Levels!B:B,A1255)</f>
        <v>17.27</v>
      </c>
      <c r="F1255" s="9">
        <f>_xlfn.MAXIFS(Levels!F:F,Levels!B:B,A1255)</f>
        <v>6.56</v>
      </c>
    </row>
    <row r="1256" spans="1:6" x14ac:dyDescent="0.3">
      <c r="A1256" t="s">
        <v>5777</v>
      </c>
      <c r="B1256" s="6">
        <f>COUNTIF(Levels!B:B,A1256)</f>
        <v>1</v>
      </c>
      <c r="C1256" s="6">
        <f>IFERROR(AVERAGEIF(Levels!B:B,A1256,Levels!E:E),0)</f>
        <v>4.47</v>
      </c>
      <c r="D1256" s="6">
        <f>IFERROR(AVERAGEIF(Levels!B:B,A1256,Levels!F:F),0)</f>
        <v>5.17</v>
      </c>
      <c r="E1256" s="6">
        <f>_xlfn.MAXIFS(Levels!E:E,Levels!B:B,A1256)</f>
        <v>4.47</v>
      </c>
      <c r="F1256" s="6">
        <f>_xlfn.MAXIFS(Levels!F:F,Levels!B:B,A1256)</f>
        <v>5.17</v>
      </c>
    </row>
    <row r="1257" spans="1:6" x14ac:dyDescent="0.3">
      <c r="A1257" t="s">
        <v>5782</v>
      </c>
      <c r="B1257" s="9">
        <f>COUNTIF(Levels!B:B,A1257)</f>
        <v>5</v>
      </c>
      <c r="C1257" s="9">
        <f>IFERROR(AVERAGEIF(Levels!B:B,A1257,Levels!E:E),0)</f>
        <v>6.3159999999999998</v>
      </c>
      <c r="D1257" s="9">
        <f>IFERROR(AVERAGEIF(Levels!B:B,A1257,Levels!F:F),0)</f>
        <v>5.5479999999999992</v>
      </c>
      <c r="E1257" s="9">
        <f>_xlfn.MAXIFS(Levels!E:E,Levels!B:B,A1257)</f>
        <v>12.27</v>
      </c>
      <c r="F1257" s="9">
        <f>_xlfn.MAXIFS(Levels!F:F,Levels!B:B,A1257)</f>
        <v>7.29</v>
      </c>
    </row>
    <row r="1258" spans="1:6" x14ac:dyDescent="0.3">
      <c r="A1258" t="s">
        <v>5784</v>
      </c>
      <c r="B1258" s="6">
        <f>COUNTIF(Levels!B:B,A1258)</f>
        <v>4</v>
      </c>
      <c r="C1258" s="6">
        <f>IFERROR(AVERAGEIF(Levels!B:B,A1258,Levels!E:E),0)</f>
        <v>10.012499999999999</v>
      </c>
      <c r="D1258" s="6">
        <f>IFERROR(AVERAGEIF(Levels!B:B,A1258,Levels!F:F),0)</f>
        <v>7.1275000000000004</v>
      </c>
      <c r="E1258" s="6">
        <f>_xlfn.MAXIFS(Levels!E:E,Levels!B:B,A1258)</f>
        <v>31.75</v>
      </c>
      <c r="F1258" s="6">
        <f>_xlfn.MAXIFS(Levels!F:F,Levels!B:B,A1258)</f>
        <v>8</v>
      </c>
    </row>
    <row r="1259" spans="1:6" x14ac:dyDescent="0.3">
      <c r="A1259" t="s">
        <v>5786</v>
      </c>
      <c r="B1259" s="9">
        <f>COUNTIF(Levels!B:B,A1259)</f>
        <v>1</v>
      </c>
      <c r="C1259" s="9">
        <f>IFERROR(AVERAGEIF(Levels!B:B,A1259,Levels!E:E),0)</f>
        <v>8.86</v>
      </c>
      <c r="D1259" s="9">
        <f>IFERROR(AVERAGEIF(Levels!B:B,A1259,Levels!F:F),0)</f>
        <v>7</v>
      </c>
      <c r="E1259" s="9">
        <f>_xlfn.MAXIFS(Levels!E:E,Levels!B:B,A1259)</f>
        <v>8.86</v>
      </c>
      <c r="F1259" s="9">
        <f>_xlfn.MAXIFS(Levels!F:F,Levels!B:B,A1259)</f>
        <v>7</v>
      </c>
    </row>
    <row r="1260" spans="1:6" x14ac:dyDescent="0.3">
      <c r="A1260" t="s">
        <v>5790</v>
      </c>
      <c r="B1260" s="6">
        <f>COUNTIF(Levels!B:B,A1260)</f>
        <v>12</v>
      </c>
      <c r="C1260" s="6">
        <f>IFERROR(AVERAGEIF(Levels!B:B,A1260,Levels!E:E),0)</f>
        <v>4.8083333333333336</v>
      </c>
      <c r="D1260" s="6">
        <f>IFERROR(AVERAGEIF(Levels!B:B,A1260,Levels!F:F),0)</f>
        <v>7.1308333333333325</v>
      </c>
      <c r="E1260" s="6">
        <f>_xlfn.MAXIFS(Levels!E:E,Levels!B:B,A1260)</f>
        <v>15.4</v>
      </c>
      <c r="F1260" s="6">
        <f>_xlfn.MAXIFS(Levels!F:F,Levels!B:B,A1260)</f>
        <v>8.33</v>
      </c>
    </row>
    <row r="1261" spans="1:6" x14ac:dyDescent="0.3">
      <c r="A1261" t="s">
        <v>5796</v>
      </c>
      <c r="B1261" s="9">
        <f>COUNTIF(Levels!B:B,A1261)</f>
        <v>6</v>
      </c>
      <c r="C1261" s="9">
        <f>IFERROR(AVERAGEIF(Levels!B:B,A1261,Levels!E:E),0)</f>
        <v>10.785000000000002</v>
      </c>
      <c r="D1261" s="9">
        <f>IFERROR(AVERAGEIF(Levels!B:B,A1261,Levels!F:F),0)</f>
        <v>7.2966666666666669</v>
      </c>
      <c r="E1261" s="9">
        <f>_xlfn.MAXIFS(Levels!E:E,Levels!B:B,A1261)</f>
        <v>21.92</v>
      </c>
      <c r="F1261" s="9">
        <f>_xlfn.MAXIFS(Levels!F:F,Levels!B:B,A1261)</f>
        <v>8.77</v>
      </c>
    </row>
    <row r="1262" spans="1:6" x14ac:dyDescent="0.3">
      <c r="A1262" t="s">
        <v>5799</v>
      </c>
      <c r="B1262" s="6">
        <f>COUNTIF(Levels!B:B,A1262)</f>
        <v>1</v>
      </c>
      <c r="C1262" s="6">
        <f>IFERROR(AVERAGEIF(Levels!B:B,A1262,Levels!E:E),0)</f>
        <v>5.13</v>
      </c>
      <c r="D1262" s="6">
        <f>IFERROR(AVERAGEIF(Levels!B:B,A1262,Levels!F:F),0)</f>
        <v>6</v>
      </c>
      <c r="E1262" s="6">
        <f>_xlfn.MAXIFS(Levels!E:E,Levels!B:B,A1262)</f>
        <v>5.13</v>
      </c>
      <c r="F1262" s="6">
        <f>_xlfn.MAXIFS(Levels!F:F,Levels!B:B,A1262)</f>
        <v>6</v>
      </c>
    </row>
    <row r="1263" spans="1:6" x14ac:dyDescent="0.3">
      <c r="A1263" t="s">
        <v>5802</v>
      </c>
      <c r="B1263" s="9">
        <f>COUNTIF(Levels!B:B,A1263)</f>
        <v>1</v>
      </c>
      <c r="C1263" s="9">
        <f>IFERROR(AVERAGEIF(Levels!B:B,A1263,Levels!E:E),0)</f>
        <v>1.94</v>
      </c>
      <c r="D1263" s="9">
        <f>IFERROR(AVERAGEIF(Levels!B:B,A1263,Levels!F:F),0)</f>
        <v>6.79</v>
      </c>
      <c r="E1263" s="9">
        <f>_xlfn.MAXIFS(Levels!E:E,Levels!B:B,A1263)</f>
        <v>1.94</v>
      </c>
      <c r="F1263" s="9">
        <f>_xlfn.MAXIFS(Levels!F:F,Levels!B:B,A1263)</f>
        <v>6.79</v>
      </c>
    </row>
    <row r="1264" spans="1:6" x14ac:dyDescent="0.3">
      <c r="A1264" t="s">
        <v>5805</v>
      </c>
      <c r="B1264" s="6">
        <f>COUNTIF(Levels!B:B,A1264)</f>
        <v>3</v>
      </c>
      <c r="C1264" s="6">
        <f>IFERROR(AVERAGEIF(Levels!B:B,A1264,Levels!E:E),0)</f>
        <v>7.0766666666666671</v>
      </c>
      <c r="D1264" s="6">
        <f>IFERROR(AVERAGEIF(Levels!B:B,A1264,Levels!F:F),0)</f>
        <v>6.9366666666666674</v>
      </c>
      <c r="E1264" s="6">
        <f>_xlfn.MAXIFS(Levels!E:E,Levels!B:B,A1264)</f>
        <v>11.75</v>
      </c>
      <c r="F1264" s="6">
        <f>_xlfn.MAXIFS(Levels!F:F,Levels!B:B,A1264)</f>
        <v>8.57</v>
      </c>
    </row>
    <row r="1265" spans="1:6" x14ac:dyDescent="0.3">
      <c r="A1265" t="s">
        <v>5815</v>
      </c>
      <c r="B1265" s="9">
        <f>COUNTIF(Levels!B:B,A1265)</f>
        <v>1</v>
      </c>
      <c r="C1265" s="9">
        <f>IFERROR(AVERAGEIF(Levels!B:B,A1265,Levels!E:E),0)</f>
        <v>15.24</v>
      </c>
      <c r="D1265" s="9">
        <f>IFERROR(AVERAGEIF(Levels!B:B,A1265,Levels!F:F),0)</f>
        <v>5.07</v>
      </c>
      <c r="E1265" s="9">
        <f>_xlfn.MAXIFS(Levels!E:E,Levels!B:B,A1265)</f>
        <v>15.24</v>
      </c>
      <c r="F1265" s="9">
        <f>_xlfn.MAXIFS(Levels!F:F,Levels!B:B,A1265)</f>
        <v>5.07</v>
      </c>
    </row>
    <row r="1266" spans="1:6" x14ac:dyDescent="0.3">
      <c r="A1266" t="s">
        <v>5826</v>
      </c>
      <c r="B1266" s="6">
        <f>COUNTIF(Levels!B:B,A1266)</f>
        <v>1</v>
      </c>
      <c r="C1266" s="6">
        <f>IFERROR(AVERAGEIF(Levels!B:B,A1266,Levels!E:E),0)</f>
        <v>20.73</v>
      </c>
      <c r="D1266" s="6">
        <f>IFERROR(AVERAGEIF(Levels!B:B,A1266,Levels!F:F),0)</f>
        <v>7.38</v>
      </c>
      <c r="E1266" s="6">
        <f>_xlfn.MAXIFS(Levels!E:E,Levels!B:B,A1266)</f>
        <v>20.73</v>
      </c>
      <c r="F1266" s="6">
        <f>_xlfn.MAXIFS(Levels!F:F,Levels!B:B,A1266)</f>
        <v>7.38</v>
      </c>
    </row>
    <row r="1267" spans="1:6" x14ac:dyDescent="0.3">
      <c r="A1267" t="s">
        <v>5848</v>
      </c>
      <c r="B1267" s="9">
        <f>COUNTIF(Levels!B:B,A1267)</f>
        <v>1</v>
      </c>
      <c r="C1267" s="9">
        <f>IFERROR(AVERAGEIF(Levels!B:B,A1267,Levels!E:E),0)</f>
        <v>2.84</v>
      </c>
      <c r="D1267" s="9">
        <f>IFERROR(AVERAGEIF(Levels!B:B,A1267,Levels!F:F),0)</f>
        <v>7.27</v>
      </c>
      <c r="E1267" s="9">
        <f>_xlfn.MAXIFS(Levels!E:E,Levels!B:B,A1267)</f>
        <v>2.84</v>
      </c>
      <c r="F1267" s="9">
        <f>_xlfn.MAXIFS(Levels!F:F,Levels!B:B,A1267)</f>
        <v>7.27</v>
      </c>
    </row>
    <row r="1268" spans="1:6" x14ac:dyDescent="0.3">
      <c r="A1268" t="s">
        <v>5858</v>
      </c>
      <c r="B1268" s="6">
        <f>COUNTIF(Levels!B:B,A1268)</f>
        <v>1</v>
      </c>
      <c r="C1268" s="6">
        <f>IFERROR(AVERAGEIF(Levels!B:B,A1268,Levels!E:E),0)</f>
        <v>18</v>
      </c>
      <c r="D1268" s="6">
        <f>IFERROR(AVERAGEIF(Levels!B:B,A1268,Levels!F:F),0)</f>
        <v>8</v>
      </c>
      <c r="E1268" s="6">
        <f>_xlfn.MAXIFS(Levels!E:E,Levels!B:B,A1268)</f>
        <v>18</v>
      </c>
      <c r="F1268" s="6">
        <f>_xlfn.MAXIFS(Levels!F:F,Levels!B:B,A1268)</f>
        <v>8</v>
      </c>
    </row>
    <row r="1269" spans="1:6" x14ac:dyDescent="0.3">
      <c r="A1269" t="s">
        <v>5862</v>
      </c>
      <c r="B1269" s="9">
        <f>COUNTIF(Levels!B:B,A1269)</f>
        <v>1</v>
      </c>
      <c r="C1269" s="9">
        <f>IFERROR(AVERAGEIF(Levels!B:B,A1269,Levels!E:E),0)</f>
        <v>21.77</v>
      </c>
      <c r="D1269" s="9">
        <f>IFERROR(AVERAGEIF(Levels!B:B,A1269,Levels!F:F),0)</f>
        <v>5.27</v>
      </c>
      <c r="E1269" s="9">
        <f>_xlfn.MAXIFS(Levels!E:E,Levels!B:B,A1269)</f>
        <v>21.77</v>
      </c>
      <c r="F1269" s="9">
        <f>_xlfn.MAXIFS(Levels!F:F,Levels!B:B,A1269)</f>
        <v>5.27</v>
      </c>
    </row>
    <row r="1270" spans="1:6" x14ac:dyDescent="0.3">
      <c r="A1270" t="s">
        <v>5865</v>
      </c>
      <c r="B1270" s="6">
        <f>COUNTIF(Levels!B:B,A1270)</f>
        <v>1</v>
      </c>
      <c r="C1270" s="6">
        <f>IFERROR(AVERAGEIF(Levels!B:B,A1270,Levels!E:E),0)</f>
        <v>3</v>
      </c>
      <c r="D1270" s="6">
        <f>IFERROR(AVERAGEIF(Levels!B:B,A1270,Levels!F:F),0)</f>
        <v>6.78</v>
      </c>
      <c r="E1270" s="6">
        <f>_xlfn.MAXIFS(Levels!E:E,Levels!B:B,A1270)</f>
        <v>3</v>
      </c>
      <c r="F1270" s="6">
        <f>_xlfn.MAXIFS(Levels!F:F,Levels!B:B,A1270)</f>
        <v>6.78</v>
      </c>
    </row>
    <row r="1271" spans="1:6" x14ac:dyDescent="0.3">
      <c r="A1271" t="s">
        <v>5870</v>
      </c>
      <c r="B1271" s="9">
        <f>COUNTIF(Levels!B:B,A1271)</f>
        <v>1</v>
      </c>
      <c r="C1271" s="9">
        <f>IFERROR(AVERAGEIF(Levels!B:B,A1271,Levels!E:E),0)</f>
        <v>21.71</v>
      </c>
      <c r="D1271" s="9">
        <f>IFERROR(AVERAGEIF(Levels!B:B,A1271,Levels!F:F),0)</f>
        <v>8.57</v>
      </c>
      <c r="E1271" s="9">
        <f>_xlfn.MAXIFS(Levels!E:E,Levels!B:B,A1271)</f>
        <v>21.71</v>
      </c>
      <c r="F1271" s="9">
        <f>_xlfn.MAXIFS(Levels!F:F,Levels!B:B,A1271)</f>
        <v>8.57</v>
      </c>
    </row>
    <row r="1272" spans="1:6" x14ac:dyDescent="0.3">
      <c r="A1272" t="s">
        <v>5875</v>
      </c>
      <c r="B1272" s="6">
        <f>COUNTIF(Levels!B:B,A1272)</f>
        <v>1</v>
      </c>
      <c r="C1272" s="6">
        <f>IFERROR(AVERAGEIF(Levels!B:B,A1272,Levels!E:E),0)</f>
        <v>14.75</v>
      </c>
      <c r="D1272" s="6">
        <f>IFERROR(AVERAGEIF(Levels!B:B,A1272,Levels!F:F),0)</f>
        <v>5.47</v>
      </c>
      <c r="E1272" s="6">
        <f>_xlfn.MAXIFS(Levels!E:E,Levels!B:B,A1272)</f>
        <v>14.75</v>
      </c>
      <c r="F1272" s="6">
        <f>_xlfn.MAXIFS(Levels!F:F,Levels!B:B,A1272)</f>
        <v>5.47</v>
      </c>
    </row>
    <row r="1273" spans="1:6" x14ac:dyDescent="0.3">
      <c r="A1273" t="s">
        <v>5877</v>
      </c>
      <c r="B1273" s="9">
        <f>COUNTIF(Levels!B:B,A1273)</f>
        <v>4</v>
      </c>
      <c r="C1273" s="9">
        <f>IFERROR(AVERAGEIF(Levels!B:B,A1273,Levels!E:E),0)</f>
        <v>11.0975</v>
      </c>
      <c r="D1273" s="9">
        <f>IFERROR(AVERAGEIF(Levels!B:B,A1273,Levels!F:F),0)</f>
        <v>6.8250000000000002</v>
      </c>
      <c r="E1273" s="9">
        <f>_xlfn.MAXIFS(Levels!E:E,Levels!B:B,A1273)</f>
        <v>14.32</v>
      </c>
      <c r="F1273" s="9">
        <f>_xlfn.MAXIFS(Levels!F:F,Levels!B:B,A1273)</f>
        <v>7.69</v>
      </c>
    </row>
    <row r="1274" spans="1:6" x14ac:dyDescent="0.3">
      <c r="A1274" t="s">
        <v>5879</v>
      </c>
      <c r="B1274" s="6">
        <f>COUNTIF(Levels!B:B,A1274)</f>
        <v>3</v>
      </c>
      <c r="C1274" s="6">
        <f>IFERROR(AVERAGEIF(Levels!B:B,A1274,Levels!E:E),0)</f>
        <v>17</v>
      </c>
      <c r="D1274" s="6">
        <f>IFERROR(AVERAGEIF(Levels!B:B,A1274,Levels!F:F),0)</f>
        <v>5.165</v>
      </c>
      <c r="E1274" s="6">
        <f>_xlfn.MAXIFS(Levels!E:E,Levels!B:B,A1274)</f>
        <v>17</v>
      </c>
      <c r="F1274" s="6">
        <f>_xlfn.MAXIFS(Levels!F:F,Levels!B:B,A1274)</f>
        <v>5.33</v>
      </c>
    </row>
    <row r="1275" spans="1:6" x14ac:dyDescent="0.3">
      <c r="A1275" t="s">
        <v>5882</v>
      </c>
      <c r="B1275" s="9">
        <f>COUNTIF(Levels!B:B,A1275)</f>
        <v>1</v>
      </c>
      <c r="C1275" s="9">
        <f>IFERROR(AVERAGEIF(Levels!B:B,A1275,Levels!E:E),0)</f>
        <v>4.5999999999999996</v>
      </c>
      <c r="D1275" s="9">
        <f>IFERROR(AVERAGEIF(Levels!B:B,A1275,Levels!F:F),0)</f>
        <v>6.8</v>
      </c>
      <c r="E1275" s="9">
        <f>_xlfn.MAXIFS(Levels!E:E,Levels!B:B,A1275)</f>
        <v>4.5999999999999996</v>
      </c>
      <c r="F1275" s="9">
        <f>_xlfn.MAXIFS(Levels!F:F,Levels!B:B,A1275)</f>
        <v>6.8</v>
      </c>
    </row>
    <row r="1276" spans="1:6" x14ac:dyDescent="0.3">
      <c r="A1276" t="s">
        <v>5884</v>
      </c>
      <c r="B1276" s="6">
        <f>COUNTIF(Levels!B:B,A1276)</f>
        <v>2</v>
      </c>
      <c r="C1276" s="6">
        <f>IFERROR(AVERAGEIF(Levels!B:B,A1276,Levels!E:E),0)</f>
        <v>3.1100000000000003</v>
      </c>
      <c r="D1276" s="6">
        <f>IFERROR(AVERAGEIF(Levels!B:B,A1276,Levels!F:F),0)</f>
        <v>7.42</v>
      </c>
      <c r="E1276" s="6">
        <f>_xlfn.MAXIFS(Levels!E:E,Levels!B:B,A1276)</f>
        <v>3.22</v>
      </c>
      <c r="F1276" s="6">
        <f>_xlfn.MAXIFS(Levels!F:F,Levels!B:B,A1276)</f>
        <v>7.52</v>
      </c>
    </row>
    <row r="1277" spans="1:6" x14ac:dyDescent="0.3">
      <c r="A1277" t="s">
        <v>5890</v>
      </c>
      <c r="B1277" s="9">
        <f>COUNTIF(Levels!B:B,A1277)</f>
        <v>6</v>
      </c>
      <c r="C1277" s="9">
        <f>IFERROR(AVERAGEIF(Levels!B:B,A1277,Levels!E:E),0)</f>
        <v>7.711666666666666</v>
      </c>
      <c r="D1277" s="9">
        <f>IFERROR(AVERAGEIF(Levels!B:B,A1277,Levels!F:F),0)</f>
        <v>6.3183333333333325</v>
      </c>
      <c r="E1277" s="9">
        <f>_xlfn.MAXIFS(Levels!E:E,Levels!B:B,A1277)</f>
        <v>18.2</v>
      </c>
      <c r="F1277" s="9">
        <f>_xlfn.MAXIFS(Levels!F:F,Levels!B:B,A1277)</f>
        <v>7.18</v>
      </c>
    </row>
    <row r="1278" spans="1:6" x14ac:dyDescent="0.3">
      <c r="A1278" t="s">
        <v>5898</v>
      </c>
      <c r="B1278" s="6">
        <f>COUNTIF(Levels!B:B,A1278)</f>
        <v>1</v>
      </c>
      <c r="C1278" s="6">
        <f>IFERROR(AVERAGEIF(Levels!B:B,A1278,Levels!E:E),0)</f>
        <v>0</v>
      </c>
      <c r="D1278" s="6">
        <f>IFERROR(AVERAGEIF(Levels!B:B,A1278,Levels!F:F),0)</f>
        <v>0</v>
      </c>
      <c r="E1278" s="6">
        <f>_xlfn.MAXIFS(Levels!E:E,Levels!B:B,A1278)</f>
        <v>0</v>
      </c>
      <c r="F1278" s="6">
        <f>_xlfn.MAXIFS(Levels!F:F,Levels!B:B,A1278)</f>
        <v>0</v>
      </c>
    </row>
    <row r="1279" spans="1:6" x14ac:dyDescent="0.3">
      <c r="A1279" t="s">
        <v>5900</v>
      </c>
      <c r="B1279" s="9">
        <f>COUNTIF(Levels!B:B,A1279)</f>
        <v>6</v>
      </c>
      <c r="C1279" s="9">
        <f>IFERROR(AVERAGEIF(Levels!B:B,A1279,Levels!E:E),0)</f>
        <v>8.8983333333333334</v>
      </c>
      <c r="D1279" s="9">
        <f>IFERROR(AVERAGEIF(Levels!B:B,A1279,Levels!F:F),0)</f>
        <v>7.2649999999999997</v>
      </c>
      <c r="E1279" s="9">
        <f>_xlfn.MAXIFS(Levels!E:E,Levels!B:B,A1279)</f>
        <v>15.16</v>
      </c>
      <c r="F1279" s="9">
        <f>_xlfn.MAXIFS(Levels!F:F,Levels!B:B,A1279)</f>
        <v>8.51</v>
      </c>
    </row>
    <row r="1280" spans="1:6" x14ac:dyDescent="0.3">
      <c r="A1280" t="s">
        <v>5901</v>
      </c>
      <c r="B1280" s="6">
        <f>COUNTIF(Levels!B:B,A1280)</f>
        <v>2</v>
      </c>
      <c r="C1280" s="6">
        <f>IFERROR(AVERAGEIF(Levels!B:B,A1280,Levels!E:E),0)</f>
        <v>13.379999999999999</v>
      </c>
      <c r="D1280" s="6">
        <f>IFERROR(AVERAGEIF(Levels!B:B,A1280,Levels!F:F),0)</f>
        <v>3.0550000000000002</v>
      </c>
      <c r="E1280" s="6">
        <f>_xlfn.MAXIFS(Levels!E:E,Levels!B:B,A1280)</f>
        <v>23.5</v>
      </c>
      <c r="F1280" s="6">
        <f>_xlfn.MAXIFS(Levels!F:F,Levels!B:B,A1280)</f>
        <v>6.11</v>
      </c>
    </row>
    <row r="1281" spans="1:6" x14ac:dyDescent="0.3">
      <c r="A1281" t="s">
        <v>5908</v>
      </c>
      <c r="B1281" s="9">
        <f>COUNTIF(Levels!B:B,A1281)</f>
        <v>3</v>
      </c>
      <c r="C1281" s="9">
        <f>IFERROR(AVERAGEIF(Levels!B:B,A1281,Levels!E:E),0)</f>
        <v>13.969999999999999</v>
      </c>
      <c r="D1281" s="9">
        <f>IFERROR(AVERAGEIF(Levels!B:B,A1281,Levels!F:F),0)</f>
        <v>6.27</v>
      </c>
      <c r="E1281" s="9">
        <f>_xlfn.MAXIFS(Levels!E:E,Levels!B:B,A1281)</f>
        <v>26</v>
      </c>
      <c r="F1281" s="9">
        <f>_xlfn.MAXIFS(Levels!F:F,Levels!B:B,A1281)</f>
        <v>7</v>
      </c>
    </row>
    <row r="1282" spans="1:6" x14ac:dyDescent="0.3">
      <c r="A1282" t="s">
        <v>5915</v>
      </c>
      <c r="B1282" s="6">
        <f>COUNTIF(Levels!B:B,A1282)</f>
        <v>6</v>
      </c>
      <c r="C1282" s="6">
        <f>IFERROR(AVERAGEIF(Levels!B:B,A1282,Levels!E:E),0)</f>
        <v>17.271666666666668</v>
      </c>
      <c r="D1282" s="6">
        <f>IFERROR(AVERAGEIF(Levels!B:B,A1282,Levels!F:F),0)</f>
        <v>5.9016666666666664</v>
      </c>
      <c r="E1282" s="6">
        <f>_xlfn.MAXIFS(Levels!E:E,Levels!B:B,A1282)</f>
        <v>22</v>
      </c>
      <c r="F1282" s="6">
        <f>_xlfn.MAXIFS(Levels!F:F,Levels!B:B,A1282)</f>
        <v>8.1999999999999993</v>
      </c>
    </row>
    <row r="1283" spans="1:6" x14ac:dyDescent="0.3">
      <c r="A1283" t="s">
        <v>5917</v>
      </c>
      <c r="B1283" s="9">
        <f>COUNTIF(Levels!B:B,A1283)</f>
        <v>2</v>
      </c>
      <c r="C1283" s="9">
        <f>IFERROR(AVERAGEIF(Levels!B:B,A1283,Levels!E:E),0)</f>
        <v>17.23</v>
      </c>
      <c r="D1283" s="9">
        <f>IFERROR(AVERAGEIF(Levels!B:B,A1283,Levels!F:F),0)</f>
        <v>6.8249999999999993</v>
      </c>
      <c r="E1283" s="9">
        <f>_xlfn.MAXIFS(Levels!E:E,Levels!B:B,A1283)</f>
        <v>20.8</v>
      </c>
      <c r="F1283" s="9">
        <f>_xlfn.MAXIFS(Levels!F:F,Levels!B:B,A1283)</f>
        <v>7.35</v>
      </c>
    </row>
    <row r="1284" spans="1:6" x14ac:dyDescent="0.3">
      <c r="A1284" t="s">
        <v>5921</v>
      </c>
      <c r="B1284" s="6">
        <f>COUNTIF(Levels!B:B,A1284)</f>
        <v>1</v>
      </c>
      <c r="C1284" s="6">
        <f>IFERROR(AVERAGEIF(Levels!B:B,A1284,Levels!E:E),0)</f>
        <v>8.74</v>
      </c>
      <c r="D1284" s="6">
        <f>IFERROR(AVERAGEIF(Levels!B:B,A1284,Levels!F:F),0)</f>
        <v>6.5</v>
      </c>
      <c r="E1284" s="6">
        <f>_xlfn.MAXIFS(Levels!E:E,Levels!B:B,A1284)</f>
        <v>8.74</v>
      </c>
      <c r="F1284" s="6">
        <f>_xlfn.MAXIFS(Levels!F:F,Levels!B:B,A1284)</f>
        <v>6.5</v>
      </c>
    </row>
    <row r="1285" spans="1:6" x14ac:dyDescent="0.3">
      <c r="A1285" t="s">
        <v>5928</v>
      </c>
      <c r="B1285" s="9">
        <f>COUNTIF(Levels!B:B,A1285)</f>
        <v>11</v>
      </c>
      <c r="C1285" s="9">
        <f>IFERROR(AVERAGEIF(Levels!B:B,A1285,Levels!E:E),0)</f>
        <v>7.5027272727272729</v>
      </c>
      <c r="D1285" s="9">
        <f>IFERROR(AVERAGEIF(Levels!B:B,A1285,Levels!F:F),0)</f>
        <v>6.9781818181818185</v>
      </c>
      <c r="E1285" s="9">
        <f>_xlfn.MAXIFS(Levels!E:E,Levels!B:B,A1285)</f>
        <v>22</v>
      </c>
      <c r="F1285" s="9">
        <f>_xlfn.MAXIFS(Levels!F:F,Levels!B:B,A1285)</f>
        <v>9.3800000000000008</v>
      </c>
    </row>
    <row r="1286" spans="1:6" x14ac:dyDescent="0.3">
      <c r="A1286" t="s">
        <v>5931</v>
      </c>
      <c r="B1286" s="6">
        <f>COUNTIF(Levels!B:B,A1286)</f>
        <v>1</v>
      </c>
      <c r="C1286" s="6">
        <f>IFERROR(AVERAGEIF(Levels!B:B,A1286,Levels!E:E),0)</f>
        <v>18.399999999999999</v>
      </c>
      <c r="D1286" s="6">
        <f>IFERROR(AVERAGEIF(Levels!B:B,A1286,Levels!F:F),0)</f>
        <v>1.8</v>
      </c>
      <c r="E1286" s="6">
        <f>_xlfn.MAXIFS(Levels!E:E,Levels!B:B,A1286)</f>
        <v>18.399999999999999</v>
      </c>
      <c r="F1286" s="6">
        <f>_xlfn.MAXIFS(Levels!F:F,Levels!B:B,A1286)</f>
        <v>1.8</v>
      </c>
    </row>
    <row r="1287" spans="1:6" x14ac:dyDescent="0.3">
      <c r="A1287" t="s">
        <v>5947</v>
      </c>
      <c r="B1287" s="9">
        <f>COUNTIF(Levels!B:B,A1287)</f>
        <v>1</v>
      </c>
      <c r="C1287" s="9">
        <f>IFERROR(AVERAGEIF(Levels!B:B,A1287,Levels!E:E),0)</f>
        <v>2.09</v>
      </c>
      <c r="D1287" s="9">
        <f>IFERROR(AVERAGEIF(Levels!B:B,A1287,Levels!F:F),0)</f>
        <v>6.32</v>
      </c>
      <c r="E1287" s="9">
        <f>_xlfn.MAXIFS(Levels!E:E,Levels!B:B,A1287)</f>
        <v>2.09</v>
      </c>
      <c r="F1287" s="9">
        <f>_xlfn.MAXIFS(Levels!F:F,Levels!B:B,A1287)</f>
        <v>6.32</v>
      </c>
    </row>
    <row r="1288" spans="1:6" x14ac:dyDescent="0.3">
      <c r="A1288" t="s">
        <v>5952</v>
      </c>
      <c r="B1288" s="6">
        <f>COUNTIF(Levels!B:B,A1288)</f>
        <v>1</v>
      </c>
      <c r="C1288" s="6">
        <f>IFERROR(AVERAGEIF(Levels!B:B,A1288,Levels!E:E),0)</f>
        <v>8.3699999999999992</v>
      </c>
      <c r="D1288" s="6">
        <f>IFERROR(AVERAGEIF(Levels!B:B,A1288,Levels!F:F),0)</f>
        <v>6.25</v>
      </c>
      <c r="E1288" s="6">
        <f>_xlfn.MAXIFS(Levels!E:E,Levels!B:B,A1288)</f>
        <v>8.3699999999999992</v>
      </c>
      <c r="F1288" s="6">
        <f>_xlfn.MAXIFS(Levels!F:F,Levels!B:B,A1288)</f>
        <v>6.25</v>
      </c>
    </row>
    <row r="1289" spans="1:6" x14ac:dyDescent="0.3">
      <c r="A1289" t="s">
        <v>5961</v>
      </c>
      <c r="B1289" s="9">
        <f>COUNTIF(Levels!B:B,A1289)</f>
        <v>2</v>
      </c>
      <c r="C1289" s="9">
        <f>IFERROR(AVERAGEIF(Levels!B:B,A1289,Levels!E:E),0)</f>
        <v>26.5</v>
      </c>
      <c r="D1289" s="9">
        <f>IFERROR(AVERAGEIF(Levels!B:B,A1289,Levels!F:F),0)</f>
        <v>7.3</v>
      </c>
      <c r="E1289" s="9">
        <f>_xlfn.MAXIFS(Levels!E:E,Levels!B:B,A1289)</f>
        <v>29</v>
      </c>
      <c r="F1289" s="9">
        <f>_xlfn.MAXIFS(Levels!F:F,Levels!B:B,A1289)</f>
        <v>7.5</v>
      </c>
    </row>
    <row r="1290" spans="1:6" x14ac:dyDescent="0.3">
      <c r="A1290" t="s">
        <v>5963</v>
      </c>
      <c r="B1290" s="6">
        <f>COUNTIF(Levels!B:B,A1290)</f>
        <v>2</v>
      </c>
      <c r="C1290" s="6">
        <f>IFERROR(AVERAGEIF(Levels!B:B,A1290,Levels!E:E),0)</f>
        <v>24.865000000000002</v>
      </c>
      <c r="D1290" s="6">
        <f>IFERROR(AVERAGEIF(Levels!B:B,A1290,Levels!F:F),0)</f>
        <v>7.98</v>
      </c>
      <c r="E1290" s="6">
        <f>_xlfn.MAXIFS(Levels!E:E,Levels!B:B,A1290)</f>
        <v>34</v>
      </c>
      <c r="F1290" s="6">
        <f>_xlfn.MAXIFS(Levels!F:F,Levels!B:B,A1290)</f>
        <v>8.14</v>
      </c>
    </row>
    <row r="1291" spans="1:6" x14ac:dyDescent="0.3">
      <c r="A1291" t="s">
        <v>5966</v>
      </c>
      <c r="B1291" s="9">
        <f>COUNTIF(Levels!B:B,A1291)</f>
        <v>1</v>
      </c>
      <c r="C1291" s="9">
        <f>IFERROR(AVERAGEIF(Levels!B:B,A1291,Levels!E:E),0)</f>
        <v>2.89</v>
      </c>
      <c r="D1291" s="9">
        <f>IFERROR(AVERAGEIF(Levels!B:B,A1291,Levels!F:F),0)</f>
        <v>4.57</v>
      </c>
      <c r="E1291" s="9">
        <f>_xlfn.MAXIFS(Levels!E:E,Levels!B:B,A1291)</f>
        <v>2.89</v>
      </c>
      <c r="F1291" s="9">
        <f>_xlfn.MAXIFS(Levels!F:F,Levels!B:B,A1291)</f>
        <v>4.57</v>
      </c>
    </row>
    <row r="1292" spans="1:6" x14ac:dyDescent="0.3">
      <c r="A1292" t="s">
        <v>5969</v>
      </c>
      <c r="B1292" s="6">
        <f>COUNTIF(Levels!B:B,A1292)</f>
        <v>1</v>
      </c>
      <c r="C1292" s="6">
        <f>IFERROR(AVERAGEIF(Levels!B:B,A1292,Levels!E:E),0)</f>
        <v>2.6</v>
      </c>
      <c r="D1292" s="6">
        <f>IFERROR(AVERAGEIF(Levels!B:B,A1292,Levels!F:F),0)</f>
        <v>7</v>
      </c>
      <c r="E1292" s="6">
        <f>_xlfn.MAXIFS(Levels!E:E,Levels!B:B,A1292)</f>
        <v>2.6</v>
      </c>
      <c r="F1292" s="6">
        <f>_xlfn.MAXIFS(Levels!F:F,Levels!B:B,A1292)</f>
        <v>7</v>
      </c>
    </row>
    <row r="1293" spans="1:6" x14ac:dyDescent="0.3">
      <c r="A1293" t="s">
        <v>5975</v>
      </c>
      <c r="B1293" s="9">
        <f>COUNTIF(Levels!B:B,A1293)</f>
        <v>6</v>
      </c>
      <c r="C1293" s="9">
        <f>IFERROR(AVERAGEIF(Levels!B:B,A1293,Levels!E:E),0)</f>
        <v>6.3999999999999995</v>
      </c>
      <c r="D1293" s="9">
        <f>IFERROR(AVERAGEIF(Levels!B:B,A1293,Levels!F:F),0)</f>
        <v>6.5666666666666664</v>
      </c>
      <c r="E1293" s="9">
        <f>_xlfn.MAXIFS(Levels!E:E,Levels!B:B,A1293)</f>
        <v>13.25</v>
      </c>
      <c r="F1293" s="9">
        <f>_xlfn.MAXIFS(Levels!F:F,Levels!B:B,A1293)</f>
        <v>7.85</v>
      </c>
    </row>
    <row r="1294" spans="1:6" x14ac:dyDescent="0.3">
      <c r="A1294" t="s">
        <v>5981</v>
      </c>
      <c r="B1294" s="6">
        <f>COUNTIF(Levels!B:B,A1294)</f>
        <v>1</v>
      </c>
      <c r="C1294" s="6">
        <f>IFERROR(AVERAGEIF(Levels!B:B,A1294,Levels!E:E),0)</f>
        <v>15.08</v>
      </c>
      <c r="D1294" s="6">
        <f>IFERROR(AVERAGEIF(Levels!B:B,A1294,Levels!F:F),0)</f>
        <v>5.64</v>
      </c>
      <c r="E1294" s="6">
        <f>_xlfn.MAXIFS(Levels!E:E,Levels!B:B,A1294)</f>
        <v>15.08</v>
      </c>
      <c r="F1294" s="6">
        <f>_xlfn.MAXIFS(Levels!F:F,Levels!B:B,A1294)</f>
        <v>5.64</v>
      </c>
    </row>
    <row r="1295" spans="1:6" x14ac:dyDescent="0.3">
      <c r="A1295" t="s">
        <v>5986</v>
      </c>
      <c r="B1295" s="9">
        <f>COUNTIF(Levels!B:B,A1295)</f>
        <v>1</v>
      </c>
      <c r="C1295" s="9">
        <f>IFERROR(AVERAGEIF(Levels!B:B,A1295,Levels!E:E),0)</f>
        <v>6.8</v>
      </c>
      <c r="D1295" s="9">
        <f>IFERROR(AVERAGEIF(Levels!B:B,A1295,Levels!F:F),0)</f>
        <v>6.33</v>
      </c>
      <c r="E1295" s="9">
        <f>_xlfn.MAXIFS(Levels!E:E,Levels!B:B,A1295)</f>
        <v>6.8</v>
      </c>
      <c r="F1295" s="9">
        <f>_xlfn.MAXIFS(Levels!F:F,Levels!B:B,A1295)</f>
        <v>6.33</v>
      </c>
    </row>
    <row r="1296" spans="1:6" x14ac:dyDescent="0.3">
      <c r="A1296" t="s">
        <v>5995</v>
      </c>
      <c r="B1296" s="6">
        <f>COUNTIF(Levels!B:B,A1296)</f>
        <v>1</v>
      </c>
      <c r="C1296" s="6">
        <f>IFERROR(AVERAGEIF(Levels!B:B,A1296,Levels!E:E),0)</f>
        <v>24.37</v>
      </c>
      <c r="D1296" s="6">
        <f>IFERROR(AVERAGEIF(Levels!B:B,A1296,Levels!F:F),0)</f>
        <v>6.75</v>
      </c>
      <c r="E1296" s="6">
        <f>_xlfn.MAXIFS(Levels!E:E,Levels!B:B,A1296)</f>
        <v>24.37</v>
      </c>
      <c r="F1296" s="6">
        <f>_xlfn.MAXIFS(Levels!F:F,Levels!B:B,A1296)</f>
        <v>6.75</v>
      </c>
    </row>
    <row r="1297" spans="1:6" x14ac:dyDescent="0.3">
      <c r="A1297" t="s">
        <v>5997</v>
      </c>
      <c r="B1297" s="9">
        <f>COUNTIF(Levels!B:B,A1297)</f>
        <v>1</v>
      </c>
      <c r="C1297" s="9">
        <f>IFERROR(AVERAGEIF(Levels!B:B,A1297,Levels!E:E),0)</f>
        <v>8</v>
      </c>
      <c r="D1297" s="9">
        <f>IFERROR(AVERAGEIF(Levels!B:B,A1297,Levels!F:F),0)</f>
        <v>6.13</v>
      </c>
      <c r="E1297" s="9">
        <f>_xlfn.MAXIFS(Levels!E:E,Levels!B:B,A1297)</f>
        <v>8</v>
      </c>
      <c r="F1297" s="9">
        <f>_xlfn.MAXIFS(Levels!F:F,Levels!B:B,A1297)</f>
        <v>6.13</v>
      </c>
    </row>
    <row r="1298" spans="1:6" x14ac:dyDescent="0.3">
      <c r="A1298" t="s">
        <v>6002</v>
      </c>
      <c r="B1298" s="6">
        <f>COUNTIF(Levels!B:B,A1298)</f>
        <v>7</v>
      </c>
      <c r="C1298" s="6">
        <f>IFERROR(AVERAGEIF(Levels!B:B,A1298,Levels!E:E),0)</f>
        <v>4.6483333333333334</v>
      </c>
      <c r="D1298" s="6">
        <f>IFERROR(AVERAGEIF(Levels!B:B,A1298,Levels!F:F),0)</f>
        <v>6.9242857142857144</v>
      </c>
      <c r="E1298" s="6">
        <f>_xlfn.MAXIFS(Levels!E:E,Levels!B:B,A1298)</f>
        <v>6.58</v>
      </c>
      <c r="F1298" s="6">
        <f>_xlfn.MAXIFS(Levels!F:F,Levels!B:B,A1298)</f>
        <v>7.83</v>
      </c>
    </row>
    <row r="1299" spans="1:6" x14ac:dyDescent="0.3">
      <c r="A1299" t="s">
        <v>6006</v>
      </c>
      <c r="B1299" s="9">
        <f>COUNTIF(Levels!B:B,A1299)</f>
        <v>1</v>
      </c>
      <c r="C1299" s="9">
        <f>IFERROR(AVERAGEIF(Levels!B:B,A1299,Levels!E:E),0)</f>
        <v>8.33</v>
      </c>
      <c r="D1299" s="9">
        <f>IFERROR(AVERAGEIF(Levels!B:B,A1299,Levels!F:F),0)</f>
        <v>4.5</v>
      </c>
      <c r="E1299" s="9">
        <f>_xlfn.MAXIFS(Levels!E:E,Levels!B:B,A1299)</f>
        <v>8.33</v>
      </c>
      <c r="F1299" s="9">
        <f>_xlfn.MAXIFS(Levels!F:F,Levels!B:B,A1299)</f>
        <v>4.5</v>
      </c>
    </row>
    <row r="1300" spans="1:6" x14ac:dyDescent="0.3">
      <c r="A1300" t="s">
        <v>6011</v>
      </c>
      <c r="B1300" s="6">
        <f>COUNTIF(Levels!B:B,A1300)</f>
        <v>9</v>
      </c>
      <c r="C1300" s="6">
        <f>IFERROR(AVERAGEIF(Levels!B:B,A1300,Levels!E:E),0)</f>
        <v>4.5811111111111114</v>
      </c>
      <c r="D1300" s="6">
        <f>IFERROR(AVERAGEIF(Levels!B:B,A1300,Levels!F:F),0)</f>
        <v>6.3155555555555551</v>
      </c>
      <c r="E1300" s="6">
        <f>_xlfn.MAXIFS(Levels!E:E,Levels!B:B,A1300)</f>
        <v>9.0299999999999994</v>
      </c>
      <c r="F1300" s="6">
        <f>_xlfn.MAXIFS(Levels!F:F,Levels!B:B,A1300)</f>
        <v>8.1</v>
      </c>
    </row>
    <row r="1301" spans="1:6" x14ac:dyDescent="0.3">
      <c r="A1301" t="s">
        <v>6013</v>
      </c>
      <c r="B1301" s="9">
        <f>COUNTIF(Levels!B:B,A1301)</f>
        <v>1</v>
      </c>
      <c r="C1301" s="9">
        <f>IFERROR(AVERAGEIF(Levels!B:B,A1301,Levels!E:E),0)</f>
        <v>2.96</v>
      </c>
      <c r="D1301" s="9">
        <f>IFERROR(AVERAGEIF(Levels!B:B,A1301,Levels!F:F),0)</f>
        <v>6.24</v>
      </c>
      <c r="E1301" s="9">
        <f>_xlfn.MAXIFS(Levels!E:E,Levels!B:B,A1301)</f>
        <v>2.96</v>
      </c>
      <c r="F1301" s="9">
        <f>_xlfn.MAXIFS(Levels!F:F,Levels!B:B,A1301)</f>
        <v>6.24</v>
      </c>
    </row>
    <row r="1302" spans="1:6" x14ac:dyDescent="0.3">
      <c r="A1302" t="s">
        <v>6026</v>
      </c>
      <c r="B1302" s="6">
        <f>COUNTIF(Levels!B:B,A1302)</f>
        <v>5</v>
      </c>
      <c r="C1302" s="6">
        <f>IFERROR(AVERAGEIF(Levels!B:B,A1302,Levels!E:E),0)</f>
        <v>7.6979999999999986</v>
      </c>
      <c r="D1302" s="6">
        <f>IFERROR(AVERAGEIF(Levels!B:B,A1302,Levels!F:F),0)</f>
        <v>5.0020000000000007</v>
      </c>
      <c r="E1302" s="6">
        <f>_xlfn.MAXIFS(Levels!E:E,Levels!B:B,A1302)</f>
        <v>20</v>
      </c>
      <c r="F1302" s="6">
        <f>_xlfn.MAXIFS(Levels!F:F,Levels!B:B,A1302)</f>
        <v>5.82</v>
      </c>
    </row>
    <row r="1303" spans="1:6" x14ac:dyDescent="0.3">
      <c r="A1303" t="s">
        <v>6031</v>
      </c>
      <c r="B1303" s="9">
        <f>COUNTIF(Levels!B:B,A1303)</f>
        <v>3</v>
      </c>
      <c r="C1303" s="9">
        <f>IFERROR(AVERAGEIF(Levels!B:B,A1303,Levels!E:E),0)</f>
        <v>1.9550000000000001</v>
      </c>
      <c r="D1303" s="9">
        <f>IFERROR(AVERAGEIF(Levels!B:B,A1303,Levels!F:F),0)</f>
        <v>7.4466666666666663</v>
      </c>
      <c r="E1303" s="9">
        <f>_xlfn.MAXIFS(Levels!E:E,Levels!B:B,A1303)</f>
        <v>2.66</v>
      </c>
      <c r="F1303" s="9">
        <f>_xlfn.MAXIFS(Levels!F:F,Levels!B:B,A1303)</f>
        <v>7.8</v>
      </c>
    </row>
    <row r="1304" spans="1:6" x14ac:dyDescent="0.3">
      <c r="A1304" t="s">
        <v>6035</v>
      </c>
      <c r="B1304" s="6">
        <f>COUNTIF(Levels!B:B,A1304)</f>
        <v>1</v>
      </c>
      <c r="C1304" s="6">
        <f>IFERROR(AVERAGEIF(Levels!B:B,A1304,Levels!E:E),0)</f>
        <v>14.67</v>
      </c>
      <c r="D1304" s="6">
        <f>IFERROR(AVERAGEIF(Levels!B:B,A1304,Levels!F:F),0)</f>
        <v>8</v>
      </c>
      <c r="E1304" s="6">
        <f>_xlfn.MAXIFS(Levels!E:E,Levels!B:B,A1304)</f>
        <v>14.67</v>
      </c>
      <c r="F1304" s="6">
        <f>_xlfn.MAXIFS(Levels!F:F,Levels!B:B,A1304)</f>
        <v>8</v>
      </c>
    </row>
    <row r="1305" spans="1:6" x14ac:dyDescent="0.3">
      <c r="A1305" t="s">
        <v>6037</v>
      </c>
      <c r="B1305" s="9">
        <f>COUNTIF(Levels!B:B,A1305)</f>
        <v>1</v>
      </c>
      <c r="C1305" s="9">
        <f>IFERROR(AVERAGEIF(Levels!B:B,A1305,Levels!E:E),0)</f>
        <v>4.82</v>
      </c>
      <c r="D1305" s="9">
        <f>IFERROR(AVERAGEIF(Levels!B:B,A1305,Levels!F:F),0)</f>
        <v>4.5999999999999996</v>
      </c>
      <c r="E1305" s="9">
        <f>_xlfn.MAXIFS(Levels!E:E,Levels!B:B,A1305)</f>
        <v>4.82</v>
      </c>
      <c r="F1305" s="9">
        <f>_xlfn.MAXIFS(Levels!F:F,Levels!B:B,A1305)</f>
        <v>4.5999999999999996</v>
      </c>
    </row>
    <row r="1306" spans="1:6" x14ac:dyDescent="0.3">
      <c r="A1306" t="s">
        <v>6040</v>
      </c>
      <c r="B1306" s="6">
        <f>COUNTIF(Levels!B:B,A1306)</f>
        <v>1</v>
      </c>
      <c r="C1306" s="6">
        <f>IFERROR(AVERAGEIF(Levels!B:B,A1306,Levels!E:E),0)</f>
        <v>30.4</v>
      </c>
      <c r="D1306" s="6">
        <f>IFERROR(AVERAGEIF(Levels!B:B,A1306,Levels!F:F),0)</f>
        <v>7.25</v>
      </c>
      <c r="E1306" s="6">
        <f>_xlfn.MAXIFS(Levels!E:E,Levels!B:B,A1306)</f>
        <v>30.4</v>
      </c>
      <c r="F1306" s="6">
        <f>_xlfn.MAXIFS(Levels!F:F,Levels!B:B,A1306)</f>
        <v>7.25</v>
      </c>
    </row>
    <row r="1307" spans="1:6" x14ac:dyDescent="0.3">
      <c r="A1307" t="s">
        <v>6047</v>
      </c>
      <c r="B1307" s="9">
        <f>COUNTIF(Levels!B:B,A1307)</f>
        <v>2</v>
      </c>
      <c r="C1307" s="9">
        <f>IFERROR(AVERAGEIF(Levels!B:B,A1307,Levels!E:E),0)</f>
        <v>11.07</v>
      </c>
      <c r="D1307" s="9">
        <f>IFERROR(AVERAGEIF(Levels!B:B,A1307,Levels!F:F),0)</f>
        <v>6.9350000000000005</v>
      </c>
      <c r="E1307" s="9">
        <f>_xlfn.MAXIFS(Levels!E:E,Levels!B:B,A1307)</f>
        <v>14.69</v>
      </c>
      <c r="F1307" s="9">
        <f>_xlfn.MAXIFS(Levels!F:F,Levels!B:B,A1307)</f>
        <v>7.5</v>
      </c>
    </row>
    <row r="1308" spans="1:6" x14ac:dyDescent="0.3">
      <c r="A1308" t="s">
        <v>6053</v>
      </c>
      <c r="B1308" s="6">
        <f>COUNTIF(Levels!B:B,A1308)</f>
        <v>1</v>
      </c>
      <c r="C1308" s="6">
        <f>IFERROR(AVERAGEIF(Levels!B:B,A1308,Levels!E:E),0)</f>
        <v>16.18</v>
      </c>
      <c r="D1308" s="6">
        <f>IFERROR(AVERAGEIF(Levels!B:B,A1308,Levels!F:F),0)</f>
        <v>6.09</v>
      </c>
      <c r="E1308" s="6">
        <f>_xlfn.MAXIFS(Levels!E:E,Levels!B:B,A1308)</f>
        <v>16.18</v>
      </c>
      <c r="F1308" s="6">
        <f>_xlfn.MAXIFS(Levels!F:F,Levels!B:B,A1308)</f>
        <v>6.09</v>
      </c>
    </row>
    <row r="1309" spans="1:6" x14ac:dyDescent="0.3">
      <c r="A1309" t="s">
        <v>6056</v>
      </c>
      <c r="B1309" s="9">
        <f>COUNTIF(Levels!B:B,A1309)</f>
        <v>2</v>
      </c>
      <c r="C1309" s="9">
        <f>IFERROR(AVERAGEIF(Levels!B:B,A1309,Levels!E:E),0)</f>
        <v>16.585000000000001</v>
      </c>
      <c r="D1309" s="9">
        <f>IFERROR(AVERAGEIF(Levels!B:B,A1309,Levels!F:F),0)</f>
        <v>6.66</v>
      </c>
      <c r="E1309" s="9">
        <f>_xlfn.MAXIFS(Levels!E:E,Levels!B:B,A1309)</f>
        <v>17.329999999999998</v>
      </c>
      <c r="F1309" s="9">
        <f>_xlfn.MAXIFS(Levels!F:F,Levels!B:B,A1309)</f>
        <v>7</v>
      </c>
    </row>
    <row r="1310" spans="1:6" x14ac:dyDescent="0.3">
      <c r="A1310" t="s">
        <v>6070</v>
      </c>
      <c r="B1310" s="6">
        <f>COUNTIF(Levels!B:B,A1310)</f>
        <v>4</v>
      </c>
      <c r="C1310" s="6">
        <f>IFERROR(AVERAGEIF(Levels!B:B,A1310,Levels!E:E),0)</f>
        <v>7.6750000000000007</v>
      </c>
      <c r="D1310" s="6">
        <f>IFERROR(AVERAGEIF(Levels!B:B,A1310,Levels!F:F),0)</f>
        <v>6.6275000000000004</v>
      </c>
      <c r="E1310" s="6">
        <f>_xlfn.MAXIFS(Levels!E:E,Levels!B:B,A1310)</f>
        <v>12.64</v>
      </c>
      <c r="F1310" s="6">
        <f>_xlfn.MAXIFS(Levels!F:F,Levels!B:B,A1310)</f>
        <v>6.85</v>
      </c>
    </row>
    <row r="1311" spans="1:6" x14ac:dyDescent="0.3">
      <c r="A1311" t="s">
        <v>6074</v>
      </c>
      <c r="B1311" s="9">
        <f>COUNTIF(Levels!B:B,A1311)</f>
        <v>3</v>
      </c>
      <c r="C1311" s="9">
        <f>IFERROR(AVERAGEIF(Levels!B:B,A1311,Levels!E:E),0)</f>
        <v>33.333333333333336</v>
      </c>
      <c r="D1311" s="9">
        <f>IFERROR(AVERAGEIF(Levels!B:B,A1311,Levels!F:F),0)</f>
        <v>6.583333333333333</v>
      </c>
      <c r="E1311" s="9">
        <f>_xlfn.MAXIFS(Levels!E:E,Levels!B:B,A1311)</f>
        <v>35</v>
      </c>
      <c r="F1311" s="9">
        <f>_xlfn.MAXIFS(Levels!F:F,Levels!B:B,A1311)</f>
        <v>10</v>
      </c>
    </row>
    <row r="1312" spans="1:6" x14ac:dyDescent="0.3">
      <c r="A1312" t="s">
        <v>6076</v>
      </c>
      <c r="B1312" s="6">
        <f>COUNTIF(Levels!B:B,A1312)</f>
        <v>1</v>
      </c>
      <c r="C1312" s="6">
        <f>IFERROR(AVERAGEIF(Levels!B:B,A1312,Levels!E:E),0)</f>
        <v>16.8</v>
      </c>
      <c r="D1312" s="6">
        <f>IFERROR(AVERAGEIF(Levels!B:B,A1312,Levels!F:F),0)</f>
        <v>6</v>
      </c>
      <c r="E1312" s="6">
        <f>_xlfn.MAXIFS(Levels!E:E,Levels!B:B,A1312)</f>
        <v>16.8</v>
      </c>
      <c r="F1312" s="6">
        <f>_xlfn.MAXIFS(Levels!F:F,Levels!B:B,A1312)</f>
        <v>6</v>
      </c>
    </row>
    <row r="1313" spans="1:6" x14ac:dyDescent="0.3">
      <c r="A1313" t="s">
        <v>6079</v>
      </c>
      <c r="B1313" s="9">
        <f>COUNTIF(Levels!B:B,A1313)</f>
        <v>12</v>
      </c>
      <c r="C1313" s="9">
        <f>IFERROR(AVERAGEIF(Levels!B:B,A1313,Levels!E:E),0)</f>
        <v>19.762499999999999</v>
      </c>
      <c r="D1313" s="9">
        <f>IFERROR(AVERAGEIF(Levels!B:B,A1313,Levels!F:F),0)</f>
        <v>6.2175000000000002</v>
      </c>
      <c r="E1313" s="9">
        <f>_xlfn.MAXIFS(Levels!E:E,Levels!B:B,A1313)</f>
        <v>32</v>
      </c>
      <c r="F1313" s="9">
        <f>_xlfn.MAXIFS(Levels!F:F,Levels!B:B,A1313)</f>
        <v>8.3800000000000008</v>
      </c>
    </row>
    <row r="1314" spans="1:6" x14ac:dyDescent="0.3">
      <c r="A1314" t="s">
        <v>6081</v>
      </c>
      <c r="B1314" s="6">
        <f>COUNTIF(Levels!B:B,A1314)</f>
        <v>1</v>
      </c>
      <c r="C1314" s="6">
        <f>IFERROR(AVERAGEIF(Levels!B:B,A1314,Levels!E:E),0)</f>
        <v>9</v>
      </c>
      <c r="D1314" s="6">
        <f>IFERROR(AVERAGEIF(Levels!B:B,A1314,Levels!F:F),0)</f>
        <v>5.67</v>
      </c>
      <c r="E1314" s="6">
        <f>_xlfn.MAXIFS(Levels!E:E,Levels!B:B,A1314)</f>
        <v>9</v>
      </c>
      <c r="F1314" s="6">
        <f>_xlfn.MAXIFS(Levels!F:F,Levels!B:B,A1314)</f>
        <v>5.67</v>
      </c>
    </row>
    <row r="1315" spans="1:6" x14ac:dyDescent="0.3">
      <c r="A1315" t="s">
        <v>6088</v>
      </c>
      <c r="B1315" s="9">
        <f>COUNTIF(Levels!B:B,A1315)</f>
        <v>3</v>
      </c>
      <c r="C1315" s="9">
        <f>IFERROR(AVERAGEIF(Levels!B:B,A1315,Levels!E:E),0)</f>
        <v>2.7433333333333336</v>
      </c>
      <c r="D1315" s="9">
        <f>IFERROR(AVERAGEIF(Levels!B:B,A1315,Levels!F:F),0)</f>
        <v>6.96</v>
      </c>
      <c r="E1315" s="9">
        <f>_xlfn.MAXIFS(Levels!E:E,Levels!B:B,A1315)</f>
        <v>3.34</v>
      </c>
      <c r="F1315" s="9">
        <f>_xlfn.MAXIFS(Levels!F:F,Levels!B:B,A1315)</f>
        <v>7.55</v>
      </c>
    </row>
    <row r="1316" spans="1:6" x14ac:dyDescent="0.3">
      <c r="A1316" t="s">
        <v>6097</v>
      </c>
      <c r="B1316" s="6">
        <f>COUNTIF(Levels!B:B,A1316)</f>
        <v>2</v>
      </c>
      <c r="C1316" s="6">
        <f>IFERROR(AVERAGEIF(Levels!B:B,A1316,Levels!E:E),0)</f>
        <v>6.8349999999999991</v>
      </c>
      <c r="D1316" s="6">
        <f>IFERROR(AVERAGEIF(Levels!B:B,A1316,Levels!F:F),0)</f>
        <v>7.4050000000000002</v>
      </c>
      <c r="E1316" s="6">
        <f>_xlfn.MAXIFS(Levels!E:E,Levels!B:B,A1316)</f>
        <v>9.5399999999999991</v>
      </c>
      <c r="F1316" s="6">
        <f>_xlfn.MAXIFS(Levels!F:F,Levels!B:B,A1316)</f>
        <v>7.73</v>
      </c>
    </row>
    <row r="1317" spans="1:6" x14ac:dyDescent="0.3">
      <c r="A1317" t="s">
        <v>6100</v>
      </c>
      <c r="B1317" s="9">
        <f>COUNTIF(Levels!B:B,A1317)</f>
        <v>1</v>
      </c>
      <c r="C1317" s="9">
        <f>IFERROR(AVERAGEIF(Levels!B:B,A1317,Levels!E:E),0)</f>
        <v>17.5</v>
      </c>
      <c r="D1317" s="9">
        <f>IFERROR(AVERAGEIF(Levels!B:B,A1317,Levels!F:F),0)</f>
        <v>6.33</v>
      </c>
      <c r="E1317" s="9">
        <f>_xlfn.MAXIFS(Levels!E:E,Levels!B:B,A1317)</f>
        <v>17.5</v>
      </c>
      <c r="F1317" s="9">
        <f>_xlfn.MAXIFS(Levels!F:F,Levels!B:B,A1317)</f>
        <v>6.33</v>
      </c>
    </row>
    <row r="1318" spans="1:6" x14ac:dyDescent="0.3">
      <c r="A1318" t="s">
        <v>6102</v>
      </c>
      <c r="B1318" s="6">
        <f>COUNTIF(Levels!B:B,A1318)</f>
        <v>7</v>
      </c>
      <c r="C1318" s="6">
        <f>IFERROR(AVERAGEIF(Levels!B:B,A1318,Levels!E:E),0)</f>
        <v>4.5957142857142861</v>
      </c>
      <c r="D1318" s="6">
        <f>IFERROR(AVERAGEIF(Levels!B:B,A1318,Levels!F:F),0)</f>
        <v>5.9285714285714288</v>
      </c>
      <c r="E1318" s="6">
        <f>_xlfn.MAXIFS(Levels!E:E,Levels!B:B,A1318)</f>
        <v>15.42</v>
      </c>
      <c r="F1318" s="6">
        <f>_xlfn.MAXIFS(Levels!F:F,Levels!B:B,A1318)</f>
        <v>6.94</v>
      </c>
    </row>
    <row r="1319" spans="1:6" x14ac:dyDescent="0.3">
      <c r="A1319" t="s">
        <v>6113</v>
      </c>
      <c r="B1319" s="9">
        <f>COUNTIF(Levels!B:B,A1319)</f>
        <v>3</v>
      </c>
      <c r="C1319" s="9">
        <f>IFERROR(AVERAGEIF(Levels!B:B,A1319,Levels!E:E),0)</f>
        <v>3.6199999999999997</v>
      </c>
      <c r="D1319" s="9">
        <f>IFERROR(AVERAGEIF(Levels!B:B,A1319,Levels!F:F),0)</f>
        <v>6.2233333333333336</v>
      </c>
      <c r="E1319" s="9">
        <f>_xlfn.MAXIFS(Levels!E:E,Levels!B:B,A1319)</f>
        <v>5</v>
      </c>
      <c r="F1319" s="9">
        <f>_xlfn.MAXIFS(Levels!F:F,Levels!B:B,A1319)</f>
        <v>6.87</v>
      </c>
    </row>
    <row r="1320" spans="1:6" x14ac:dyDescent="0.3">
      <c r="A1320" t="s">
        <v>6115</v>
      </c>
      <c r="B1320" s="6">
        <f>COUNTIF(Levels!B:B,A1320)</f>
        <v>5</v>
      </c>
      <c r="C1320" s="6">
        <f>IFERROR(AVERAGEIF(Levels!B:B,A1320,Levels!E:E),0)</f>
        <v>4.6859999999999999</v>
      </c>
      <c r="D1320" s="6">
        <f>IFERROR(AVERAGEIF(Levels!B:B,A1320,Levels!F:F),0)</f>
        <v>6.8740000000000006</v>
      </c>
      <c r="E1320" s="6">
        <f>_xlfn.MAXIFS(Levels!E:E,Levels!B:B,A1320)</f>
        <v>8.98</v>
      </c>
      <c r="F1320" s="6">
        <f>_xlfn.MAXIFS(Levels!F:F,Levels!B:B,A1320)</f>
        <v>7.67</v>
      </c>
    </row>
    <row r="1321" spans="1:6" x14ac:dyDescent="0.3">
      <c r="A1321" t="s">
        <v>6119</v>
      </c>
      <c r="B1321" s="9">
        <f>COUNTIF(Levels!B:B,A1321)</f>
        <v>8</v>
      </c>
      <c r="C1321" s="9">
        <f>IFERROR(AVERAGEIF(Levels!B:B,A1321,Levels!E:E),0)</f>
        <v>6.7328571428571431</v>
      </c>
      <c r="D1321" s="9">
        <f>IFERROR(AVERAGEIF(Levels!B:B,A1321,Levels!F:F),0)</f>
        <v>7.5371428571428583</v>
      </c>
      <c r="E1321" s="9">
        <f>_xlfn.MAXIFS(Levels!E:E,Levels!B:B,A1321)</f>
        <v>26.67</v>
      </c>
      <c r="F1321" s="9">
        <f>_xlfn.MAXIFS(Levels!F:F,Levels!B:B,A1321)</f>
        <v>9.2899999999999991</v>
      </c>
    </row>
    <row r="1322" spans="1:6" x14ac:dyDescent="0.3">
      <c r="A1322" t="s">
        <v>6121</v>
      </c>
      <c r="B1322" s="6">
        <f>COUNTIF(Levels!B:B,A1322)</f>
        <v>3</v>
      </c>
      <c r="C1322" s="6">
        <f>IFERROR(AVERAGEIF(Levels!B:B,A1322,Levels!E:E),0)</f>
        <v>2.89</v>
      </c>
      <c r="D1322" s="6">
        <f>IFERROR(AVERAGEIF(Levels!B:B,A1322,Levels!F:F),0)</f>
        <v>6.4866666666666672</v>
      </c>
      <c r="E1322" s="6">
        <f>_xlfn.MAXIFS(Levels!E:E,Levels!B:B,A1322)</f>
        <v>3.13</v>
      </c>
      <c r="F1322" s="6">
        <f>_xlfn.MAXIFS(Levels!F:F,Levels!B:B,A1322)</f>
        <v>7.68</v>
      </c>
    </row>
    <row r="1323" spans="1:6" x14ac:dyDescent="0.3">
      <c r="A1323" t="s">
        <v>6124</v>
      </c>
      <c r="B1323" s="9">
        <f>COUNTIF(Levels!B:B,A1323)</f>
        <v>1</v>
      </c>
      <c r="C1323" s="9">
        <f>IFERROR(AVERAGEIF(Levels!B:B,A1323,Levels!E:E),0)</f>
        <v>3.06</v>
      </c>
      <c r="D1323" s="9">
        <f>IFERROR(AVERAGEIF(Levels!B:B,A1323,Levels!F:F),0)</f>
        <v>6</v>
      </c>
      <c r="E1323" s="9">
        <f>_xlfn.MAXIFS(Levels!E:E,Levels!B:B,A1323)</f>
        <v>3.06</v>
      </c>
      <c r="F1323" s="9">
        <f>_xlfn.MAXIFS(Levels!F:F,Levels!B:B,A1323)</f>
        <v>6</v>
      </c>
    </row>
    <row r="1324" spans="1:6" x14ac:dyDescent="0.3">
      <c r="A1324" t="s">
        <v>6126</v>
      </c>
      <c r="B1324" s="6">
        <f>COUNTIF(Levels!B:B,A1324)</f>
        <v>4</v>
      </c>
      <c r="C1324" s="6">
        <f>IFERROR(AVERAGEIF(Levels!B:B,A1324,Levels!E:E),0)</f>
        <v>5.8149999999999995</v>
      </c>
      <c r="D1324" s="6">
        <f>IFERROR(AVERAGEIF(Levels!B:B,A1324,Levels!F:F),0)</f>
        <v>6.2850000000000001</v>
      </c>
      <c r="E1324" s="6">
        <f>_xlfn.MAXIFS(Levels!E:E,Levels!B:B,A1324)</f>
        <v>9.73</v>
      </c>
      <c r="F1324" s="6">
        <f>_xlfn.MAXIFS(Levels!F:F,Levels!B:B,A1324)</f>
        <v>7.33</v>
      </c>
    </row>
    <row r="1325" spans="1:6" x14ac:dyDescent="0.3">
      <c r="A1325" t="s">
        <v>6128</v>
      </c>
      <c r="B1325" s="9">
        <f>COUNTIF(Levels!B:B,A1325)</f>
        <v>1</v>
      </c>
      <c r="C1325" s="9">
        <f>IFERROR(AVERAGEIF(Levels!B:B,A1325,Levels!E:E),0)</f>
        <v>1.74</v>
      </c>
      <c r="D1325" s="9">
        <f>IFERROR(AVERAGEIF(Levels!B:B,A1325,Levels!F:F),0)</f>
        <v>7.05</v>
      </c>
      <c r="E1325" s="9">
        <f>_xlfn.MAXIFS(Levels!E:E,Levels!B:B,A1325)</f>
        <v>1.74</v>
      </c>
      <c r="F1325" s="9">
        <f>_xlfn.MAXIFS(Levels!F:F,Levels!B:B,A1325)</f>
        <v>7.05</v>
      </c>
    </row>
    <row r="1326" spans="1:6" x14ac:dyDescent="0.3">
      <c r="A1326" t="s">
        <v>6130</v>
      </c>
      <c r="B1326" s="6">
        <f>COUNTIF(Levels!B:B,A1326)</f>
        <v>4</v>
      </c>
      <c r="C1326" s="6">
        <f>IFERROR(AVERAGEIF(Levels!B:B,A1326,Levels!E:E),0)</f>
        <v>4.5149999999999997</v>
      </c>
      <c r="D1326" s="6">
        <f>IFERROR(AVERAGEIF(Levels!B:B,A1326,Levels!F:F),0)</f>
        <v>7.6400000000000006</v>
      </c>
      <c r="E1326" s="6">
        <f>_xlfn.MAXIFS(Levels!E:E,Levels!B:B,A1326)</f>
        <v>6.72</v>
      </c>
      <c r="F1326" s="6">
        <f>_xlfn.MAXIFS(Levels!F:F,Levels!B:B,A1326)</f>
        <v>8.3000000000000007</v>
      </c>
    </row>
    <row r="1327" spans="1:6" x14ac:dyDescent="0.3">
      <c r="A1327" t="s">
        <v>6133</v>
      </c>
      <c r="B1327" s="9">
        <f>COUNTIF(Levels!B:B,A1327)</f>
        <v>3</v>
      </c>
      <c r="C1327" s="9">
        <f>IFERROR(AVERAGEIF(Levels!B:B,A1327,Levels!E:E),0)</f>
        <v>16.099999999999998</v>
      </c>
      <c r="D1327" s="9">
        <f>IFERROR(AVERAGEIF(Levels!B:B,A1327,Levels!F:F),0)</f>
        <v>7.0566666666666675</v>
      </c>
      <c r="E1327" s="9">
        <f>_xlfn.MAXIFS(Levels!E:E,Levels!B:B,A1327)</f>
        <v>26</v>
      </c>
      <c r="F1327" s="9">
        <f>_xlfn.MAXIFS(Levels!F:F,Levels!B:B,A1327)</f>
        <v>7.4</v>
      </c>
    </row>
    <row r="1328" spans="1:6" x14ac:dyDescent="0.3">
      <c r="A1328" t="s">
        <v>6138</v>
      </c>
      <c r="B1328" s="6">
        <f>COUNTIF(Levels!B:B,A1328)</f>
        <v>2</v>
      </c>
      <c r="C1328" s="6">
        <f>IFERROR(AVERAGEIF(Levels!B:B,A1328,Levels!E:E),0)</f>
        <v>3.47</v>
      </c>
      <c r="D1328" s="6">
        <f>IFERROR(AVERAGEIF(Levels!B:B,A1328,Levels!F:F),0)</f>
        <v>5.8550000000000004</v>
      </c>
      <c r="E1328" s="6">
        <f>_xlfn.MAXIFS(Levels!E:E,Levels!B:B,A1328)</f>
        <v>4.1500000000000004</v>
      </c>
      <c r="F1328" s="6">
        <f>_xlfn.MAXIFS(Levels!F:F,Levels!B:B,A1328)</f>
        <v>6.77</v>
      </c>
    </row>
    <row r="1329" spans="1:6" x14ac:dyDescent="0.3">
      <c r="A1329" t="s">
        <v>6145</v>
      </c>
      <c r="B1329" s="9">
        <f>COUNTIF(Levels!B:B,A1329)</f>
        <v>2</v>
      </c>
      <c r="C1329" s="9">
        <f>IFERROR(AVERAGEIF(Levels!B:B,A1329,Levels!E:E),0)</f>
        <v>8.8249999999999993</v>
      </c>
      <c r="D1329" s="9">
        <f>IFERROR(AVERAGEIF(Levels!B:B,A1329,Levels!F:F),0)</f>
        <v>6.6549999999999994</v>
      </c>
      <c r="E1329" s="9">
        <f>_xlfn.MAXIFS(Levels!E:E,Levels!B:B,A1329)</f>
        <v>14.07</v>
      </c>
      <c r="F1329" s="9">
        <f>_xlfn.MAXIFS(Levels!F:F,Levels!B:B,A1329)</f>
        <v>7.56</v>
      </c>
    </row>
    <row r="1330" spans="1:6" x14ac:dyDescent="0.3">
      <c r="A1330" t="s">
        <v>6148</v>
      </c>
      <c r="B1330" s="6">
        <f>COUNTIF(Levels!B:B,A1330)</f>
        <v>1</v>
      </c>
      <c r="C1330" s="6">
        <f>IFERROR(AVERAGEIF(Levels!B:B,A1330,Levels!E:E),0)</f>
        <v>4.17</v>
      </c>
      <c r="D1330" s="6">
        <f>IFERROR(AVERAGEIF(Levels!B:B,A1330,Levels!F:F),0)</f>
        <v>6.17</v>
      </c>
      <c r="E1330" s="6">
        <f>_xlfn.MAXIFS(Levels!E:E,Levels!B:B,A1330)</f>
        <v>4.17</v>
      </c>
      <c r="F1330" s="6">
        <f>_xlfn.MAXIFS(Levels!F:F,Levels!B:B,A1330)</f>
        <v>6.17</v>
      </c>
    </row>
    <row r="1331" spans="1:6" x14ac:dyDescent="0.3">
      <c r="A1331" t="s">
        <v>6151</v>
      </c>
      <c r="B1331" s="9">
        <f>COUNTIF(Levels!B:B,A1331)</f>
        <v>2</v>
      </c>
      <c r="C1331" s="9">
        <f>IFERROR(AVERAGEIF(Levels!B:B,A1331,Levels!E:E),0)</f>
        <v>1.83</v>
      </c>
      <c r="D1331" s="9">
        <f>IFERROR(AVERAGEIF(Levels!B:B,A1331,Levels!F:F),0)</f>
        <v>5.92</v>
      </c>
      <c r="E1331" s="9">
        <f>_xlfn.MAXIFS(Levels!E:E,Levels!B:B,A1331)</f>
        <v>2.02</v>
      </c>
      <c r="F1331" s="9">
        <f>_xlfn.MAXIFS(Levels!F:F,Levels!B:B,A1331)</f>
        <v>6.47</v>
      </c>
    </row>
    <row r="1332" spans="1:6" x14ac:dyDescent="0.3">
      <c r="A1332" t="s">
        <v>6154</v>
      </c>
      <c r="B1332" s="6">
        <f>COUNTIF(Levels!B:B,A1332)</f>
        <v>1</v>
      </c>
      <c r="C1332" s="6">
        <f>IFERROR(AVERAGEIF(Levels!B:B,A1332,Levels!E:E),0)</f>
        <v>5.75</v>
      </c>
      <c r="D1332" s="6">
        <f>IFERROR(AVERAGEIF(Levels!B:B,A1332,Levels!F:F),0)</f>
        <v>6.33</v>
      </c>
      <c r="E1332" s="6">
        <f>_xlfn.MAXIFS(Levels!E:E,Levels!B:B,A1332)</f>
        <v>5.75</v>
      </c>
      <c r="F1332" s="6">
        <f>_xlfn.MAXIFS(Levels!F:F,Levels!B:B,A1332)</f>
        <v>6.33</v>
      </c>
    </row>
    <row r="1333" spans="1:6" x14ac:dyDescent="0.3">
      <c r="A1333" t="s">
        <v>6157</v>
      </c>
      <c r="B1333" s="9">
        <f>COUNTIF(Levels!B:B,A1333)</f>
        <v>1</v>
      </c>
      <c r="C1333" s="9">
        <f>IFERROR(AVERAGEIF(Levels!B:B,A1333,Levels!E:E),0)</f>
        <v>2.2400000000000002</v>
      </c>
      <c r="D1333" s="9">
        <f>IFERROR(AVERAGEIF(Levels!B:B,A1333,Levels!F:F),0)</f>
        <v>6.46</v>
      </c>
      <c r="E1333" s="9">
        <f>_xlfn.MAXIFS(Levels!E:E,Levels!B:B,A1333)</f>
        <v>2.2400000000000002</v>
      </c>
      <c r="F1333" s="9">
        <f>_xlfn.MAXIFS(Levels!F:F,Levels!B:B,A1333)</f>
        <v>6.46</v>
      </c>
    </row>
    <row r="1334" spans="1:6" x14ac:dyDescent="0.3">
      <c r="A1334" t="s">
        <v>6171</v>
      </c>
      <c r="B1334" s="6">
        <f>COUNTIF(Levels!B:B,A1334)</f>
        <v>3</v>
      </c>
      <c r="C1334" s="6">
        <f>IFERROR(AVERAGEIF(Levels!B:B,A1334,Levels!E:E),0)</f>
        <v>5.94</v>
      </c>
      <c r="D1334" s="6">
        <f>IFERROR(AVERAGEIF(Levels!B:B,A1334,Levels!F:F),0)</f>
        <v>6.3466666666666667</v>
      </c>
      <c r="E1334" s="6">
        <f>_xlfn.MAXIFS(Levels!E:E,Levels!B:B,A1334)</f>
        <v>12.35</v>
      </c>
      <c r="F1334" s="6">
        <f>_xlfn.MAXIFS(Levels!F:F,Levels!B:B,A1334)</f>
        <v>6.56</v>
      </c>
    </row>
    <row r="1335" spans="1:6" x14ac:dyDescent="0.3">
      <c r="A1335" t="s">
        <v>6187</v>
      </c>
      <c r="B1335" s="9">
        <f>COUNTIF(Levels!B:B,A1335)</f>
        <v>1</v>
      </c>
      <c r="C1335" s="9">
        <f>IFERROR(AVERAGEIF(Levels!B:B,A1335,Levels!E:E),0)</f>
        <v>7.23</v>
      </c>
      <c r="D1335" s="9">
        <f>IFERROR(AVERAGEIF(Levels!B:B,A1335,Levels!F:F),0)</f>
        <v>5.5</v>
      </c>
      <c r="E1335" s="9">
        <f>_xlfn.MAXIFS(Levels!E:E,Levels!B:B,A1335)</f>
        <v>7.23</v>
      </c>
      <c r="F1335" s="9">
        <f>_xlfn.MAXIFS(Levels!F:F,Levels!B:B,A1335)</f>
        <v>5.5</v>
      </c>
    </row>
    <row r="1336" spans="1:6" x14ac:dyDescent="0.3">
      <c r="A1336" t="s">
        <v>6189</v>
      </c>
      <c r="B1336" s="6">
        <f>COUNTIF(Levels!B:B,A1336)</f>
        <v>3</v>
      </c>
      <c r="C1336" s="6">
        <f>IFERROR(AVERAGEIF(Levels!B:B,A1336,Levels!E:E),0)</f>
        <v>17.076666666666668</v>
      </c>
      <c r="D1336" s="6">
        <f>IFERROR(AVERAGEIF(Levels!B:B,A1336,Levels!F:F),0)</f>
        <v>6.4466666666666663</v>
      </c>
      <c r="E1336" s="6">
        <f>_xlfn.MAXIFS(Levels!E:E,Levels!B:B,A1336)</f>
        <v>22</v>
      </c>
      <c r="F1336" s="6">
        <f>_xlfn.MAXIFS(Levels!F:F,Levels!B:B,A1336)</f>
        <v>10</v>
      </c>
    </row>
    <row r="1337" spans="1:6" x14ac:dyDescent="0.3">
      <c r="A1337" t="s">
        <v>6195</v>
      </c>
      <c r="B1337" s="9">
        <f>COUNTIF(Levels!B:B,A1337)</f>
        <v>4</v>
      </c>
      <c r="C1337" s="9">
        <f>IFERROR(AVERAGEIF(Levels!B:B,A1337,Levels!E:E),0)</f>
        <v>9.5225000000000009</v>
      </c>
      <c r="D1337" s="9">
        <f>IFERROR(AVERAGEIF(Levels!B:B,A1337,Levels!F:F),0)</f>
        <v>6.085</v>
      </c>
      <c r="E1337" s="9">
        <f>_xlfn.MAXIFS(Levels!E:E,Levels!B:B,A1337)</f>
        <v>22.36</v>
      </c>
      <c r="F1337" s="9">
        <f>_xlfn.MAXIFS(Levels!F:F,Levels!B:B,A1337)</f>
        <v>7.5</v>
      </c>
    </row>
    <row r="1338" spans="1:6" x14ac:dyDescent="0.3">
      <c r="A1338" t="s">
        <v>6200</v>
      </c>
      <c r="B1338" s="6">
        <f>COUNTIF(Levels!B:B,A1338)</f>
        <v>1</v>
      </c>
      <c r="C1338" s="6">
        <f>IFERROR(AVERAGEIF(Levels!B:B,A1338,Levels!E:E),0)</f>
        <v>8.67</v>
      </c>
      <c r="D1338" s="6">
        <f>IFERROR(AVERAGEIF(Levels!B:B,A1338,Levels!F:F),0)</f>
        <v>7</v>
      </c>
      <c r="E1338" s="6">
        <f>_xlfn.MAXIFS(Levels!E:E,Levels!B:B,A1338)</f>
        <v>8.67</v>
      </c>
      <c r="F1338" s="6">
        <f>_xlfn.MAXIFS(Levels!F:F,Levels!B:B,A1338)</f>
        <v>7</v>
      </c>
    </row>
    <row r="1339" spans="1:6" x14ac:dyDescent="0.3">
      <c r="A1339" t="s">
        <v>6202</v>
      </c>
      <c r="B1339" s="9">
        <f>COUNTIF(Levels!B:B,A1339)</f>
        <v>3</v>
      </c>
      <c r="C1339" s="9">
        <f>IFERROR(AVERAGEIF(Levels!B:B,A1339,Levels!E:E),0)</f>
        <v>10.236666666666666</v>
      </c>
      <c r="D1339" s="9">
        <f>IFERROR(AVERAGEIF(Levels!B:B,A1339,Levels!F:F),0)</f>
        <v>5.6733333333333329</v>
      </c>
      <c r="E1339" s="9">
        <f>_xlfn.MAXIFS(Levels!E:E,Levels!B:B,A1339)</f>
        <v>20.5</v>
      </c>
      <c r="F1339" s="9">
        <f>_xlfn.MAXIFS(Levels!F:F,Levels!B:B,A1339)</f>
        <v>6.92</v>
      </c>
    </row>
    <row r="1340" spans="1:6" x14ac:dyDescent="0.3">
      <c r="A1340" t="s">
        <v>6204</v>
      </c>
      <c r="B1340" s="6">
        <f>COUNTIF(Levels!B:B,A1340)</f>
        <v>7</v>
      </c>
      <c r="C1340" s="6">
        <f>IFERROR(AVERAGEIF(Levels!B:B,A1340,Levels!E:E),0)</f>
        <v>4.7514285714285718</v>
      </c>
      <c r="D1340" s="6">
        <f>IFERROR(AVERAGEIF(Levels!B:B,A1340,Levels!F:F),0)</f>
        <v>6.5885714285714272</v>
      </c>
      <c r="E1340" s="6">
        <f>_xlfn.MAXIFS(Levels!E:E,Levels!B:B,A1340)</f>
        <v>15.57</v>
      </c>
      <c r="F1340" s="6">
        <f>_xlfn.MAXIFS(Levels!F:F,Levels!B:B,A1340)</f>
        <v>7.07</v>
      </c>
    </row>
    <row r="1341" spans="1:6" x14ac:dyDescent="0.3">
      <c r="A1341" t="s">
        <v>6207</v>
      </c>
      <c r="B1341" s="9">
        <f>COUNTIF(Levels!B:B,A1341)</f>
        <v>3</v>
      </c>
      <c r="C1341" s="9">
        <f>IFERROR(AVERAGEIF(Levels!B:B,A1341,Levels!E:E),0)</f>
        <v>9.35</v>
      </c>
      <c r="D1341" s="9">
        <f>IFERROR(AVERAGEIF(Levels!B:B,A1341,Levels!F:F),0)</f>
        <v>6.0866666666666669</v>
      </c>
      <c r="E1341" s="9">
        <f>_xlfn.MAXIFS(Levels!E:E,Levels!B:B,A1341)</f>
        <v>17.96</v>
      </c>
      <c r="F1341" s="9">
        <f>_xlfn.MAXIFS(Levels!F:F,Levels!B:B,A1341)</f>
        <v>6.29</v>
      </c>
    </row>
    <row r="1342" spans="1:6" x14ac:dyDescent="0.3">
      <c r="A1342" t="s">
        <v>6210</v>
      </c>
      <c r="B1342" s="6">
        <f>COUNTIF(Levels!B:B,A1342)</f>
        <v>2</v>
      </c>
      <c r="C1342" s="6">
        <f>IFERROR(AVERAGEIF(Levels!B:B,A1342,Levels!E:E),0)</f>
        <v>5.65</v>
      </c>
      <c r="D1342" s="6">
        <f>IFERROR(AVERAGEIF(Levels!B:B,A1342,Levels!F:F),0)</f>
        <v>7.125</v>
      </c>
      <c r="E1342" s="6">
        <f>_xlfn.MAXIFS(Levels!E:E,Levels!B:B,A1342)</f>
        <v>5.92</v>
      </c>
      <c r="F1342" s="6">
        <f>_xlfn.MAXIFS(Levels!F:F,Levels!B:B,A1342)</f>
        <v>7.2</v>
      </c>
    </row>
    <row r="1343" spans="1:6" x14ac:dyDescent="0.3">
      <c r="A1343" t="s">
        <v>6220</v>
      </c>
      <c r="B1343" s="9">
        <f>COUNTIF(Levels!B:B,A1343)</f>
        <v>6</v>
      </c>
      <c r="C1343" s="9">
        <f>IFERROR(AVERAGEIF(Levels!B:B,A1343,Levels!E:E),0)</f>
        <v>12.613333333333335</v>
      </c>
      <c r="D1343" s="9">
        <f>IFERROR(AVERAGEIF(Levels!B:B,A1343,Levels!F:F),0)</f>
        <v>7.7433333333333332</v>
      </c>
      <c r="E1343" s="9">
        <f>_xlfn.MAXIFS(Levels!E:E,Levels!B:B,A1343)</f>
        <v>30</v>
      </c>
      <c r="F1343" s="9">
        <f>_xlfn.MAXIFS(Levels!F:F,Levels!B:B,A1343)</f>
        <v>10</v>
      </c>
    </row>
    <row r="1344" spans="1:6" x14ac:dyDescent="0.3">
      <c r="A1344" t="s">
        <v>6226</v>
      </c>
      <c r="B1344" s="6">
        <f>COUNTIF(Levels!B:B,A1344)</f>
        <v>19</v>
      </c>
      <c r="C1344" s="6">
        <f>IFERROR(AVERAGEIF(Levels!B:B,A1344,Levels!E:E),0)</f>
        <v>7.1023529411764699</v>
      </c>
      <c r="D1344" s="6">
        <f>IFERROR(AVERAGEIF(Levels!B:B,A1344,Levels!F:F),0)</f>
        <v>6.415263157894735</v>
      </c>
      <c r="E1344" s="6">
        <f>_xlfn.MAXIFS(Levels!E:E,Levels!B:B,A1344)</f>
        <v>21</v>
      </c>
      <c r="F1344" s="6">
        <f>_xlfn.MAXIFS(Levels!F:F,Levels!B:B,A1344)</f>
        <v>7.94</v>
      </c>
    </row>
    <row r="1345" spans="1:6" x14ac:dyDescent="0.3">
      <c r="A1345" t="s">
        <v>6228</v>
      </c>
      <c r="B1345" s="9">
        <f>COUNTIF(Levels!B:B,A1345)</f>
        <v>1</v>
      </c>
      <c r="C1345" s="9">
        <f>IFERROR(AVERAGEIF(Levels!B:B,A1345,Levels!E:E),0)</f>
        <v>9.43</v>
      </c>
      <c r="D1345" s="9">
        <f>IFERROR(AVERAGEIF(Levels!B:B,A1345,Levels!F:F),0)</f>
        <v>7</v>
      </c>
      <c r="E1345" s="9">
        <f>_xlfn.MAXIFS(Levels!E:E,Levels!B:B,A1345)</f>
        <v>9.43</v>
      </c>
      <c r="F1345" s="9">
        <f>_xlfn.MAXIFS(Levels!F:F,Levels!B:B,A1345)</f>
        <v>7</v>
      </c>
    </row>
    <row r="1346" spans="1:6" x14ac:dyDescent="0.3">
      <c r="A1346" t="s">
        <v>6230</v>
      </c>
      <c r="B1346" s="6">
        <f>COUNTIF(Levels!B:B,A1346)</f>
        <v>3</v>
      </c>
      <c r="C1346" s="6">
        <f>IFERROR(AVERAGEIF(Levels!B:B,A1346,Levels!E:E),0)</f>
        <v>4.3033333333333337</v>
      </c>
      <c r="D1346" s="6">
        <f>IFERROR(AVERAGEIF(Levels!B:B,A1346,Levels!F:F),0)</f>
        <v>6.3966666666666674</v>
      </c>
      <c r="E1346" s="6">
        <f>_xlfn.MAXIFS(Levels!E:E,Levels!B:B,A1346)</f>
        <v>6.01</v>
      </c>
      <c r="F1346" s="6">
        <f>_xlfn.MAXIFS(Levels!F:F,Levels!B:B,A1346)</f>
        <v>6.79</v>
      </c>
    </row>
    <row r="1347" spans="1:6" x14ac:dyDescent="0.3">
      <c r="A1347" t="s">
        <v>6233</v>
      </c>
      <c r="B1347" s="9">
        <f>COUNTIF(Levels!B:B,A1347)</f>
        <v>1</v>
      </c>
      <c r="C1347" s="9">
        <f>IFERROR(AVERAGEIF(Levels!B:B,A1347,Levels!E:E),0)</f>
        <v>14.43</v>
      </c>
      <c r="D1347" s="9">
        <f>IFERROR(AVERAGEIF(Levels!B:B,A1347,Levels!F:F),0)</f>
        <v>7.71</v>
      </c>
      <c r="E1347" s="9">
        <f>_xlfn.MAXIFS(Levels!E:E,Levels!B:B,A1347)</f>
        <v>14.43</v>
      </c>
      <c r="F1347" s="9">
        <f>_xlfn.MAXIFS(Levels!F:F,Levels!B:B,A1347)</f>
        <v>7.71</v>
      </c>
    </row>
    <row r="1348" spans="1:6" x14ac:dyDescent="0.3">
      <c r="A1348" t="s">
        <v>6235</v>
      </c>
      <c r="B1348" s="6">
        <f>COUNTIF(Levels!B:B,A1348)</f>
        <v>3</v>
      </c>
      <c r="C1348" s="6">
        <f>IFERROR(AVERAGEIF(Levels!B:B,A1348,Levels!E:E),0)</f>
        <v>6.003333333333333</v>
      </c>
      <c r="D1348" s="6">
        <f>IFERROR(AVERAGEIF(Levels!B:B,A1348,Levels!F:F),0)</f>
        <v>7.503333333333333</v>
      </c>
      <c r="E1348" s="6">
        <f>_xlfn.MAXIFS(Levels!E:E,Levels!B:B,A1348)</f>
        <v>10.83</v>
      </c>
      <c r="F1348" s="6">
        <f>_xlfn.MAXIFS(Levels!F:F,Levels!B:B,A1348)</f>
        <v>8.4</v>
      </c>
    </row>
    <row r="1349" spans="1:6" x14ac:dyDescent="0.3">
      <c r="A1349" t="s">
        <v>6238</v>
      </c>
      <c r="B1349" s="9">
        <f>COUNTIF(Levels!B:B,A1349)</f>
        <v>1</v>
      </c>
      <c r="C1349" s="9">
        <f>IFERROR(AVERAGEIF(Levels!B:B,A1349,Levels!E:E),0)</f>
        <v>12</v>
      </c>
      <c r="D1349" s="9">
        <f>IFERROR(AVERAGEIF(Levels!B:B,A1349,Levels!F:F),0)</f>
        <v>7</v>
      </c>
      <c r="E1349" s="9">
        <f>_xlfn.MAXIFS(Levels!E:E,Levels!B:B,A1349)</f>
        <v>12</v>
      </c>
      <c r="F1349" s="9">
        <f>_xlfn.MAXIFS(Levels!F:F,Levels!B:B,A1349)</f>
        <v>7</v>
      </c>
    </row>
    <row r="1350" spans="1:6" x14ac:dyDescent="0.3">
      <c r="A1350" t="s">
        <v>6241</v>
      </c>
      <c r="B1350" s="6">
        <f>COUNTIF(Levels!B:B,A1350)</f>
        <v>3</v>
      </c>
      <c r="C1350" s="6">
        <f>IFERROR(AVERAGEIF(Levels!B:B,A1350,Levels!E:E),0)</f>
        <v>7.6933333333333342</v>
      </c>
      <c r="D1350" s="6">
        <f>IFERROR(AVERAGEIF(Levels!B:B,A1350,Levels!F:F),0)</f>
        <v>7.13</v>
      </c>
      <c r="E1350" s="6">
        <f>_xlfn.MAXIFS(Levels!E:E,Levels!B:B,A1350)</f>
        <v>14.55</v>
      </c>
      <c r="F1350" s="6">
        <f>_xlfn.MAXIFS(Levels!F:F,Levels!B:B,A1350)</f>
        <v>7.67</v>
      </c>
    </row>
    <row r="1351" spans="1:6" x14ac:dyDescent="0.3">
      <c r="A1351" t="s">
        <v>6244</v>
      </c>
      <c r="B1351" s="9">
        <f>COUNTIF(Levels!B:B,A1351)</f>
        <v>2</v>
      </c>
      <c r="C1351" s="9">
        <f>IFERROR(AVERAGEIF(Levels!B:B,A1351,Levels!E:E),0)</f>
        <v>10.645</v>
      </c>
      <c r="D1351" s="9">
        <f>IFERROR(AVERAGEIF(Levels!B:B,A1351,Levels!F:F),0)</f>
        <v>6.29</v>
      </c>
      <c r="E1351" s="9">
        <f>_xlfn.MAXIFS(Levels!E:E,Levels!B:B,A1351)</f>
        <v>18.14</v>
      </c>
      <c r="F1351" s="9">
        <f>_xlfn.MAXIFS(Levels!F:F,Levels!B:B,A1351)</f>
        <v>6.33</v>
      </c>
    </row>
    <row r="1352" spans="1:6" x14ac:dyDescent="0.3">
      <c r="A1352" t="s">
        <v>6246</v>
      </c>
      <c r="B1352" s="6">
        <f>COUNTIF(Levels!B:B,A1352)</f>
        <v>2</v>
      </c>
      <c r="C1352" s="6">
        <f>IFERROR(AVERAGEIF(Levels!B:B,A1352,Levels!E:E),0)</f>
        <v>6.7200000000000006</v>
      </c>
      <c r="D1352" s="6">
        <f>IFERROR(AVERAGEIF(Levels!B:B,A1352,Levels!F:F),0)</f>
        <v>4.8650000000000002</v>
      </c>
      <c r="E1352" s="6">
        <f>_xlfn.MAXIFS(Levels!E:E,Levels!B:B,A1352)</f>
        <v>7.29</v>
      </c>
      <c r="F1352" s="6">
        <f>_xlfn.MAXIFS(Levels!F:F,Levels!B:B,A1352)</f>
        <v>5.73</v>
      </c>
    </row>
    <row r="1353" spans="1:6" x14ac:dyDescent="0.3">
      <c r="A1353" t="s">
        <v>6259</v>
      </c>
      <c r="B1353" s="9">
        <f>COUNTIF(Levels!B:B,A1353)</f>
        <v>1</v>
      </c>
      <c r="C1353" s="9">
        <f>IFERROR(AVERAGEIF(Levels!B:B,A1353,Levels!E:E),0)</f>
        <v>22.19</v>
      </c>
      <c r="D1353" s="9">
        <f>IFERROR(AVERAGEIF(Levels!B:B,A1353,Levels!F:F),0)</f>
        <v>7.94</v>
      </c>
      <c r="E1353" s="9">
        <f>_xlfn.MAXIFS(Levels!E:E,Levels!B:B,A1353)</f>
        <v>22.19</v>
      </c>
      <c r="F1353" s="9">
        <f>_xlfn.MAXIFS(Levels!F:F,Levels!B:B,A1353)</f>
        <v>7.94</v>
      </c>
    </row>
    <row r="1354" spans="1:6" x14ac:dyDescent="0.3">
      <c r="A1354" t="s">
        <v>6262</v>
      </c>
      <c r="B1354" s="6">
        <f>COUNTIF(Levels!B:B,A1354)</f>
        <v>8</v>
      </c>
      <c r="C1354" s="6">
        <f>IFERROR(AVERAGEIF(Levels!B:B,A1354,Levels!E:E),0)</f>
        <v>15.685714285714285</v>
      </c>
      <c r="D1354" s="6">
        <f>IFERROR(AVERAGEIF(Levels!B:B,A1354,Levels!F:F),0)</f>
        <v>7.5528571428571434</v>
      </c>
      <c r="E1354" s="6">
        <f>_xlfn.MAXIFS(Levels!E:E,Levels!B:B,A1354)</f>
        <v>25</v>
      </c>
      <c r="F1354" s="6">
        <f>_xlfn.MAXIFS(Levels!F:F,Levels!B:B,A1354)</f>
        <v>8.5</v>
      </c>
    </row>
    <row r="1355" spans="1:6" x14ac:dyDescent="0.3">
      <c r="A1355" t="s">
        <v>6264</v>
      </c>
      <c r="B1355" s="9">
        <f>COUNTIF(Levels!B:B,A1355)</f>
        <v>1</v>
      </c>
      <c r="C1355" s="9">
        <f>IFERROR(AVERAGEIF(Levels!B:B,A1355,Levels!E:E),0)</f>
        <v>20.67</v>
      </c>
      <c r="D1355" s="9">
        <f>IFERROR(AVERAGEIF(Levels!B:B,A1355,Levels!F:F),0)</f>
        <v>5.76</v>
      </c>
      <c r="E1355" s="9">
        <f>_xlfn.MAXIFS(Levels!E:E,Levels!B:B,A1355)</f>
        <v>20.67</v>
      </c>
      <c r="F1355" s="9">
        <f>_xlfn.MAXIFS(Levels!F:F,Levels!B:B,A1355)</f>
        <v>5.76</v>
      </c>
    </row>
    <row r="1356" spans="1:6" x14ac:dyDescent="0.3">
      <c r="A1356" t="s">
        <v>6267</v>
      </c>
      <c r="B1356" s="6">
        <f>COUNTIF(Levels!B:B,A1356)</f>
        <v>3</v>
      </c>
      <c r="C1356" s="6">
        <f>IFERROR(AVERAGEIF(Levels!B:B,A1356,Levels!E:E),0)</f>
        <v>1.51</v>
      </c>
      <c r="D1356" s="6">
        <f>IFERROR(AVERAGEIF(Levels!B:B,A1356,Levels!F:F),0)</f>
        <v>7.0633333333333326</v>
      </c>
      <c r="E1356" s="6">
        <f>_xlfn.MAXIFS(Levels!E:E,Levels!B:B,A1356)</f>
        <v>2.2000000000000002</v>
      </c>
      <c r="F1356" s="6">
        <f>_xlfn.MAXIFS(Levels!F:F,Levels!B:B,A1356)</f>
        <v>7.76</v>
      </c>
    </row>
    <row r="1357" spans="1:6" x14ac:dyDescent="0.3">
      <c r="A1357" t="s">
        <v>6269</v>
      </c>
      <c r="B1357" s="9">
        <f>COUNTIF(Levels!B:B,A1357)</f>
        <v>3</v>
      </c>
      <c r="C1357" s="9">
        <f>IFERROR(AVERAGEIF(Levels!B:B,A1357,Levels!E:E),0)</f>
        <v>10.28</v>
      </c>
      <c r="D1357" s="9">
        <f>IFERROR(AVERAGEIF(Levels!B:B,A1357,Levels!F:F),0)</f>
        <v>6.8866666666666667</v>
      </c>
      <c r="E1357" s="9">
        <f>_xlfn.MAXIFS(Levels!E:E,Levels!B:B,A1357)</f>
        <v>15.69</v>
      </c>
      <c r="F1357" s="9">
        <f>_xlfn.MAXIFS(Levels!F:F,Levels!B:B,A1357)</f>
        <v>7.32</v>
      </c>
    </row>
    <row r="1358" spans="1:6" x14ac:dyDescent="0.3">
      <c r="A1358" t="s">
        <v>6272</v>
      </c>
      <c r="B1358" s="6">
        <f>COUNTIF(Levels!B:B,A1358)</f>
        <v>1</v>
      </c>
      <c r="C1358" s="6">
        <f>IFERROR(AVERAGEIF(Levels!B:B,A1358,Levels!E:E),0)</f>
        <v>5.99</v>
      </c>
      <c r="D1358" s="6">
        <f>IFERROR(AVERAGEIF(Levels!B:B,A1358,Levels!F:F),0)</f>
        <v>6.59</v>
      </c>
      <c r="E1358" s="6">
        <f>_xlfn.MAXIFS(Levels!E:E,Levels!B:B,A1358)</f>
        <v>5.99</v>
      </c>
      <c r="F1358" s="6">
        <f>_xlfn.MAXIFS(Levels!F:F,Levels!B:B,A1358)</f>
        <v>6.59</v>
      </c>
    </row>
    <row r="1359" spans="1:6" x14ac:dyDescent="0.3">
      <c r="A1359" t="s">
        <v>6276</v>
      </c>
      <c r="B1359" s="9">
        <f>COUNTIF(Levels!B:B,A1359)</f>
        <v>3</v>
      </c>
      <c r="C1359" s="9">
        <f>IFERROR(AVERAGEIF(Levels!B:B,A1359,Levels!E:E),0)</f>
        <v>15.866666666666667</v>
      </c>
      <c r="D1359" s="9">
        <f>IFERROR(AVERAGEIF(Levels!B:B,A1359,Levels!F:F),0)</f>
        <v>5.7566666666666668</v>
      </c>
      <c r="E1359" s="9">
        <f>_xlfn.MAXIFS(Levels!E:E,Levels!B:B,A1359)</f>
        <v>18</v>
      </c>
      <c r="F1359" s="9">
        <f>_xlfn.MAXIFS(Levels!F:F,Levels!B:B,A1359)</f>
        <v>7.56</v>
      </c>
    </row>
    <row r="1360" spans="1:6" x14ac:dyDescent="0.3">
      <c r="A1360" t="s">
        <v>6278</v>
      </c>
      <c r="B1360" s="6">
        <f>COUNTIF(Levels!B:B,A1360)</f>
        <v>1</v>
      </c>
      <c r="C1360" s="6">
        <f>IFERROR(AVERAGEIF(Levels!B:B,A1360,Levels!E:E),0)</f>
        <v>3.78</v>
      </c>
      <c r="D1360" s="6">
        <f>IFERROR(AVERAGEIF(Levels!B:B,A1360,Levels!F:F),0)</f>
        <v>5.29</v>
      </c>
      <c r="E1360" s="6">
        <f>_xlfn.MAXIFS(Levels!E:E,Levels!B:B,A1360)</f>
        <v>3.78</v>
      </c>
      <c r="F1360" s="6">
        <f>_xlfn.MAXIFS(Levels!F:F,Levels!B:B,A1360)</f>
        <v>5.29</v>
      </c>
    </row>
    <row r="1361" spans="1:6" x14ac:dyDescent="0.3">
      <c r="A1361" t="s">
        <v>6280</v>
      </c>
      <c r="B1361" s="9">
        <f>COUNTIF(Levels!B:B,A1361)</f>
        <v>2</v>
      </c>
      <c r="C1361" s="9">
        <f>IFERROR(AVERAGEIF(Levels!B:B,A1361,Levels!E:E),0)</f>
        <v>3.31</v>
      </c>
      <c r="D1361" s="9">
        <f>IFERROR(AVERAGEIF(Levels!B:B,A1361,Levels!F:F),0)</f>
        <v>7.4949999999999992</v>
      </c>
      <c r="E1361" s="9">
        <f>_xlfn.MAXIFS(Levels!E:E,Levels!B:B,A1361)</f>
        <v>4.7300000000000004</v>
      </c>
      <c r="F1361" s="9">
        <f>_xlfn.MAXIFS(Levels!F:F,Levels!B:B,A1361)</f>
        <v>7.77</v>
      </c>
    </row>
    <row r="1362" spans="1:6" x14ac:dyDescent="0.3">
      <c r="A1362" t="s">
        <v>6286</v>
      </c>
      <c r="B1362" s="6">
        <f>COUNTIF(Levels!B:B,A1362)</f>
        <v>1</v>
      </c>
      <c r="C1362" s="6">
        <f>IFERROR(AVERAGEIF(Levels!B:B,A1362,Levels!E:E),0)</f>
        <v>3.75</v>
      </c>
      <c r="D1362" s="6">
        <f>IFERROR(AVERAGEIF(Levels!B:B,A1362,Levels!F:F),0)</f>
        <v>5.5</v>
      </c>
      <c r="E1362" s="6">
        <f>_xlfn.MAXIFS(Levels!E:E,Levels!B:B,A1362)</f>
        <v>3.75</v>
      </c>
      <c r="F1362" s="6">
        <f>_xlfn.MAXIFS(Levels!F:F,Levels!B:B,A1362)</f>
        <v>5.5</v>
      </c>
    </row>
    <row r="1363" spans="1:6" x14ac:dyDescent="0.3">
      <c r="A1363" t="s">
        <v>6289</v>
      </c>
      <c r="B1363" s="9">
        <f>COUNTIF(Levels!B:B,A1363)</f>
        <v>1</v>
      </c>
      <c r="C1363" s="9">
        <f>IFERROR(AVERAGEIF(Levels!B:B,A1363,Levels!E:E),0)</f>
        <v>17.43</v>
      </c>
      <c r="D1363" s="9">
        <f>IFERROR(AVERAGEIF(Levels!B:B,A1363,Levels!F:F),0)</f>
        <v>5.88</v>
      </c>
      <c r="E1363" s="9">
        <f>_xlfn.MAXIFS(Levels!E:E,Levels!B:B,A1363)</f>
        <v>17.43</v>
      </c>
      <c r="F1363" s="9">
        <f>_xlfn.MAXIFS(Levels!F:F,Levels!B:B,A1363)</f>
        <v>5.88</v>
      </c>
    </row>
    <row r="1364" spans="1:6" x14ac:dyDescent="0.3">
      <c r="A1364" t="s">
        <v>6295</v>
      </c>
      <c r="B1364" s="6">
        <f>COUNTIF(Levels!B:B,A1364)</f>
        <v>3</v>
      </c>
      <c r="C1364" s="6">
        <f>IFERROR(AVERAGEIF(Levels!B:B,A1364,Levels!E:E),0)</f>
        <v>7.8166666666666664</v>
      </c>
      <c r="D1364" s="6">
        <f>IFERROR(AVERAGEIF(Levels!B:B,A1364,Levels!F:F),0)</f>
        <v>5.1433333333333335</v>
      </c>
      <c r="E1364" s="6">
        <f>_xlfn.MAXIFS(Levels!E:E,Levels!B:B,A1364)</f>
        <v>13.86</v>
      </c>
      <c r="F1364" s="6">
        <f>_xlfn.MAXIFS(Levels!F:F,Levels!B:B,A1364)</f>
        <v>6.55</v>
      </c>
    </row>
    <row r="1365" spans="1:6" x14ac:dyDescent="0.3">
      <c r="A1365" t="s">
        <v>6298</v>
      </c>
      <c r="B1365" s="9">
        <f>COUNTIF(Levels!B:B,A1365)</f>
        <v>2</v>
      </c>
      <c r="C1365" s="9">
        <f>IFERROR(AVERAGEIF(Levels!B:B,A1365,Levels!E:E),0)</f>
        <v>4.8250000000000002</v>
      </c>
      <c r="D1365" s="9">
        <f>IFERROR(AVERAGEIF(Levels!B:B,A1365,Levels!F:F),0)</f>
        <v>5.4649999999999999</v>
      </c>
      <c r="E1365" s="9">
        <f>_xlfn.MAXIFS(Levels!E:E,Levels!B:B,A1365)</f>
        <v>7</v>
      </c>
      <c r="F1365" s="9">
        <f>_xlfn.MAXIFS(Levels!F:F,Levels!B:B,A1365)</f>
        <v>6.43</v>
      </c>
    </row>
    <row r="1366" spans="1:6" x14ac:dyDescent="0.3">
      <c r="A1366" t="s">
        <v>6300</v>
      </c>
      <c r="B1366" s="6">
        <f>COUNTIF(Levels!B:B,A1366)</f>
        <v>1</v>
      </c>
      <c r="C1366" s="6">
        <f>IFERROR(AVERAGEIF(Levels!B:B,A1366,Levels!E:E),0)</f>
        <v>9</v>
      </c>
      <c r="D1366" s="6">
        <f>IFERROR(AVERAGEIF(Levels!B:B,A1366,Levels!F:F),0)</f>
        <v>6</v>
      </c>
      <c r="E1366" s="6">
        <f>_xlfn.MAXIFS(Levels!E:E,Levels!B:B,A1366)</f>
        <v>9</v>
      </c>
      <c r="F1366" s="6">
        <f>_xlfn.MAXIFS(Levels!F:F,Levels!B:B,A1366)</f>
        <v>6</v>
      </c>
    </row>
    <row r="1367" spans="1:6" x14ac:dyDescent="0.3">
      <c r="A1367" t="s">
        <v>6311</v>
      </c>
      <c r="B1367" s="9">
        <f>COUNTIF(Levels!B:B,A1367)</f>
        <v>2</v>
      </c>
      <c r="C1367" s="9">
        <f>IFERROR(AVERAGEIF(Levels!B:B,A1367,Levels!E:E),0)</f>
        <v>11.145</v>
      </c>
      <c r="D1367" s="9">
        <f>IFERROR(AVERAGEIF(Levels!B:B,A1367,Levels!F:F),0)</f>
        <v>5.8800000000000008</v>
      </c>
      <c r="E1367" s="9">
        <f>_xlfn.MAXIFS(Levels!E:E,Levels!B:B,A1367)</f>
        <v>15.77</v>
      </c>
      <c r="F1367" s="9">
        <f>_xlfn.MAXIFS(Levels!F:F,Levels!B:B,A1367)</f>
        <v>5.94</v>
      </c>
    </row>
    <row r="1368" spans="1:6" x14ac:dyDescent="0.3">
      <c r="A1368" t="s">
        <v>6316</v>
      </c>
      <c r="B1368" s="6">
        <f>COUNTIF(Levels!B:B,A1368)</f>
        <v>1</v>
      </c>
      <c r="C1368" s="6">
        <f>IFERROR(AVERAGEIF(Levels!B:B,A1368,Levels!E:E),0)</f>
        <v>3.74</v>
      </c>
      <c r="D1368" s="6">
        <f>IFERROR(AVERAGEIF(Levels!B:B,A1368,Levels!F:F),0)</f>
        <v>4.2699999999999996</v>
      </c>
      <c r="E1368" s="6">
        <f>_xlfn.MAXIFS(Levels!E:E,Levels!B:B,A1368)</f>
        <v>3.74</v>
      </c>
      <c r="F1368" s="6">
        <f>_xlfn.MAXIFS(Levels!F:F,Levels!B:B,A1368)</f>
        <v>4.2699999999999996</v>
      </c>
    </row>
    <row r="1369" spans="1:6" x14ac:dyDescent="0.3">
      <c r="A1369" t="s">
        <v>6319</v>
      </c>
      <c r="B1369" s="9">
        <f>COUNTIF(Levels!B:B,A1369)</f>
        <v>1</v>
      </c>
      <c r="C1369" s="9">
        <f>IFERROR(AVERAGEIF(Levels!B:B,A1369,Levels!E:E),0)</f>
        <v>13.26</v>
      </c>
      <c r="D1369" s="9">
        <f>IFERROR(AVERAGEIF(Levels!B:B,A1369,Levels!F:F),0)</f>
        <v>4.71</v>
      </c>
      <c r="E1369" s="9">
        <f>_xlfn.MAXIFS(Levels!E:E,Levels!B:B,A1369)</f>
        <v>13.26</v>
      </c>
      <c r="F1369" s="9">
        <f>_xlfn.MAXIFS(Levels!F:F,Levels!B:B,A1369)</f>
        <v>4.71</v>
      </c>
    </row>
    <row r="1370" spans="1:6" x14ac:dyDescent="0.3">
      <c r="A1370" t="s">
        <v>6320</v>
      </c>
      <c r="B1370" s="6">
        <f>COUNTIF(Levels!B:B,A1370)</f>
        <v>1</v>
      </c>
      <c r="C1370" s="6">
        <f>IFERROR(AVERAGEIF(Levels!B:B,A1370,Levels!E:E),0)</f>
        <v>15.79</v>
      </c>
      <c r="D1370" s="6">
        <f>IFERROR(AVERAGEIF(Levels!B:B,A1370,Levels!F:F),0)</f>
        <v>7.07</v>
      </c>
      <c r="E1370" s="6">
        <f>_xlfn.MAXIFS(Levels!E:E,Levels!B:B,A1370)</f>
        <v>15.79</v>
      </c>
      <c r="F1370" s="6">
        <f>_xlfn.MAXIFS(Levels!F:F,Levels!B:B,A1370)</f>
        <v>7.07</v>
      </c>
    </row>
    <row r="1371" spans="1:6" x14ac:dyDescent="0.3">
      <c r="A1371" t="s">
        <v>6324</v>
      </c>
      <c r="B1371" s="9">
        <f>COUNTIF(Levels!B:B,A1371)</f>
        <v>1</v>
      </c>
      <c r="C1371" s="9">
        <f>IFERROR(AVERAGEIF(Levels!B:B,A1371,Levels!E:E),0)</f>
        <v>3.08</v>
      </c>
      <c r="D1371" s="9">
        <f>IFERROR(AVERAGEIF(Levels!B:B,A1371,Levels!F:F),0)</f>
        <v>7.36</v>
      </c>
      <c r="E1371" s="9">
        <f>_xlfn.MAXIFS(Levels!E:E,Levels!B:B,A1371)</f>
        <v>3.08</v>
      </c>
      <c r="F1371" s="9">
        <f>_xlfn.MAXIFS(Levels!F:F,Levels!B:B,A1371)</f>
        <v>7.36</v>
      </c>
    </row>
    <row r="1372" spans="1:6" x14ac:dyDescent="0.3">
      <c r="A1372" t="s">
        <v>6326</v>
      </c>
      <c r="B1372" s="6">
        <f>COUNTIF(Levels!B:B,A1372)</f>
        <v>1</v>
      </c>
      <c r="C1372" s="6">
        <f>IFERROR(AVERAGEIF(Levels!B:B,A1372,Levels!E:E),0)</f>
        <v>15.85</v>
      </c>
      <c r="D1372" s="6">
        <f>IFERROR(AVERAGEIF(Levels!B:B,A1372,Levels!F:F),0)</f>
        <v>8.11</v>
      </c>
      <c r="E1372" s="6">
        <f>_xlfn.MAXIFS(Levels!E:E,Levels!B:B,A1372)</f>
        <v>15.85</v>
      </c>
      <c r="F1372" s="6">
        <f>_xlfn.MAXIFS(Levels!F:F,Levels!B:B,A1372)</f>
        <v>8.11</v>
      </c>
    </row>
    <row r="1373" spans="1:6" x14ac:dyDescent="0.3">
      <c r="A1373" t="s">
        <v>6331</v>
      </c>
      <c r="B1373" s="9">
        <f>COUNTIF(Levels!B:B,A1373)</f>
        <v>1</v>
      </c>
      <c r="C1373" s="9">
        <f>IFERROR(AVERAGEIF(Levels!B:B,A1373,Levels!E:E),0)</f>
        <v>17.7</v>
      </c>
      <c r="D1373" s="9">
        <f>IFERROR(AVERAGEIF(Levels!B:B,A1373,Levels!F:F),0)</f>
        <v>6.67</v>
      </c>
      <c r="E1373" s="9">
        <f>_xlfn.MAXIFS(Levels!E:E,Levels!B:B,A1373)</f>
        <v>17.7</v>
      </c>
      <c r="F1373" s="9">
        <f>_xlfn.MAXIFS(Levels!F:F,Levels!B:B,A1373)</f>
        <v>6.67</v>
      </c>
    </row>
    <row r="1374" spans="1:6" x14ac:dyDescent="0.3">
      <c r="A1374" t="s">
        <v>6337</v>
      </c>
      <c r="B1374" s="6">
        <f>COUNTIF(Levels!B:B,A1374)</f>
        <v>2</v>
      </c>
      <c r="C1374" s="6">
        <f>IFERROR(AVERAGEIF(Levels!B:B,A1374,Levels!E:E),0)</f>
        <v>18.29</v>
      </c>
      <c r="D1374" s="6">
        <f>IFERROR(AVERAGEIF(Levels!B:B,A1374,Levels!F:F),0)</f>
        <v>7.49</v>
      </c>
      <c r="E1374" s="6">
        <f>_xlfn.MAXIFS(Levels!E:E,Levels!B:B,A1374)</f>
        <v>24.83</v>
      </c>
      <c r="F1374" s="6">
        <f>_xlfn.MAXIFS(Levels!F:F,Levels!B:B,A1374)</f>
        <v>8.1</v>
      </c>
    </row>
    <row r="1375" spans="1:6" x14ac:dyDescent="0.3">
      <c r="A1375" t="s">
        <v>6340</v>
      </c>
      <c r="B1375" s="9">
        <f>COUNTIF(Levels!B:B,A1375)</f>
        <v>1</v>
      </c>
      <c r="C1375" s="9">
        <f>IFERROR(AVERAGEIF(Levels!B:B,A1375,Levels!E:E),0)</f>
        <v>12</v>
      </c>
      <c r="D1375" s="9">
        <f>IFERROR(AVERAGEIF(Levels!B:B,A1375,Levels!F:F),0)</f>
        <v>7.5</v>
      </c>
      <c r="E1375" s="9">
        <f>_xlfn.MAXIFS(Levels!E:E,Levels!B:B,A1375)</f>
        <v>12</v>
      </c>
      <c r="F1375" s="9">
        <f>_xlfn.MAXIFS(Levels!F:F,Levels!B:B,A1375)</f>
        <v>7.5</v>
      </c>
    </row>
    <row r="1376" spans="1:6" x14ac:dyDescent="0.3">
      <c r="A1376" t="s">
        <v>6344</v>
      </c>
      <c r="B1376" s="6">
        <f>COUNTIF(Levels!B:B,A1376)</f>
        <v>1</v>
      </c>
      <c r="C1376" s="6">
        <f>IFERROR(AVERAGEIF(Levels!B:B,A1376,Levels!E:E),0)</f>
        <v>2.31</v>
      </c>
      <c r="D1376" s="6">
        <f>IFERROR(AVERAGEIF(Levels!B:B,A1376,Levels!F:F),0)</f>
        <v>6.71</v>
      </c>
      <c r="E1376" s="6">
        <f>_xlfn.MAXIFS(Levels!E:E,Levels!B:B,A1376)</f>
        <v>2.31</v>
      </c>
      <c r="F1376" s="6">
        <f>_xlfn.MAXIFS(Levels!F:F,Levels!B:B,A1376)</f>
        <v>6.71</v>
      </c>
    </row>
    <row r="1377" spans="1:6" x14ac:dyDescent="0.3">
      <c r="A1377" t="s">
        <v>6346</v>
      </c>
      <c r="B1377" s="9">
        <f>COUNTIF(Levels!B:B,A1377)</f>
        <v>2</v>
      </c>
      <c r="C1377" s="9">
        <f>IFERROR(AVERAGEIF(Levels!B:B,A1377,Levels!E:E),0)</f>
        <v>5.9399999999999995</v>
      </c>
      <c r="D1377" s="9">
        <f>IFERROR(AVERAGEIF(Levels!B:B,A1377,Levels!F:F),0)</f>
        <v>5.73</v>
      </c>
      <c r="E1377" s="9">
        <f>_xlfn.MAXIFS(Levels!E:E,Levels!B:B,A1377)</f>
        <v>6.67</v>
      </c>
      <c r="F1377" s="9">
        <f>_xlfn.MAXIFS(Levels!F:F,Levels!B:B,A1377)</f>
        <v>7.13</v>
      </c>
    </row>
    <row r="1378" spans="1:6" x14ac:dyDescent="0.3">
      <c r="A1378" t="s">
        <v>6349</v>
      </c>
      <c r="B1378" s="6">
        <f>COUNTIF(Levels!B:B,A1378)</f>
        <v>3</v>
      </c>
      <c r="C1378" s="6">
        <f>IFERROR(AVERAGEIF(Levels!B:B,A1378,Levels!E:E),0)</f>
        <v>10.700000000000001</v>
      </c>
      <c r="D1378" s="6">
        <f>IFERROR(AVERAGEIF(Levels!B:B,A1378,Levels!F:F),0)</f>
        <v>6.4966666666666661</v>
      </c>
      <c r="E1378" s="6">
        <f>_xlfn.MAXIFS(Levels!E:E,Levels!B:B,A1378)</f>
        <v>16.87</v>
      </c>
      <c r="F1378" s="6">
        <f>_xlfn.MAXIFS(Levels!F:F,Levels!B:B,A1378)</f>
        <v>7.8</v>
      </c>
    </row>
    <row r="1379" spans="1:6" x14ac:dyDescent="0.3">
      <c r="A1379" t="s">
        <v>6355</v>
      </c>
      <c r="B1379" s="9">
        <f>COUNTIF(Levels!B:B,A1379)</f>
        <v>1</v>
      </c>
      <c r="C1379" s="9">
        <f>IFERROR(AVERAGEIF(Levels!B:B,A1379,Levels!E:E),0)</f>
        <v>8.51</v>
      </c>
      <c r="D1379" s="9">
        <f>IFERROR(AVERAGEIF(Levels!B:B,A1379,Levels!F:F),0)</f>
        <v>5.29</v>
      </c>
      <c r="E1379" s="9">
        <f>_xlfn.MAXIFS(Levels!E:E,Levels!B:B,A1379)</f>
        <v>8.51</v>
      </c>
      <c r="F1379" s="9">
        <f>_xlfn.MAXIFS(Levels!F:F,Levels!B:B,A1379)</f>
        <v>5.29</v>
      </c>
    </row>
    <row r="1380" spans="1:6" x14ac:dyDescent="0.3">
      <c r="A1380" t="s">
        <v>6359</v>
      </c>
      <c r="B1380" s="6">
        <f>COUNTIF(Levels!B:B,A1380)</f>
        <v>1</v>
      </c>
      <c r="C1380" s="6">
        <f>IFERROR(AVERAGEIF(Levels!B:B,A1380,Levels!E:E),0)</f>
        <v>8.8000000000000007</v>
      </c>
      <c r="D1380" s="6">
        <f>IFERROR(AVERAGEIF(Levels!B:B,A1380,Levels!F:F),0)</f>
        <v>4</v>
      </c>
      <c r="E1380" s="6">
        <f>_xlfn.MAXIFS(Levels!E:E,Levels!B:B,A1380)</f>
        <v>8.8000000000000007</v>
      </c>
      <c r="F1380" s="6">
        <f>_xlfn.MAXIFS(Levels!F:F,Levels!B:B,A1380)</f>
        <v>4</v>
      </c>
    </row>
    <row r="1381" spans="1:6" x14ac:dyDescent="0.3">
      <c r="A1381" t="s">
        <v>6361</v>
      </c>
      <c r="B1381" s="9">
        <f>COUNTIF(Levels!B:B,A1381)</f>
        <v>7</v>
      </c>
      <c r="C1381" s="9">
        <f>IFERROR(AVERAGEIF(Levels!B:B,A1381,Levels!E:E),0)</f>
        <v>8.2085714285714282</v>
      </c>
      <c r="D1381" s="9">
        <f>IFERROR(AVERAGEIF(Levels!B:B,A1381,Levels!F:F),0)</f>
        <v>7.232857142857144</v>
      </c>
      <c r="E1381" s="9">
        <f>_xlfn.MAXIFS(Levels!E:E,Levels!B:B,A1381)</f>
        <v>16.170000000000002</v>
      </c>
      <c r="F1381" s="9">
        <f>_xlfn.MAXIFS(Levels!F:F,Levels!B:B,A1381)</f>
        <v>8.34</v>
      </c>
    </row>
    <row r="1382" spans="1:6" x14ac:dyDescent="0.3">
      <c r="A1382" t="s">
        <v>6363</v>
      </c>
      <c r="B1382" s="6">
        <f>COUNTIF(Levels!B:B,A1382)</f>
        <v>1</v>
      </c>
      <c r="C1382" s="6">
        <f>IFERROR(AVERAGEIF(Levels!B:B,A1382,Levels!E:E),0)</f>
        <v>7.23</v>
      </c>
      <c r="D1382" s="6">
        <f>IFERROR(AVERAGEIF(Levels!B:B,A1382,Levels!F:F),0)</f>
        <v>7.9</v>
      </c>
      <c r="E1382" s="6">
        <f>_xlfn.MAXIFS(Levels!E:E,Levels!B:B,A1382)</f>
        <v>7.23</v>
      </c>
      <c r="F1382" s="6">
        <f>_xlfn.MAXIFS(Levels!F:F,Levels!B:B,A1382)</f>
        <v>7.9</v>
      </c>
    </row>
    <row r="1383" spans="1:6" x14ac:dyDescent="0.3">
      <c r="A1383" t="s">
        <v>6366</v>
      </c>
      <c r="B1383" s="9">
        <f>COUNTIF(Levels!B:B,A1383)</f>
        <v>6</v>
      </c>
      <c r="C1383" s="9">
        <f>IFERROR(AVERAGEIF(Levels!B:B,A1383,Levels!E:E),0)</f>
        <v>5.3866666666666667</v>
      </c>
      <c r="D1383" s="9">
        <f>IFERROR(AVERAGEIF(Levels!B:B,A1383,Levels!F:F),0)</f>
        <v>7.1283333333333339</v>
      </c>
      <c r="E1383" s="9">
        <f>_xlfn.MAXIFS(Levels!E:E,Levels!B:B,A1383)</f>
        <v>12.04</v>
      </c>
      <c r="F1383" s="9">
        <f>_xlfn.MAXIFS(Levels!F:F,Levels!B:B,A1383)</f>
        <v>7.75</v>
      </c>
    </row>
    <row r="1384" spans="1:6" x14ac:dyDescent="0.3">
      <c r="A1384" t="s">
        <v>6375</v>
      </c>
      <c r="B1384" s="6">
        <f>COUNTIF(Levels!B:B,A1384)</f>
        <v>4</v>
      </c>
      <c r="C1384" s="6">
        <f>IFERROR(AVERAGEIF(Levels!B:B,A1384,Levels!E:E),0)</f>
        <v>3.5950000000000002</v>
      </c>
      <c r="D1384" s="6">
        <f>IFERROR(AVERAGEIF(Levels!B:B,A1384,Levels!F:F),0)</f>
        <v>6.7449999999999992</v>
      </c>
      <c r="E1384" s="6">
        <f>_xlfn.MAXIFS(Levels!E:E,Levels!B:B,A1384)</f>
        <v>8.73</v>
      </c>
      <c r="F1384" s="6">
        <f>_xlfn.MAXIFS(Levels!F:F,Levels!B:B,A1384)</f>
        <v>7.08</v>
      </c>
    </row>
    <row r="1385" spans="1:6" x14ac:dyDescent="0.3">
      <c r="A1385" t="s">
        <v>6379</v>
      </c>
      <c r="B1385" s="9">
        <f>COUNTIF(Levels!B:B,A1385)</f>
        <v>1</v>
      </c>
      <c r="C1385" s="9">
        <f>IFERROR(AVERAGEIF(Levels!B:B,A1385,Levels!E:E),0)</f>
        <v>5.88</v>
      </c>
      <c r="D1385" s="9">
        <f>IFERROR(AVERAGEIF(Levels!B:B,A1385,Levels!F:F),0)</f>
        <v>7.33</v>
      </c>
      <c r="E1385" s="9">
        <f>_xlfn.MAXIFS(Levels!E:E,Levels!B:B,A1385)</f>
        <v>5.88</v>
      </c>
      <c r="F1385" s="9">
        <f>_xlfn.MAXIFS(Levels!F:F,Levels!B:B,A1385)</f>
        <v>7.33</v>
      </c>
    </row>
    <row r="1386" spans="1:6" x14ac:dyDescent="0.3">
      <c r="A1386" t="s">
        <v>6382</v>
      </c>
      <c r="B1386" s="6">
        <f>COUNTIF(Levels!B:B,A1386)</f>
        <v>1</v>
      </c>
      <c r="C1386" s="6">
        <f>IFERROR(AVERAGEIF(Levels!B:B,A1386,Levels!E:E),0)</f>
        <v>4.33</v>
      </c>
      <c r="D1386" s="6">
        <f>IFERROR(AVERAGEIF(Levels!B:B,A1386,Levels!F:F),0)</f>
        <v>6.06</v>
      </c>
      <c r="E1386" s="6">
        <f>_xlfn.MAXIFS(Levels!E:E,Levels!B:B,A1386)</f>
        <v>4.33</v>
      </c>
      <c r="F1386" s="6">
        <f>_xlfn.MAXIFS(Levels!F:F,Levels!B:B,A1386)</f>
        <v>6.06</v>
      </c>
    </row>
    <row r="1387" spans="1:6" x14ac:dyDescent="0.3">
      <c r="A1387" t="s">
        <v>6387</v>
      </c>
      <c r="B1387" s="9">
        <f>COUNTIF(Levels!B:B,A1387)</f>
        <v>1</v>
      </c>
      <c r="C1387" s="9">
        <f>IFERROR(AVERAGEIF(Levels!B:B,A1387,Levels!E:E),0)</f>
        <v>4.67</v>
      </c>
      <c r="D1387" s="9">
        <f>IFERROR(AVERAGEIF(Levels!B:B,A1387,Levels!F:F),0)</f>
        <v>6</v>
      </c>
      <c r="E1387" s="9">
        <f>_xlfn.MAXIFS(Levels!E:E,Levels!B:B,A1387)</f>
        <v>4.67</v>
      </c>
      <c r="F1387" s="9">
        <f>_xlfn.MAXIFS(Levels!F:F,Levels!B:B,A1387)</f>
        <v>6</v>
      </c>
    </row>
    <row r="1388" spans="1:6" x14ac:dyDescent="0.3">
      <c r="A1388" t="s">
        <v>6392</v>
      </c>
      <c r="B1388" s="6">
        <f>COUNTIF(Levels!B:B,A1388)</f>
        <v>2</v>
      </c>
      <c r="C1388" s="6">
        <f>IFERROR(AVERAGEIF(Levels!B:B,A1388,Levels!E:E),0)</f>
        <v>9.5850000000000009</v>
      </c>
      <c r="D1388" s="6">
        <f>IFERROR(AVERAGEIF(Levels!B:B,A1388,Levels!F:F),0)</f>
        <v>6.5549999999999997</v>
      </c>
      <c r="E1388" s="6">
        <f>_xlfn.MAXIFS(Levels!E:E,Levels!B:B,A1388)</f>
        <v>12.63</v>
      </c>
      <c r="F1388" s="6">
        <f>_xlfn.MAXIFS(Levels!F:F,Levels!B:B,A1388)</f>
        <v>6.94</v>
      </c>
    </row>
    <row r="1389" spans="1:6" x14ac:dyDescent="0.3">
      <c r="A1389" t="s">
        <v>6396</v>
      </c>
      <c r="B1389" s="9">
        <f>COUNTIF(Levels!B:B,A1389)</f>
        <v>4</v>
      </c>
      <c r="C1389" s="9">
        <f>IFERROR(AVERAGEIF(Levels!B:B,A1389,Levels!E:E),0)</f>
        <v>9.09</v>
      </c>
      <c r="D1389" s="9">
        <f>IFERROR(AVERAGEIF(Levels!B:B,A1389,Levels!F:F),0)</f>
        <v>6.4275000000000002</v>
      </c>
      <c r="E1389" s="9">
        <f>_xlfn.MAXIFS(Levels!E:E,Levels!B:B,A1389)</f>
        <v>16.670000000000002</v>
      </c>
      <c r="F1389" s="9">
        <f>_xlfn.MAXIFS(Levels!F:F,Levels!B:B,A1389)</f>
        <v>7.23</v>
      </c>
    </row>
    <row r="1390" spans="1:6" x14ac:dyDescent="0.3">
      <c r="A1390" t="s">
        <v>6398</v>
      </c>
      <c r="B1390" s="6">
        <f>COUNTIF(Levels!B:B,A1390)</f>
        <v>4</v>
      </c>
      <c r="C1390" s="6">
        <f>IFERROR(AVERAGEIF(Levels!B:B,A1390,Levels!E:E),0)</f>
        <v>12.237500000000001</v>
      </c>
      <c r="D1390" s="6">
        <f>IFERROR(AVERAGEIF(Levels!B:B,A1390,Levels!F:F),0)</f>
        <v>7.2925000000000004</v>
      </c>
      <c r="E1390" s="6">
        <f>_xlfn.MAXIFS(Levels!E:E,Levels!B:B,A1390)</f>
        <v>29</v>
      </c>
      <c r="F1390" s="6">
        <f>_xlfn.MAXIFS(Levels!F:F,Levels!B:B,A1390)</f>
        <v>7.84</v>
      </c>
    </row>
    <row r="1391" spans="1:6" x14ac:dyDescent="0.3">
      <c r="A1391" t="s">
        <v>6403</v>
      </c>
      <c r="B1391" s="9">
        <f>COUNTIF(Levels!B:B,A1391)</f>
        <v>7</v>
      </c>
      <c r="C1391" s="9">
        <f>IFERROR(AVERAGEIF(Levels!B:B,A1391,Levels!E:E),0)</f>
        <v>11.014285714285716</v>
      </c>
      <c r="D1391" s="9">
        <f>IFERROR(AVERAGEIF(Levels!B:B,A1391,Levels!F:F),0)</f>
        <v>7.8542857142857141</v>
      </c>
      <c r="E1391" s="9">
        <f>_xlfn.MAXIFS(Levels!E:E,Levels!B:B,A1391)</f>
        <v>19.71</v>
      </c>
      <c r="F1391" s="9">
        <f>_xlfn.MAXIFS(Levels!F:F,Levels!B:B,A1391)</f>
        <v>8.18</v>
      </c>
    </row>
    <row r="1392" spans="1:6" x14ac:dyDescent="0.3">
      <c r="A1392" t="s">
        <v>6406</v>
      </c>
      <c r="B1392" s="6">
        <f>COUNTIF(Levels!B:B,A1392)</f>
        <v>1</v>
      </c>
      <c r="C1392" s="6">
        <f>IFERROR(AVERAGEIF(Levels!B:B,A1392,Levels!E:E),0)</f>
        <v>13.07</v>
      </c>
      <c r="D1392" s="6">
        <f>IFERROR(AVERAGEIF(Levels!B:B,A1392,Levels!F:F),0)</f>
        <v>7.55</v>
      </c>
      <c r="E1392" s="6">
        <f>_xlfn.MAXIFS(Levels!E:E,Levels!B:B,A1392)</f>
        <v>13.07</v>
      </c>
      <c r="F1392" s="6">
        <f>_xlfn.MAXIFS(Levels!F:F,Levels!B:B,A1392)</f>
        <v>7.55</v>
      </c>
    </row>
    <row r="1393" spans="1:6" x14ac:dyDescent="0.3">
      <c r="A1393" t="s">
        <v>6414</v>
      </c>
      <c r="B1393" s="9">
        <f>COUNTIF(Levels!B:B,A1393)</f>
        <v>4</v>
      </c>
      <c r="C1393" s="9">
        <f>IFERROR(AVERAGEIF(Levels!B:B,A1393,Levels!E:E),0)</f>
        <v>11.522500000000001</v>
      </c>
      <c r="D1393" s="9">
        <f>IFERROR(AVERAGEIF(Levels!B:B,A1393,Levels!F:F),0)</f>
        <v>7.63</v>
      </c>
      <c r="E1393" s="9">
        <f>_xlfn.MAXIFS(Levels!E:E,Levels!B:B,A1393)</f>
        <v>22.34</v>
      </c>
      <c r="F1393" s="9">
        <f>_xlfn.MAXIFS(Levels!F:F,Levels!B:B,A1393)</f>
        <v>7.81</v>
      </c>
    </row>
    <row r="1394" spans="1:6" x14ac:dyDescent="0.3">
      <c r="A1394" t="s">
        <v>6421</v>
      </c>
      <c r="B1394" s="6">
        <f>COUNTIF(Levels!B:B,A1394)</f>
        <v>5</v>
      </c>
      <c r="C1394" s="6">
        <f>IFERROR(AVERAGEIF(Levels!B:B,A1394,Levels!E:E),0)</f>
        <v>2.7159999999999997</v>
      </c>
      <c r="D1394" s="6">
        <f>IFERROR(AVERAGEIF(Levels!B:B,A1394,Levels!F:F),0)</f>
        <v>6.8559999999999999</v>
      </c>
      <c r="E1394" s="6">
        <f>_xlfn.MAXIFS(Levels!E:E,Levels!B:B,A1394)</f>
        <v>3.66</v>
      </c>
      <c r="F1394" s="6">
        <f>_xlfn.MAXIFS(Levels!F:F,Levels!B:B,A1394)</f>
        <v>7.12</v>
      </c>
    </row>
    <row r="1395" spans="1:6" x14ac:dyDescent="0.3">
      <c r="A1395" t="s">
        <v>6424</v>
      </c>
      <c r="B1395" s="9">
        <f>COUNTIF(Levels!B:B,A1395)</f>
        <v>2</v>
      </c>
      <c r="C1395" s="9">
        <f>IFERROR(AVERAGEIF(Levels!B:B,A1395,Levels!E:E),0)</f>
        <v>6.2149999999999999</v>
      </c>
      <c r="D1395" s="9">
        <f>IFERROR(AVERAGEIF(Levels!B:B,A1395,Levels!F:F),0)</f>
        <v>5.2450000000000001</v>
      </c>
      <c r="E1395" s="9">
        <f>_xlfn.MAXIFS(Levels!E:E,Levels!B:B,A1395)</f>
        <v>8.1999999999999993</v>
      </c>
      <c r="F1395" s="9">
        <f>_xlfn.MAXIFS(Levels!F:F,Levels!B:B,A1395)</f>
        <v>5.25</v>
      </c>
    </row>
    <row r="1396" spans="1:6" x14ac:dyDescent="0.3">
      <c r="A1396" t="s">
        <v>6438</v>
      </c>
      <c r="B1396" s="6">
        <f>COUNTIF(Levels!B:B,A1396)</f>
        <v>2</v>
      </c>
      <c r="C1396" s="6">
        <f>IFERROR(AVERAGEIF(Levels!B:B,A1396,Levels!E:E),0)</f>
        <v>9.75</v>
      </c>
      <c r="D1396" s="6">
        <f>IFERROR(AVERAGEIF(Levels!B:B,A1396,Levels!F:F),0)</f>
        <v>5.75</v>
      </c>
      <c r="E1396" s="6">
        <f>_xlfn.MAXIFS(Levels!E:E,Levels!B:B,A1396)</f>
        <v>12.12</v>
      </c>
      <c r="F1396" s="6">
        <f>_xlfn.MAXIFS(Levels!F:F,Levels!B:B,A1396)</f>
        <v>6</v>
      </c>
    </row>
    <row r="1397" spans="1:6" x14ac:dyDescent="0.3">
      <c r="A1397" t="s">
        <v>6444</v>
      </c>
      <c r="B1397" s="9">
        <f>COUNTIF(Levels!B:B,A1397)</f>
        <v>1</v>
      </c>
      <c r="C1397" s="9">
        <f>IFERROR(AVERAGEIF(Levels!B:B,A1397,Levels!E:E),0)</f>
        <v>5</v>
      </c>
      <c r="D1397" s="9">
        <f>IFERROR(AVERAGEIF(Levels!B:B,A1397,Levels!F:F),0)</f>
        <v>4.4000000000000004</v>
      </c>
      <c r="E1397" s="9">
        <f>_xlfn.MAXIFS(Levels!E:E,Levels!B:B,A1397)</f>
        <v>5</v>
      </c>
      <c r="F1397" s="9">
        <f>_xlfn.MAXIFS(Levels!F:F,Levels!B:B,A1397)</f>
        <v>4.4000000000000004</v>
      </c>
    </row>
    <row r="1398" spans="1:6" x14ac:dyDescent="0.3">
      <c r="A1398" t="s">
        <v>6448</v>
      </c>
      <c r="B1398" s="6">
        <f>COUNTIF(Levels!B:B,A1398)</f>
        <v>1</v>
      </c>
      <c r="C1398" s="6">
        <f>IFERROR(AVERAGEIF(Levels!B:B,A1398,Levels!E:E),0)</f>
        <v>3.14</v>
      </c>
      <c r="D1398" s="6">
        <f>IFERROR(AVERAGEIF(Levels!B:B,A1398,Levels!F:F),0)</f>
        <v>7.93</v>
      </c>
      <c r="E1398" s="6">
        <f>_xlfn.MAXIFS(Levels!E:E,Levels!B:B,A1398)</f>
        <v>3.14</v>
      </c>
      <c r="F1398" s="6">
        <f>_xlfn.MAXIFS(Levels!F:F,Levels!B:B,A1398)</f>
        <v>7.93</v>
      </c>
    </row>
    <row r="1399" spans="1:6" x14ac:dyDescent="0.3">
      <c r="A1399">
        <v>45744574</v>
      </c>
      <c r="B1399" s="9">
        <f>COUNTIF(Levels!B:B,A1399)</f>
        <v>2</v>
      </c>
      <c r="C1399" s="9">
        <f>IFERROR(AVERAGEIF(Levels!B:B,A1399,Levels!E:E),0)</f>
        <v>6.6549999999999994</v>
      </c>
      <c r="D1399" s="9">
        <f>IFERROR(AVERAGEIF(Levels!B:B,A1399,Levels!F:F),0)</f>
        <v>6.82</v>
      </c>
      <c r="E1399" s="9">
        <f>_xlfn.MAXIFS(Levels!E:E,Levels!B:B,A1399)</f>
        <v>7.67</v>
      </c>
      <c r="F1399" s="9">
        <f>_xlfn.MAXIFS(Levels!F:F,Levels!B:B,A1399)</f>
        <v>7.64</v>
      </c>
    </row>
    <row r="1400" spans="1:6" x14ac:dyDescent="0.3">
      <c r="A1400" t="s">
        <v>6456</v>
      </c>
      <c r="B1400" s="6">
        <f>COUNTIF(Levels!B:B,A1400)</f>
        <v>1</v>
      </c>
      <c r="C1400" s="6">
        <f>IFERROR(AVERAGEIF(Levels!B:B,A1400,Levels!E:E),0)</f>
        <v>11</v>
      </c>
      <c r="D1400" s="6">
        <f>IFERROR(AVERAGEIF(Levels!B:B,A1400,Levels!F:F),0)</f>
        <v>6.67</v>
      </c>
      <c r="E1400" s="6">
        <f>_xlfn.MAXIFS(Levels!E:E,Levels!B:B,A1400)</f>
        <v>11</v>
      </c>
      <c r="F1400" s="6">
        <f>_xlfn.MAXIFS(Levels!F:F,Levels!B:B,A1400)</f>
        <v>6.67</v>
      </c>
    </row>
    <row r="1401" spans="1:6" x14ac:dyDescent="0.3">
      <c r="A1401" t="s">
        <v>6463</v>
      </c>
      <c r="B1401" s="9">
        <f>COUNTIF(Levels!B:B,A1401)</f>
        <v>3</v>
      </c>
      <c r="C1401" s="9">
        <f>IFERROR(AVERAGEIF(Levels!B:B,A1401,Levels!E:E),0)</f>
        <v>4.2033333333333331</v>
      </c>
      <c r="D1401" s="9">
        <f>IFERROR(AVERAGEIF(Levels!B:B,A1401,Levels!F:F),0)</f>
        <v>6.5</v>
      </c>
      <c r="E1401" s="9">
        <f>_xlfn.MAXIFS(Levels!E:E,Levels!B:B,A1401)</f>
        <v>6.25</v>
      </c>
      <c r="F1401" s="9">
        <f>_xlfn.MAXIFS(Levels!F:F,Levels!B:B,A1401)</f>
        <v>7.1</v>
      </c>
    </row>
    <row r="1402" spans="1:6" x14ac:dyDescent="0.3">
      <c r="A1402" t="s">
        <v>6468</v>
      </c>
      <c r="B1402" s="6">
        <f>COUNTIF(Levels!B:B,A1402)</f>
        <v>2</v>
      </c>
      <c r="C1402" s="6">
        <f>IFERROR(AVERAGEIF(Levels!B:B,A1402,Levels!E:E),0)</f>
        <v>10.035</v>
      </c>
      <c r="D1402" s="6">
        <f>IFERROR(AVERAGEIF(Levels!B:B,A1402,Levels!F:F),0)</f>
        <v>6.7249999999999996</v>
      </c>
      <c r="E1402" s="6">
        <f>_xlfn.MAXIFS(Levels!E:E,Levels!B:B,A1402)</f>
        <v>18.89</v>
      </c>
      <c r="F1402" s="6">
        <f>_xlfn.MAXIFS(Levels!F:F,Levels!B:B,A1402)</f>
        <v>6.78</v>
      </c>
    </row>
    <row r="1403" spans="1:6" x14ac:dyDescent="0.3">
      <c r="A1403" t="s">
        <v>6470</v>
      </c>
      <c r="B1403" s="9">
        <f>COUNTIF(Levels!B:B,A1403)</f>
        <v>3</v>
      </c>
      <c r="C1403" s="9">
        <f>IFERROR(AVERAGEIF(Levels!B:B,A1403,Levels!E:E),0)</f>
        <v>24.043333333333333</v>
      </c>
      <c r="D1403" s="9">
        <f>IFERROR(AVERAGEIF(Levels!B:B,A1403,Levels!F:F),0)</f>
        <v>7.7433333333333332</v>
      </c>
      <c r="E1403" s="9">
        <f>_xlfn.MAXIFS(Levels!E:E,Levels!B:B,A1403)</f>
        <v>28</v>
      </c>
      <c r="F1403" s="9">
        <f>_xlfn.MAXIFS(Levels!F:F,Levels!B:B,A1403)</f>
        <v>8</v>
      </c>
    </row>
    <row r="1404" spans="1:6" x14ac:dyDescent="0.3">
      <c r="A1404" t="s">
        <v>6473</v>
      </c>
      <c r="B1404" s="6">
        <f>COUNTIF(Levels!B:B,A1404)</f>
        <v>2</v>
      </c>
      <c r="C1404" s="6">
        <f>IFERROR(AVERAGEIF(Levels!B:B,A1404,Levels!E:E),0)</f>
        <v>10.164999999999999</v>
      </c>
      <c r="D1404" s="6">
        <f>IFERROR(AVERAGEIF(Levels!B:B,A1404,Levels!F:F),0)</f>
        <v>6.6749999999999998</v>
      </c>
      <c r="E1404" s="6">
        <f>_xlfn.MAXIFS(Levels!E:E,Levels!B:B,A1404)</f>
        <v>12.45</v>
      </c>
      <c r="F1404" s="6">
        <f>_xlfn.MAXIFS(Levels!F:F,Levels!B:B,A1404)</f>
        <v>7.35</v>
      </c>
    </row>
    <row r="1405" spans="1:6" x14ac:dyDescent="0.3">
      <c r="A1405" t="s">
        <v>6478</v>
      </c>
      <c r="B1405" s="9">
        <f>COUNTIF(Levels!B:B,A1405)</f>
        <v>1</v>
      </c>
      <c r="C1405" s="9">
        <f>IFERROR(AVERAGEIF(Levels!B:B,A1405,Levels!E:E),0)</f>
        <v>7.25</v>
      </c>
      <c r="D1405" s="9">
        <f>IFERROR(AVERAGEIF(Levels!B:B,A1405,Levels!F:F),0)</f>
        <v>4.67</v>
      </c>
      <c r="E1405" s="9">
        <f>_xlfn.MAXIFS(Levels!E:E,Levels!B:B,A1405)</f>
        <v>7.25</v>
      </c>
      <c r="F1405" s="9">
        <f>_xlfn.MAXIFS(Levels!F:F,Levels!B:B,A1405)</f>
        <v>4.67</v>
      </c>
    </row>
    <row r="1406" spans="1:6" x14ac:dyDescent="0.3">
      <c r="A1406" t="s">
        <v>6487</v>
      </c>
      <c r="B1406" s="6">
        <f>COUNTIF(Levels!B:B,A1406)</f>
        <v>1</v>
      </c>
      <c r="C1406" s="6">
        <f>IFERROR(AVERAGEIF(Levels!B:B,A1406,Levels!E:E),0)</f>
        <v>2.23</v>
      </c>
      <c r="D1406" s="6">
        <f>IFERROR(AVERAGEIF(Levels!B:B,A1406,Levels!F:F),0)</f>
        <v>5.53</v>
      </c>
      <c r="E1406" s="6">
        <f>_xlfn.MAXIFS(Levels!E:E,Levels!B:B,A1406)</f>
        <v>2.23</v>
      </c>
      <c r="F1406" s="6">
        <f>_xlfn.MAXIFS(Levels!F:F,Levels!B:B,A1406)</f>
        <v>5.53</v>
      </c>
    </row>
    <row r="1407" spans="1:6" x14ac:dyDescent="0.3">
      <c r="A1407" t="s">
        <v>6490</v>
      </c>
      <c r="B1407" s="9">
        <f>COUNTIF(Levels!B:B,A1407)</f>
        <v>3</v>
      </c>
      <c r="C1407" s="9">
        <f>IFERROR(AVERAGEIF(Levels!B:B,A1407,Levels!E:E),0)</f>
        <v>16.493333333333336</v>
      </c>
      <c r="D1407" s="9">
        <f>IFERROR(AVERAGEIF(Levels!B:B,A1407,Levels!F:F),0)</f>
        <v>6.503333333333333</v>
      </c>
      <c r="E1407" s="9">
        <f>_xlfn.MAXIFS(Levels!E:E,Levels!B:B,A1407)</f>
        <v>18.84</v>
      </c>
      <c r="F1407" s="9">
        <f>_xlfn.MAXIFS(Levels!F:F,Levels!B:B,A1407)</f>
        <v>7.07</v>
      </c>
    </row>
    <row r="1408" spans="1:6" x14ac:dyDescent="0.3">
      <c r="A1408" t="s">
        <v>6497</v>
      </c>
      <c r="B1408" s="6">
        <f>COUNTIF(Levels!B:B,A1408)</f>
        <v>1</v>
      </c>
      <c r="C1408" s="6">
        <f>IFERROR(AVERAGEIF(Levels!B:B,A1408,Levels!E:E),0)</f>
        <v>11</v>
      </c>
      <c r="D1408" s="6">
        <f>IFERROR(AVERAGEIF(Levels!B:B,A1408,Levels!F:F),0)</f>
        <v>4</v>
      </c>
      <c r="E1408" s="6">
        <f>_xlfn.MAXIFS(Levels!E:E,Levels!B:B,A1408)</f>
        <v>11</v>
      </c>
      <c r="F1408" s="6">
        <f>_xlfn.MAXIFS(Levels!F:F,Levels!B:B,A1408)</f>
        <v>4</v>
      </c>
    </row>
    <row r="1409" spans="1:6" x14ac:dyDescent="0.3">
      <c r="A1409" t="s">
        <v>6498</v>
      </c>
      <c r="B1409" s="9">
        <f>COUNTIF(Levels!B:B,A1409)</f>
        <v>1</v>
      </c>
      <c r="C1409" s="9">
        <f>IFERROR(AVERAGEIF(Levels!B:B,A1409,Levels!E:E),0)</f>
        <v>17</v>
      </c>
      <c r="D1409" s="9">
        <f>IFERROR(AVERAGEIF(Levels!B:B,A1409,Levels!F:F),0)</f>
        <v>7</v>
      </c>
      <c r="E1409" s="9">
        <f>_xlfn.MAXIFS(Levels!E:E,Levels!B:B,A1409)</f>
        <v>17</v>
      </c>
      <c r="F1409" s="9">
        <f>_xlfn.MAXIFS(Levels!F:F,Levels!B:B,A1409)</f>
        <v>7</v>
      </c>
    </row>
    <row r="1410" spans="1:6" x14ac:dyDescent="0.3">
      <c r="A1410" t="s">
        <v>6505</v>
      </c>
      <c r="B1410" s="6">
        <f>COUNTIF(Levels!B:B,A1410)</f>
        <v>3</v>
      </c>
      <c r="C1410" s="6">
        <f>IFERROR(AVERAGEIF(Levels!B:B,A1410,Levels!E:E),0)</f>
        <v>1.67</v>
      </c>
      <c r="D1410" s="6">
        <f>IFERROR(AVERAGEIF(Levels!B:B,A1410,Levels!F:F),0)</f>
        <v>6.6933333333333325</v>
      </c>
      <c r="E1410" s="6">
        <f>_xlfn.MAXIFS(Levels!E:E,Levels!B:B,A1410)</f>
        <v>2.5</v>
      </c>
      <c r="F1410" s="6">
        <f>_xlfn.MAXIFS(Levels!F:F,Levels!B:B,A1410)</f>
        <v>7.22</v>
      </c>
    </row>
    <row r="1411" spans="1:6" x14ac:dyDescent="0.3">
      <c r="A1411" t="s">
        <v>6507</v>
      </c>
      <c r="B1411" s="9">
        <f>COUNTIF(Levels!B:B,A1411)</f>
        <v>1</v>
      </c>
      <c r="C1411" s="9">
        <f>IFERROR(AVERAGEIF(Levels!B:B,A1411,Levels!E:E),0)</f>
        <v>6.24</v>
      </c>
      <c r="D1411" s="9">
        <f>IFERROR(AVERAGEIF(Levels!B:B,A1411,Levels!F:F),0)</f>
        <v>7.16</v>
      </c>
      <c r="E1411" s="9">
        <f>_xlfn.MAXIFS(Levels!E:E,Levels!B:B,A1411)</f>
        <v>6.24</v>
      </c>
      <c r="F1411" s="9">
        <f>_xlfn.MAXIFS(Levels!F:F,Levels!B:B,A1411)</f>
        <v>7.16</v>
      </c>
    </row>
    <row r="1412" spans="1:6" x14ac:dyDescent="0.3">
      <c r="A1412" t="s">
        <v>6510</v>
      </c>
      <c r="B1412" s="6">
        <f>COUNTIF(Levels!B:B,A1412)</f>
        <v>2</v>
      </c>
      <c r="C1412" s="6">
        <f>IFERROR(AVERAGEIF(Levels!B:B,A1412,Levels!E:E),0)</f>
        <v>4.9950000000000001</v>
      </c>
      <c r="D1412" s="6">
        <f>IFERROR(AVERAGEIF(Levels!B:B,A1412,Levels!F:F),0)</f>
        <v>8.1849999999999987</v>
      </c>
      <c r="E1412" s="6">
        <f>_xlfn.MAXIFS(Levels!E:E,Levels!B:B,A1412)</f>
        <v>5.53</v>
      </c>
      <c r="F1412" s="6">
        <f>_xlfn.MAXIFS(Levels!F:F,Levels!B:B,A1412)</f>
        <v>8.3699999999999992</v>
      </c>
    </row>
    <row r="1413" spans="1:6" x14ac:dyDescent="0.3">
      <c r="A1413" t="s">
        <v>6516</v>
      </c>
      <c r="B1413" s="9">
        <f>COUNTIF(Levels!B:B,A1413)</f>
        <v>1</v>
      </c>
      <c r="C1413" s="9">
        <f>IFERROR(AVERAGEIF(Levels!B:B,A1413,Levels!E:E),0)</f>
        <v>14.84</v>
      </c>
      <c r="D1413" s="9">
        <f>IFERROR(AVERAGEIF(Levels!B:B,A1413,Levels!F:F),0)</f>
        <v>6.94</v>
      </c>
      <c r="E1413" s="9">
        <f>_xlfn.MAXIFS(Levels!E:E,Levels!B:B,A1413)</f>
        <v>14.84</v>
      </c>
      <c r="F1413" s="9">
        <f>_xlfn.MAXIFS(Levels!F:F,Levels!B:B,A1413)</f>
        <v>6.94</v>
      </c>
    </row>
    <row r="1414" spans="1:6" x14ac:dyDescent="0.3">
      <c r="A1414" t="s">
        <v>6517</v>
      </c>
      <c r="B1414" s="6">
        <f>COUNTIF(Levels!B:B,A1414)</f>
        <v>3</v>
      </c>
      <c r="C1414" s="6">
        <f>IFERROR(AVERAGEIF(Levels!B:B,A1414,Levels!E:E),0)</f>
        <v>7.59</v>
      </c>
      <c r="D1414" s="6">
        <f>IFERROR(AVERAGEIF(Levels!B:B,A1414,Levels!F:F),0)</f>
        <v>6.793333333333333</v>
      </c>
      <c r="E1414" s="6">
        <f>_xlfn.MAXIFS(Levels!E:E,Levels!B:B,A1414)</f>
        <v>12.94</v>
      </c>
      <c r="F1414" s="6">
        <f>_xlfn.MAXIFS(Levels!F:F,Levels!B:B,A1414)</f>
        <v>7.57</v>
      </c>
    </row>
    <row r="1415" spans="1:6" x14ac:dyDescent="0.3">
      <c r="A1415" t="s">
        <v>6521</v>
      </c>
      <c r="B1415" s="9">
        <f>COUNTIF(Levels!B:B,A1415)</f>
        <v>1</v>
      </c>
      <c r="C1415" s="9">
        <f>IFERROR(AVERAGEIF(Levels!B:B,A1415,Levels!E:E),0)</f>
        <v>16.86</v>
      </c>
      <c r="D1415" s="9">
        <f>IFERROR(AVERAGEIF(Levels!B:B,A1415,Levels!F:F),0)</f>
        <v>5.85</v>
      </c>
      <c r="E1415" s="9">
        <f>_xlfn.MAXIFS(Levels!E:E,Levels!B:B,A1415)</f>
        <v>16.86</v>
      </c>
      <c r="F1415" s="9">
        <f>_xlfn.MAXIFS(Levels!F:F,Levels!B:B,A1415)</f>
        <v>5.85</v>
      </c>
    </row>
    <row r="1416" spans="1:6" x14ac:dyDescent="0.3">
      <c r="A1416" t="s">
        <v>6523</v>
      </c>
      <c r="B1416" s="6">
        <f>COUNTIF(Levels!B:B,A1416)</f>
        <v>2</v>
      </c>
      <c r="C1416" s="6">
        <f>IFERROR(AVERAGEIF(Levels!B:B,A1416,Levels!E:E),0)</f>
        <v>14.094999999999999</v>
      </c>
      <c r="D1416" s="6">
        <f>IFERROR(AVERAGEIF(Levels!B:B,A1416,Levels!F:F),0)</f>
        <v>6.82</v>
      </c>
      <c r="E1416" s="6">
        <f>_xlfn.MAXIFS(Levels!E:E,Levels!B:B,A1416)</f>
        <v>16</v>
      </c>
      <c r="F1416" s="6">
        <f>_xlfn.MAXIFS(Levels!F:F,Levels!B:B,A1416)</f>
        <v>8</v>
      </c>
    </row>
    <row r="1417" spans="1:6" x14ac:dyDescent="0.3">
      <c r="A1417" t="s">
        <v>6525</v>
      </c>
      <c r="B1417" s="9">
        <f>COUNTIF(Levels!B:B,A1417)</f>
        <v>6</v>
      </c>
      <c r="C1417" s="9">
        <f>IFERROR(AVERAGEIF(Levels!B:B,A1417,Levels!E:E),0)</f>
        <v>18.638333333333332</v>
      </c>
      <c r="D1417" s="9">
        <f>IFERROR(AVERAGEIF(Levels!B:B,A1417,Levels!F:F),0)</f>
        <v>8.6416666666666675</v>
      </c>
      <c r="E1417" s="9">
        <f>_xlfn.MAXIFS(Levels!E:E,Levels!B:B,A1417)</f>
        <v>20.57</v>
      </c>
      <c r="F1417" s="9">
        <f>_xlfn.MAXIFS(Levels!F:F,Levels!B:B,A1417)</f>
        <v>9.32</v>
      </c>
    </row>
    <row r="1418" spans="1:6" x14ac:dyDescent="0.3">
      <c r="A1418" t="s">
        <v>6531</v>
      </c>
      <c r="B1418" s="6">
        <f>COUNTIF(Levels!B:B,A1418)</f>
        <v>1</v>
      </c>
      <c r="C1418" s="6">
        <f>IFERROR(AVERAGEIF(Levels!B:B,A1418,Levels!E:E),0)</f>
        <v>24.5</v>
      </c>
      <c r="D1418" s="6">
        <f>IFERROR(AVERAGEIF(Levels!B:B,A1418,Levels!F:F),0)</f>
        <v>8.5</v>
      </c>
      <c r="E1418" s="6">
        <f>_xlfn.MAXIFS(Levels!E:E,Levels!B:B,A1418)</f>
        <v>24.5</v>
      </c>
      <c r="F1418" s="6">
        <f>_xlfn.MAXIFS(Levels!F:F,Levels!B:B,A1418)</f>
        <v>8.5</v>
      </c>
    </row>
    <row r="1419" spans="1:6" x14ac:dyDescent="0.3">
      <c r="A1419" t="s">
        <v>6538</v>
      </c>
      <c r="B1419" s="9">
        <f>COUNTIF(Levels!B:B,A1419)</f>
        <v>2</v>
      </c>
      <c r="C1419" s="9">
        <f>IFERROR(AVERAGEIF(Levels!B:B,A1419,Levels!E:E),0)</f>
        <v>17.524999999999999</v>
      </c>
      <c r="D1419" s="9">
        <f>IFERROR(AVERAGEIF(Levels!B:B,A1419,Levels!F:F),0)</f>
        <v>7.7899999999999991</v>
      </c>
      <c r="E1419" s="9">
        <f>_xlfn.MAXIFS(Levels!E:E,Levels!B:B,A1419)</f>
        <v>19.02</v>
      </c>
      <c r="F1419" s="9">
        <f>_xlfn.MAXIFS(Levels!F:F,Levels!B:B,A1419)</f>
        <v>8.4499999999999993</v>
      </c>
    </row>
    <row r="1420" spans="1:6" x14ac:dyDescent="0.3">
      <c r="A1420" t="s">
        <v>6547</v>
      </c>
      <c r="B1420" s="6">
        <f>COUNTIF(Levels!B:B,A1420)</f>
        <v>1</v>
      </c>
      <c r="C1420" s="6">
        <f>IFERROR(AVERAGEIF(Levels!B:B,A1420,Levels!E:E),0)</f>
        <v>12.75</v>
      </c>
      <c r="D1420" s="6">
        <f>IFERROR(AVERAGEIF(Levels!B:B,A1420,Levels!F:F),0)</f>
        <v>7.25</v>
      </c>
      <c r="E1420" s="6">
        <f>_xlfn.MAXIFS(Levels!E:E,Levels!B:B,A1420)</f>
        <v>12.75</v>
      </c>
      <c r="F1420" s="6">
        <f>_xlfn.MAXIFS(Levels!F:F,Levels!B:B,A1420)</f>
        <v>7.25</v>
      </c>
    </row>
    <row r="1421" spans="1:6" x14ac:dyDescent="0.3">
      <c r="A1421" t="s">
        <v>6550</v>
      </c>
      <c r="B1421" s="9">
        <f>COUNTIF(Levels!B:B,A1421)</f>
        <v>1</v>
      </c>
      <c r="C1421" s="9">
        <f>IFERROR(AVERAGEIF(Levels!B:B,A1421,Levels!E:E),0)</f>
        <v>9.24</v>
      </c>
      <c r="D1421" s="9">
        <f>IFERROR(AVERAGEIF(Levels!B:B,A1421,Levels!F:F),0)</f>
        <v>4.33</v>
      </c>
      <c r="E1421" s="9">
        <f>_xlfn.MAXIFS(Levels!E:E,Levels!B:B,A1421)</f>
        <v>9.24</v>
      </c>
      <c r="F1421" s="9">
        <f>_xlfn.MAXIFS(Levels!F:F,Levels!B:B,A1421)</f>
        <v>4.33</v>
      </c>
    </row>
    <row r="1422" spans="1:6" x14ac:dyDescent="0.3">
      <c r="A1422" t="s">
        <v>6556</v>
      </c>
      <c r="B1422" s="6">
        <f>COUNTIF(Levels!B:B,A1422)</f>
        <v>8</v>
      </c>
      <c r="C1422" s="6">
        <f>IFERROR(AVERAGEIF(Levels!B:B,A1422,Levels!E:E),0)</f>
        <v>28.374000000000002</v>
      </c>
      <c r="D1422" s="6">
        <f>IFERROR(AVERAGEIF(Levels!B:B,A1422,Levels!F:F),0)</f>
        <v>5.3</v>
      </c>
      <c r="E1422" s="6">
        <f>_xlfn.MAXIFS(Levels!E:E,Levels!B:B,A1422)</f>
        <v>31</v>
      </c>
      <c r="F1422" s="6">
        <f>_xlfn.MAXIFS(Levels!F:F,Levels!B:B,A1422)</f>
        <v>7</v>
      </c>
    </row>
    <row r="1423" spans="1:6" x14ac:dyDescent="0.3">
      <c r="A1423" t="s">
        <v>6561</v>
      </c>
      <c r="B1423" s="9">
        <f>COUNTIF(Levels!B:B,A1423)</f>
        <v>3</v>
      </c>
      <c r="C1423" s="9">
        <f>IFERROR(AVERAGEIF(Levels!B:B,A1423,Levels!E:E),0)</f>
        <v>12.966666666666669</v>
      </c>
      <c r="D1423" s="9">
        <f>IFERROR(AVERAGEIF(Levels!B:B,A1423,Levels!F:F),0)</f>
        <v>6.96</v>
      </c>
      <c r="E1423" s="9">
        <f>_xlfn.MAXIFS(Levels!E:E,Levels!B:B,A1423)</f>
        <v>32.130000000000003</v>
      </c>
      <c r="F1423" s="9">
        <f>_xlfn.MAXIFS(Levels!F:F,Levels!B:B,A1423)</f>
        <v>8.0299999999999994</v>
      </c>
    </row>
    <row r="1424" spans="1:6" x14ac:dyDescent="0.3">
      <c r="A1424" t="s">
        <v>6563</v>
      </c>
      <c r="B1424" s="6">
        <f>COUNTIF(Levels!B:B,A1424)</f>
        <v>2</v>
      </c>
      <c r="C1424" s="6">
        <f>IFERROR(AVERAGEIF(Levels!B:B,A1424,Levels!E:E),0)</f>
        <v>4.1850000000000005</v>
      </c>
      <c r="D1424" s="6">
        <f>IFERROR(AVERAGEIF(Levels!B:B,A1424,Levels!F:F),0)</f>
        <v>5.9649999999999999</v>
      </c>
      <c r="E1424" s="6">
        <f>_xlfn.MAXIFS(Levels!E:E,Levels!B:B,A1424)</f>
        <v>6.32</v>
      </c>
      <c r="F1424" s="6">
        <f>_xlfn.MAXIFS(Levels!F:F,Levels!B:B,A1424)</f>
        <v>6.43</v>
      </c>
    </row>
    <row r="1425" spans="1:6" x14ac:dyDescent="0.3">
      <c r="A1425" t="s">
        <v>6566</v>
      </c>
      <c r="B1425" s="9">
        <f>COUNTIF(Levels!B:B,A1425)</f>
        <v>1</v>
      </c>
      <c r="C1425" s="9">
        <f>IFERROR(AVERAGEIF(Levels!B:B,A1425,Levels!E:E),0)</f>
        <v>28</v>
      </c>
      <c r="D1425" s="9">
        <f>IFERROR(AVERAGEIF(Levels!B:B,A1425,Levels!F:F),0)</f>
        <v>8</v>
      </c>
      <c r="E1425" s="9">
        <f>_xlfn.MAXIFS(Levels!E:E,Levels!B:B,A1425)</f>
        <v>28</v>
      </c>
      <c r="F1425" s="9">
        <f>_xlfn.MAXIFS(Levels!F:F,Levels!B:B,A1425)</f>
        <v>8</v>
      </c>
    </row>
    <row r="1426" spans="1:6" x14ac:dyDescent="0.3">
      <c r="A1426" t="s">
        <v>6569</v>
      </c>
      <c r="B1426" s="6">
        <f>COUNTIF(Levels!B:B,A1426)</f>
        <v>1</v>
      </c>
      <c r="C1426" s="6">
        <f>IFERROR(AVERAGEIF(Levels!B:B,A1426,Levels!E:E),0)</f>
        <v>6.58</v>
      </c>
      <c r="D1426" s="6">
        <f>IFERROR(AVERAGEIF(Levels!B:B,A1426,Levels!F:F),0)</f>
        <v>6</v>
      </c>
      <c r="E1426" s="6">
        <f>_xlfn.MAXIFS(Levels!E:E,Levels!B:B,A1426)</f>
        <v>6.58</v>
      </c>
      <c r="F1426" s="6">
        <f>_xlfn.MAXIFS(Levels!F:F,Levels!B:B,A1426)</f>
        <v>6</v>
      </c>
    </row>
    <row r="1427" spans="1:6" x14ac:dyDescent="0.3">
      <c r="A1427" t="s">
        <v>6585</v>
      </c>
      <c r="B1427" s="9">
        <f>COUNTIF(Levels!B:B,A1427)</f>
        <v>1</v>
      </c>
      <c r="C1427" s="9">
        <f>IFERROR(AVERAGEIF(Levels!B:B,A1427,Levels!E:E),0)</f>
        <v>7.63</v>
      </c>
      <c r="D1427" s="9">
        <f>IFERROR(AVERAGEIF(Levels!B:B,A1427,Levels!F:F),0)</f>
        <v>6.33</v>
      </c>
      <c r="E1427" s="9">
        <f>_xlfn.MAXIFS(Levels!E:E,Levels!B:B,A1427)</f>
        <v>7.63</v>
      </c>
      <c r="F1427" s="9">
        <f>_xlfn.MAXIFS(Levels!F:F,Levels!B:B,A1427)</f>
        <v>6.33</v>
      </c>
    </row>
    <row r="1428" spans="1:6" x14ac:dyDescent="0.3">
      <c r="A1428" t="s">
        <v>6592</v>
      </c>
      <c r="B1428" s="6">
        <f>COUNTIF(Levels!B:B,A1428)</f>
        <v>2</v>
      </c>
      <c r="C1428" s="6">
        <f>IFERROR(AVERAGEIF(Levels!B:B,A1428,Levels!E:E),0)</f>
        <v>4.9550000000000001</v>
      </c>
      <c r="D1428" s="6">
        <f>IFERROR(AVERAGEIF(Levels!B:B,A1428,Levels!F:F),0)</f>
        <v>6.0649999999999995</v>
      </c>
      <c r="E1428" s="6">
        <f>_xlfn.MAXIFS(Levels!E:E,Levels!B:B,A1428)</f>
        <v>7.33</v>
      </c>
      <c r="F1428" s="6">
        <f>_xlfn.MAXIFS(Levels!F:F,Levels!B:B,A1428)</f>
        <v>6.13</v>
      </c>
    </row>
    <row r="1429" spans="1:6" x14ac:dyDescent="0.3">
      <c r="A1429" t="s">
        <v>6594</v>
      </c>
      <c r="B1429" s="9">
        <f>COUNTIF(Levels!B:B,A1429)</f>
        <v>1</v>
      </c>
      <c r="C1429" s="9">
        <f>IFERROR(AVERAGEIF(Levels!B:B,A1429,Levels!E:E),0)</f>
        <v>2.75</v>
      </c>
      <c r="D1429" s="9">
        <f>IFERROR(AVERAGEIF(Levels!B:B,A1429,Levels!F:F),0)</f>
        <v>5.79</v>
      </c>
      <c r="E1429" s="9">
        <f>_xlfn.MAXIFS(Levels!E:E,Levels!B:B,A1429)</f>
        <v>2.75</v>
      </c>
      <c r="F1429" s="9">
        <f>_xlfn.MAXIFS(Levels!F:F,Levels!B:B,A1429)</f>
        <v>5.79</v>
      </c>
    </row>
    <row r="1430" spans="1:6" x14ac:dyDescent="0.3">
      <c r="A1430" t="s">
        <v>6597</v>
      </c>
      <c r="B1430" s="6">
        <f>COUNTIF(Levels!B:B,A1430)</f>
        <v>2</v>
      </c>
      <c r="C1430" s="6">
        <f>IFERROR(AVERAGEIF(Levels!B:B,A1430,Levels!E:E),0)</f>
        <v>2.4649999999999999</v>
      </c>
      <c r="D1430" s="6">
        <f>IFERROR(AVERAGEIF(Levels!B:B,A1430,Levels!F:F),0)</f>
        <v>6.79</v>
      </c>
      <c r="E1430" s="6">
        <f>_xlfn.MAXIFS(Levels!E:E,Levels!B:B,A1430)</f>
        <v>3.08</v>
      </c>
      <c r="F1430" s="6">
        <f>_xlfn.MAXIFS(Levels!F:F,Levels!B:B,A1430)</f>
        <v>7.5</v>
      </c>
    </row>
    <row r="1431" spans="1:6" x14ac:dyDescent="0.3">
      <c r="A1431" t="s">
        <v>6600</v>
      </c>
      <c r="B1431" s="9">
        <f>COUNTIF(Levels!B:B,A1431)</f>
        <v>3</v>
      </c>
      <c r="C1431" s="9">
        <f>IFERROR(AVERAGEIF(Levels!B:B,A1431,Levels!E:E),0)</f>
        <v>3.2699999999999996</v>
      </c>
      <c r="D1431" s="9">
        <f>IFERROR(AVERAGEIF(Levels!B:B,A1431,Levels!F:F),0)</f>
        <v>7.5166666666666666</v>
      </c>
      <c r="E1431" s="9">
        <f>_xlfn.MAXIFS(Levels!E:E,Levels!B:B,A1431)</f>
        <v>4.5999999999999996</v>
      </c>
      <c r="F1431" s="9">
        <f>_xlfn.MAXIFS(Levels!F:F,Levels!B:B,A1431)</f>
        <v>8.08</v>
      </c>
    </row>
    <row r="1432" spans="1:6" x14ac:dyDescent="0.3">
      <c r="A1432" t="s">
        <v>6603</v>
      </c>
      <c r="B1432" s="6">
        <f>COUNTIF(Levels!B:B,A1432)</f>
        <v>2</v>
      </c>
      <c r="C1432" s="6">
        <f>IFERROR(AVERAGEIF(Levels!B:B,A1432,Levels!E:E),0)</f>
        <v>6.38</v>
      </c>
      <c r="D1432" s="6">
        <f>IFERROR(AVERAGEIF(Levels!B:B,A1432,Levels!F:F),0)</f>
        <v>4.84</v>
      </c>
      <c r="E1432" s="6">
        <f>_xlfn.MAXIFS(Levels!E:E,Levels!B:B,A1432)</f>
        <v>8.99</v>
      </c>
      <c r="F1432" s="6">
        <f>_xlfn.MAXIFS(Levels!F:F,Levels!B:B,A1432)</f>
        <v>6.05</v>
      </c>
    </row>
    <row r="1433" spans="1:6" x14ac:dyDescent="0.3">
      <c r="A1433" t="s">
        <v>6609</v>
      </c>
      <c r="B1433" s="9">
        <f>COUNTIF(Levels!B:B,A1433)</f>
        <v>5</v>
      </c>
      <c r="C1433" s="9">
        <f>IFERROR(AVERAGEIF(Levels!B:B,A1433,Levels!E:E),0)</f>
        <v>13.888</v>
      </c>
      <c r="D1433" s="9">
        <f>IFERROR(AVERAGEIF(Levels!B:B,A1433,Levels!F:F),0)</f>
        <v>7.8519999999999994</v>
      </c>
      <c r="E1433" s="9">
        <f>_xlfn.MAXIFS(Levels!E:E,Levels!B:B,A1433)</f>
        <v>16.920000000000002</v>
      </c>
      <c r="F1433" s="9">
        <f>_xlfn.MAXIFS(Levels!F:F,Levels!B:B,A1433)</f>
        <v>8.9700000000000006</v>
      </c>
    </row>
    <row r="1434" spans="1:6" x14ac:dyDescent="0.3">
      <c r="A1434" t="s">
        <v>6611</v>
      </c>
      <c r="B1434" s="6">
        <f>COUNTIF(Levels!B:B,A1434)</f>
        <v>7</v>
      </c>
      <c r="C1434" s="6">
        <f>IFERROR(AVERAGEIF(Levels!B:B,A1434,Levels!E:E),0)</f>
        <v>18.07</v>
      </c>
      <c r="D1434" s="6">
        <f>IFERROR(AVERAGEIF(Levels!B:B,A1434,Levels!F:F),0)</f>
        <v>7.3585714285714285</v>
      </c>
      <c r="E1434" s="6">
        <f>_xlfn.MAXIFS(Levels!E:E,Levels!B:B,A1434)</f>
        <v>24.25</v>
      </c>
      <c r="F1434" s="6">
        <f>_xlfn.MAXIFS(Levels!F:F,Levels!B:B,A1434)</f>
        <v>9</v>
      </c>
    </row>
    <row r="1435" spans="1:6" x14ac:dyDescent="0.3">
      <c r="A1435" t="s">
        <v>6613</v>
      </c>
      <c r="B1435" s="9">
        <f>COUNTIF(Levels!B:B,A1435)</f>
        <v>1</v>
      </c>
      <c r="C1435" s="9">
        <f>IFERROR(AVERAGEIF(Levels!B:B,A1435,Levels!E:E),0)</f>
        <v>16.11</v>
      </c>
      <c r="D1435" s="9">
        <f>IFERROR(AVERAGEIF(Levels!B:B,A1435,Levels!F:F),0)</f>
        <v>6.29</v>
      </c>
      <c r="E1435" s="9">
        <f>_xlfn.MAXIFS(Levels!E:E,Levels!B:B,A1435)</f>
        <v>16.11</v>
      </c>
      <c r="F1435" s="9">
        <f>_xlfn.MAXIFS(Levels!F:F,Levels!B:B,A1435)</f>
        <v>6.29</v>
      </c>
    </row>
    <row r="1436" spans="1:6" x14ac:dyDescent="0.3">
      <c r="A1436" t="s">
        <v>6615</v>
      </c>
      <c r="B1436" s="6">
        <f>COUNTIF(Levels!B:B,A1436)</f>
        <v>9</v>
      </c>
      <c r="C1436" s="6">
        <f>IFERROR(AVERAGEIF(Levels!B:B,A1436,Levels!E:E),0)</f>
        <v>13.945555555555556</v>
      </c>
      <c r="D1436" s="6">
        <f>IFERROR(AVERAGEIF(Levels!B:B,A1436,Levels!F:F),0)</f>
        <v>6.3122222222222213</v>
      </c>
      <c r="E1436" s="6">
        <f>_xlfn.MAXIFS(Levels!E:E,Levels!B:B,A1436)</f>
        <v>22.8</v>
      </c>
      <c r="F1436" s="6">
        <f>_xlfn.MAXIFS(Levels!F:F,Levels!B:B,A1436)</f>
        <v>8</v>
      </c>
    </row>
    <row r="1437" spans="1:6" x14ac:dyDescent="0.3">
      <c r="A1437" t="s">
        <v>6623</v>
      </c>
      <c r="B1437" s="9">
        <f>COUNTIF(Levels!B:B,A1437)</f>
        <v>3</v>
      </c>
      <c r="C1437" s="9">
        <f>IFERROR(AVERAGEIF(Levels!B:B,A1437,Levels!E:E),0)</f>
        <v>22.833333333333332</v>
      </c>
      <c r="D1437" s="9">
        <f>IFERROR(AVERAGEIF(Levels!B:B,A1437,Levels!F:F),0)</f>
        <v>7.6400000000000006</v>
      </c>
      <c r="E1437" s="9">
        <f>_xlfn.MAXIFS(Levels!E:E,Levels!B:B,A1437)</f>
        <v>25.17</v>
      </c>
      <c r="F1437" s="9">
        <f>_xlfn.MAXIFS(Levels!F:F,Levels!B:B,A1437)</f>
        <v>9</v>
      </c>
    </row>
    <row r="1438" spans="1:6" x14ac:dyDescent="0.3">
      <c r="A1438" t="s">
        <v>6626</v>
      </c>
      <c r="B1438" s="6">
        <f>COUNTIF(Levels!B:B,A1438)</f>
        <v>3</v>
      </c>
      <c r="C1438" s="6">
        <f>IFERROR(AVERAGEIF(Levels!B:B,A1438,Levels!E:E),0)</f>
        <v>14.763333333333334</v>
      </c>
      <c r="D1438" s="6">
        <f>IFERROR(AVERAGEIF(Levels!B:B,A1438,Levels!F:F),0)</f>
        <v>7.3933333333333335</v>
      </c>
      <c r="E1438" s="6">
        <f>_xlfn.MAXIFS(Levels!E:E,Levels!B:B,A1438)</f>
        <v>26.2</v>
      </c>
      <c r="F1438" s="6">
        <f>_xlfn.MAXIFS(Levels!F:F,Levels!B:B,A1438)</f>
        <v>8.06</v>
      </c>
    </row>
    <row r="1439" spans="1:6" x14ac:dyDescent="0.3">
      <c r="A1439" t="s">
        <v>6630</v>
      </c>
      <c r="B1439" s="9">
        <f>COUNTIF(Levels!B:B,A1439)</f>
        <v>2</v>
      </c>
      <c r="C1439" s="9">
        <f>IFERROR(AVERAGEIF(Levels!B:B,A1439,Levels!E:E),0)</f>
        <v>8.17</v>
      </c>
      <c r="D1439" s="9">
        <f>IFERROR(AVERAGEIF(Levels!B:B,A1439,Levels!F:F),0)</f>
        <v>6.9649999999999999</v>
      </c>
      <c r="E1439" s="9">
        <f>_xlfn.MAXIFS(Levels!E:E,Levels!B:B,A1439)</f>
        <v>9.56</v>
      </c>
      <c r="F1439" s="9">
        <f>_xlfn.MAXIFS(Levels!F:F,Levels!B:B,A1439)</f>
        <v>7.13</v>
      </c>
    </row>
    <row r="1440" spans="1:6" x14ac:dyDescent="0.3">
      <c r="A1440" t="s">
        <v>6631</v>
      </c>
      <c r="B1440" s="6">
        <f>COUNTIF(Levels!B:B,A1440)</f>
        <v>1</v>
      </c>
      <c r="C1440" s="6">
        <f>IFERROR(AVERAGEIF(Levels!B:B,A1440,Levels!E:E),0)</f>
        <v>3.27</v>
      </c>
      <c r="D1440" s="6">
        <f>IFERROR(AVERAGEIF(Levels!B:B,A1440,Levels!F:F),0)</f>
        <v>5.64</v>
      </c>
      <c r="E1440" s="6">
        <f>_xlfn.MAXIFS(Levels!E:E,Levels!B:B,A1440)</f>
        <v>3.27</v>
      </c>
      <c r="F1440" s="6">
        <f>_xlfn.MAXIFS(Levels!F:F,Levels!B:B,A1440)</f>
        <v>5.64</v>
      </c>
    </row>
    <row r="1441" spans="1:6" x14ac:dyDescent="0.3">
      <c r="A1441" t="s">
        <v>6633</v>
      </c>
      <c r="B1441" s="9">
        <f>COUNTIF(Levels!B:B,A1441)</f>
        <v>4</v>
      </c>
      <c r="C1441" s="9">
        <f>IFERROR(AVERAGEIF(Levels!B:B,A1441,Levels!E:E),0)</f>
        <v>8.0375000000000014</v>
      </c>
      <c r="D1441" s="9">
        <f>IFERROR(AVERAGEIF(Levels!B:B,A1441,Levels!F:F),0)</f>
        <v>7.4349999999999996</v>
      </c>
      <c r="E1441" s="9">
        <f>_xlfn.MAXIFS(Levels!E:E,Levels!B:B,A1441)</f>
        <v>15.3</v>
      </c>
      <c r="F1441" s="9">
        <f>_xlfn.MAXIFS(Levels!F:F,Levels!B:B,A1441)</f>
        <v>8.16</v>
      </c>
    </row>
    <row r="1442" spans="1:6" x14ac:dyDescent="0.3">
      <c r="A1442" t="s">
        <v>6635</v>
      </c>
      <c r="B1442" s="6">
        <f>COUNTIF(Levels!B:B,A1442)</f>
        <v>3</v>
      </c>
      <c r="C1442" s="6">
        <f>IFERROR(AVERAGEIF(Levels!B:B,A1442,Levels!E:E),0)</f>
        <v>7.95</v>
      </c>
      <c r="D1442" s="6">
        <f>IFERROR(AVERAGEIF(Levels!B:B,A1442,Levels!F:F),0)</f>
        <v>7.1833333333333327</v>
      </c>
      <c r="E1442" s="6">
        <f>_xlfn.MAXIFS(Levels!E:E,Levels!B:B,A1442)</f>
        <v>19.07</v>
      </c>
      <c r="F1442" s="6">
        <f>_xlfn.MAXIFS(Levels!F:F,Levels!B:B,A1442)</f>
        <v>7.85</v>
      </c>
    </row>
    <row r="1443" spans="1:6" x14ac:dyDescent="0.3">
      <c r="A1443" t="s">
        <v>6637</v>
      </c>
      <c r="B1443" s="9">
        <f>COUNTIF(Levels!B:B,A1443)</f>
        <v>1</v>
      </c>
      <c r="C1443" s="9">
        <f>IFERROR(AVERAGEIF(Levels!B:B,A1443,Levels!E:E),0)</f>
        <v>6.01</v>
      </c>
      <c r="D1443" s="9">
        <f>IFERROR(AVERAGEIF(Levels!B:B,A1443,Levels!F:F),0)</f>
        <v>6.29</v>
      </c>
      <c r="E1443" s="9">
        <f>_xlfn.MAXIFS(Levels!E:E,Levels!B:B,A1443)</f>
        <v>6.01</v>
      </c>
      <c r="F1443" s="9">
        <f>_xlfn.MAXIFS(Levels!F:F,Levels!B:B,A1443)</f>
        <v>6.29</v>
      </c>
    </row>
    <row r="1444" spans="1:6" x14ac:dyDescent="0.3">
      <c r="A1444" t="s">
        <v>6639</v>
      </c>
      <c r="B1444" s="6">
        <f>COUNTIF(Levels!B:B,A1444)</f>
        <v>4</v>
      </c>
      <c r="C1444" s="6">
        <f>IFERROR(AVERAGEIF(Levels!B:B,A1444,Levels!E:E),0)</f>
        <v>2.5425</v>
      </c>
      <c r="D1444" s="6">
        <f>IFERROR(AVERAGEIF(Levels!B:B,A1444,Levels!F:F),0)</f>
        <v>6.5774999999999997</v>
      </c>
      <c r="E1444" s="6">
        <f>_xlfn.MAXIFS(Levels!E:E,Levels!B:B,A1444)</f>
        <v>3.96</v>
      </c>
      <c r="F1444" s="6">
        <f>_xlfn.MAXIFS(Levels!F:F,Levels!B:B,A1444)</f>
        <v>7.69</v>
      </c>
    </row>
    <row r="1445" spans="1:6" x14ac:dyDescent="0.3">
      <c r="A1445" t="s">
        <v>6641</v>
      </c>
      <c r="B1445" s="9">
        <f>COUNTIF(Levels!B:B,A1445)</f>
        <v>1</v>
      </c>
      <c r="C1445" s="9">
        <f>IFERROR(AVERAGEIF(Levels!B:B,A1445,Levels!E:E),0)</f>
        <v>5.43</v>
      </c>
      <c r="D1445" s="9">
        <f>IFERROR(AVERAGEIF(Levels!B:B,A1445,Levels!F:F),0)</f>
        <v>5.8</v>
      </c>
      <c r="E1445" s="9">
        <f>_xlfn.MAXIFS(Levels!E:E,Levels!B:B,A1445)</f>
        <v>5.43</v>
      </c>
      <c r="F1445" s="9">
        <f>_xlfn.MAXIFS(Levels!F:F,Levels!B:B,A1445)</f>
        <v>5.8</v>
      </c>
    </row>
    <row r="1446" spans="1:6" x14ac:dyDescent="0.3">
      <c r="A1446" t="s">
        <v>6644</v>
      </c>
      <c r="B1446" s="6">
        <f>COUNTIF(Levels!B:B,A1446)</f>
        <v>3</v>
      </c>
      <c r="C1446" s="6">
        <f>IFERROR(AVERAGEIF(Levels!B:B,A1446,Levels!E:E),0)</f>
        <v>7.1499999999999995</v>
      </c>
      <c r="D1446" s="6">
        <f>IFERROR(AVERAGEIF(Levels!B:B,A1446,Levels!F:F),0)</f>
        <v>5.0133333333333328</v>
      </c>
      <c r="E1446" s="6">
        <f>_xlfn.MAXIFS(Levels!E:E,Levels!B:B,A1446)</f>
        <v>18</v>
      </c>
      <c r="F1446" s="6">
        <f>_xlfn.MAXIFS(Levels!F:F,Levels!B:B,A1446)</f>
        <v>7.98</v>
      </c>
    </row>
    <row r="1447" spans="1:6" x14ac:dyDescent="0.3">
      <c r="A1447" t="s">
        <v>6648</v>
      </c>
      <c r="B1447" s="9">
        <f>COUNTIF(Levels!B:B,A1447)</f>
        <v>2</v>
      </c>
      <c r="C1447" s="9">
        <f>IFERROR(AVERAGEIF(Levels!B:B,A1447,Levels!E:E),0)</f>
        <v>8.15</v>
      </c>
      <c r="D1447" s="9">
        <f>IFERROR(AVERAGEIF(Levels!B:B,A1447,Levels!F:F),0)</f>
        <v>7.3</v>
      </c>
      <c r="E1447" s="9">
        <f>_xlfn.MAXIFS(Levels!E:E,Levels!B:B,A1447)</f>
        <v>8.92</v>
      </c>
      <c r="F1447" s="9">
        <f>_xlfn.MAXIFS(Levels!F:F,Levels!B:B,A1447)</f>
        <v>7.71</v>
      </c>
    </row>
    <row r="1448" spans="1:6" x14ac:dyDescent="0.3">
      <c r="A1448" t="s">
        <v>6650</v>
      </c>
      <c r="B1448" s="6">
        <f>COUNTIF(Levels!B:B,A1448)</f>
        <v>5</v>
      </c>
      <c r="C1448" s="6">
        <f>IFERROR(AVERAGEIF(Levels!B:B,A1448,Levels!E:E),0)</f>
        <v>15.965999999999999</v>
      </c>
      <c r="D1448" s="6">
        <f>IFERROR(AVERAGEIF(Levels!B:B,A1448,Levels!F:F),0)</f>
        <v>8.652000000000001</v>
      </c>
      <c r="E1448" s="6">
        <f>_xlfn.MAXIFS(Levels!E:E,Levels!B:B,A1448)</f>
        <v>20.55</v>
      </c>
      <c r="F1448" s="6">
        <f>_xlfn.MAXIFS(Levels!F:F,Levels!B:B,A1448)</f>
        <v>9.08</v>
      </c>
    </row>
    <row r="1449" spans="1:6" x14ac:dyDescent="0.3">
      <c r="A1449" t="s">
        <v>6655</v>
      </c>
      <c r="B1449" s="9">
        <f>COUNTIF(Levels!B:B,A1449)</f>
        <v>7</v>
      </c>
      <c r="C1449" s="9">
        <f>IFERROR(AVERAGEIF(Levels!B:B,A1449,Levels!E:E),0)</f>
        <v>14.945</v>
      </c>
      <c r="D1449" s="9">
        <f>IFERROR(AVERAGEIF(Levels!B:B,A1449,Levels!F:F),0)</f>
        <v>6.8342857142857136</v>
      </c>
      <c r="E1449" s="9">
        <f>_xlfn.MAXIFS(Levels!E:E,Levels!B:B,A1449)</f>
        <v>31</v>
      </c>
      <c r="F1449" s="9">
        <f>_xlfn.MAXIFS(Levels!F:F,Levels!B:B,A1449)</f>
        <v>8</v>
      </c>
    </row>
    <row r="1450" spans="1:6" x14ac:dyDescent="0.3">
      <c r="A1450" t="s">
        <v>6657</v>
      </c>
      <c r="B1450" s="6">
        <f>COUNTIF(Levels!B:B,A1450)</f>
        <v>1</v>
      </c>
      <c r="C1450" s="6">
        <f>IFERROR(AVERAGEIF(Levels!B:B,A1450,Levels!E:E),0)</f>
        <v>29.5</v>
      </c>
      <c r="D1450" s="6">
        <f>IFERROR(AVERAGEIF(Levels!B:B,A1450,Levels!F:F),0)</f>
        <v>3.5</v>
      </c>
      <c r="E1450" s="6">
        <f>_xlfn.MAXIFS(Levels!E:E,Levels!B:B,A1450)</f>
        <v>29.5</v>
      </c>
      <c r="F1450" s="6">
        <f>_xlfn.MAXIFS(Levels!F:F,Levels!B:B,A1450)</f>
        <v>3.5</v>
      </c>
    </row>
    <row r="1451" spans="1:6" x14ac:dyDescent="0.3">
      <c r="A1451" t="s">
        <v>6664</v>
      </c>
      <c r="B1451" s="9">
        <f>COUNTIF(Levels!B:B,A1451)</f>
        <v>1</v>
      </c>
      <c r="C1451" s="9">
        <f>IFERROR(AVERAGEIF(Levels!B:B,A1451,Levels!E:E),0)</f>
        <v>2.77</v>
      </c>
      <c r="D1451" s="9">
        <f>IFERROR(AVERAGEIF(Levels!B:B,A1451,Levels!F:F),0)</f>
        <v>6.7</v>
      </c>
      <c r="E1451" s="9">
        <f>_xlfn.MAXIFS(Levels!E:E,Levels!B:B,A1451)</f>
        <v>2.77</v>
      </c>
      <c r="F1451" s="9">
        <f>_xlfn.MAXIFS(Levels!F:F,Levels!B:B,A1451)</f>
        <v>6.7</v>
      </c>
    </row>
    <row r="1452" spans="1:6" x14ac:dyDescent="0.3">
      <c r="A1452" t="s">
        <v>6667</v>
      </c>
      <c r="B1452" s="6">
        <f>COUNTIF(Levels!B:B,A1452)</f>
        <v>10</v>
      </c>
      <c r="C1452" s="6">
        <f>IFERROR(AVERAGEIF(Levels!B:B,A1452,Levels!E:E),0)</f>
        <v>13.622222222222222</v>
      </c>
      <c r="D1452" s="6">
        <f>IFERROR(AVERAGEIF(Levels!B:B,A1452,Levels!F:F),0)</f>
        <v>7.815555555555556</v>
      </c>
      <c r="E1452" s="6">
        <f>_xlfn.MAXIFS(Levels!E:E,Levels!B:B,A1452)</f>
        <v>24</v>
      </c>
      <c r="F1452" s="6">
        <f>_xlfn.MAXIFS(Levels!F:F,Levels!B:B,A1452)</f>
        <v>9.33</v>
      </c>
    </row>
    <row r="1453" spans="1:6" x14ac:dyDescent="0.3">
      <c r="A1453" t="s">
        <v>6674</v>
      </c>
      <c r="B1453" s="9">
        <f>COUNTIF(Levels!B:B,A1453)</f>
        <v>6</v>
      </c>
      <c r="C1453" s="9">
        <f>IFERROR(AVERAGEIF(Levels!B:B,A1453,Levels!E:E),0)</f>
        <v>12.14</v>
      </c>
      <c r="D1453" s="9">
        <f>IFERROR(AVERAGEIF(Levels!B:B,A1453,Levels!F:F),0)</f>
        <v>6.2333333333333334</v>
      </c>
      <c r="E1453" s="9">
        <f>_xlfn.MAXIFS(Levels!E:E,Levels!B:B,A1453)</f>
        <v>29.06</v>
      </c>
      <c r="F1453" s="9">
        <f>_xlfn.MAXIFS(Levels!F:F,Levels!B:B,A1453)</f>
        <v>7.13</v>
      </c>
    </row>
    <row r="1454" spans="1:6" x14ac:dyDescent="0.3">
      <c r="A1454" t="s">
        <v>6676</v>
      </c>
      <c r="B1454" s="6">
        <f>COUNTIF(Levels!B:B,A1454)</f>
        <v>7</v>
      </c>
      <c r="C1454" s="6">
        <f>IFERROR(AVERAGEIF(Levels!B:B,A1454,Levels!E:E),0)</f>
        <v>3.9657142857142857</v>
      </c>
      <c r="D1454" s="6">
        <f>IFERROR(AVERAGEIF(Levels!B:B,A1454,Levels!F:F),0)</f>
        <v>6.8771428571428563</v>
      </c>
      <c r="E1454" s="6">
        <f>_xlfn.MAXIFS(Levels!E:E,Levels!B:B,A1454)</f>
        <v>16.12</v>
      </c>
      <c r="F1454" s="6">
        <f>_xlfn.MAXIFS(Levels!F:F,Levels!B:B,A1454)</f>
        <v>7.54</v>
      </c>
    </row>
    <row r="1455" spans="1:6" x14ac:dyDescent="0.3">
      <c r="A1455" t="s">
        <v>6682</v>
      </c>
      <c r="B1455" s="9">
        <f>COUNTIF(Levels!B:B,A1455)</f>
        <v>2</v>
      </c>
      <c r="C1455" s="9">
        <f>IFERROR(AVERAGEIF(Levels!B:B,A1455,Levels!E:E),0)</f>
        <v>22.6</v>
      </c>
      <c r="D1455" s="9">
        <f>IFERROR(AVERAGEIF(Levels!B:B,A1455,Levels!F:F),0)</f>
        <v>7.63</v>
      </c>
      <c r="E1455" s="9">
        <f>_xlfn.MAXIFS(Levels!E:E,Levels!B:B,A1455)</f>
        <v>32</v>
      </c>
      <c r="F1455" s="9">
        <f>_xlfn.MAXIFS(Levels!F:F,Levels!B:B,A1455)</f>
        <v>7.76</v>
      </c>
    </row>
    <row r="1456" spans="1:6" x14ac:dyDescent="0.3">
      <c r="A1456" t="s">
        <v>6688</v>
      </c>
      <c r="B1456" s="6">
        <f>COUNTIF(Levels!B:B,A1456)</f>
        <v>8</v>
      </c>
      <c r="C1456" s="6">
        <f>IFERROR(AVERAGEIF(Levels!B:B,A1456,Levels!E:E),0)</f>
        <v>16.471249999999998</v>
      </c>
      <c r="D1456" s="6">
        <f>IFERROR(AVERAGEIF(Levels!B:B,A1456,Levels!F:F),0)</f>
        <v>7.2512499999999998</v>
      </c>
      <c r="E1456" s="6">
        <f>_xlfn.MAXIFS(Levels!E:E,Levels!B:B,A1456)</f>
        <v>25.52</v>
      </c>
      <c r="F1456" s="6">
        <f>_xlfn.MAXIFS(Levels!F:F,Levels!B:B,A1456)</f>
        <v>8.5</v>
      </c>
    </row>
    <row r="1457" spans="1:6" x14ac:dyDescent="0.3">
      <c r="A1457" t="s">
        <v>6692</v>
      </c>
      <c r="B1457" s="9">
        <f>COUNTIF(Levels!B:B,A1457)</f>
        <v>1</v>
      </c>
      <c r="C1457" s="9">
        <f>IFERROR(AVERAGEIF(Levels!B:B,A1457,Levels!E:E),0)</f>
        <v>5.41</v>
      </c>
      <c r="D1457" s="9">
        <f>IFERROR(AVERAGEIF(Levels!B:B,A1457,Levels!F:F),0)</f>
        <v>6.93</v>
      </c>
      <c r="E1457" s="9">
        <f>_xlfn.MAXIFS(Levels!E:E,Levels!B:B,A1457)</f>
        <v>5.41</v>
      </c>
      <c r="F1457" s="9">
        <f>_xlfn.MAXIFS(Levels!F:F,Levels!B:B,A1457)</f>
        <v>6.93</v>
      </c>
    </row>
    <row r="1458" spans="1:6" x14ac:dyDescent="0.3">
      <c r="A1458" t="s">
        <v>6694</v>
      </c>
      <c r="B1458" s="6">
        <f>COUNTIF(Levels!B:B,A1458)</f>
        <v>6</v>
      </c>
      <c r="C1458" s="6">
        <f>IFERROR(AVERAGEIF(Levels!B:B,A1458,Levels!E:E),0)</f>
        <v>13.779999999999998</v>
      </c>
      <c r="D1458" s="6">
        <f>IFERROR(AVERAGEIF(Levels!B:B,A1458,Levels!F:F),0)</f>
        <v>6.3466666666666667</v>
      </c>
      <c r="E1458" s="6">
        <f>_xlfn.MAXIFS(Levels!E:E,Levels!B:B,A1458)</f>
        <v>19.38</v>
      </c>
      <c r="F1458" s="6">
        <f>_xlfn.MAXIFS(Levels!F:F,Levels!B:B,A1458)</f>
        <v>7.5</v>
      </c>
    </row>
    <row r="1459" spans="1:6" x14ac:dyDescent="0.3">
      <c r="A1459" t="s">
        <v>6698</v>
      </c>
      <c r="B1459" s="9">
        <f>COUNTIF(Levels!B:B,A1459)</f>
        <v>3</v>
      </c>
      <c r="C1459" s="9">
        <f>IFERROR(AVERAGEIF(Levels!B:B,A1459,Levels!E:E),0)</f>
        <v>22.01</v>
      </c>
      <c r="D1459" s="9">
        <f>IFERROR(AVERAGEIF(Levels!B:B,A1459,Levels!F:F),0)</f>
        <v>6.9433333333333325</v>
      </c>
      <c r="E1459" s="9">
        <f>_xlfn.MAXIFS(Levels!E:E,Levels!B:B,A1459)</f>
        <v>31</v>
      </c>
      <c r="F1459" s="9">
        <f>_xlfn.MAXIFS(Levels!F:F,Levels!B:B,A1459)</f>
        <v>8</v>
      </c>
    </row>
    <row r="1460" spans="1:6" x14ac:dyDescent="0.3">
      <c r="A1460" t="s">
        <v>6701</v>
      </c>
      <c r="B1460" s="6">
        <f>COUNTIF(Levels!B:B,A1460)</f>
        <v>1</v>
      </c>
      <c r="C1460" s="6">
        <f>IFERROR(AVERAGEIF(Levels!B:B,A1460,Levels!E:E),0)</f>
        <v>5.4</v>
      </c>
      <c r="D1460" s="6">
        <f>IFERROR(AVERAGEIF(Levels!B:B,A1460,Levels!F:F),0)</f>
        <v>6.5</v>
      </c>
      <c r="E1460" s="6">
        <f>_xlfn.MAXIFS(Levels!E:E,Levels!B:B,A1460)</f>
        <v>5.4</v>
      </c>
      <c r="F1460" s="6">
        <f>_xlfn.MAXIFS(Levels!F:F,Levels!B:B,A1460)</f>
        <v>6.5</v>
      </c>
    </row>
    <row r="1461" spans="1:6" x14ac:dyDescent="0.3">
      <c r="A1461" t="s">
        <v>6705</v>
      </c>
      <c r="B1461" s="9">
        <f>COUNTIF(Levels!B:B,A1461)</f>
        <v>1</v>
      </c>
      <c r="C1461" s="9">
        <f>IFERROR(AVERAGEIF(Levels!B:B,A1461,Levels!E:E),0)</f>
        <v>8.5299999999999994</v>
      </c>
      <c r="D1461" s="9">
        <f>IFERROR(AVERAGEIF(Levels!B:B,A1461,Levels!F:F),0)</f>
        <v>5.33</v>
      </c>
      <c r="E1461" s="9">
        <f>_xlfn.MAXIFS(Levels!E:E,Levels!B:B,A1461)</f>
        <v>8.5299999999999994</v>
      </c>
      <c r="F1461" s="9">
        <f>_xlfn.MAXIFS(Levels!F:F,Levels!B:B,A1461)</f>
        <v>5.33</v>
      </c>
    </row>
    <row r="1462" spans="1:6" x14ac:dyDescent="0.3">
      <c r="A1462" t="s">
        <v>6709</v>
      </c>
      <c r="B1462" s="6">
        <f>COUNTIF(Levels!B:B,A1462)</f>
        <v>7</v>
      </c>
      <c r="C1462" s="6">
        <f>IFERROR(AVERAGEIF(Levels!B:B,A1462,Levels!E:E),0)</f>
        <v>7.5228571428571431</v>
      </c>
      <c r="D1462" s="6">
        <f>IFERROR(AVERAGEIF(Levels!B:B,A1462,Levels!F:F),0)</f>
        <v>6.75</v>
      </c>
      <c r="E1462" s="6">
        <f>_xlfn.MAXIFS(Levels!E:E,Levels!B:B,A1462)</f>
        <v>18.72</v>
      </c>
      <c r="F1462" s="6">
        <f>_xlfn.MAXIFS(Levels!F:F,Levels!B:B,A1462)</f>
        <v>7.72</v>
      </c>
    </row>
    <row r="1463" spans="1:6" x14ac:dyDescent="0.3">
      <c r="A1463" t="s">
        <v>6713</v>
      </c>
      <c r="B1463" s="9">
        <f>COUNTIF(Levels!B:B,A1463)</f>
        <v>1</v>
      </c>
      <c r="C1463" s="9">
        <f>IFERROR(AVERAGEIF(Levels!B:B,A1463,Levels!E:E),0)</f>
        <v>5.08</v>
      </c>
      <c r="D1463" s="9">
        <f>IFERROR(AVERAGEIF(Levels!B:B,A1463,Levels!F:F),0)</f>
        <v>5.36</v>
      </c>
      <c r="E1463" s="9">
        <f>_xlfn.MAXIFS(Levels!E:E,Levels!B:B,A1463)</f>
        <v>5.08</v>
      </c>
      <c r="F1463" s="9">
        <f>_xlfn.MAXIFS(Levels!F:F,Levels!B:B,A1463)</f>
        <v>5.36</v>
      </c>
    </row>
    <row r="1464" spans="1:6" x14ac:dyDescent="0.3">
      <c r="A1464" t="s">
        <v>6719</v>
      </c>
      <c r="B1464" s="6">
        <f>COUNTIF(Levels!B:B,A1464)</f>
        <v>1</v>
      </c>
      <c r="C1464" s="6">
        <f>IFERROR(AVERAGEIF(Levels!B:B,A1464,Levels!E:E),0)</f>
        <v>16.82</v>
      </c>
      <c r="D1464" s="6">
        <f>IFERROR(AVERAGEIF(Levels!B:B,A1464,Levels!F:F),0)</f>
        <v>7.93</v>
      </c>
      <c r="E1464" s="6">
        <f>_xlfn.MAXIFS(Levels!E:E,Levels!B:B,A1464)</f>
        <v>16.82</v>
      </c>
      <c r="F1464" s="6">
        <f>_xlfn.MAXIFS(Levels!F:F,Levels!B:B,A1464)</f>
        <v>7.93</v>
      </c>
    </row>
    <row r="1465" spans="1:6" x14ac:dyDescent="0.3">
      <c r="A1465" t="s">
        <v>6724</v>
      </c>
      <c r="B1465" s="9">
        <f>COUNTIF(Levels!B:B,A1465)</f>
        <v>2</v>
      </c>
      <c r="C1465" s="9">
        <f>IFERROR(AVERAGEIF(Levels!B:B,A1465,Levels!E:E),0)</f>
        <v>12.010000000000002</v>
      </c>
      <c r="D1465" s="9">
        <f>IFERROR(AVERAGEIF(Levels!B:B,A1465,Levels!F:F),0)</f>
        <v>8.7749999999999986</v>
      </c>
      <c r="E1465" s="9">
        <f>_xlfn.MAXIFS(Levels!E:E,Levels!B:B,A1465)</f>
        <v>15.71</v>
      </c>
      <c r="F1465" s="9">
        <f>_xlfn.MAXIFS(Levels!F:F,Levels!B:B,A1465)</f>
        <v>8.86</v>
      </c>
    </row>
    <row r="1466" spans="1:6" x14ac:dyDescent="0.3">
      <c r="A1466" t="s">
        <v>6726</v>
      </c>
      <c r="B1466" s="6">
        <f>COUNTIF(Levels!B:B,A1466)</f>
        <v>1</v>
      </c>
      <c r="C1466" s="6">
        <f>IFERROR(AVERAGEIF(Levels!B:B,A1466,Levels!E:E),0)</f>
        <v>0</v>
      </c>
      <c r="D1466" s="6">
        <f>IFERROR(AVERAGEIF(Levels!B:B,A1466,Levels!F:F),0)</f>
        <v>0</v>
      </c>
      <c r="E1466" s="6">
        <f>_xlfn.MAXIFS(Levels!E:E,Levels!B:B,A1466)</f>
        <v>0</v>
      </c>
      <c r="F1466" s="6">
        <f>_xlfn.MAXIFS(Levels!F:F,Levels!B:B,A1466)</f>
        <v>0</v>
      </c>
    </row>
    <row r="1467" spans="1:6" x14ac:dyDescent="0.3">
      <c r="A1467" t="s">
        <v>6737</v>
      </c>
      <c r="B1467" s="9">
        <f>COUNTIF(Levels!B:B,A1467)</f>
        <v>2</v>
      </c>
      <c r="C1467" s="9">
        <f>IFERROR(AVERAGEIF(Levels!B:B,A1467,Levels!E:E),0)</f>
        <v>13.585000000000001</v>
      </c>
      <c r="D1467" s="9">
        <f>IFERROR(AVERAGEIF(Levels!B:B,A1467,Levels!F:F),0)</f>
        <v>6.5</v>
      </c>
      <c r="E1467" s="9">
        <f>_xlfn.MAXIFS(Levels!E:E,Levels!B:B,A1467)</f>
        <v>17.84</v>
      </c>
      <c r="F1467" s="9">
        <f>_xlfn.MAXIFS(Levels!F:F,Levels!B:B,A1467)</f>
        <v>7</v>
      </c>
    </row>
    <row r="1468" spans="1:6" x14ac:dyDescent="0.3">
      <c r="A1468" t="s">
        <v>6748</v>
      </c>
      <c r="B1468" s="6">
        <f>COUNTIF(Levels!B:B,A1468)</f>
        <v>2</v>
      </c>
      <c r="C1468" s="6">
        <f>IFERROR(AVERAGEIF(Levels!B:B,A1468,Levels!E:E),0)</f>
        <v>4.0200000000000005</v>
      </c>
      <c r="D1468" s="6">
        <f>IFERROR(AVERAGEIF(Levels!B:B,A1468,Levels!F:F),0)</f>
        <v>6.4700000000000006</v>
      </c>
      <c r="E1468" s="6">
        <f>_xlfn.MAXIFS(Levels!E:E,Levels!B:B,A1468)</f>
        <v>6.11</v>
      </c>
      <c r="F1468" s="6">
        <f>_xlfn.MAXIFS(Levels!F:F,Levels!B:B,A1468)</f>
        <v>7.25</v>
      </c>
    </row>
    <row r="1469" spans="1:6" x14ac:dyDescent="0.3">
      <c r="A1469" t="s">
        <v>6751</v>
      </c>
      <c r="B1469" s="9">
        <f>COUNTIF(Levels!B:B,A1469)</f>
        <v>1</v>
      </c>
      <c r="C1469" s="9">
        <f>IFERROR(AVERAGEIF(Levels!B:B,A1469,Levels!E:E),0)</f>
        <v>3.94</v>
      </c>
      <c r="D1469" s="9">
        <f>IFERROR(AVERAGEIF(Levels!B:B,A1469,Levels!F:F),0)</f>
        <v>4.67</v>
      </c>
      <c r="E1469" s="9">
        <f>_xlfn.MAXIFS(Levels!E:E,Levels!B:B,A1469)</f>
        <v>3.94</v>
      </c>
      <c r="F1469" s="9">
        <f>_xlfn.MAXIFS(Levels!F:F,Levels!B:B,A1469)</f>
        <v>4.67</v>
      </c>
    </row>
    <row r="1470" spans="1:6" x14ac:dyDescent="0.3">
      <c r="A1470" t="s">
        <v>6754</v>
      </c>
      <c r="B1470" s="6">
        <f>COUNTIF(Levels!B:B,A1470)</f>
        <v>1</v>
      </c>
      <c r="C1470" s="6">
        <f>IFERROR(AVERAGEIF(Levels!B:B,A1470,Levels!E:E),0)</f>
        <v>2.19</v>
      </c>
      <c r="D1470" s="6">
        <f>IFERROR(AVERAGEIF(Levels!B:B,A1470,Levels!F:F),0)</f>
        <v>5.1100000000000003</v>
      </c>
      <c r="E1470" s="6">
        <f>_xlfn.MAXIFS(Levels!E:E,Levels!B:B,A1470)</f>
        <v>2.19</v>
      </c>
      <c r="F1470" s="6">
        <f>_xlfn.MAXIFS(Levels!F:F,Levels!B:B,A1470)</f>
        <v>5.1100000000000003</v>
      </c>
    </row>
    <row r="1471" spans="1:6" x14ac:dyDescent="0.3">
      <c r="A1471" t="s">
        <v>6760</v>
      </c>
      <c r="B1471" s="9">
        <f>COUNTIF(Levels!B:B,A1471)</f>
        <v>2</v>
      </c>
      <c r="C1471" s="9">
        <f>IFERROR(AVERAGEIF(Levels!B:B,A1471,Levels!E:E),0)</f>
        <v>6.9099999999999993</v>
      </c>
      <c r="D1471" s="9">
        <f>IFERROR(AVERAGEIF(Levels!B:B,A1471,Levels!F:F),0)</f>
        <v>6.51</v>
      </c>
      <c r="E1471" s="9">
        <f>_xlfn.MAXIFS(Levels!E:E,Levels!B:B,A1471)</f>
        <v>10.29</v>
      </c>
      <c r="F1471" s="9">
        <f>_xlfn.MAXIFS(Levels!F:F,Levels!B:B,A1471)</f>
        <v>7.29</v>
      </c>
    </row>
    <row r="1472" spans="1:6" x14ac:dyDescent="0.3">
      <c r="A1472" t="s">
        <v>6763</v>
      </c>
      <c r="B1472" s="6">
        <f>COUNTIF(Levels!B:B,A1472)</f>
        <v>1</v>
      </c>
      <c r="C1472" s="6">
        <f>IFERROR(AVERAGEIF(Levels!B:B,A1472,Levels!E:E),0)</f>
        <v>5.54</v>
      </c>
      <c r="D1472" s="6">
        <f>IFERROR(AVERAGEIF(Levels!B:B,A1472,Levels!F:F),0)</f>
        <v>6.34</v>
      </c>
      <c r="E1472" s="6">
        <f>_xlfn.MAXIFS(Levels!E:E,Levels!B:B,A1472)</f>
        <v>5.54</v>
      </c>
      <c r="F1472" s="6">
        <f>_xlfn.MAXIFS(Levels!F:F,Levels!B:B,A1472)</f>
        <v>6.34</v>
      </c>
    </row>
    <row r="1473" spans="1:6" x14ac:dyDescent="0.3">
      <c r="A1473" t="s">
        <v>6771</v>
      </c>
      <c r="B1473" s="9">
        <f>COUNTIF(Levels!B:B,A1473)</f>
        <v>2</v>
      </c>
      <c r="C1473" s="9">
        <f>IFERROR(AVERAGEIF(Levels!B:B,A1473,Levels!E:E),0)</f>
        <v>9.34</v>
      </c>
      <c r="D1473" s="9">
        <f>IFERROR(AVERAGEIF(Levels!B:B,A1473,Levels!F:F),0)</f>
        <v>5.9649999999999999</v>
      </c>
      <c r="E1473" s="9">
        <f>_xlfn.MAXIFS(Levels!E:E,Levels!B:B,A1473)</f>
        <v>15.83</v>
      </c>
      <c r="F1473" s="9">
        <f>_xlfn.MAXIFS(Levels!F:F,Levels!B:B,A1473)</f>
        <v>6.43</v>
      </c>
    </row>
    <row r="1474" spans="1:6" x14ac:dyDescent="0.3">
      <c r="A1474" t="s">
        <v>6778</v>
      </c>
      <c r="B1474" s="6">
        <f>COUNTIF(Levels!B:B,A1474)</f>
        <v>4</v>
      </c>
      <c r="C1474" s="6">
        <f>IFERROR(AVERAGEIF(Levels!B:B,A1474,Levels!E:E),0)</f>
        <v>10.379999999999999</v>
      </c>
      <c r="D1474" s="6">
        <f>IFERROR(AVERAGEIF(Levels!B:B,A1474,Levels!F:F),0)</f>
        <v>6.3849999999999998</v>
      </c>
      <c r="E1474" s="6">
        <f>_xlfn.MAXIFS(Levels!E:E,Levels!B:B,A1474)</f>
        <v>18.579999999999998</v>
      </c>
      <c r="F1474" s="6">
        <f>_xlfn.MAXIFS(Levels!F:F,Levels!B:B,A1474)</f>
        <v>7.27</v>
      </c>
    </row>
    <row r="1475" spans="1:6" x14ac:dyDescent="0.3">
      <c r="A1475" t="s">
        <v>6780</v>
      </c>
      <c r="B1475" s="9">
        <f>COUNTIF(Levels!B:B,A1475)</f>
        <v>5</v>
      </c>
      <c r="C1475" s="9">
        <f>IFERROR(AVERAGEIF(Levels!B:B,A1475,Levels!E:E),0)</f>
        <v>13.005000000000001</v>
      </c>
      <c r="D1475" s="9">
        <f>IFERROR(AVERAGEIF(Levels!B:B,A1475,Levels!F:F),0)</f>
        <v>8.1350000000000016</v>
      </c>
      <c r="E1475" s="9">
        <f>_xlfn.MAXIFS(Levels!E:E,Levels!B:B,A1475)</f>
        <v>17.73</v>
      </c>
      <c r="F1475" s="9">
        <f>_xlfn.MAXIFS(Levels!F:F,Levels!B:B,A1475)</f>
        <v>8.48</v>
      </c>
    </row>
    <row r="1476" spans="1:6" x14ac:dyDescent="0.3">
      <c r="A1476" t="s">
        <v>6785</v>
      </c>
      <c r="B1476" s="6">
        <f>COUNTIF(Levels!B:B,A1476)</f>
        <v>5</v>
      </c>
      <c r="C1476" s="6">
        <f>IFERROR(AVERAGEIF(Levels!B:B,A1476,Levels!E:E),0)</f>
        <v>7.2799999999999994</v>
      </c>
      <c r="D1476" s="6">
        <f>IFERROR(AVERAGEIF(Levels!B:B,A1476,Levels!F:F),0)</f>
        <v>6.5739999999999998</v>
      </c>
      <c r="E1476" s="6">
        <f>_xlfn.MAXIFS(Levels!E:E,Levels!B:B,A1476)</f>
        <v>12.94</v>
      </c>
      <c r="F1476" s="6">
        <f>_xlfn.MAXIFS(Levels!F:F,Levels!B:B,A1476)</f>
        <v>8</v>
      </c>
    </row>
    <row r="1477" spans="1:6" x14ac:dyDescent="0.3">
      <c r="A1477" t="s">
        <v>6788</v>
      </c>
      <c r="B1477" s="9">
        <f>COUNTIF(Levels!B:B,A1477)</f>
        <v>1</v>
      </c>
      <c r="C1477" s="9">
        <f>IFERROR(AVERAGEIF(Levels!B:B,A1477,Levels!E:E),0)</f>
        <v>11.88</v>
      </c>
      <c r="D1477" s="9">
        <f>IFERROR(AVERAGEIF(Levels!B:B,A1477,Levels!F:F),0)</f>
        <v>6.13</v>
      </c>
      <c r="E1477" s="9">
        <f>_xlfn.MAXIFS(Levels!E:E,Levels!B:B,A1477)</f>
        <v>11.88</v>
      </c>
      <c r="F1477" s="9">
        <f>_xlfn.MAXIFS(Levels!F:F,Levels!B:B,A1477)</f>
        <v>6.13</v>
      </c>
    </row>
    <row r="1478" spans="1:6" x14ac:dyDescent="0.3">
      <c r="A1478" t="s">
        <v>6793</v>
      </c>
      <c r="B1478" s="6">
        <f>COUNTIF(Levels!B:B,A1478)</f>
        <v>3</v>
      </c>
      <c r="C1478" s="6">
        <f>IFERROR(AVERAGEIF(Levels!B:B,A1478,Levels!E:E),0)</f>
        <v>13.406666666666666</v>
      </c>
      <c r="D1478" s="6">
        <f>IFERROR(AVERAGEIF(Levels!B:B,A1478,Levels!F:F),0)</f>
        <v>7.3433333333333337</v>
      </c>
      <c r="E1478" s="6">
        <f>_xlfn.MAXIFS(Levels!E:E,Levels!B:B,A1478)</f>
        <v>23</v>
      </c>
      <c r="F1478" s="6">
        <f>_xlfn.MAXIFS(Levels!F:F,Levels!B:B,A1478)</f>
        <v>9.33</v>
      </c>
    </row>
    <row r="1479" spans="1:6" x14ac:dyDescent="0.3">
      <c r="A1479" t="s">
        <v>6795</v>
      </c>
      <c r="B1479" s="9">
        <f>COUNTIF(Levels!B:B,A1479)</f>
        <v>7</v>
      </c>
      <c r="C1479" s="9">
        <f>IFERROR(AVERAGEIF(Levels!B:B,A1479,Levels!E:E),0)</f>
        <v>11.328333333333333</v>
      </c>
      <c r="D1479" s="9">
        <f>IFERROR(AVERAGEIF(Levels!B:B,A1479,Levels!F:F),0)</f>
        <v>6.0249999999999995</v>
      </c>
      <c r="E1479" s="9">
        <f>_xlfn.MAXIFS(Levels!E:E,Levels!B:B,A1479)</f>
        <v>24.16</v>
      </c>
      <c r="F1479" s="9">
        <f>_xlfn.MAXIFS(Levels!F:F,Levels!B:B,A1479)</f>
        <v>6.35</v>
      </c>
    </row>
    <row r="1480" spans="1:6" x14ac:dyDescent="0.3">
      <c r="A1480" t="s">
        <v>6805</v>
      </c>
      <c r="B1480" s="6">
        <f>COUNTIF(Levels!B:B,A1480)</f>
        <v>2</v>
      </c>
      <c r="C1480" s="6">
        <f>IFERROR(AVERAGEIF(Levels!B:B,A1480,Levels!E:E),0)</f>
        <v>8.75</v>
      </c>
      <c r="D1480" s="6">
        <f>IFERROR(AVERAGEIF(Levels!B:B,A1480,Levels!F:F),0)</f>
        <v>3.5</v>
      </c>
      <c r="E1480" s="6">
        <f>_xlfn.MAXIFS(Levels!E:E,Levels!B:B,A1480)</f>
        <v>8.75</v>
      </c>
      <c r="F1480" s="6">
        <f>_xlfn.MAXIFS(Levels!F:F,Levels!B:B,A1480)</f>
        <v>3.5</v>
      </c>
    </row>
    <row r="1481" spans="1:6" x14ac:dyDescent="0.3">
      <c r="A1481" t="s">
        <v>6808</v>
      </c>
      <c r="B1481" s="9">
        <f>COUNTIF(Levels!B:B,A1481)</f>
        <v>2</v>
      </c>
      <c r="C1481" s="9">
        <f>IFERROR(AVERAGEIF(Levels!B:B,A1481,Levels!E:E),0)</f>
        <v>2.17</v>
      </c>
      <c r="D1481" s="9">
        <f>IFERROR(AVERAGEIF(Levels!B:B,A1481,Levels!F:F),0)</f>
        <v>6.42</v>
      </c>
      <c r="E1481" s="9">
        <f>_xlfn.MAXIFS(Levels!E:E,Levels!B:B,A1481)</f>
        <v>2.2599999999999998</v>
      </c>
      <c r="F1481" s="9">
        <f>_xlfn.MAXIFS(Levels!F:F,Levels!B:B,A1481)</f>
        <v>7.13</v>
      </c>
    </row>
    <row r="1482" spans="1:6" x14ac:dyDescent="0.3">
      <c r="A1482" t="s">
        <v>6811</v>
      </c>
      <c r="B1482" s="6">
        <f>COUNTIF(Levels!B:B,A1482)</f>
        <v>2</v>
      </c>
      <c r="C1482" s="6">
        <f>IFERROR(AVERAGEIF(Levels!B:B,A1482,Levels!E:E),0)</f>
        <v>6.88</v>
      </c>
      <c r="D1482" s="6">
        <f>IFERROR(AVERAGEIF(Levels!B:B,A1482,Levels!F:F),0)</f>
        <v>6.5299999999999994</v>
      </c>
      <c r="E1482" s="6">
        <f>_xlfn.MAXIFS(Levels!E:E,Levels!B:B,A1482)</f>
        <v>11.73</v>
      </c>
      <c r="F1482" s="6">
        <f>_xlfn.MAXIFS(Levels!F:F,Levels!B:B,A1482)</f>
        <v>6.76</v>
      </c>
    </row>
    <row r="1483" spans="1:6" x14ac:dyDescent="0.3">
      <c r="A1483" t="s">
        <v>6814</v>
      </c>
      <c r="B1483" s="9">
        <f>COUNTIF(Levels!B:B,A1483)</f>
        <v>3</v>
      </c>
      <c r="C1483" s="9">
        <f>IFERROR(AVERAGEIF(Levels!B:B,A1483,Levels!E:E),0)</f>
        <v>3.3866666666666667</v>
      </c>
      <c r="D1483" s="9">
        <f>IFERROR(AVERAGEIF(Levels!B:B,A1483,Levels!F:F),0)</f>
        <v>7.69</v>
      </c>
      <c r="E1483" s="9">
        <f>_xlfn.MAXIFS(Levels!E:E,Levels!B:B,A1483)</f>
        <v>5</v>
      </c>
      <c r="F1483" s="9">
        <f>_xlfn.MAXIFS(Levels!F:F,Levels!B:B,A1483)</f>
        <v>8.17</v>
      </c>
    </row>
    <row r="1484" spans="1:6" x14ac:dyDescent="0.3">
      <c r="A1484" t="s">
        <v>6821</v>
      </c>
      <c r="B1484" s="6">
        <f>COUNTIF(Levels!B:B,A1484)</f>
        <v>2</v>
      </c>
      <c r="C1484" s="6">
        <f>IFERROR(AVERAGEIF(Levels!B:B,A1484,Levels!E:E),0)</f>
        <v>2.4749999999999996</v>
      </c>
      <c r="D1484" s="6">
        <f>IFERROR(AVERAGEIF(Levels!B:B,A1484,Levels!F:F),0)</f>
        <v>6.87</v>
      </c>
      <c r="E1484" s="6">
        <f>_xlfn.MAXIFS(Levels!E:E,Levels!B:B,A1484)</f>
        <v>2.82</v>
      </c>
      <c r="F1484" s="6">
        <f>_xlfn.MAXIFS(Levels!F:F,Levels!B:B,A1484)</f>
        <v>7.24</v>
      </c>
    </row>
    <row r="1485" spans="1:6" x14ac:dyDescent="0.3">
      <c r="A1485" t="s">
        <v>6824</v>
      </c>
      <c r="B1485" s="9">
        <f>COUNTIF(Levels!B:B,A1485)</f>
        <v>1</v>
      </c>
      <c r="C1485" s="9">
        <f>IFERROR(AVERAGEIF(Levels!B:B,A1485,Levels!E:E),0)</f>
        <v>3.07</v>
      </c>
      <c r="D1485" s="9">
        <f>IFERROR(AVERAGEIF(Levels!B:B,A1485,Levels!F:F),0)</f>
        <v>5.67</v>
      </c>
      <c r="E1485" s="9">
        <f>_xlfn.MAXIFS(Levels!E:E,Levels!B:B,A1485)</f>
        <v>3.07</v>
      </c>
      <c r="F1485" s="9">
        <f>_xlfn.MAXIFS(Levels!F:F,Levels!B:B,A1485)</f>
        <v>5.67</v>
      </c>
    </row>
    <row r="1486" spans="1:6" x14ac:dyDescent="0.3">
      <c r="A1486" t="s">
        <v>6834</v>
      </c>
      <c r="B1486" s="6">
        <f>COUNTIF(Levels!B:B,A1486)</f>
        <v>2</v>
      </c>
      <c r="C1486" s="6">
        <f>IFERROR(AVERAGEIF(Levels!B:B,A1486,Levels!E:E),0)</f>
        <v>5.79</v>
      </c>
      <c r="D1486" s="6">
        <f>IFERROR(AVERAGEIF(Levels!B:B,A1486,Levels!F:F),0)</f>
        <v>6.23</v>
      </c>
      <c r="E1486" s="6">
        <f>_xlfn.MAXIFS(Levels!E:E,Levels!B:B,A1486)</f>
        <v>9.25</v>
      </c>
      <c r="F1486" s="6">
        <f>_xlfn.MAXIFS(Levels!F:F,Levels!B:B,A1486)</f>
        <v>6.75</v>
      </c>
    </row>
    <row r="1487" spans="1:6" x14ac:dyDescent="0.3">
      <c r="A1487" t="s">
        <v>6836</v>
      </c>
      <c r="B1487" s="9">
        <f>COUNTIF(Levels!B:B,A1487)</f>
        <v>1</v>
      </c>
      <c r="C1487" s="9">
        <f>IFERROR(AVERAGEIF(Levels!B:B,A1487,Levels!E:E),0)</f>
        <v>5.81</v>
      </c>
      <c r="D1487" s="9">
        <f>IFERROR(AVERAGEIF(Levels!B:B,A1487,Levels!F:F),0)</f>
        <v>5.63</v>
      </c>
      <c r="E1487" s="9">
        <f>_xlfn.MAXIFS(Levels!E:E,Levels!B:B,A1487)</f>
        <v>5.81</v>
      </c>
      <c r="F1487" s="9">
        <f>_xlfn.MAXIFS(Levels!F:F,Levels!B:B,A1487)</f>
        <v>5.63</v>
      </c>
    </row>
    <row r="1488" spans="1:6" x14ac:dyDescent="0.3">
      <c r="A1488" t="s">
        <v>6839</v>
      </c>
      <c r="B1488" s="6">
        <f>COUNTIF(Levels!B:B,A1488)</f>
        <v>1</v>
      </c>
      <c r="C1488" s="6">
        <f>IFERROR(AVERAGEIF(Levels!B:B,A1488,Levels!E:E),0)</f>
        <v>7.5</v>
      </c>
      <c r="D1488" s="6">
        <f>IFERROR(AVERAGEIF(Levels!B:B,A1488,Levels!F:F),0)</f>
        <v>6</v>
      </c>
      <c r="E1488" s="6">
        <f>_xlfn.MAXIFS(Levels!E:E,Levels!B:B,A1488)</f>
        <v>7.5</v>
      </c>
      <c r="F1488" s="6">
        <f>_xlfn.MAXIFS(Levels!F:F,Levels!B:B,A1488)</f>
        <v>6</v>
      </c>
    </row>
    <row r="1489" spans="1:6" x14ac:dyDescent="0.3">
      <c r="A1489" t="s">
        <v>6841</v>
      </c>
      <c r="B1489" s="9">
        <f>COUNTIF(Levels!B:B,A1489)</f>
        <v>7</v>
      </c>
      <c r="C1489" s="9">
        <f>IFERROR(AVERAGEIF(Levels!B:B,A1489,Levels!E:E),0)</f>
        <v>6.904285714285713</v>
      </c>
      <c r="D1489" s="9">
        <f>IFERROR(AVERAGEIF(Levels!B:B,A1489,Levels!F:F),0)</f>
        <v>7.2928571428571427</v>
      </c>
      <c r="E1489" s="9">
        <f>_xlfn.MAXIFS(Levels!E:E,Levels!B:B,A1489)</f>
        <v>17.579999999999998</v>
      </c>
      <c r="F1489" s="9">
        <f>_xlfn.MAXIFS(Levels!F:F,Levels!B:B,A1489)</f>
        <v>8.43</v>
      </c>
    </row>
    <row r="1490" spans="1:6" x14ac:dyDescent="0.3">
      <c r="A1490" t="s">
        <v>6844</v>
      </c>
      <c r="B1490" s="6">
        <f>COUNTIF(Levels!B:B,A1490)</f>
        <v>1</v>
      </c>
      <c r="C1490" s="6">
        <f>IFERROR(AVERAGEIF(Levels!B:B,A1490,Levels!E:E),0)</f>
        <v>10.73</v>
      </c>
      <c r="D1490" s="6">
        <f>IFERROR(AVERAGEIF(Levels!B:B,A1490,Levels!F:F),0)</f>
        <v>7.75</v>
      </c>
      <c r="E1490" s="6">
        <f>_xlfn.MAXIFS(Levels!E:E,Levels!B:B,A1490)</f>
        <v>10.73</v>
      </c>
      <c r="F1490" s="6">
        <f>_xlfn.MAXIFS(Levels!F:F,Levels!B:B,A1490)</f>
        <v>7.75</v>
      </c>
    </row>
    <row r="1491" spans="1:6" x14ac:dyDescent="0.3">
      <c r="A1491" t="s">
        <v>6848</v>
      </c>
      <c r="B1491" s="9">
        <f>COUNTIF(Levels!B:B,A1491)</f>
        <v>4</v>
      </c>
      <c r="C1491" s="9">
        <f>IFERROR(AVERAGEIF(Levels!B:B,A1491,Levels!E:E),0)</f>
        <v>3.4424999999999999</v>
      </c>
      <c r="D1491" s="9">
        <f>IFERROR(AVERAGEIF(Levels!B:B,A1491,Levels!F:F),0)</f>
        <v>7.6899999999999995</v>
      </c>
      <c r="E1491" s="9">
        <f>_xlfn.MAXIFS(Levels!E:E,Levels!B:B,A1491)</f>
        <v>7.04</v>
      </c>
      <c r="F1491" s="9">
        <f>_xlfn.MAXIFS(Levels!F:F,Levels!B:B,A1491)</f>
        <v>8.1999999999999993</v>
      </c>
    </row>
    <row r="1492" spans="1:6" x14ac:dyDescent="0.3">
      <c r="A1492" t="s">
        <v>6854</v>
      </c>
      <c r="B1492" s="6">
        <f>COUNTIF(Levels!B:B,A1492)</f>
        <v>2</v>
      </c>
      <c r="C1492" s="6">
        <f>IFERROR(AVERAGEIF(Levels!B:B,A1492,Levels!E:E),0)</f>
        <v>21.580000000000002</v>
      </c>
      <c r="D1492" s="6">
        <f>IFERROR(AVERAGEIF(Levels!B:B,A1492,Levels!F:F),0)</f>
        <v>8.4600000000000009</v>
      </c>
      <c r="E1492" s="6">
        <f>_xlfn.MAXIFS(Levels!E:E,Levels!B:B,A1492)</f>
        <v>30.26</v>
      </c>
      <c r="F1492" s="6">
        <f>_xlfn.MAXIFS(Levels!F:F,Levels!B:B,A1492)</f>
        <v>9.1300000000000008</v>
      </c>
    </row>
    <row r="1493" spans="1:6" x14ac:dyDescent="0.3">
      <c r="A1493" t="s">
        <v>6856</v>
      </c>
      <c r="B1493" s="9">
        <f>COUNTIF(Levels!B:B,A1493)</f>
        <v>1</v>
      </c>
      <c r="C1493" s="9">
        <f>IFERROR(AVERAGEIF(Levels!B:B,A1493,Levels!E:E),0)</f>
        <v>13.99</v>
      </c>
      <c r="D1493" s="9">
        <f>IFERROR(AVERAGEIF(Levels!B:B,A1493,Levels!F:F),0)</f>
        <v>6.21</v>
      </c>
      <c r="E1493" s="9">
        <f>_xlfn.MAXIFS(Levels!E:E,Levels!B:B,A1493)</f>
        <v>13.99</v>
      </c>
      <c r="F1493" s="9">
        <f>_xlfn.MAXIFS(Levels!F:F,Levels!B:B,A1493)</f>
        <v>6.21</v>
      </c>
    </row>
    <row r="1494" spans="1:6" x14ac:dyDescent="0.3">
      <c r="A1494" t="s">
        <v>6859</v>
      </c>
      <c r="B1494" s="6">
        <f>COUNTIF(Levels!B:B,A1494)</f>
        <v>1</v>
      </c>
      <c r="C1494" s="6">
        <f>IFERROR(AVERAGEIF(Levels!B:B,A1494,Levels!E:E),0)</f>
        <v>14.91</v>
      </c>
      <c r="D1494" s="6">
        <f>IFERROR(AVERAGEIF(Levels!B:B,A1494,Levels!F:F),0)</f>
        <v>7.14</v>
      </c>
      <c r="E1494" s="6">
        <f>_xlfn.MAXIFS(Levels!E:E,Levels!B:B,A1494)</f>
        <v>14.91</v>
      </c>
      <c r="F1494" s="6">
        <f>_xlfn.MAXIFS(Levels!F:F,Levels!B:B,A1494)</f>
        <v>7.14</v>
      </c>
    </row>
    <row r="1495" spans="1:6" x14ac:dyDescent="0.3">
      <c r="A1495" t="s">
        <v>6864</v>
      </c>
      <c r="B1495" s="9">
        <f>COUNTIF(Levels!B:B,A1495)</f>
        <v>4</v>
      </c>
      <c r="C1495" s="9">
        <f>IFERROR(AVERAGEIF(Levels!B:B,A1495,Levels!E:E),0)</f>
        <v>19.5625</v>
      </c>
      <c r="D1495" s="9">
        <f>IFERROR(AVERAGEIF(Levels!B:B,A1495,Levels!F:F),0)</f>
        <v>5.7350000000000003</v>
      </c>
      <c r="E1495" s="9">
        <f>_xlfn.MAXIFS(Levels!E:E,Levels!B:B,A1495)</f>
        <v>23.87</v>
      </c>
      <c r="F1495" s="9">
        <f>_xlfn.MAXIFS(Levels!F:F,Levels!B:B,A1495)</f>
        <v>7.2</v>
      </c>
    </row>
    <row r="1496" spans="1:6" x14ac:dyDescent="0.3">
      <c r="A1496" t="s">
        <v>6867</v>
      </c>
      <c r="B1496" s="6">
        <f>COUNTIF(Levels!B:B,A1496)</f>
        <v>2</v>
      </c>
      <c r="C1496" s="6">
        <f>IFERROR(AVERAGEIF(Levels!B:B,A1496,Levels!E:E),0)</f>
        <v>1.51</v>
      </c>
      <c r="D1496" s="6">
        <f>IFERROR(AVERAGEIF(Levels!B:B,A1496,Levels!F:F),0)</f>
        <v>6.9749999999999996</v>
      </c>
      <c r="E1496" s="6">
        <f>_xlfn.MAXIFS(Levels!E:E,Levels!B:B,A1496)</f>
        <v>1.78</v>
      </c>
      <c r="F1496" s="6">
        <f>_xlfn.MAXIFS(Levels!F:F,Levels!B:B,A1496)</f>
        <v>7.27</v>
      </c>
    </row>
    <row r="1497" spans="1:6" x14ac:dyDescent="0.3">
      <c r="A1497" t="s">
        <v>6871</v>
      </c>
      <c r="B1497" s="9">
        <f>COUNTIF(Levels!B:B,A1497)</f>
        <v>5</v>
      </c>
      <c r="C1497" s="9">
        <f>IFERROR(AVERAGEIF(Levels!B:B,A1497,Levels!E:E),0)</f>
        <v>20.588000000000001</v>
      </c>
      <c r="D1497" s="9">
        <f>IFERROR(AVERAGEIF(Levels!B:B,A1497,Levels!F:F),0)</f>
        <v>8.4779999999999998</v>
      </c>
      <c r="E1497" s="9">
        <f>_xlfn.MAXIFS(Levels!E:E,Levels!B:B,A1497)</f>
        <v>27.14</v>
      </c>
      <c r="F1497" s="9">
        <f>_xlfn.MAXIFS(Levels!F:F,Levels!B:B,A1497)</f>
        <v>10</v>
      </c>
    </row>
    <row r="1498" spans="1:6" x14ac:dyDescent="0.3">
      <c r="A1498" t="s">
        <v>6874</v>
      </c>
      <c r="B1498" s="6">
        <f>COUNTIF(Levels!B:B,A1498)</f>
        <v>2</v>
      </c>
      <c r="C1498" s="6">
        <f>IFERROR(AVERAGEIF(Levels!B:B,A1498,Levels!E:E),0)</f>
        <v>15.14</v>
      </c>
      <c r="D1498" s="6">
        <f>IFERROR(AVERAGEIF(Levels!B:B,A1498,Levels!F:F),0)</f>
        <v>7.62</v>
      </c>
      <c r="E1498" s="6">
        <f>_xlfn.MAXIFS(Levels!E:E,Levels!B:B,A1498)</f>
        <v>15.88</v>
      </c>
      <c r="F1498" s="6">
        <f>_xlfn.MAXIFS(Levels!F:F,Levels!B:B,A1498)</f>
        <v>8</v>
      </c>
    </row>
    <row r="1499" spans="1:6" x14ac:dyDescent="0.3">
      <c r="A1499" t="s">
        <v>6876</v>
      </c>
      <c r="B1499" s="9">
        <f>COUNTIF(Levels!B:B,A1499)</f>
        <v>1</v>
      </c>
      <c r="C1499" s="9">
        <f>IFERROR(AVERAGEIF(Levels!B:B,A1499,Levels!E:E),0)</f>
        <v>7.88</v>
      </c>
      <c r="D1499" s="9">
        <f>IFERROR(AVERAGEIF(Levels!B:B,A1499,Levels!F:F),0)</f>
        <v>6.3</v>
      </c>
      <c r="E1499" s="9">
        <f>_xlfn.MAXIFS(Levels!E:E,Levels!B:B,A1499)</f>
        <v>7.88</v>
      </c>
      <c r="F1499" s="9">
        <f>_xlfn.MAXIFS(Levels!F:F,Levels!B:B,A1499)</f>
        <v>6.3</v>
      </c>
    </row>
    <row r="1500" spans="1:6" x14ac:dyDescent="0.3">
      <c r="A1500" t="s">
        <v>6880</v>
      </c>
      <c r="B1500" s="6">
        <f>COUNTIF(Levels!B:B,A1500)</f>
        <v>1</v>
      </c>
      <c r="C1500" s="6">
        <f>IFERROR(AVERAGEIF(Levels!B:B,A1500,Levels!E:E),0)</f>
        <v>6.5</v>
      </c>
      <c r="D1500" s="6">
        <f>IFERROR(AVERAGEIF(Levels!B:B,A1500,Levels!F:F),0)</f>
        <v>6</v>
      </c>
      <c r="E1500" s="6">
        <f>_xlfn.MAXIFS(Levels!E:E,Levels!B:B,A1500)</f>
        <v>6.5</v>
      </c>
      <c r="F1500" s="6">
        <f>_xlfn.MAXIFS(Levels!F:F,Levels!B:B,A1500)</f>
        <v>6</v>
      </c>
    </row>
    <row r="1501" spans="1:6" x14ac:dyDescent="0.3">
      <c r="A1501" t="s">
        <v>6882</v>
      </c>
      <c r="B1501" s="9">
        <f>COUNTIF(Levels!B:B,A1501)</f>
        <v>1</v>
      </c>
      <c r="C1501" s="9">
        <f>IFERROR(AVERAGEIF(Levels!B:B,A1501,Levels!E:E),0)</f>
        <v>2.52</v>
      </c>
      <c r="D1501" s="9">
        <f>IFERROR(AVERAGEIF(Levels!B:B,A1501,Levels!F:F),0)</f>
        <v>6.41</v>
      </c>
      <c r="E1501" s="9">
        <f>_xlfn.MAXIFS(Levels!E:E,Levels!B:B,A1501)</f>
        <v>2.52</v>
      </c>
      <c r="F1501" s="9">
        <f>_xlfn.MAXIFS(Levels!F:F,Levels!B:B,A1501)</f>
        <v>6.41</v>
      </c>
    </row>
    <row r="1502" spans="1:6" x14ac:dyDescent="0.3">
      <c r="A1502" t="s">
        <v>6884</v>
      </c>
      <c r="B1502" s="6">
        <f>COUNTIF(Levels!B:B,A1502)</f>
        <v>2</v>
      </c>
      <c r="C1502" s="6">
        <f>IFERROR(AVERAGEIF(Levels!B:B,A1502,Levels!E:E),0)</f>
        <v>22.664999999999999</v>
      </c>
      <c r="D1502" s="6">
        <f>IFERROR(AVERAGEIF(Levels!B:B,A1502,Levels!F:F),0)</f>
        <v>8</v>
      </c>
      <c r="E1502" s="6">
        <f>_xlfn.MAXIFS(Levels!E:E,Levels!B:B,A1502)</f>
        <v>28</v>
      </c>
      <c r="F1502" s="6">
        <f>_xlfn.MAXIFS(Levels!F:F,Levels!B:B,A1502)</f>
        <v>8</v>
      </c>
    </row>
    <row r="1503" spans="1:6" x14ac:dyDescent="0.3">
      <c r="A1503" t="s">
        <v>6887</v>
      </c>
      <c r="B1503" s="9">
        <f>COUNTIF(Levels!B:B,A1503)</f>
        <v>10</v>
      </c>
      <c r="C1503" s="9">
        <f>IFERROR(AVERAGEIF(Levels!B:B,A1503,Levels!E:E),0)</f>
        <v>5.0025000000000004</v>
      </c>
      <c r="D1503" s="9">
        <f>IFERROR(AVERAGEIF(Levels!B:B,A1503,Levels!F:F),0)</f>
        <v>6.7490000000000006</v>
      </c>
      <c r="E1503" s="9">
        <f>_xlfn.MAXIFS(Levels!E:E,Levels!B:B,A1503)</f>
        <v>11.43</v>
      </c>
      <c r="F1503" s="9">
        <f>_xlfn.MAXIFS(Levels!F:F,Levels!B:B,A1503)</f>
        <v>8</v>
      </c>
    </row>
    <row r="1504" spans="1:6" x14ac:dyDescent="0.3">
      <c r="A1504" t="s">
        <v>6898</v>
      </c>
      <c r="B1504" s="6">
        <f>COUNTIF(Levels!B:B,A1504)</f>
        <v>1</v>
      </c>
      <c r="C1504" s="6">
        <f>IFERROR(AVERAGEIF(Levels!B:B,A1504,Levels!E:E),0)</f>
        <v>2.29</v>
      </c>
      <c r="D1504" s="6">
        <f>IFERROR(AVERAGEIF(Levels!B:B,A1504,Levels!F:F),0)</f>
        <v>6.05</v>
      </c>
      <c r="E1504" s="6">
        <f>_xlfn.MAXIFS(Levels!E:E,Levels!B:B,A1504)</f>
        <v>2.29</v>
      </c>
      <c r="F1504" s="6">
        <f>_xlfn.MAXIFS(Levels!F:F,Levels!B:B,A1504)</f>
        <v>6.05</v>
      </c>
    </row>
    <row r="1505" spans="1:6" x14ac:dyDescent="0.3">
      <c r="A1505" t="s">
        <v>6903</v>
      </c>
      <c r="B1505" s="9">
        <f>COUNTIF(Levels!B:B,A1505)</f>
        <v>8</v>
      </c>
      <c r="C1505" s="9">
        <f>IFERROR(AVERAGEIF(Levels!B:B,A1505,Levels!E:E),0)</f>
        <v>11.407500000000001</v>
      </c>
      <c r="D1505" s="9">
        <f>IFERROR(AVERAGEIF(Levels!B:B,A1505,Levels!F:F),0)</f>
        <v>6.6187500000000004</v>
      </c>
      <c r="E1505" s="9">
        <f>_xlfn.MAXIFS(Levels!E:E,Levels!B:B,A1505)</f>
        <v>23.23</v>
      </c>
      <c r="F1505" s="9">
        <f>_xlfn.MAXIFS(Levels!F:F,Levels!B:B,A1505)</f>
        <v>8.19</v>
      </c>
    </row>
    <row r="1506" spans="1:6" x14ac:dyDescent="0.3">
      <c r="A1506" t="s">
        <v>6906</v>
      </c>
      <c r="B1506" s="6">
        <f>COUNTIF(Levels!B:B,A1506)</f>
        <v>3</v>
      </c>
      <c r="C1506" s="6">
        <f>IFERROR(AVERAGEIF(Levels!B:B,A1506,Levels!E:E),0)</f>
        <v>4.4366666666666665</v>
      </c>
      <c r="D1506" s="6">
        <f>IFERROR(AVERAGEIF(Levels!B:B,A1506,Levels!F:F),0)</f>
        <v>7.0166666666666666</v>
      </c>
      <c r="E1506" s="6">
        <f>_xlfn.MAXIFS(Levels!E:E,Levels!B:B,A1506)</f>
        <v>8.41</v>
      </c>
      <c r="F1506" s="6">
        <f>_xlfn.MAXIFS(Levels!F:F,Levels!B:B,A1506)</f>
        <v>7.27</v>
      </c>
    </row>
    <row r="1507" spans="1:6" x14ac:dyDescent="0.3">
      <c r="A1507" t="s">
        <v>6919</v>
      </c>
      <c r="B1507" s="9">
        <f>COUNTIF(Levels!B:B,A1507)</f>
        <v>5</v>
      </c>
      <c r="C1507" s="9">
        <f>IFERROR(AVERAGEIF(Levels!B:B,A1507,Levels!E:E),0)</f>
        <v>6.3179999999999996</v>
      </c>
      <c r="D1507" s="9">
        <f>IFERROR(AVERAGEIF(Levels!B:B,A1507,Levels!F:F),0)</f>
        <v>6.0680000000000005</v>
      </c>
      <c r="E1507" s="9">
        <f>_xlfn.MAXIFS(Levels!E:E,Levels!B:B,A1507)</f>
        <v>14.52</v>
      </c>
      <c r="F1507" s="9">
        <f>_xlfn.MAXIFS(Levels!F:F,Levels!B:B,A1507)</f>
        <v>6.71</v>
      </c>
    </row>
    <row r="1508" spans="1:6" x14ac:dyDescent="0.3">
      <c r="A1508" t="s">
        <v>6928</v>
      </c>
      <c r="B1508" s="6">
        <f>COUNTIF(Levels!B:B,A1508)</f>
        <v>5</v>
      </c>
      <c r="C1508" s="6">
        <f>IFERROR(AVERAGEIF(Levels!B:B,A1508,Levels!E:E),0)</f>
        <v>4.3479999999999999</v>
      </c>
      <c r="D1508" s="6">
        <f>IFERROR(AVERAGEIF(Levels!B:B,A1508,Levels!F:F),0)</f>
        <v>7.7</v>
      </c>
      <c r="E1508" s="6">
        <f>_xlfn.MAXIFS(Levels!E:E,Levels!B:B,A1508)</f>
        <v>11.37</v>
      </c>
      <c r="F1508" s="6">
        <f>_xlfn.MAXIFS(Levels!F:F,Levels!B:B,A1508)</f>
        <v>8.8000000000000007</v>
      </c>
    </row>
    <row r="1509" spans="1:6" x14ac:dyDescent="0.3">
      <c r="A1509" t="s">
        <v>6932</v>
      </c>
      <c r="B1509" s="9">
        <f>COUNTIF(Levels!B:B,A1509)</f>
        <v>2</v>
      </c>
      <c r="C1509" s="9">
        <f>IFERROR(AVERAGEIF(Levels!B:B,A1509,Levels!E:E),0)</f>
        <v>7.1150000000000002</v>
      </c>
      <c r="D1509" s="9">
        <f>IFERROR(AVERAGEIF(Levels!B:B,A1509,Levels!F:F),0)</f>
        <v>6.3949999999999996</v>
      </c>
      <c r="E1509" s="9">
        <f>_xlfn.MAXIFS(Levels!E:E,Levels!B:B,A1509)</f>
        <v>8.75</v>
      </c>
      <c r="F1509" s="9">
        <f>_xlfn.MAXIFS(Levels!F:F,Levels!B:B,A1509)</f>
        <v>6.5</v>
      </c>
    </row>
    <row r="1510" spans="1:6" x14ac:dyDescent="0.3">
      <c r="A1510" t="s">
        <v>6940</v>
      </c>
      <c r="B1510" s="6">
        <f>COUNTIF(Levels!B:B,A1510)</f>
        <v>2</v>
      </c>
      <c r="C1510" s="6">
        <f>IFERROR(AVERAGEIF(Levels!B:B,A1510,Levels!E:E),0)</f>
        <v>8.0500000000000007</v>
      </c>
      <c r="D1510" s="6">
        <f>IFERROR(AVERAGEIF(Levels!B:B,A1510,Levels!F:F),0)</f>
        <v>7.2</v>
      </c>
      <c r="E1510" s="6">
        <f>_xlfn.MAXIFS(Levels!E:E,Levels!B:B,A1510)</f>
        <v>12.17</v>
      </c>
      <c r="F1510" s="6">
        <f>_xlfn.MAXIFS(Levels!F:F,Levels!B:B,A1510)</f>
        <v>7.33</v>
      </c>
    </row>
    <row r="1511" spans="1:6" x14ac:dyDescent="0.3">
      <c r="A1511" t="s">
        <v>6943</v>
      </c>
      <c r="B1511" s="9">
        <f>COUNTIF(Levels!B:B,A1511)</f>
        <v>3</v>
      </c>
      <c r="C1511" s="9">
        <f>IFERROR(AVERAGEIF(Levels!B:B,A1511,Levels!E:E),0)</f>
        <v>3.6333333333333333</v>
      </c>
      <c r="D1511" s="9">
        <f>IFERROR(AVERAGEIF(Levels!B:B,A1511,Levels!F:F),0)</f>
        <v>6.7766666666666664</v>
      </c>
      <c r="E1511" s="9">
        <f>_xlfn.MAXIFS(Levels!E:E,Levels!B:B,A1511)</f>
        <v>4.09</v>
      </c>
      <c r="F1511" s="9">
        <f>_xlfn.MAXIFS(Levels!F:F,Levels!B:B,A1511)</f>
        <v>7.29</v>
      </c>
    </row>
    <row r="1512" spans="1:6" x14ac:dyDescent="0.3">
      <c r="A1512" t="s">
        <v>6945</v>
      </c>
      <c r="B1512" s="6">
        <f>COUNTIF(Levels!B:B,A1512)</f>
        <v>1</v>
      </c>
      <c r="C1512" s="6">
        <f>IFERROR(AVERAGEIF(Levels!B:B,A1512,Levels!E:E),0)</f>
        <v>15.64</v>
      </c>
      <c r="D1512" s="6">
        <f>IFERROR(AVERAGEIF(Levels!B:B,A1512,Levels!F:F),0)</f>
        <v>4.9400000000000004</v>
      </c>
      <c r="E1512" s="6">
        <f>_xlfn.MAXIFS(Levels!E:E,Levels!B:B,A1512)</f>
        <v>15.64</v>
      </c>
      <c r="F1512" s="6">
        <f>_xlfn.MAXIFS(Levels!F:F,Levels!B:B,A1512)</f>
        <v>4.9400000000000004</v>
      </c>
    </row>
    <row r="1513" spans="1:6" x14ac:dyDescent="0.3">
      <c r="A1513" t="s">
        <v>6947</v>
      </c>
      <c r="B1513" s="9">
        <f>COUNTIF(Levels!B:B,A1513)</f>
        <v>1</v>
      </c>
      <c r="C1513" s="9">
        <f>IFERROR(AVERAGEIF(Levels!B:B,A1513,Levels!E:E),0)</f>
        <v>8</v>
      </c>
      <c r="D1513" s="9">
        <f>IFERROR(AVERAGEIF(Levels!B:B,A1513,Levels!F:F),0)</f>
        <v>7.5</v>
      </c>
      <c r="E1513" s="9">
        <f>_xlfn.MAXIFS(Levels!E:E,Levels!B:B,A1513)</f>
        <v>8</v>
      </c>
      <c r="F1513" s="9">
        <f>_xlfn.MAXIFS(Levels!F:F,Levels!B:B,A1513)</f>
        <v>7.5</v>
      </c>
    </row>
    <row r="1514" spans="1:6" x14ac:dyDescent="0.3">
      <c r="A1514" t="s">
        <v>6949</v>
      </c>
      <c r="B1514" s="6">
        <f>COUNTIF(Levels!B:B,A1514)</f>
        <v>2</v>
      </c>
      <c r="C1514" s="6">
        <f>IFERROR(AVERAGEIF(Levels!B:B,A1514,Levels!E:E),0)</f>
        <v>4.07</v>
      </c>
      <c r="D1514" s="6">
        <f>IFERROR(AVERAGEIF(Levels!B:B,A1514,Levels!F:F),0)</f>
        <v>6.165</v>
      </c>
      <c r="E1514" s="6">
        <f>_xlfn.MAXIFS(Levels!E:E,Levels!B:B,A1514)</f>
        <v>5.98</v>
      </c>
      <c r="F1514" s="6">
        <f>_xlfn.MAXIFS(Levels!F:F,Levels!B:B,A1514)</f>
        <v>7.2</v>
      </c>
    </row>
    <row r="1515" spans="1:6" x14ac:dyDescent="0.3">
      <c r="A1515" t="s">
        <v>6953</v>
      </c>
      <c r="B1515" s="9">
        <f>COUNTIF(Levels!B:B,A1515)</f>
        <v>2</v>
      </c>
      <c r="C1515" s="9">
        <f>IFERROR(AVERAGEIF(Levels!B:B,A1515,Levels!E:E),0)</f>
        <v>2.5249999999999999</v>
      </c>
      <c r="D1515" s="9">
        <f>IFERROR(AVERAGEIF(Levels!B:B,A1515,Levels!F:F),0)</f>
        <v>6.7349999999999994</v>
      </c>
      <c r="E1515" s="9">
        <f>_xlfn.MAXIFS(Levels!E:E,Levels!B:B,A1515)</f>
        <v>3.17</v>
      </c>
      <c r="F1515" s="9">
        <f>_xlfn.MAXIFS(Levels!F:F,Levels!B:B,A1515)</f>
        <v>7.58</v>
      </c>
    </row>
    <row r="1516" spans="1:6" x14ac:dyDescent="0.3">
      <c r="A1516" t="s">
        <v>6955</v>
      </c>
      <c r="B1516" s="6">
        <f>COUNTIF(Levels!B:B,A1516)</f>
        <v>2</v>
      </c>
      <c r="C1516" s="6">
        <f>IFERROR(AVERAGEIF(Levels!B:B,A1516,Levels!E:E),0)</f>
        <v>2.62</v>
      </c>
      <c r="D1516" s="6">
        <f>IFERROR(AVERAGEIF(Levels!B:B,A1516,Levels!F:F),0)</f>
        <v>5.5549999999999997</v>
      </c>
      <c r="E1516" s="6">
        <f>_xlfn.MAXIFS(Levels!E:E,Levels!B:B,A1516)</f>
        <v>2.95</v>
      </c>
      <c r="F1516" s="6">
        <f>_xlfn.MAXIFS(Levels!F:F,Levels!B:B,A1516)</f>
        <v>5.71</v>
      </c>
    </row>
    <row r="1517" spans="1:6" x14ac:dyDescent="0.3">
      <c r="A1517" t="s">
        <v>6963</v>
      </c>
      <c r="B1517" s="9">
        <f>COUNTIF(Levels!B:B,A1517)</f>
        <v>1</v>
      </c>
      <c r="C1517" s="9">
        <f>IFERROR(AVERAGEIF(Levels!B:B,A1517,Levels!E:E),0)</f>
        <v>4.1100000000000003</v>
      </c>
      <c r="D1517" s="9">
        <f>IFERROR(AVERAGEIF(Levels!B:B,A1517,Levels!F:F),0)</f>
        <v>5.86</v>
      </c>
      <c r="E1517" s="9">
        <f>_xlfn.MAXIFS(Levels!E:E,Levels!B:B,A1517)</f>
        <v>4.1100000000000003</v>
      </c>
      <c r="F1517" s="9">
        <f>_xlfn.MAXIFS(Levels!F:F,Levels!B:B,A1517)</f>
        <v>5.86</v>
      </c>
    </row>
    <row r="1518" spans="1:6" x14ac:dyDescent="0.3">
      <c r="A1518" t="s">
        <v>6966</v>
      </c>
      <c r="B1518" s="6">
        <f>COUNTIF(Levels!B:B,A1518)</f>
        <v>1</v>
      </c>
      <c r="C1518" s="6">
        <f>IFERROR(AVERAGEIF(Levels!B:B,A1518,Levels!E:E),0)</f>
        <v>6.17</v>
      </c>
      <c r="D1518" s="6">
        <f>IFERROR(AVERAGEIF(Levels!B:B,A1518,Levels!F:F),0)</f>
        <v>7.5</v>
      </c>
      <c r="E1518" s="6">
        <f>_xlfn.MAXIFS(Levels!E:E,Levels!B:B,A1518)</f>
        <v>6.17</v>
      </c>
      <c r="F1518" s="6">
        <f>_xlfn.MAXIFS(Levels!F:F,Levels!B:B,A1518)</f>
        <v>7.5</v>
      </c>
    </row>
    <row r="1519" spans="1:6" x14ac:dyDescent="0.3">
      <c r="A1519" t="s">
        <v>6971</v>
      </c>
      <c r="B1519" s="9">
        <f>COUNTIF(Levels!B:B,A1519)</f>
        <v>3</v>
      </c>
      <c r="C1519" s="9">
        <f>IFERROR(AVERAGEIF(Levels!B:B,A1519,Levels!E:E),0)</f>
        <v>10.466666666666667</v>
      </c>
      <c r="D1519" s="9">
        <f>IFERROR(AVERAGEIF(Levels!B:B,A1519,Levels!F:F),0)</f>
        <v>7.043333333333333</v>
      </c>
      <c r="E1519" s="9">
        <f>_xlfn.MAXIFS(Levels!E:E,Levels!B:B,A1519)</f>
        <v>19.2</v>
      </c>
      <c r="F1519" s="9">
        <f>_xlfn.MAXIFS(Levels!F:F,Levels!B:B,A1519)</f>
        <v>8.75</v>
      </c>
    </row>
    <row r="1520" spans="1:6" x14ac:dyDescent="0.3">
      <c r="A1520" t="s">
        <v>6977</v>
      </c>
      <c r="B1520" s="6">
        <f>COUNTIF(Levels!B:B,A1520)</f>
        <v>1</v>
      </c>
      <c r="C1520" s="6">
        <f>IFERROR(AVERAGEIF(Levels!B:B,A1520,Levels!E:E),0)</f>
        <v>7.71</v>
      </c>
      <c r="D1520" s="6">
        <f>IFERROR(AVERAGEIF(Levels!B:B,A1520,Levels!F:F),0)</f>
        <v>6.71</v>
      </c>
      <c r="E1520" s="6">
        <f>_xlfn.MAXIFS(Levels!E:E,Levels!B:B,A1520)</f>
        <v>7.71</v>
      </c>
      <c r="F1520" s="6">
        <f>_xlfn.MAXIFS(Levels!F:F,Levels!B:B,A1520)</f>
        <v>6.71</v>
      </c>
    </row>
    <row r="1521" spans="1:6" x14ac:dyDescent="0.3">
      <c r="A1521" t="s">
        <v>6980</v>
      </c>
      <c r="B1521" s="9">
        <f>COUNTIF(Levels!B:B,A1521)</f>
        <v>11</v>
      </c>
      <c r="C1521" s="9">
        <f>IFERROR(AVERAGEIF(Levels!B:B,A1521,Levels!E:E),0)</f>
        <v>19.638749999999998</v>
      </c>
      <c r="D1521" s="9">
        <f>IFERROR(AVERAGEIF(Levels!B:B,A1521,Levels!F:F),0)</f>
        <v>8.1280000000000001</v>
      </c>
      <c r="E1521" s="9">
        <f>_xlfn.MAXIFS(Levels!E:E,Levels!B:B,A1521)</f>
        <v>26</v>
      </c>
      <c r="F1521" s="9">
        <f>_xlfn.MAXIFS(Levels!F:F,Levels!B:B,A1521)</f>
        <v>10</v>
      </c>
    </row>
    <row r="1522" spans="1:6" x14ac:dyDescent="0.3">
      <c r="A1522" t="s">
        <v>6990</v>
      </c>
      <c r="B1522" s="6">
        <f>COUNTIF(Levels!B:B,A1522)</f>
        <v>2</v>
      </c>
      <c r="C1522" s="6">
        <f>IFERROR(AVERAGEIF(Levels!B:B,A1522,Levels!E:E),0)</f>
        <v>18.600000000000001</v>
      </c>
      <c r="D1522" s="6">
        <f>IFERROR(AVERAGEIF(Levels!B:B,A1522,Levels!F:F),0)</f>
        <v>6.7850000000000001</v>
      </c>
      <c r="E1522" s="6">
        <f>_xlfn.MAXIFS(Levels!E:E,Levels!B:B,A1522)</f>
        <v>30</v>
      </c>
      <c r="F1522" s="6">
        <f>_xlfn.MAXIFS(Levels!F:F,Levels!B:B,A1522)</f>
        <v>7.57</v>
      </c>
    </row>
    <row r="1523" spans="1:6" x14ac:dyDescent="0.3">
      <c r="A1523" t="s">
        <v>6992</v>
      </c>
      <c r="B1523" s="9">
        <f>COUNTIF(Levels!B:B,A1523)</f>
        <v>6</v>
      </c>
      <c r="C1523" s="9">
        <f>IFERROR(AVERAGEIF(Levels!B:B,A1523,Levels!E:E),0)</f>
        <v>3.3466666666666662</v>
      </c>
      <c r="D1523" s="9">
        <f>IFERROR(AVERAGEIF(Levels!B:B,A1523,Levels!F:F),0)</f>
        <v>7.0116666666666667</v>
      </c>
      <c r="E1523" s="9">
        <f>_xlfn.MAXIFS(Levels!E:E,Levels!B:B,A1523)</f>
        <v>4.37</v>
      </c>
      <c r="F1523" s="9">
        <f>_xlfn.MAXIFS(Levels!F:F,Levels!B:B,A1523)</f>
        <v>7.72</v>
      </c>
    </row>
    <row r="1524" spans="1:6" x14ac:dyDescent="0.3">
      <c r="A1524" t="s">
        <v>6996</v>
      </c>
      <c r="B1524" s="6">
        <f>COUNTIF(Levels!B:B,A1524)</f>
        <v>3</v>
      </c>
      <c r="C1524" s="6">
        <f>IFERROR(AVERAGEIF(Levels!B:B,A1524,Levels!E:E),0)</f>
        <v>9.8466666666666658</v>
      </c>
      <c r="D1524" s="6">
        <f>IFERROR(AVERAGEIF(Levels!B:B,A1524,Levels!F:F),0)</f>
        <v>7.1866666666666674</v>
      </c>
      <c r="E1524" s="6">
        <f>_xlfn.MAXIFS(Levels!E:E,Levels!B:B,A1524)</f>
        <v>12</v>
      </c>
      <c r="F1524" s="6">
        <f>_xlfn.MAXIFS(Levels!F:F,Levels!B:B,A1524)</f>
        <v>8.67</v>
      </c>
    </row>
    <row r="1525" spans="1:6" x14ac:dyDescent="0.3">
      <c r="A1525" t="s">
        <v>6998</v>
      </c>
      <c r="B1525" s="9">
        <f>COUNTIF(Levels!B:B,A1525)</f>
        <v>2</v>
      </c>
      <c r="C1525" s="9">
        <f>IFERROR(AVERAGEIF(Levels!B:B,A1525,Levels!E:E),0)</f>
        <v>1.4500000000000002</v>
      </c>
      <c r="D1525" s="9">
        <f>IFERROR(AVERAGEIF(Levels!B:B,A1525,Levels!F:F),0)</f>
        <v>6.625</v>
      </c>
      <c r="E1525" s="9">
        <f>_xlfn.MAXIFS(Levels!E:E,Levels!B:B,A1525)</f>
        <v>1.85</v>
      </c>
      <c r="F1525" s="9">
        <f>_xlfn.MAXIFS(Levels!F:F,Levels!B:B,A1525)</f>
        <v>7.03</v>
      </c>
    </row>
    <row r="1526" spans="1:6" x14ac:dyDescent="0.3">
      <c r="A1526" t="s">
        <v>7003</v>
      </c>
      <c r="B1526" s="6">
        <f>COUNTIF(Levels!B:B,A1526)</f>
        <v>3</v>
      </c>
      <c r="C1526" s="6">
        <f>IFERROR(AVERAGEIF(Levels!B:B,A1526,Levels!E:E),0)</f>
        <v>7.6033333333333344</v>
      </c>
      <c r="D1526" s="6">
        <f>IFERROR(AVERAGEIF(Levels!B:B,A1526,Levels!F:F),0)</f>
        <v>7.44</v>
      </c>
      <c r="E1526" s="6">
        <f>_xlfn.MAXIFS(Levels!E:E,Levels!B:B,A1526)</f>
        <v>13.66</v>
      </c>
      <c r="F1526" s="6">
        <f>_xlfn.MAXIFS(Levels!F:F,Levels!B:B,A1526)</f>
        <v>7.77</v>
      </c>
    </row>
    <row r="1527" spans="1:6" x14ac:dyDescent="0.3">
      <c r="A1527" t="s">
        <v>7007</v>
      </c>
      <c r="B1527" s="9">
        <f>COUNTIF(Levels!B:B,A1527)</f>
        <v>2</v>
      </c>
      <c r="C1527" s="9">
        <f>IFERROR(AVERAGEIF(Levels!B:B,A1527,Levels!E:E),0)</f>
        <v>7.5350000000000001</v>
      </c>
      <c r="D1527" s="9">
        <f>IFERROR(AVERAGEIF(Levels!B:B,A1527,Levels!F:F),0)</f>
        <v>5.9849999999999994</v>
      </c>
      <c r="E1527" s="9">
        <f>_xlfn.MAXIFS(Levels!E:E,Levels!B:B,A1527)</f>
        <v>8</v>
      </c>
      <c r="F1527" s="9">
        <f>_xlfn.MAXIFS(Levels!F:F,Levels!B:B,A1527)</f>
        <v>6.05</v>
      </c>
    </row>
    <row r="1528" spans="1:6" x14ac:dyDescent="0.3">
      <c r="A1528" t="s">
        <v>7009</v>
      </c>
      <c r="B1528" s="6">
        <f>COUNTIF(Levels!B:B,A1528)</f>
        <v>1</v>
      </c>
      <c r="C1528" s="6">
        <f>IFERROR(AVERAGEIF(Levels!B:B,A1528,Levels!E:E),0)</f>
        <v>18.16</v>
      </c>
      <c r="D1528" s="6">
        <f>IFERROR(AVERAGEIF(Levels!B:B,A1528,Levels!F:F),0)</f>
        <v>6.59</v>
      </c>
      <c r="E1528" s="6">
        <f>_xlfn.MAXIFS(Levels!E:E,Levels!B:B,A1528)</f>
        <v>18.16</v>
      </c>
      <c r="F1528" s="6">
        <f>_xlfn.MAXIFS(Levels!F:F,Levels!B:B,A1528)</f>
        <v>6.59</v>
      </c>
    </row>
    <row r="1529" spans="1:6" x14ac:dyDescent="0.3">
      <c r="A1529" t="s">
        <v>7011</v>
      </c>
      <c r="B1529" s="9">
        <f>COUNTIF(Levels!B:B,A1529)</f>
        <v>1</v>
      </c>
      <c r="C1529" s="9">
        <f>IFERROR(AVERAGEIF(Levels!B:B,A1529,Levels!E:E),0)</f>
        <v>6.12</v>
      </c>
      <c r="D1529" s="9">
        <f>IFERROR(AVERAGEIF(Levels!B:B,A1529,Levels!F:F),0)</f>
        <v>8.86</v>
      </c>
      <c r="E1529" s="9">
        <f>_xlfn.MAXIFS(Levels!E:E,Levels!B:B,A1529)</f>
        <v>6.12</v>
      </c>
      <c r="F1529" s="9">
        <f>_xlfn.MAXIFS(Levels!F:F,Levels!B:B,A1529)</f>
        <v>8.86</v>
      </c>
    </row>
    <row r="1530" spans="1:6" x14ac:dyDescent="0.3">
      <c r="A1530" t="s">
        <v>7017</v>
      </c>
      <c r="B1530" s="6">
        <f>COUNTIF(Levels!B:B,A1530)</f>
        <v>3</v>
      </c>
      <c r="C1530" s="6">
        <f>IFERROR(AVERAGEIF(Levels!B:B,A1530,Levels!E:E),0)</f>
        <v>7.8666666666666671</v>
      </c>
      <c r="D1530" s="6">
        <f>IFERROR(AVERAGEIF(Levels!B:B,A1530,Levels!F:F),0)</f>
        <v>7.836666666666666</v>
      </c>
      <c r="E1530" s="6">
        <f>_xlfn.MAXIFS(Levels!E:E,Levels!B:B,A1530)</f>
        <v>18.329999999999998</v>
      </c>
      <c r="F1530" s="6">
        <f>_xlfn.MAXIFS(Levels!F:F,Levels!B:B,A1530)</f>
        <v>8.9700000000000006</v>
      </c>
    </row>
    <row r="1531" spans="1:6" x14ac:dyDescent="0.3">
      <c r="A1531" t="s">
        <v>7023</v>
      </c>
      <c r="B1531" s="9">
        <f>COUNTIF(Levels!B:B,A1531)</f>
        <v>1</v>
      </c>
      <c r="C1531" s="9">
        <f>IFERROR(AVERAGEIF(Levels!B:B,A1531,Levels!E:E),0)</f>
        <v>1</v>
      </c>
      <c r="D1531" s="9">
        <f>IFERROR(AVERAGEIF(Levels!B:B,A1531,Levels!F:F),0)</f>
        <v>10</v>
      </c>
      <c r="E1531" s="9">
        <f>_xlfn.MAXIFS(Levels!E:E,Levels!B:B,A1531)</f>
        <v>1</v>
      </c>
      <c r="F1531" s="9">
        <f>_xlfn.MAXIFS(Levels!F:F,Levels!B:B,A1531)</f>
        <v>10</v>
      </c>
    </row>
    <row r="1532" spans="1:6" x14ac:dyDescent="0.3">
      <c r="A1532" t="s">
        <v>7025</v>
      </c>
      <c r="B1532" s="6">
        <f>COUNTIF(Levels!B:B,A1532)</f>
        <v>9</v>
      </c>
      <c r="C1532" s="6">
        <f>IFERROR(AVERAGEIF(Levels!B:B,A1532,Levels!E:E),0)</f>
        <v>11.328888888888889</v>
      </c>
      <c r="D1532" s="6">
        <f>IFERROR(AVERAGEIF(Levels!B:B,A1532,Levels!F:F),0)</f>
        <v>6.6422222222222214</v>
      </c>
      <c r="E1532" s="6">
        <f>_xlfn.MAXIFS(Levels!E:E,Levels!B:B,A1532)</f>
        <v>27</v>
      </c>
      <c r="F1532" s="6">
        <f>_xlfn.MAXIFS(Levels!F:F,Levels!B:B,A1532)</f>
        <v>9</v>
      </c>
    </row>
    <row r="1533" spans="1:6" x14ac:dyDescent="0.3">
      <c r="A1533" t="s">
        <v>7030</v>
      </c>
      <c r="B1533" s="9">
        <f>COUNTIF(Levels!B:B,A1533)</f>
        <v>1</v>
      </c>
      <c r="C1533" s="9">
        <f>IFERROR(AVERAGEIF(Levels!B:B,A1533,Levels!E:E),0)</f>
        <v>2.69</v>
      </c>
      <c r="D1533" s="9">
        <f>IFERROR(AVERAGEIF(Levels!B:B,A1533,Levels!F:F),0)</f>
        <v>7.06</v>
      </c>
      <c r="E1533" s="9">
        <f>_xlfn.MAXIFS(Levels!E:E,Levels!B:B,A1533)</f>
        <v>2.69</v>
      </c>
      <c r="F1533" s="9">
        <f>_xlfn.MAXIFS(Levels!F:F,Levels!B:B,A1533)</f>
        <v>7.06</v>
      </c>
    </row>
    <row r="1534" spans="1:6" x14ac:dyDescent="0.3">
      <c r="A1534" t="s">
        <v>7034</v>
      </c>
      <c r="B1534" s="6">
        <f>COUNTIF(Levels!B:B,A1534)</f>
        <v>1</v>
      </c>
      <c r="C1534" s="6">
        <f>IFERROR(AVERAGEIF(Levels!B:B,A1534,Levels!E:E),0)</f>
        <v>12.41</v>
      </c>
      <c r="D1534" s="6">
        <f>IFERROR(AVERAGEIF(Levels!B:B,A1534,Levels!F:F),0)</f>
        <v>7.75</v>
      </c>
      <c r="E1534" s="6">
        <f>_xlfn.MAXIFS(Levels!E:E,Levels!B:B,A1534)</f>
        <v>12.41</v>
      </c>
      <c r="F1534" s="6">
        <f>_xlfn.MAXIFS(Levels!F:F,Levels!B:B,A1534)</f>
        <v>7.75</v>
      </c>
    </row>
    <row r="1535" spans="1:6" x14ac:dyDescent="0.3">
      <c r="A1535" t="s">
        <v>7037</v>
      </c>
      <c r="B1535" s="9">
        <f>COUNTIF(Levels!B:B,A1535)</f>
        <v>10</v>
      </c>
      <c r="C1535" s="9">
        <f>IFERROR(AVERAGEIF(Levels!B:B,A1535,Levels!E:E),0)</f>
        <v>12.881</v>
      </c>
      <c r="D1535" s="9">
        <f>IFERROR(AVERAGEIF(Levels!B:B,A1535,Levels!F:F),0)</f>
        <v>7.0239999999999991</v>
      </c>
      <c r="E1535" s="9">
        <f>_xlfn.MAXIFS(Levels!E:E,Levels!B:B,A1535)</f>
        <v>33</v>
      </c>
      <c r="F1535" s="9">
        <f>_xlfn.MAXIFS(Levels!F:F,Levels!B:B,A1535)</f>
        <v>7.96</v>
      </c>
    </row>
    <row r="1536" spans="1:6" x14ac:dyDescent="0.3">
      <c r="A1536" t="s">
        <v>7039</v>
      </c>
      <c r="B1536" s="6">
        <f>COUNTIF(Levels!B:B,A1536)</f>
        <v>1</v>
      </c>
      <c r="C1536" s="6">
        <f>IFERROR(AVERAGEIF(Levels!B:B,A1536,Levels!E:E),0)</f>
        <v>7.5</v>
      </c>
      <c r="D1536" s="6">
        <f>IFERROR(AVERAGEIF(Levels!B:B,A1536,Levels!F:F),0)</f>
        <v>7.5</v>
      </c>
      <c r="E1536" s="6">
        <f>_xlfn.MAXIFS(Levels!E:E,Levels!B:B,A1536)</f>
        <v>7.5</v>
      </c>
      <c r="F1536" s="6">
        <f>_xlfn.MAXIFS(Levels!F:F,Levels!B:B,A1536)</f>
        <v>7.5</v>
      </c>
    </row>
    <row r="1537" spans="1:6" x14ac:dyDescent="0.3">
      <c r="A1537" t="s">
        <v>7041</v>
      </c>
      <c r="B1537" s="9">
        <f>COUNTIF(Levels!B:B,A1537)</f>
        <v>1</v>
      </c>
      <c r="C1537" s="9">
        <f>IFERROR(AVERAGEIF(Levels!B:B,A1537,Levels!E:E),0)</f>
        <v>3.32</v>
      </c>
      <c r="D1537" s="9">
        <f>IFERROR(AVERAGEIF(Levels!B:B,A1537,Levels!F:F),0)</f>
        <v>5.55</v>
      </c>
      <c r="E1537" s="9">
        <f>_xlfn.MAXIFS(Levels!E:E,Levels!B:B,A1537)</f>
        <v>3.32</v>
      </c>
      <c r="F1537" s="9">
        <f>_xlfn.MAXIFS(Levels!F:F,Levels!B:B,A1537)</f>
        <v>5.55</v>
      </c>
    </row>
    <row r="1538" spans="1:6" x14ac:dyDescent="0.3">
      <c r="A1538" t="s">
        <v>7043</v>
      </c>
      <c r="B1538" s="6">
        <f>COUNTIF(Levels!B:B,A1538)</f>
        <v>1</v>
      </c>
      <c r="C1538" s="6">
        <f>IFERROR(AVERAGEIF(Levels!B:B,A1538,Levels!E:E),0)</f>
        <v>1.9</v>
      </c>
      <c r="D1538" s="6">
        <f>IFERROR(AVERAGEIF(Levels!B:B,A1538,Levels!F:F),0)</f>
        <v>7.74</v>
      </c>
      <c r="E1538" s="6">
        <f>_xlfn.MAXIFS(Levels!E:E,Levels!B:B,A1538)</f>
        <v>1.9</v>
      </c>
      <c r="F1538" s="6">
        <f>_xlfn.MAXIFS(Levels!F:F,Levels!B:B,A1538)</f>
        <v>7.74</v>
      </c>
    </row>
    <row r="1539" spans="1:6" x14ac:dyDescent="0.3">
      <c r="A1539" t="s">
        <v>7044</v>
      </c>
      <c r="B1539" s="9">
        <f>COUNTIF(Levels!B:B,A1539)</f>
        <v>14</v>
      </c>
      <c r="C1539" s="9">
        <f>IFERROR(AVERAGEIF(Levels!B:B,A1539,Levels!E:E),0)</f>
        <v>7.0242857142857131</v>
      </c>
      <c r="D1539" s="9">
        <f>IFERROR(AVERAGEIF(Levels!B:B,A1539,Levels!F:F),0)</f>
        <v>7.1207142857142856</v>
      </c>
      <c r="E1539" s="9">
        <f>_xlfn.MAXIFS(Levels!E:E,Levels!B:B,A1539)</f>
        <v>24.25</v>
      </c>
      <c r="F1539" s="9">
        <f>_xlfn.MAXIFS(Levels!F:F,Levels!B:B,A1539)</f>
        <v>8.16</v>
      </c>
    </row>
    <row r="1540" spans="1:6" x14ac:dyDescent="0.3">
      <c r="A1540" t="s">
        <v>7046</v>
      </c>
      <c r="B1540" s="6">
        <f>COUNTIF(Levels!B:B,A1540)</f>
        <v>4</v>
      </c>
      <c r="C1540" s="6">
        <f>IFERROR(AVERAGEIF(Levels!B:B,A1540,Levels!E:E),0)</f>
        <v>17.504999999999999</v>
      </c>
      <c r="D1540" s="6">
        <f>IFERROR(AVERAGEIF(Levels!B:B,A1540,Levels!F:F),0)</f>
        <v>8.1125000000000007</v>
      </c>
      <c r="E1540" s="6">
        <f>_xlfn.MAXIFS(Levels!E:E,Levels!B:B,A1540)</f>
        <v>21.5</v>
      </c>
      <c r="F1540" s="6">
        <f>_xlfn.MAXIFS(Levels!F:F,Levels!B:B,A1540)</f>
        <v>9</v>
      </c>
    </row>
    <row r="1541" spans="1:6" x14ac:dyDescent="0.3">
      <c r="A1541" t="s">
        <v>7048</v>
      </c>
      <c r="B1541" s="9">
        <f>COUNTIF(Levels!B:B,A1541)</f>
        <v>2</v>
      </c>
      <c r="C1541" s="9">
        <f>IFERROR(AVERAGEIF(Levels!B:B,A1541,Levels!E:E),0)</f>
        <v>4.1099999999999994</v>
      </c>
      <c r="D1541" s="9">
        <f>IFERROR(AVERAGEIF(Levels!B:B,A1541,Levels!F:F),0)</f>
        <v>5.3049999999999997</v>
      </c>
      <c r="E1541" s="9">
        <f>_xlfn.MAXIFS(Levels!E:E,Levels!B:B,A1541)</f>
        <v>5.67</v>
      </c>
      <c r="F1541" s="9">
        <f>_xlfn.MAXIFS(Levels!F:F,Levels!B:B,A1541)</f>
        <v>6.08</v>
      </c>
    </row>
    <row r="1542" spans="1:6" x14ac:dyDescent="0.3">
      <c r="A1542" t="s">
        <v>7052</v>
      </c>
      <c r="B1542" s="6">
        <f>COUNTIF(Levels!B:B,A1542)</f>
        <v>6</v>
      </c>
      <c r="C1542" s="6">
        <f>IFERROR(AVERAGEIF(Levels!B:B,A1542,Levels!E:E),0)</f>
        <v>1.9716666666666665</v>
      </c>
      <c r="D1542" s="6">
        <f>IFERROR(AVERAGEIF(Levels!B:B,A1542,Levels!F:F),0)</f>
        <v>8.0216666666666665</v>
      </c>
      <c r="E1542" s="6">
        <f>_xlfn.MAXIFS(Levels!E:E,Levels!B:B,A1542)</f>
        <v>2.95</v>
      </c>
      <c r="F1542" s="6">
        <f>_xlfn.MAXIFS(Levels!F:F,Levels!B:B,A1542)</f>
        <v>9.01</v>
      </c>
    </row>
    <row r="1543" spans="1:6" x14ac:dyDescent="0.3">
      <c r="A1543" t="s">
        <v>7056</v>
      </c>
      <c r="B1543" s="9">
        <f>COUNTIF(Levels!B:B,A1543)</f>
        <v>1</v>
      </c>
      <c r="C1543" s="9">
        <f>IFERROR(AVERAGEIF(Levels!B:B,A1543,Levels!E:E),0)</f>
        <v>8.01</v>
      </c>
      <c r="D1543" s="9">
        <f>IFERROR(AVERAGEIF(Levels!B:B,A1543,Levels!F:F),0)</f>
        <v>5.67</v>
      </c>
      <c r="E1543" s="9">
        <f>_xlfn.MAXIFS(Levels!E:E,Levels!B:B,A1543)</f>
        <v>8.01</v>
      </c>
      <c r="F1543" s="9">
        <f>_xlfn.MAXIFS(Levels!F:F,Levels!B:B,A1543)</f>
        <v>5.67</v>
      </c>
    </row>
    <row r="1544" spans="1:6" x14ac:dyDescent="0.3">
      <c r="A1544" t="s">
        <v>7061</v>
      </c>
      <c r="B1544" s="6">
        <f>COUNTIF(Levels!B:B,A1544)</f>
        <v>1</v>
      </c>
      <c r="C1544" s="6">
        <f>IFERROR(AVERAGEIF(Levels!B:B,A1544,Levels!E:E),0)</f>
        <v>1.31</v>
      </c>
      <c r="D1544" s="6">
        <f>IFERROR(AVERAGEIF(Levels!B:B,A1544,Levels!F:F),0)</f>
        <v>6.83</v>
      </c>
      <c r="E1544" s="6">
        <f>_xlfn.MAXIFS(Levels!E:E,Levels!B:B,A1544)</f>
        <v>1.31</v>
      </c>
      <c r="F1544" s="6">
        <f>_xlfn.MAXIFS(Levels!F:F,Levels!B:B,A1544)</f>
        <v>6.83</v>
      </c>
    </row>
    <row r="1545" spans="1:6" x14ac:dyDescent="0.3">
      <c r="A1545" t="s">
        <v>7067</v>
      </c>
      <c r="B1545" s="9">
        <f>COUNTIF(Levels!B:B,A1545)</f>
        <v>2</v>
      </c>
      <c r="C1545" s="9">
        <f>IFERROR(AVERAGEIF(Levels!B:B,A1545,Levels!E:E),0)</f>
        <v>17.435000000000002</v>
      </c>
      <c r="D1545" s="9">
        <f>IFERROR(AVERAGEIF(Levels!B:B,A1545,Levels!F:F),0)</f>
        <v>8.3249999999999993</v>
      </c>
      <c r="E1545" s="9">
        <f>_xlfn.MAXIFS(Levels!E:E,Levels!B:B,A1545)</f>
        <v>22.69</v>
      </c>
      <c r="F1545" s="9">
        <f>_xlfn.MAXIFS(Levels!F:F,Levels!B:B,A1545)</f>
        <v>8.4499999999999993</v>
      </c>
    </row>
    <row r="1546" spans="1:6" x14ac:dyDescent="0.3">
      <c r="A1546" t="s">
        <v>7071</v>
      </c>
      <c r="B1546" s="6">
        <f>COUNTIF(Levels!B:B,A1546)</f>
        <v>2</v>
      </c>
      <c r="C1546" s="6">
        <f>IFERROR(AVERAGEIF(Levels!B:B,A1546,Levels!E:E),0)</f>
        <v>24.835000000000001</v>
      </c>
      <c r="D1546" s="6">
        <f>IFERROR(AVERAGEIF(Levels!B:B,A1546,Levels!F:F),0)</f>
        <v>7.335</v>
      </c>
      <c r="E1546" s="6">
        <f>_xlfn.MAXIFS(Levels!E:E,Levels!B:B,A1546)</f>
        <v>28</v>
      </c>
      <c r="F1546" s="6">
        <f>_xlfn.MAXIFS(Levels!F:F,Levels!B:B,A1546)</f>
        <v>10</v>
      </c>
    </row>
    <row r="1547" spans="1:6" x14ac:dyDescent="0.3">
      <c r="A1547" t="s">
        <v>7078</v>
      </c>
      <c r="B1547" s="9">
        <f>COUNTIF(Levels!B:B,A1547)</f>
        <v>1</v>
      </c>
      <c r="C1547" s="9">
        <f>IFERROR(AVERAGEIF(Levels!B:B,A1547,Levels!E:E),0)</f>
        <v>5.14</v>
      </c>
      <c r="D1547" s="9">
        <f>IFERROR(AVERAGEIF(Levels!B:B,A1547,Levels!F:F),0)</f>
        <v>7.5</v>
      </c>
      <c r="E1547" s="9">
        <f>_xlfn.MAXIFS(Levels!E:E,Levels!B:B,A1547)</f>
        <v>5.14</v>
      </c>
      <c r="F1547" s="9">
        <f>_xlfn.MAXIFS(Levels!F:F,Levels!B:B,A1547)</f>
        <v>7.5</v>
      </c>
    </row>
    <row r="1548" spans="1:6" x14ac:dyDescent="0.3">
      <c r="A1548" t="s">
        <v>7080</v>
      </c>
      <c r="B1548" s="6">
        <f>COUNTIF(Levels!B:B,A1548)</f>
        <v>1</v>
      </c>
      <c r="C1548" s="6">
        <f>IFERROR(AVERAGEIF(Levels!B:B,A1548,Levels!E:E),0)</f>
        <v>2</v>
      </c>
      <c r="D1548" s="6">
        <f>IFERROR(AVERAGEIF(Levels!B:B,A1548,Levels!F:F),0)</f>
        <v>6.59</v>
      </c>
      <c r="E1548" s="6">
        <f>_xlfn.MAXIFS(Levels!E:E,Levels!B:B,A1548)</f>
        <v>2</v>
      </c>
      <c r="F1548" s="6">
        <f>_xlfn.MAXIFS(Levels!F:F,Levels!B:B,A1548)</f>
        <v>6.59</v>
      </c>
    </row>
    <row r="1549" spans="1:6" x14ac:dyDescent="0.3">
      <c r="A1549" t="s">
        <v>7083</v>
      </c>
      <c r="B1549" s="9">
        <f>COUNTIF(Levels!B:B,A1549)</f>
        <v>8</v>
      </c>
      <c r="C1549" s="9">
        <f>IFERROR(AVERAGEIF(Levels!B:B,A1549,Levels!E:E),0)</f>
        <v>6.9675000000000011</v>
      </c>
      <c r="D1549" s="9">
        <f>IFERROR(AVERAGEIF(Levels!B:B,A1549,Levels!F:F),0)</f>
        <v>7.2162500000000014</v>
      </c>
      <c r="E1549" s="9">
        <f>_xlfn.MAXIFS(Levels!E:E,Levels!B:B,A1549)</f>
        <v>20.75</v>
      </c>
      <c r="F1549" s="9">
        <f>_xlfn.MAXIFS(Levels!F:F,Levels!B:B,A1549)</f>
        <v>8</v>
      </c>
    </row>
    <row r="1550" spans="1:6" x14ac:dyDescent="0.3">
      <c r="A1550" t="s">
        <v>7085</v>
      </c>
      <c r="B1550" s="6">
        <f>COUNTIF(Levels!B:B,A1550)</f>
        <v>6</v>
      </c>
      <c r="C1550" s="6">
        <f>IFERROR(AVERAGEIF(Levels!B:B,A1550,Levels!E:E),0)</f>
        <v>11.053333333333335</v>
      </c>
      <c r="D1550" s="6">
        <f>IFERROR(AVERAGEIF(Levels!B:B,A1550,Levels!F:F),0)</f>
        <v>6.6150000000000011</v>
      </c>
      <c r="E1550" s="6">
        <f>_xlfn.MAXIFS(Levels!E:E,Levels!B:B,A1550)</f>
        <v>21.81</v>
      </c>
      <c r="F1550" s="6">
        <f>_xlfn.MAXIFS(Levels!F:F,Levels!B:B,A1550)</f>
        <v>7.82</v>
      </c>
    </row>
    <row r="1551" spans="1:6" x14ac:dyDescent="0.3">
      <c r="A1551" t="s">
        <v>7095</v>
      </c>
      <c r="B1551" s="9">
        <f>COUNTIF(Levels!B:B,A1551)</f>
        <v>2</v>
      </c>
      <c r="C1551" s="9">
        <f>IFERROR(AVERAGEIF(Levels!B:B,A1551,Levels!E:E),0)</f>
        <v>12.164999999999999</v>
      </c>
      <c r="D1551" s="9">
        <f>IFERROR(AVERAGEIF(Levels!B:B,A1551,Levels!F:F),0)</f>
        <v>6.9049999999999994</v>
      </c>
      <c r="E1551" s="9">
        <f>_xlfn.MAXIFS(Levels!E:E,Levels!B:B,A1551)</f>
        <v>21.63</v>
      </c>
      <c r="F1551" s="9">
        <f>_xlfn.MAXIFS(Levels!F:F,Levels!B:B,A1551)</f>
        <v>7.18</v>
      </c>
    </row>
    <row r="1552" spans="1:6" x14ac:dyDescent="0.3">
      <c r="A1552" t="s">
        <v>7101</v>
      </c>
      <c r="B1552" s="6">
        <f>COUNTIF(Levels!B:B,A1552)</f>
        <v>2</v>
      </c>
      <c r="C1552" s="6">
        <f>IFERROR(AVERAGEIF(Levels!B:B,A1552,Levels!E:E),0)</f>
        <v>5</v>
      </c>
      <c r="D1552" s="6">
        <f>IFERROR(AVERAGEIF(Levels!B:B,A1552,Levels!F:F),0)</f>
        <v>7.5050000000000008</v>
      </c>
      <c r="E1552" s="6">
        <f>_xlfn.MAXIFS(Levels!E:E,Levels!B:B,A1552)</f>
        <v>7</v>
      </c>
      <c r="F1552" s="6">
        <f>_xlfn.MAXIFS(Levels!F:F,Levels!B:B,A1552)</f>
        <v>8.1300000000000008</v>
      </c>
    </row>
    <row r="1553" spans="1:6" x14ac:dyDescent="0.3">
      <c r="A1553" t="s">
        <v>7104</v>
      </c>
      <c r="B1553" s="9">
        <f>COUNTIF(Levels!B:B,A1553)</f>
        <v>6</v>
      </c>
      <c r="C1553" s="9">
        <f>IFERROR(AVERAGEIF(Levels!B:B,A1553,Levels!E:E),0)</f>
        <v>4.4433333333333342</v>
      </c>
      <c r="D1553" s="9">
        <f>IFERROR(AVERAGEIF(Levels!B:B,A1553,Levels!F:F),0)</f>
        <v>7.2816666666666663</v>
      </c>
      <c r="E1553" s="9">
        <f>_xlfn.MAXIFS(Levels!E:E,Levels!B:B,A1553)</f>
        <v>14.71</v>
      </c>
      <c r="F1553" s="9">
        <f>_xlfn.MAXIFS(Levels!F:F,Levels!B:B,A1553)</f>
        <v>8.17</v>
      </c>
    </row>
    <row r="1554" spans="1:6" x14ac:dyDescent="0.3">
      <c r="A1554" t="s">
        <v>7107</v>
      </c>
      <c r="B1554" s="6">
        <f>COUNTIF(Levels!B:B,A1554)</f>
        <v>1</v>
      </c>
      <c r="C1554" s="6">
        <f>IFERROR(AVERAGEIF(Levels!B:B,A1554,Levels!E:E),0)</f>
        <v>4.7</v>
      </c>
      <c r="D1554" s="6">
        <f>IFERROR(AVERAGEIF(Levels!B:B,A1554,Levels!F:F),0)</f>
        <v>6.33</v>
      </c>
      <c r="E1554" s="6">
        <f>_xlfn.MAXIFS(Levels!E:E,Levels!B:B,A1554)</f>
        <v>4.7</v>
      </c>
      <c r="F1554" s="6">
        <f>_xlfn.MAXIFS(Levels!F:F,Levels!B:B,A1554)</f>
        <v>6.33</v>
      </c>
    </row>
    <row r="1555" spans="1:6" x14ac:dyDescent="0.3">
      <c r="A1555" t="s">
        <v>7117</v>
      </c>
      <c r="B1555" s="9">
        <f>COUNTIF(Levels!B:B,A1555)</f>
        <v>1</v>
      </c>
      <c r="C1555" s="9">
        <f>IFERROR(AVERAGEIF(Levels!B:B,A1555,Levels!E:E),0)</f>
        <v>15.58</v>
      </c>
      <c r="D1555" s="9">
        <f>IFERROR(AVERAGEIF(Levels!B:B,A1555,Levels!F:F),0)</f>
        <v>6.18</v>
      </c>
      <c r="E1555" s="9">
        <f>_xlfn.MAXIFS(Levels!E:E,Levels!B:B,A1555)</f>
        <v>15.58</v>
      </c>
      <c r="F1555" s="9">
        <f>_xlfn.MAXIFS(Levels!F:F,Levels!B:B,A1555)</f>
        <v>6.18</v>
      </c>
    </row>
    <row r="1556" spans="1:6" x14ac:dyDescent="0.3">
      <c r="A1556" t="s">
        <v>7119</v>
      </c>
      <c r="B1556" s="6">
        <f>COUNTIF(Levels!B:B,A1556)</f>
        <v>1</v>
      </c>
      <c r="C1556" s="6">
        <f>IFERROR(AVERAGEIF(Levels!B:B,A1556,Levels!E:E),0)</f>
        <v>9</v>
      </c>
      <c r="D1556" s="6">
        <f>IFERROR(AVERAGEIF(Levels!B:B,A1556,Levels!F:F),0)</f>
        <v>6</v>
      </c>
      <c r="E1556" s="6">
        <f>_xlfn.MAXIFS(Levels!E:E,Levels!B:B,A1556)</f>
        <v>9</v>
      </c>
      <c r="F1556" s="6">
        <f>_xlfn.MAXIFS(Levels!F:F,Levels!B:B,A1556)</f>
        <v>6</v>
      </c>
    </row>
    <row r="1557" spans="1:6" x14ac:dyDescent="0.3">
      <c r="A1557" t="s">
        <v>7123</v>
      </c>
      <c r="B1557" s="9">
        <f>COUNTIF(Levels!B:B,A1557)</f>
        <v>1</v>
      </c>
      <c r="C1557" s="9">
        <f>IFERROR(AVERAGEIF(Levels!B:B,A1557,Levels!E:E),0)</f>
        <v>4.07</v>
      </c>
      <c r="D1557" s="9">
        <f>IFERROR(AVERAGEIF(Levels!B:B,A1557,Levels!F:F),0)</f>
        <v>5.92</v>
      </c>
      <c r="E1557" s="9">
        <f>_xlfn.MAXIFS(Levels!E:E,Levels!B:B,A1557)</f>
        <v>4.07</v>
      </c>
      <c r="F1557" s="9">
        <f>_xlfn.MAXIFS(Levels!F:F,Levels!B:B,A1557)</f>
        <v>5.92</v>
      </c>
    </row>
    <row r="1558" spans="1:6" x14ac:dyDescent="0.3">
      <c r="A1558" t="s">
        <v>7126</v>
      </c>
      <c r="B1558" s="6">
        <f>COUNTIF(Levels!B:B,A1558)</f>
        <v>1</v>
      </c>
      <c r="C1558" s="6">
        <f>IFERROR(AVERAGEIF(Levels!B:B,A1558,Levels!E:E),0)</f>
        <v>4.13</v>
      </c>
      <c r="D1558" s="6">
        <f>IFERROR(AVERAGEIF(Levels!B:B,A1558,Levels!F:F),0)</f>
        <v>7.08</v>
      </c>
      <c r="E1558" s="6">
        <f>_xlfn.MAXIFS(Levels!E:E,Levels!B:B,A1558)</f>
        <v>4.13</v>
      </c>
      <c r="F1558" s="6">
        <f>_xlfn.MAXIFS(Levels!F:F,Levels!B:B,A1558)</f>
        <v>7.08</v>
      </c>
    </row>
    <row r="1559" spans="1:6" x14ac:dyDescent="0.3">
      <c r="A1559" t="s">
        <v>7129</v>
      </c>
      <c r="B1559" s="9">
        <f>COUNTIF(Levels!B:B,A1559)</f>
        <v>6</v>
      </c>
      <c r="C1559" s="9">
        <f>IFERROR(AVERAGEIF(Levels!B:B,A1559,Levels!E:E),0)</f>
        <v>17.246666666666666</v>
      </c>
      <c r="D1559" s="9">
        <f>IFERROR(AVERAGEIF(Levels!B:B,A1559,Levels!F:F),0)</f>
        <v>6.8999999999999995</v>
      </c>
      <c r="E1559" s="9">
        <f>_xlfn.MAXIFS(Levels!E:E,Levels!B:B,A1559)</f>
        <v>28</v>
      </c>
      <c r="F1559" s="9">
        <f>_xlfn.MAXIFS(Levels!F:F,Levels!B:B,A1559)</f>
        <v>8</v>
      </c>
    </row>
    <row r="1560" spans="1:6" x14ac:dyDescent="0.3">
      <c r="A1560" t="s">
        <v>7130</v>
      </c>
      <c r="B1560" s="6">
        <f>COUNTIF(Levels!B:B,A1560)</f>
        <v>4</v>
      </c>
      <c r="C1560" s="6">
        <f>IFERROR(AVERAGEIF(Levels!B:B,A1560,Levels!E:E),0)</f>
        <v>3.39</v>
      </c>
      <c r="D1560" s="6">
        <f>IFERROR(AVERAGEIF(Levels!B:B,A1560,Levels!F:F),0)</f>
        <v>6.76</v>
      </c>
      <c r="E1560" s="6">
        <f>_xlfn.MAXIFS(Levels!E:E,Levels!B:B,A1560)</f>
        <v>6.91</v>
      </c>
      <c r="F1560" s="6">
        <f>_xlfn.MAXIFS(Levels!F:F,Levels!B:B,A1560)</f>
        <v>7.67</v>
      </c>
    </row>
    <row r="1561" spans="1:6" x14ac:dyDescent="0.3">
      <c r="A1561" t="s">
        <v>7134</v>
      </c>
      <c r="B1561" s="9">
        <f>COUNTIF(Levels!B:B,A1561)</f>
        <v>3</v>
      </c>
      <c r="C1561" s="9">
        <f>IFERROR(AVERAGEIF(Levels!B:B,A1561,Levels!E:E),0)</f>
        <v>6.16</v>
      </c>
      <c r="D1561" s="9">
        <f>IFERROR(AVERAGEIF(Levels!B:B,A1561,Levels!F:F),0)</f>
        <v>6.5366666666666662</v>
      </c>
      <c r="E1561" s="9">
        <f>_xlfn.MAXIFS(Levels!E:E,Levels!B:B,A1561)</f>
        <v>8.93</v>
      </c>
      <c r="F1561" s="9">
        <f>_xlfn.MAXIFS(Levels!F:F,Levels!B:B,A1561)</f>
        <v>7.87</v>
      </c>
    </row>
    <row r="1562" spans="1:6" x14ac:dyDescent="0.3">
      <c r="A1562" t="s">
        <v>7139</v>
      </c>
      <c r="B1562" s="6">
        <f>COUNTIF(Levels!B:B,A1562)</f>
        <v>1</v>
      </c>
      <c r="C1562" s="6">
        <f>IFERROR(AVERAGEIF(Levels!B:B,A1562,Levels!E:E),0)</f>
        <v>2</v>
      </c>
      <c r="D1562" s="6">
        <f>IFERROR(AVERAGEIF(Levels!B:B,A1562,Levels!F:F),0)</f>
        <v>6.59</v>
      </c>
      <c r="E1562" s="6">
        <f>_xlfn.MAXIFS(Levels!E:E,Levels!B:B,A1562)</f>
        <v>2</v>
      </c>
      <c r="F1562" s="6">
        <f>_xlfn.MAXIFS(Levels!F:F,Levels!B:B,A1562)</f>
        <v>6.59</v>
      </c>
    </row>
    <row r="1563" spans="1:6" x14ac:dyDescent="0.3">
      <c r="A1563" t="s">
        <v>7142</v>
      </c>
      <c r="B1563" s="9">
        <f>COUNTIF(Levels!B:B,A1563)</f>
        <v>2</v>
      </c>
      <c r="C1563" s="9">
        <f>IFERROR(AVERAGEIF(Levels!B:B,A1563,Levels!E:E),0)</f>
        <v>3.335</v>
      </c>
      <c r="D1563" s="9">
        <f>IFERROR(AVERAGEIF(Levels!B:B,A1563,Levels!F:F),0)</f>
        <v>7.3949999999999996</v>
      </c>
      <c r="E1563" s="9">
        <f>_xlfn.MAXIFS(Levels!E:E,Levels!B:B,A1563)</f>
        <v>4.8499999999999996</v>
      </c>
      <c r="F1563" s="9">
        <f>_xlfn.MAXIFS(Levels!F:F,Levels!B:B,A1563)</f>
        <v>8.11</v>
      </c>
    </row>
    <row r="1564" spans="1:6" x14ac:dyDescent="0.3">
      <c r="A1564" t="s">
        <v>7145</v>
      </c>
      <c r="B1564" s="6">
        <f>COUNTIF(Levels!B:B,A1564)</f>
        <v>1</v>
      </c>
      <c r="C1564" s="6">
        <f>IFERROR(AVERAGEIF(Levels!B:B,A1564,Levels!E:E),0)</f>
        <v>14.39</v>
      </c>
      <c r="D1564" s="6">
        <f>IFERROR(AVERAGEIF(Levels!B:B,A1564,Levels!F:F),0)</f>
        <v>5.75</v>
      </c>
      <c r="E1564" s="6">
        <f>_xlfn.MAXIFS(Levels!E:E,Levels!B:B,A1564)</f>
        <v>14.39</v>
      </c>
      <c r="F1564" s="6">
        <f>_xlfn.MAXIFS(Levels!F:F,Levels!B:B,A1564)</f>
        <v>5.75</v>
      </c>
    </row>
    <row r="1565" spans="1:6" x14ac:dyDescent="0.3">
      <c r="A1565" t="s">
        <v>7152</v>
      </c>
      <c r="B1565" s="9">
        <f>COUNTIF(Levels!B:B,A1565)</f>
        <v>9</v>
      </c>
      <c r="C1565" s="9">
        <f>IFERROR(AVERAGEIF(Levels!B:B,A1565,Levels!E:E),0)</f>
        <v>8.3800000000000008</v>
      </c>
      <c r="D1565" s="9">
        <f>IFERROR(AVERAGEIF(Levels!B:B,A1565,Levels!F:F),0)</f>
        <v>7.1766666666666667</v>
      </c>
      <c r="E1565" s="9">
        <f>_xlfn.MAXIFS(Levels!E:E,Levels!B:B,A1565)</f>
        <v>21.06</v>
      </c>
      <c r="F1565" s="9">
        <f>_xlfn.MAXIFS(Levels!F:F,Levels!B:B,A1565)</f>
        <v>8.89</v>
      </c>
    </row>
    <row r="1566" spans="1:6" x14ac:dyDescent="0.3">
      <c r="A1566" t="s">
        <v>7154</v>
      </c>
      <c r="B1566" s="6">
        <f>COUNTIF(Levels!B:B,A1566)</f>
        <v>5</v>
      </c>
      <c r="C1566" s="6">
        <f>IFERROR(AVERAGEIF(Levels!B:B,A1566,Levels!E:E),0)</f>
        <v>8.9539999999999988</v>
      </c>
      <c r="D1566" s="6">
        <f>IFERROR(AVERAGEIF(Levels!B:B,A1566,Levels!F:F),0)</f>
        <v>7.5939999999999994</v>
      </c>
      <c r="E1566" s="6">
        <f>_xlfn.MAXIFS(Levels!E:E,Levels!B:B,A1566)</f>
        <v>21.5</v>
      </c>
      <c r="F1566" s="6">
        <f>_xlfn.MAXIFS(Levels!F:F,Levels!B:B,A1566)</f>
        <v>8.27</v>
      </c>
    </row>
    <row r="1567" spans="1:6" x14ac:dyDescent="0.3">
      <c r="A1567" t="s">
        <v>7156</v>
      </c>
      <c r="B1567" s="9">
        <f>COUNTIF(Levels!B:B,A1567)</f>
        <v>2</v>
      </c>
      <c r="C1567" s="9">
        <f>IFERROR(AVERAGEIF(Levels!B:B,A1567,Levels!E:E),0)</f>
        <v>4.8550000000000004</v>
      </c>
      <c r="D1567" s="9">
        <f>IFERROR(AVERAGEIF(Levels!B:B,A1567,Levels!F:F),0)</f>
        <v>6.1050000000000004</v>
      </c>
      <c r="E1567" s="9">
        <f>_xlfn.MAXIFS(Levels!E:E,Levels!B:B,A1567)</f>
        <v>7.63</v>
      </c>
      <c r="F1567" s="9">
        <f>_xlfn.MAXIFS(Levels!F:F,Levels!B:B,A1567)</f>
        <v>6.32</v>
      </c>
    </row>
    <row r="1568" spans="1:6" x14ac:dyDescent="0.3">
      <c r="A1568" t="s">
        <v>7159</v>
      </c>
      <c r="B1568" s="6">
        <f>COUNTIF(Levels!B:B,A1568)</f>
        <v>1</v>
      </c>
      <c r="C1568" s="6">
        <f>IFERROR(AVERAGEIF(Levels!B:B,A1568,Levels!E:E),0)</f>
        <v>6.22</v>
      </c>
      <c r="D1568" s="6">
        <f>IFERROR(AVERAGEIF(Levels!B:B,A1568,Levels!F:F),0)</f>
        <v>6.75</v>
      </c>
      <c r="E1568" s="6">
        <f>_xlfn.MAXIFS(Levels!E:E,Levels!B:B,A1568)</f>
        <v>6.22</v>
      </c>
      <c r="F1568" s="6">
        <f>_xlfn.MAXIFS(Levels!F:F,Levels!B:B,A1568)</f>
        <v>6.75</v>
      </c>
    </row>
    <row r="1569" spans="1:6" x14ac:dyDescent="0.3">
      <c r="A1569" t="s">
        <v>7162</v>
      </c>
      <c r="B1569" s="9">
        <f>COUNTIF(Levels!B:B,A1569)</f>
        <v>1</v>
      </c>
      <c r="C1569" s="9">
        <f>IFERROR(AVERAGEIF(Levels!B:B,A1569,Levels!E:E),0)</f>
        <v>16</v>
      </c>
      <c r="D1569" s="9">
        <f>IFERROR(AVERAGEIF(Levels!B:B,A1569,Levels!F:F),0)</f>
        <v>7.25</v>
      </c>
      <c r="E1569" s="9">
        <f>_xlfn.MAXIFS(Levels!E:E,Levels!B:B,A1569)</f>
        <v>16</v>
      </c>
      <c r="F1569" s="9">
        <f>_xlfn.MAXIFS(Levels!F:F,Levels!B:B,A1569)</f>
        <v>7.25</v>
      </c>
    </row>
    <row r="1570" spans="1:6" x14ac:dyDescent="0.3">
      <c r="A1570" t="s">
        <v>7164</v>
      </c>
      <c r="B1570" s="6">
        <f>COUNTIF(Levels!B:B,A1570)</f>
        <v>1</v>
      </c>
      <c r="C1570" s="6">
        <f>IFERROR(AVERAGEIF(Levels!B:B,A1570,Levels!E:E),0)</f>
        <v>7</v>
      </c>
      <c r="D1570" s="6">
        <f>IFERROR(AVERAGEIF(Levels!B:B,A1570,Levels!F:F),0)</f>
        <v>7.43</v>
      </c>
      <c r="E1570" s="6">
        <f>_xlfn.MAXIFS(Levels!E:E,Levels!B:B,A1570)</f>
        <v>7</v>
      </c>
      <c r="F1570" s="6">
        <f>_xlfn.MAXIFS(Levels!F:F,Levels!B:B,A1570)</f>
        <v>7.43</v>
      </c>
    </row>
    <row r="1571" spans="1:6" x14ac:dyDescent="0.3">
      <c r="A1571" t="s">
        <v>7166</v>
      </c>
      <c r="B1571" s="9">
        <f>COUNTIF(Levels!B:B,A1571)</f>
        <v>4</v>
      </c>
      <c r="C1571" s="9">
        <f>IFERROR(AVERAGEIF(Levels!B:B,A1571,Levels!E:E),0)</f>
        <v>14.592500000000001</v>
      </c>
      <c r="D1571" s="9">
        <f>IFERROR(AVERAGEIF(Levels!B:B,A1571,Levels!F:F),0)</f>
        <v>6.3550000000000004</v>
      </c>
      <c r="E1571" s="9">
        <f>_xlfn.MAXIFS(Levels!E:E,Levels!B:B,A1571)</f>
        <v>19.2</v>
      </c>
      <c r="F1571" s="9">
        <f>_xlfn.MAXIFS(Levels!F:F,Levels!B:B,A1571)</f>
        <v>7.63</v>
      </c>
    </row>
    <row r="1572" spans="1:6" x14ac:dyDescent="0.3">
      <c r="A1572" t="s">
        <v>7169</v>
      </c>
      <c r="B1572" s="6">
        <f>COUNTIF(Levels!B:B,A1572)</f>
        <v>2</v>
      </c>
      <c r="C1572" s="6">
        <f>IFERROR(AVERAGEIF(Levels!B:B,A1572,Levels!E:E),0)</f>
        <v>13.5</v>
      </c>
      <c r="D1572" s="6">
        <f>IFERROR(AVERAGEIF(Levels!B:B,A1572,Levels!F:F),0)</f>
        <v>6.15</v>
      </c>
      <c r="E1572" s="6">
        <f>_xlfn.MAXIFS(Levels!E:E,Levels!B:B,A1572)</f>
        <v>16</v>
      </c>
      <c r="F1572" s="6">
        <f>_xlfn.MAXIFS(Levels!F:F,Levels!B:B,A1572)</f>
        <v>6.4</v>
      </c>
    </row>
    <row r="1573" spans="1:6" x14ac:dyDescent="0.3">
      <c r="A1573" t="s">
        <v>7177</v>
      </c>
      <c r="B1573" s="9">
        <f>COUNTIF(Levels!B:B,A1573)</f>
        <v>10</v>
      </c>
      <c r="C1573" s="9">
        <f>IFERROR(AVERAGEIF(Levels!B:B,A1573,Levels!E:E),0)</f>
        <v>9.4009999999999998</v>
      </c>
      <c r="D1573" s="9">
        <f>IFERROR(AVERAGEIF(Levels!B:B,A1573,Levels!F:F),0)</f>
        <v>8.2289999999999992</v>
      </c>
      <c r="E1573" s="9">
        <f>_xlfn.MAXIFS(Levels!E:E,Levels!B:B,A1573)</f>
        <v>23.01</v>
      </c>
      <c r="F1573" s="9">
        <f>_xlfn.MAXIFS(Levels!F:F,Levels!B:B,A1573)</f>
        <v>8.94</v>
      </c>
    </row>
    <row r="1574" spans="1:6" x14ac:dyDescent="0.3">
      <c r="A1574" t="s">
        <v>7181</v>
      </c>
      <c r="B1574" s="6">
        <f>COUNTIF(Levels!B:B,A1574)</f>
        <v>1</v>
      </c>
      <c r="C1574" s="6">
        <f>IFERROR(AVERAGEIF(Levels!B:B,A1574,Levels!E:E),0)</f>
        <v>2.88</v>
      </c>
      <c r="D1574" s="6">
        <f>IFERROR(AVERAGEIF(Levels!B:B,A1574,Levels!F:F),0)</f>
        <v>6.57</v>
      </c>
      <c r="E1574" s="6">
        <f>_xlfn.MAXIFS(Levels!E:E,Levels!B:B,A1574)</f>
        <v>2.88</v>
      </c>
      <c r="F1574" s="6">
        <f>_xlfn.MAXIFS(Levels!F:F,Levels!B:B,A1574)</f>
        <v>6.57</v>
      </c>
    </row>
    <row r="1575" spans="1:6" x14ac:dyDescent="0.3">
      <c r="A1575" t="s">
        <v>7185</v>
      </c>
      <c r="B1575" s="9">
        <f>COUNTIF(Levels!B:B,A1575)</f>
        <v>4</v>
      </c>
      <c r="C1575" s="9">
        <f>IFERROR(AVERAGEIF(Levels!B:B,A1575,Levels!E:E),0)</f>
        <v>14.629999999999999</v>
      </c>
      <c r="D1575" s="9">
        <f>IFERROR(AVERAGEIF(Levels!B:B,A1575,Levels!F:F),0)</f>
        <v>4.3849999999999998</v>
      </c>
      <c r="E1575" s="9">
        <f>_xlfn.MAXIFS(Levels!E:E,Levels!B:B,A1575)</f>
        <v>22</v>
      </c>
      <c r="F1575" s="9">
        <f>_xlfn.MAXIFS(Levels!F:F,Levels!B:B,A1575)</f>
        <v>6.71</v>
      </c>
    </row>
    <row r="1576" spans="1:6" x14ac:dyDescent="0.3">
      <c r="A1576" t="s">
        <v>7189</v>
      </c>
      <c r="B1576" s="6">
        <f>COUNTIF(Levels!B:B,A1576)</f>
        <v>5</v>
      </c>
      <c r="C1576" s="6">
        <f>IFERROR(AVERAGEIF(Levels!B:B,A1576,Levels!E:E),0)</f>
        <v>3.8</v>
      </c>
      <c r="D1576" s="6">
        <f>IFERROR(AVERAGEIF(Levels!B:B,A1576,Levels!F:F),0)</f>
        <v>6.2919999999999998</v>
      </c>
      <c r="E1576" s="6">
        <f>_xlfn.MAXIFS(Levels!E:E,Levels!B:B,A1576)</f>
        <v>4.6100000000000003</v>
      </c>
      <c r="F1576" s="6">
        <f>_xlfn.MAXIFS(Levels!F:F,Levels!B:B,A1576)</f>
        <v>7.65</v>
      </c>
    </row>
    <row r="1577" spans="1:6" x14ac:dyDescent="0.3">
      <c r="A1577" t="s">
        <v>7193</v>
      </c>
      <c r="B1577" s="9">
        <f>COUNTIF(Levels!B:B,A1577)</f>
        <v>1</v>
      </c>
      <c r="C1577" s="9">
        <f>IFERROR(AVERAGEIF(Levels!B:B,A1577,Levels!E:E),0)</f>
        <v>14.29</v>
      </c>
      <c r="D1577" s="9">
        <f>IFERROR(AVERAGEIF(Levels!B:B,A1577,Levels!F:F),0)</f>
        <v>5.33</v>
      </c>
      <c r="E1577" s="9">
        <f>_xlfn.MAXIFS(Levels!E:E,Levels!B:B,A1577)</f>
        <v>14.29</v>
      </c>
      <c r="F1577" s="9">
        <f>_xlfn.MAXIFS(Levels!F:F,Levels!B:B,A1577)</f>
        <v>5.33</v>
      </c>
    </row>
    <row r="1578" spans="1:6" x14ac:dyDescent="0.3">
      <c r="A1578" t="s">
        <v>7196</v>
      </c>
      <c r="B1578" s="6">
        <f>COUNTIF(Levels!B:B,A1578)</f>
        <v>1</v>
      </c>
      <c r="C1578" s="6">
        <f>IFERROR(AVERAGEIF(Levels!B:B,A1578,Levels!E:E),0)</f>
        <v>6.96</v>
      </c>
      <c r="D1578" s="6">
        <f>IFERROR(AVERAGEIF(Levels!B:B,A1578,Levels!F:F),0)</f>
        <v>6.55</v>
      </c>
      <c r="E1578" s="6">
        <f>_xlfn.MAXIFS(Levels!E:E,Levels!B:B,A1578)</f>
        <v>6.96</v>
      </c>
      <c r="F1578" s="6">
        <f>_xlfn.MAXIFS(Levels!F:F,Levels!B:B,A1578)</f>
        <v>6.55</v>
      </c>
    </row>
    <row r="1579" spans="1:6" x14ac:dyDescent="0.3">
      <c r="A1579" t="s">
        <v>7200</v>
      </c>
      <c r="B1579" s="9">
        <f>COUNTIF(Levels!B:B,A1579)</f>
        <v>4</v>
      </c>
      <c r="C1579" s="9">
        <f>IFERROR(AVERAGEIF(Levels!B:B,A1579,Levels!E:E),0)</f>
        <v>2.3074999999999997</v>
      </c>
      <c r="D1579" s="9">
        <f>IFERROR(AVERAGEIF(Levels!B:B,A1579,Levels!F:F),0)</f>
        <v>6.4075000000000006</v>
      </c>
      <c r="E1579" s="9">
        <f>_xlfn.MAXIFS(Levels!E:E,Levels!B:B,A1579)</f>
        <v>2.84</v>
      </c>
      <c r="F1579" s="9">
        <f>_xlfn.MAXIFS(Levels!F:F,Levels!B:B,A1579)</f>
        <v>6.75</v>
      </c>
    </row>
    <row r="1580" spans="1:6" x14ac:dyDescent="0.3">
      <c r="A1580" t="s">
        <v>7202</v>
      </c>
      <c r="B1580" s="6">
        <f>COUNTIF(Levels!B:B,A1580)</f>
        <v>1</v>
      </c>
      <c r="C1580" s="6">
        <f>IFERROR(AVERAGEIF(Levels!B:B,A1580,Levels!E:E),0)</f>
        <v>12</v>
      </c>
      <c r="D1580" s="6">
        <f>IFERROR(AVERAGEIF(Levels!B:B,A1580,Levels!F:F),0)</f>
        <v>5.67</v>
      </c>
      <c r="E1580" s="6">
        <f>_xlfn.MAXIFS(Levels!E:E,Levels!B:B,A1580)</f>
        <v>12</v>
      </c>
      <c r="F1580" s="6">
        <f>_xlfn.MAXIFS(Levels!F:F,Levels!B:B,A1580)</f>
        <v>5.67</v>
      </c>
    </row>
    <row r="1581" spans="1:6" x14ac:dyDescent="0.3">
      <c r="A1581" t="s">
        <v>7205</v>
      </c>
      <c r="B1581" s="9">
        <f>COUNTIF(Levels!B:B,A1581)</f>
        <v>4</v>
      </c>
      <c r="C1581" s="9">
        <f>IFERROR(AVERAGEIF(Levels!B:B,A1581,Levels!E:E),0)</f>
        <v>6.9124999999999996</v>
      </c>
      <c r="D1581" s="9">
        <f>IFERROR(AVERAGEIF(Levels!B:B,A1581,Levels!F:F),0)</f>
        <v>6.5025000000000004</v>
      </c>
      <c r="E1581" s="9">
        <f>_xlfn.MAXIFS(Levels!E:E,Levels!B:B,A1581)</f>
        <v>20</v>
      </c>
      <c r="F1581" s="9">
        <f>_xlfn.MAXIFS(Levels!F:F,Levels!B:B,A1581)</f>
        <v>7.13</v>
      </c>
    </row>
    <row r="1582" spans="1:6" x14ac:dyDescent="0.3">
      <c r="A1582" t="s">
        <v>7208</v>
      </c>
      <c r="B1582" s="6">
        <f>COUNTIF(Levels!B:B,A1582)</f>
        <v>2</v>
      </c>
      <c r="C1582" s="6">
        <f>IFERROR(AVERAGEIF(Levels!B:B,A1582,Levels!E:E),0)</f>
        <v>8.4600000000000009</v>
      </c>
      <c r="D1582" s="6">
        <f>IFERROR(AVERAGEIF(Levels!B:B,A1582,Levels!F:F),0)</f>
        <v>6.4849999999999994</v>
      </c>
      <c r="E1582" s="6">
        <f>_xlfn.MAXIFS(Levels!E:E,Levels!B:B,A1582)</f>
        <v>14</v>
      </c>
      <c r="F1582" s="6">
        <f>_xlfn.MAXIFS(Levels!F:F,Levels!B:B,A1582)</f>
        <v>6.5</v>
      </c>
    </row>
    <row r="1583" spans="1:6" x14ac:dyDescent="0.3">
      <c r="A1583" t="s">
        <v>7209</v>
      </c>
      <c r="B1583" s="9">
        <f>COUNTIF(Levels!B:B,A1583)</f>
        <v>1</v>
      </c>
      <c r="C1583" s="9">
        <f>IFERROR(AVERAGEIF(Levels!B:B,A1583,Levels!E:E),0)</f>
        <v>6.17</v>
      </c>
      <c r="D1583" s="9">
        <f>IFERROR(AVERAGEIF(Levels!B:B,A1583,Levels!F:F),0)</f>
        <v>4.33</v>
      </c>
      <c r="E1583" s="9">
        <f>_xlfn.MAXIFS(Levels!E:E,Levels!B:B,A1583)</f>
        <v>6.17</v>
      </c>
      <c r="F1583" s="9">
        <f>_xlfn.MAXIFS(Levels!F:F,Levels!B:B,A1583)</f>
        <v>4.33</v>
      </c>
    </row>
    <row r="1584" spans="1:6" x14ac:dyDescent="0.3">
      <c r="A1584" t="s">
        <v>7210</v>
      </c>
      <c r="B1584" s="6">
        <f>COUNTIF(Levels!B:B,A1584)</f>
        <v>2</v>
      </c>
      <c r="C1584" s="6">
        <f>IFERROR(AVERAGEIF(Levels!B:B,A1584,Levels!E:E),0)</f>
        <v>16.899999999999999</v>
      </c>
      <c r="D1584" s="6">
        <f>IFERROR(AVERAGEIF(Levels!B:B,A1584,Levels!F:F),0)</f>
        <v>6.1050000000000004</v>
      </c>
      <c r="E1584" s="6">
        <f>_xlfn.MAXIFS(Levels!E:E,Levels!B:B,A1584)</f>
        <v>19.63</v>
      </c>
      <c r="F1584" s="6">
        <f>_xlfn.MAXIFS(Levels!F:F,Levels!B:B,A1584)</f>
        <v>6.83</v>
      </c>
    </row>
    <row r="1585" spans="1:6" x14ac:dyDescent="0.3">
      <c r="A1585" t="s">
        <v>7212</v>
      </c>
      <c r="B1585" s="9">
        <f>COUNTIF(Levels!B:B,A1585)</f>
        <v>1</v>
      </c>
      <c r="C1585" s="9">
        <f>IFERROR(AVERAGEIF(Levels!B:B,A1585,Levels!E:E),0)</f>
        <v>3.65</v>
      </c>
      <c r="D1585" s="9">
        <f>IFERROR(AVERAGEIF(Levels!B:B,A1585,Levels!F:F),0)</f>
        <v>4.32</v>
      </c>
      <c r="E1585" s="9">
        <f>_xlfn.MAXIFS(Levels!E:E,Levels!B:B,A1585)</f>
        <v>3.65</v>
      </c>
      <c r="F1585" s="9">
        <f>_xlfn.MAXIFS(Levels!F:F,Levels!B:B,A1585)</f>
        <v>4.32</v>
      </c>
    </row>
    <row r="1586" spans="1:6" x14ac:dyDescent="0.3">
      <c r="A1586" t="s">
        <v>7214</v>
      </c>
      <c r="B1586" s="6">
        <f>COUNTIF(Levels!B:B,A1586)</f>
        <v>1</v>
      </c>
      <c r="C1586" s="6">
        <f>IFERROR(AVERAGEIF(Levels!B:B,A1586,Levels!E:E),0)</f>
        <v>12.6</v>
      </c>
      <c r="D1586" s="6">
        <f>IFERROR(AVERAGEIF(Levels!B:B,A1586,Levels!F:F),0)</f>
        <v>8.25</v>
      </c>
      <c r="E1586" s="6">
        <f>_xlfn.MAXIFS(Levels!E:E,Levels!B:B,A1586)</f>
        <v>12.6</v>
      </c>
      <c r="F1586" s="6">
        <f>_xlfn.MAXIFS(Levels!F:F,Levels!B:B,A1586)</f>
        <v>8.25</v>
      </c>
    </row>
    <row r="1587" spans="1:6" x14ac:dyDescent="0.3">
      <c r="A1587" t="s">
        <v>7216</v>
      </c>
      <c r="B1587" s="9">
        <f>COUNTIF(Levels!B:B,A1587)</f>
        <v>1</v>
      </c>
      <c r="C1587" s="9">
        <f>IFERROR(AVERAGEIF(Levels!B:B,A1587,Levels!E:E),0)</f>
        <v>26</v>
      </c>
      <c r="D1587" s="9">
        <f>IFERROR(AVERAGEIF(Levels!B:B,A1587,Levels!F:F),0)</f>
        <v>10</v>
      </c>
      <c r="E1587" s="9">
        <f>_xlfn.MAXIFS(Levels!E:E,Levels!B:B,A1587)</f>
        <v>26</v>
      </c>
      <c r="F1587" s="9">
        <f>_xlfn.MAXIFS(Levels!F:F,Levels!B:B,A1587)</f>
        <v>10</v>
      </c>
    </row>
    <row r="1588" spans="1:6" x14ac:dyDescent="0.3">
      <c r="A1588" t="s">
        <v>7220</v>
      </c>
      <c r="B1588" s="6">
        <f>COUNTIF(Levels!B:B,A1588)</f>
        <v>2</v>
      </c>
      <c r="C1588" s="6">
        <f>IFERROR(AVERAGEIF(Levels!B:B,A1588,Levels!E:E),0)</f>
        <v>5.82</v>
      </c>
      <c r="D1588" s="6">
        <f>IFERROR(AVERAGEIF(Levels!B:B,A1588,Levels!F:F),0)</f>
        <v>7.0150000000000006</v>
      </c>
      <c r="E1588" s="6">
        <f>_xlfn.MAXIFS(Levels!E:E,Levels!B:B,A1588)</f>
        <v>7.98</v>
      </c>
      <c r="F1588" s="6">
        <f>_xlfn.MAXIFS(Levels!F:F,Levels!B:B,A1588)</f>
        <v>7.33</v>
      </c>
    </row>
    <row r="1589" spans="1:6" x14ac:dyDescent="0.3">
      <c r="A1589" t="s">
        <v>7222</v>
      </c>
      <c r="B1589" s="9">
        <f>COUNTIF(Levels!B:B,A1589)</f>
        <v>1</v>
      </c>
      <c r="C1589" s="9">
        <f>IFERROR(AVERAGEIF(Levels!B:B,A1589,Levels!E:E),0)</f>
        <v>8.32</v>
      </c>
      <c r="D1589" s="9">
        <f>IFERROR(AVERAGEIF(Levels!B:B,A1589,Levels!F:F),0)</f>
        <v>6.57</v>
      </c>
      <c r="E1589" s="9">
        <f>_xlfn.MAXIFS(Levels!E:E,Levels!B:B,A1589)</f>
        <v>8.32</v>
      </c>
      <c r="F1589" s="9">
        <f>_xlfn.MAXIFS(Levels!F:F,Levels!B:B,A1589)</f>
        <v>6.57</v>
      </c>
    </row>
    <row r="1590" spans="1:6" x14ac:dyDescent="0.3">
      <c r="A1590" t="s">
        <v>7228</v>
      </c>
      <c r="B1590" s="6">
        <f>COUNTIF(Levels!B:B,A1590)</f>
        <v>3</v>
      </c>
      <c r="C1590" s="6">
        <f>IFERROR(AVERAGEIF(Levels!B:B,A1590,Levels!E:E),0)</f>
        <v>4.7066666666666661</v>
      </c>
      <c r="D1590" s="6">
        <f>IFERROR(AVERAGEIF(Levels!B:B,A1590,Levels!F:F),0)</f>
        <v>6.9733333333333336</v>
      </c>
      <c r="E1590" s="6">
        <f>_xlfn.MAXIFS(Levels!E:E,Levels!B:B,A1590)</f>
        <v>6.62</v>
      </c>
      <c r="F1590" s="6">
        <f>_xlfn.MAXIFS(Levels!F:F,Levels!B:B,A1590)</f>
        <v>7.4</v>
      </c>
    </row>
    <row r="1591" spans="1:6" x14ac:dyDescent="0.3">
      <c r="A1591" t="s">
        <v>7235</v>
      </c>
      <c r="B1591" s="9">
        <f>COUNTIF(Levels!B:B,A1591)</f>
        <v>1</v>
      </c>
      <c r="C1591" s="9">
        <f>IFERROR(AVERAGEIF(Levels!B:B,A1591,Levels!E:E),0)</f>
        <v>16.16</v>
      </c>
      <c r="D1591" s="9">
        <f>IFERROR(AVERAGEIF(Levels!B:B,A1591,Levels!F:F),0)</f>
        <v>7.9</v>
      </c>
      <c r="E1591" s="9">
        <f>_xlfn.MAXIFS(Levels!E:E,Levels!B:B,A1591)</f>
        <v>16.16</v>
      </c>
      <c r="F1591" s="9">
        <f>_xlfn.MAXIFS(Levels!F:F,Levels!B:B,A1591)</f>
        <v>7.9</v>
      </c>
    </row>
    <row r="1592" spans="1:6" x14ac:dyDescent="0.3">
      <c r="A1592" t="s">
        <v>7239</v>
      </c>
      <c r="B1592" s="6">
        <f>COUNTIF(Levels!B:B,A1592)</f>
        <v>1</v>
      </c>
      <c r="C1592" s="6">
        <f>IFERROR(AVERAGEIF(Levels!B:B,A1592,Levels!E:E),0)</f>
        <v>8.14</v>
      </c>
      <c r="D1592" s="6">
        <f>IFERROR(AVERAGEIF(Levels!B:B,A1592,Levels!F:F),0)</f>
        <v>5.56</v>
      </c>
      <c r="E1592" s="6">
        <f>_xlfn.MAXIFS(Levels!E:E,Levels!B:B,A1592)</f>
        <v>8.14</v>
      </c>
      <c r="F1592" s="6">
        <f>_xlfn.MAXIFS(Levels!F:F,Levels!B:B,A1592)</f>
        <v>5.56</v>
      </c>
    </row>
    <row r="1593" spans="1:6" x14ac:dyDescent="0.3">
      <c r="A1593" t="s">
        <v>7242</v>
      </c>
      <c r="B1593" s="9">
        <f>COUNTIF(Levels!B:B,A1593)</f>
        <v>1</v>
      </c>
      <c r="C1593" s="9">
        <f>IFERROR(AVERAGEIF(Levels!B:B,A1593,Levels!E:E),0)</f>
        <v>8.16</v>
      </c>
      <c r="D1593" s="9">
        <f>IFERROR(AVERAGEIF(Levels!B:B,A1593,Levels!F:F),0)</f>
        <v>5.86</v>
      </c>
      <c r="E1593" s="9">
        <f>_xlfn.MAXIFS(Levels!E:E,Levels!B:B,A1593)</f>
        <v>8.16</v>
      </c>
      <c r="F1593" s="9">
        <f>_xlfn.MAXIFS(Levels!F:F,Levels!B:B,A1593)</f>
        <v>5.86</v>
      </c>
    </row>
    <row r="1594" spans="1:6" x14ac:dyDescent="0.3">
      <c r="A1594" t="s">
        <v>7244</v>
      </c>
      <c r="B1594" s="6">
        <f>COUNTIF(Levels!B:B,A1594)</f>
        <v>1</v>
      </c>
      <c r="C1594" s="6">
        <f>IFERROR(AVERAGEIF(Levels!B:B,A1594,Levels!E:E),0)</f>
        <v>7.95</v>
      </c>
      <c r="D1594" s="6">
        <f>IFERROR(AVERAGEIF(Levels!B:B,A1594,Levels!F:F),0)</f>
        <v>7.18</v>
      </c>
      <c r="E1594" s="6">
        <f>_xlfn.MAXIFS(Levels!E:E,Levels!B:B,A1594)</f>
        <v>7.95</v>
      </c>
      <c r="F1594" s="6">
        <f>_xlfn.MAXIFS(Levels!F:F,Levels!B:B,A1594)</f>
        <v>7.18</v>
      </c>
    </row>
    <row r="1595" spans="1:6" x14ac:dyDescent="0.3">
      <c r="A1595" t="s">
        <v>7248</v>
      </c>
      <c r="B1595" s="9">
        <f>COUNTIF(Levels!B:B,A1595)</f>
        <v>1</v>
      </c>
      <c r="C1595" s="9">
        <f>IFERROR(AVERAGEIF(Levels!B:B,A1595,Levels!E:E),0)</f>
        <v>3.73</v>
      </c>
      <c r="D1595" s="9">
        <f>IFERROR(AVERAGEIF(Levels!B:B,A1595,Levels!F:F),0)</f>
        <v>6.42</v>
      </c>
      <c r="E1595" s="9">
        <f>_xlfn.MAXIFS(Levels!E:E,Levels!B:B,A1595)</f>
        <v>3.73</v>
      </c>
      <c r="F1595" s="9">
        <f>_xlfn.MAXIFS(Levels!F:F,Levels!B:B,A1595)</f>
        <v>6.42</v>
      </c>
    </row>
    <row r="1596" spans="1:6" x14ac:dyDescent="0.3">
      <c r="A1596" t="s">
        <v>7250</v>
      </c>
      <c r="B1596" s="6">
        <f>COUNTIF(Levels!B:B,A1596)</f>
        <v>3</v>
      </c>
      <c r="C1596" s="6">
        <f>IFERROR(AVERAGEIF(Levels!B:B,A1596,Levels!E:E),0)</f>
        <v>2.6733333333333333</v>
      </c>
      <c r="D1596" s="6">
        <f>IFERROR(AVERAGEIF(Levels!B:B,A1596,Levels!F:F),0)</f>
        <v>6.96</v>
      </c>
      <c r="E1596" s="6">
        <f>_xlfn.MAXIFS(Levels!E:E,Levels!B:B,A1596)</f>
        <v>3.69</v>
      </c>
      <c r="F1596" s="6">
        <f>_xlfn.MAXIFS(Levels!F:F,Levels!B:B,A1596)</f>
        <v>7.61</v>
      </c>
    </row>
    <row r="1597" spans="1:6" x14ac:dyDescent="0.3">
      <c r="A1597" t="s">
        <v>7261</v>
      </c>
      <c r="B1597" s="9">
        <f>COUNTIF(Levels!B:B,A1597)</f>
        <v>10</v>
      </c>
      <c r="C1597" s="9">
        <f>IFERROR(AVERAGEIF(Levels!B:B,A1597,Levels!E:E),0)</f>
        <v>6.97</v>
      </c>
      <c r="D1597" s="9">
        <f>IFERROR(AVERAGEIF(Levels!B:B,A1597,Levels!F:F),0)</f>
        <v>7.1344444444444441</v>
      </c>
      <c r="E1597" s="9">
        <f>_xlfn.MAXIFS(Levels!E:E,Levels!B:B,A1597)</f>
        <v>32.36</v>
      </c>
      <c r="F1597" s="9">
        <f>_xlfn.MAXIFS(Levels!F:F,Levels!B:B,A1597)</f>
        <v>8.57</v>
      </c>
    </row>
    <row r="1598" spans="1:6" x14ac:dyDescent="0.3">
      <c r="A1598" t="s">
        <v>7266</v>
      </c>
      <c r="B1598" s="6">
        <f>COUNTIF(Levels!B:B,A1598)</f>
        <v>1</v>
      </c>
      <c r="C1598" s="6">
        <f>IFERROR(AVERAGEIF(Levels!B:B,A1598,Levels!E:E),0)</f>
        <v>14.83</v>
      </c>
      <c r="D1598" s="6">
        <f>IFERROR(AVERAGEIF(Levels!B:B,A1598,Levels!F:F),0)</f>
        <v>3</v>
      </c>
      <c r="E1598" s="6">
        <f>_xlfn.MAXIFS(Levels!E:E,Levels!B:B,A1598)</f>
        <v>14.83</v>
      </c>
      <c r="F1598" s="6">
        <f>_xlfn.MAXIFS(Levels!F:F,Levels!B:B,A1598)</f>
        <v>3</v>
      </c>
    </row>
    <row r="1599" spans="1:6" x14ac:dyDescent="0.3">
      <c r="A1599" t="s">
        <v>7270</v>
      </c>
      <c r="B1599" s="9">
        <f>COUNTIF(Levels!B:B,A1599)</f>
        <v>2</v>
      </c>
      <c r="C1599" s="9">
        <f>IFERROR(AVERAGEIF(Levels!B:B,A1599,Levels!E:E),0)</f>
        <v>10.02</v>
      </c>
      <c r="D1599" s="9">
        <f>IFERROR(AVERAGEIF(Levels!B:B,A1599,Levels!F:F),0)</f>
        <v>6.9749999999999996</v>
      </c>
      <c r="E1599" s="9">
        <f>_xlfn.MAXIFS(Levels!E:E,Levels!B:B,A1599)</f>
        <v>16.98</v>
      </c>
      <c r="F1599" s="9">
        <f>_xlfn.MAXIFS(Levels!F:F,Levels!B:B,A1599)</f>
        <v>7.33</v>
      </c>
    </row>
    <row r="1600" spans="1:6" x14ac:dyDescent="0.3">
      <c r="A1600" t="s">
        <v>7273</v>
      </c>
      <c r="B1600" s="6">
        <f>COUNTIF(Levels!B:B,A1600)</f>
        <v>3</v>
      </c>
      <c r="C1600" s="6">
        <f>IFERROR(AVERAGEIF(Levels!B:B,A1600,Levels!E:E),0)</f>
        <v>8.15</v>
      </c>
      <c r="D1600" s="6">
        <f>IFERROR(AVERAGEIF(Levels!B:B,A1600,Levels!F:F),0)</f>
        <v>7.3833333333333329</v>
      </c>
      <c r="E1600" s="6">
        <f>_xlfn.MAXIFS(Levels!E:E,Levels!B:B,A1600)</f>
        <v>12.64</v>
      </c>
      <c r="F1600" s="6">
        <f>_xlfn.MAXIFS(Levels!F:F,Levels!B:B,A1600)</f>
        <v>7.63</v>
      </c>
    </row>
    <row r="1601" spans="1:6" x14ac:dyDescent="0.3">
      <c r="A1601" t="s">
        <v>7280</v>
      </c>
      <c r="B1601" s="9">
        <f>COUNTIF(Levels!B:B,A1601)</f>
        <v>7</v>
      </c>
      <c r="C1601" s="9">
        <f>IFERROR(AVERAGEIF(Levels!B:B,A1601,Levels!E:E),0)</f>
        <v>6.1557142857142866</v>
      </c>
      <c r="D1601" s="9">
        <f>IFERROR(AVERAGEIF(Levels!B:B,A1601,Levels!F:F),0)</f>
        <v>7.0142857142857133</v>
      </c>
      <c r="E1601" s="9">
        <f>_xlfn.MAXIFS(Levels!E:E,Levels!B:B,A1601)</f>
        <v>21.5</v>
      </c>
      <c r="F1601" s="9">
        <f>_xlfn.MAXIFS(Levels!F:F,Levels!B:B,A1601)</f>
        <v>7.74</v>
      </c>
    </row>
    <row r="1602" spans="1:6" x14ac:dyDescent="0.3">
      <c r="A1602" t="s">
        <v>7285</v>
      </c>
      <c r="B1602" s="6">
        <f>COUNTIF(Levels!B:B,A1602)</f>
        <v>2</v>
      </c>
      <c r="C1602" s="6">
        <f>IFERROR(AVERAGEIF(Levels!B:B,A1602,Levels!E:E),0)</f>
        <v>15.525</v>
      </c>
      <c r="D1602" s="6">
        <f>IFERROR(AVERAGEIF(Levels!B:B,A1602,Levels!F:F),0)</f>
        <v>7.82</v>
      </c>
      <c r="E1602" s="6">
        <f>_xlfn.MAXIFS(Levels!E:E,Levels!B:B,A1602)</f>
        <v>15.58</v>
      </c>
      <c r="F1602" s="6">
        <f>_xlfn.MAXIFS(Levels!F:F,Levels!B:B,A1602)</f>
        <v>8.02</v>
      </c>
    </row>
    <row r="1603" spans="1:6" x14ac:dyDescent="0.3">
      <c r="A1603" t="s">
        <v>7289</v>
      </c>
      <c r="B1603" s="9">
        <f>COUNTIF(Levels!B:B,A1603)</f>
        <v>1</v>
      </c>
      <c r="C1603" s="9">
        <f>IFERROR(AVERAGEIF(Levels!B:B,A1603,Levels!E:E),0)</f>
        <v>19.47</v>
      </c>
      <c r="D1603" s="9">
        <f>IFERROR(AVERAGEIF(Levels!B:B,A1603,Levels!F:F),0)</f>
        <v>8.32</v>
      </c>
      <c r="E1603" s="9">
        <f>_xlfn.MAXIFS(Levels!E:E,Levels!B:B,A1603)</f>
        <v>19.47</v>
      </c>
      <c r="F1603" s="9">
        <f>_xlfn.MAXIFS(Levels!F:F,Levels!B:B,A1603)</f>
        <v>8.32</v>
      </c>
    </row>
    <row r="1604" spans="1:6" x14ac:dyDescent="0.3">
      <c r="A1604" t="s">
        <v>7292</v>
      </c>
      <c r="B1604" s="6">
        <f>COUNTIF(Levels!B:B,A1604)</f>
        <v>1</v>
      </c>
      <c r="C1604" s="6">
        <f>IFERROR(AVERAGEIF(Levels!B:B,A1604,Levels!E:E),0)</f>
        <v>5.7</v>
      </c>
      <c r="D1604" s="6">
        <f>IFERROR(AVERAGEIF(Levels!B:B,A1604,Levels!F:F),0)</f>
        <v>7.2</v>
      </c>
      <c r="E1604" s="6">
        <f>_xlfn.MAXIFS(Levels!E:E,Levels!B:B,A1604)</f>
        <v>5.7</v>
      </c>
      <c r="F1604" s="6">
        <f>_xlfn.MAXIFS(Levels!F:F,Levels!B:B,A1604)</f>
        <v>7.2</v>
      </c>
    </row>
    <row r="1605" spans="1:6" x14ac:dyDescent="0.3">
      <c r="A1605" t="s">
        <v>7306</v>
      </c>
      <c r="B1605" s="9">
        <f>COUNTIF(Levels!B:B,A1605)</f>
        <v>2</v>
      </c>
      <c r="C1605" s="9">
        <f>IFERROR(AVERAGEIF(Levels!B:B,A1605,Levels!E:E),0)</f>
        <v>19.75</v>
      </c>
      <c r="D1605" s="9">
        <f>IFERROR(AVERAGEIF(Levels!B:B,A1605,Levels!F:F),0)</f>
        <v>8.5</v>
      </c>
      <c r="E1605" s="9">
        <f>_xlfn.MAXIFS(Levels!E:E,Levels!B:B,A1605)</f>
        <v>22</v>
      </c>
      <c r="F1605" s="9">
        <f>_xlfn.MAXIFS(Levels!F:F,Levels!B:B,A1605)</f>
        <v>10</v>
      </c>
    </row>
    <row r="1606" spans="1:6" x14ac:dyDescent="0.3">
      <c r="A1606" t="s">
        <v>7309</v>
      </c>
      <c r="B1606" s="6">
        <f>COUNTIF(Levels!B:B,A1606)</f>
        <v>1</v>
      </c>
      <c r="C1606" s="6">
        <f>IFERROR(AVERAGEIF(Levels!B:B,A1606,Levels!E:E),0)</f>
        <v>17.75</v>
      </c>
      <c r="D1606" s="6">
        <f>IFERROR(AVERAGEIF(Levels!B:B,A1606,Levels!F:F),0)</f>
        <v>5.33</v>
      </c>
      <c r="E1606" s="6">
        <f>_xlfn.MAXIFS(Levels!E:E,Levels!B:B,A1606)</f>
        <v>17.75</v>
      </c>
      <c r="F1606" s="6">
        <f>_xlfn.MAXIFS(Levels!F:F,Levels!B:B,A1606)</f>
        <v>5.33</v>
      </c>
    </row>
    <row r="1607" spans="1:6" x14ac:dyDescent="0.3">
      <c r="A1607" t="s">
        <v>7311</v>
      </c>
      <c r="B1607" s="9">
        <f>COUNTIF(Levels!B:B,A1607)</f>
        <v>7</v>
      </c>
      <c r="C1607" s="9">
        <f>IFERROR(AVERAGEIF(Levels!B:B,A1607,Levels!E:E),0)</f>
        <v>9.425714285714287</v>
      </c>
      <c r="D1607" s="9">
        <f>IFERROR(AVERAGEIF(Levels!B:B,A1607,Levels!F:F),0)</f>
        <v>7.6742857142857144</v>
      </c>
      <c r="E1607" s="9">
        <f>_xlfn.MAXIFS(Levels!E:E,Levels!B:B,A1607)</f>
        <v>21.74</v>
      </c>
      <c r="F1607" s="9">
        <f>_xlfn.MAXIFS(Levels!F:F,Levels!B:B,A1607)</f>
        <v>8.67</v>
      </c>
    </row>
    <row r="1608" spans="1:6" x14ac:dyDescent="0.3">
      <c r="A1608" t="s">
        <v>7317</v>
      </c>
      <c r="B1608" s="6">
        <f>COUNTIF(Levels!B:B,A1608)</f>
        <v>1</v>
      </c>
      <c r="C1608" s="6">
        <f>IFERROR(AVERAGEIF(Levels!B:B,A1608,Levels!E:E),0)</f>
        <v>12.81</v>
      </c>
      <c r="D1608" s="6">
        <f>IFERROR(AVERAGEIF(Levels!B:B,A1608,Levels!F:F),0)</f>
        <v>4.5</v>
      </c>
      <c r="E1608" s="6">
        <f>_xlfn.MAXIFS(Levels!E:E,Levels!B:B,A1608)</f>
        <v>12.81</v>
      </c>
      <c r="F1608" s="6">
        <f>_xlfn.MAXIFS(Levels!F:F,Levels!B:B,A1608)</f>
        <v>4.5</v>
      </c>
    </row>
    <row r="1609" spans="1:6" x14ac:dyDescent="0.3">
      <c r="A1609" t="s">
        <v>7320</v>
      </c>
      <c r="B1609" s="9">
        <f>COUNTIF(Levels!B:B,A1609)</f>
        <v>5</v>
      </c>
      <c r="C1609" s="9">
        <f>IFERROR(AVERAGEIF(Levels!B:B,A1609,Levels!E:E),0)</f>
        <v>4.9239999999999995</v>
      </c>
      <c r="D1609" s="9">
        <f>IFERROR(AVERAGEIF(Levels!B:B,A1609,Levels!F:F),0)</f>
        <v>7.4360000000000017</v>
      </c>
      <c r="E1609" s="9">
        <f>_xlfn.MAXIFS(Levels!E:E,Levels!B:B,A1609)</f>
        <v>8.84</v>
      </c>
      <c r="F1609" s="9">
        <f>_xlfn.MAXIFS(Levels!F:F,Levels!B:B,A1609)</f>
        <v>8.16</v>
      </c>
    </row>
    <row r="1610" spans="1:6" x14ac:dyDescent="0.3">
      <c r="A1610" t="s">
        <v>7323</v>
      </c>
      <c r="B1610" s="6">
        <f>COUNTIF(Levels!B:B,A1610)</f>
        <v>1</v>
      </c>
      <c r="C1610" s="6">
        <f>IFERROR(AVERAGEIF(Levels!B:B,A1610,Levels!E:E),0)</f>
        <v>9</v>
      </c>
      <c r="D1610" s="6">
        <f>IFERROR(AVERAGEIF(Levels!B:B,A1610,Levels!F:F),0)</f>
        <v>6.33</v>
      </c>
      <c r="E1610" s="6">
        <f>_xlfn.MAXIFS(Levels!E:E,Levels!B:B,A1610)</f>
        <v>9</v>
      </c>
      <c r="F1610" s="6">
        <f>_xlfn.MAXIFS(Levels!F:F,Levels!B:B,A1610)</f>
        <v>6.33</v>
      </c>
    </row>
    <row r="1611" spans="1:6" x14ac:dyDescent="0.3">
      <c r="A1611" t="s">
        <v>7327</v>
      </c>
      <c r="B1611" s="9">
        <f>COUNTIF(Levels!B:B,A1611)</f>
        <v>3</v>
      </c>
      <c r="C1611" s="9">
        <f>IFERROR(AVERAGEIF(Levels!B:B,A1611,Levels!E:E),0)</f>
        <v>26.133333333333336</v>
      </c>
      <c r="D1611" s="9">
        <f>IFERROR(AVERAGEIF(Levels!B:B,A1611,Levels!F:F),0)</f>
        <v>7.41</v>
      </c>
      <c r="E1611" s="9">
        <f>_xlfn.MAXIFS(Levels!E:E,Levels!B:B,A1611)</f>
        <v>32</v>
      </c>
      <c r="F1611" s="9">
        <f>_xlfn.MAXIFS(Levels!F:F,Levels!B:B,A1611)</f>
        <v>8.64</v>
      </c>
    </row>
    <row r="1612" spans="1:6" x14ac:dyDescent="0.3">
      <c r="A1612" t="s">
        <v>7330</v>
      </c>
      <c r="B1612" s="6">
        <f>COUNTIF(Levels!B:B,A1612)</f>
        <v>1</v>
      </c>
      <c r="C1612" s="6">
        <f>IFERROR(AVERAGEIF(Levels!B:B,A1612,Levels!E:E),0)</f>
        <v>8.42</v>
      </c>
      <c r="D1612" s="6">
        <f>IFERROR(AVERAGEIF(Levels!B:B,A1612,Levels!F:F),0)</f>
        <v>4.5</v>
      </c>
      <c r="E1612" s="6">
        <f>_xlfn.MAXIFS(Levels!E:E,Levels!B:B,A1612)</f>
        <v>8.42</v>
      </c>
      <c r="F1612" s="6">
        <f>_xlfn.MAXIFS(Levels!F:F,Levels!B:B,A1612)</f>
        <v>4.5</v>
      </c>
    </row>
    <row r="1613" spans="1:6" x14ac:dyDescent="0.3">
      <c r="A1613" t="s">
        <v>7332</v>
      </c>
      <c r="B1613" s="9">
        <f>COUNTIF(Levels!B:B,A1613)</f>
        <v>1</v>
      </c>
      <c r="C1613" s="9">
        <f>IFERROR(AVERAGEIF(Levels!B:B,A1613,Levels!E:E),0)</f>
        <v>4</v>
      </c>
      <c r="D1613" s="9">
        <f>IFERROR(AVERAGEIF(Levels!B:B,A1613,Levels!F:F),0)</f>
        <v>6.5</v>
      </c>
      <c r="E1613" s="9">
        <f>_xlfn.MAXIFS(Levels!E:E,Levels!B:B,A1613)</f>
        <v>4</v>
      </c>
      <c r="F1613" s="9">
        <f>_xlfn.MAXIFS(Levels!F:F,Levels!B:B,A1613)</f>
        <v>6.5</v>
      </c>
    </row>
    <row r="1614" spans="1:6" x14ac:dyDescent="0.3">
      <c r="A1614" t="s">
        <v>7336</v>
      </c>
      <c r="B1614" s="6">
        <f>COUNTIF(Levels!B:B,A1614)</f>
        <v>1</v>
      </c>
      <c r="C1614" s="6">
        <f>IFERROR(AVERAGEIF(Levels!B:B,A1614,Levels!E:E),0)</f>
        <v>4.91</v>
      </c>
      <c r="D1614" s="6">
        <f>IFERROR(AVERAGEIF(Levels!B:B,A1614,Levels!F:F),0)</f>
        <v>5.96</v>
      </c>
      <c r="E1614" s="6">
        <f>_xlfn.MAXIFS(Levels!E:E,Levels!B:B,A1614)</f>
        <v>4.91</v>
      </c>
      <c r="F1614" s="6">
        <f>_xlfn.MAXIFS(Levels!F:F,Levels!B:B,A1614)</f>
        <v>5.96</v>
      </c>
    </row>
    <row r="1615" spans="1:6" x14ac:dyDescent="0.3">
      <c r="A1615" t="s">
        <v>7339</v>
      </c>
      <c r="B1615" s="9">
        <f>COUNTIF(Levels!B:B,A1615)</f>
        <v>2</v>
      </c>
      <c r="C1615" s="9">
        <f>IFERROR(AVERAGEIF(Levels!B:B,A1615,Levels!E:E),0)</f>
        <v>4.8849999999999998</v>
      </c>
      <c r="D1615" s="9">
        <f>IFERROR(AVERAGEIF(Levels!B:B,A1615,Levels!F:F),0)</f>
        <v>6.9550000000000001</v>
      </c>
      <c r="E1615" s="9">
        <f>_xlfn.MAXIFS(Levels!E:E,Levels!B:B,A1615)</f>
        <v>5.9</v>
      </c>
      <c r="F1615" s="9">
        <f>_xlfn.MAXIFS(Levels!F:F,Levels!B:B,A1615)</f>
        <v>7.15</v>
      </c>
    </row>
    <row r="1616" spans="1:6" x14ac:dyDescent="0.3">
      <c r="A1616" t="s">
        <v>7343</v>
      </c>
      <c r="B1616" s="6">
        <f>COUNTIF(Levels!B:B,A1616)</f>
        <v>4</v>
      </c>
      <c r="C1616" s="6">
        <f>IFERROR(AVERAGEIF(Levels!B:B,A1616,Levels!E:E),0)</f>
        <v>3.8550000000000004</v>
      </c>
      <c r="D1616" s="6">
        <f>IFERROR(AVERAGEIF(Levels!B:B,A1616,Levels!F:F),0)</f>
        <v>7.1950000000000003</v>
      </c>
      <c r="E1616" s="6">
        <f>_xlfn.MAXIFS(Levels!E:E,Levels!B:B,A1616)</f>
        <v>6.17</v>
      </c>
      <c r="F1616" s="6">
        <f>_xlfn.MAXIFS(Levels!F:F,Levels!B:B,A1616)</f>
        <v>8.1</v>
      </c>
    </row>
    <row r="1617" spans="1:6" x14ac:dyDescent="0.3">
      <c r="A1617" t="s">
        <v>7346</v>
      </c>
      <c r="B1617" s="9">
        <f>COUNTIF(Levels!B:B,A1617)</f>
        <v>1</v>
      </c>
      <c r="C1617" s="9">
        <f>IFERROR(AVERAGEIF(Levels!B:B,A1617,Levels!E:E),0)</f>
        <v>19.329999999999998</v>
      </c>
      <c r="D1617" s="9">
        <f>IFERROR(AVERAGEIF(Levels!B:B,A1617,Levels!F:F),0)</f>
        <v>5.67</v>
      </c>
      <c r="E1617" s="9">
        <f>_xlfn.MAXIFS(Levels!E:E,Levels!B:B,A1617)</f>
        <v>19.329999999999998</v>
      </c>
      <c r="F1617" s="9">
        <f>_xlfn.MAXIFS(Levels!F:F,Levels!B:B,A1617)</f>
        <v>5.67</v>
      </c>
    </row>
    <row r="1618" spans="1:6" x14ac:dyDescent="0.3">
      <c r="A1618" t="s">
        <v>7351</v>
      </c>
      <c r="B1618" s="6">
        <f>COUNTIF(Levels!B:B,A1618)</f>
        <v>1</v>
      </c>
      <c r="C1618" s="6">
        <f>IFERROR(AVERAGEIF(Levels!B:B,A1618,Levels!E:E),0)</f>
        <v>2.72</v>
      </c>
      <c r="D1618" s="6">
        <f>IFERROR(AVERAGEIF(Levels!B:B,A1618,Levels!F:F),0)</f>
        <v>6.74</v>
      </c>
      <c r="E1618" s="6">
        <f>_xlfn.MAXIFS(Levels!E:E,Levels!B:B,A1618)</f>
        <v>2.72</v>
      </c>
      <c r="F1618" s="6">
        <f>_xlfn.MAXIFS(Levels!F:F,Levels!B:B,A1618)</f>
        <v>6.74</v>
      </c>
    </row>
    <row r="1619" spans="1:6" x14ac:dyDescent="0.3">
      <c r="A1619" t="s">
        <v>7356</v>
      </c>
      <c r="B1619" s="9">
        <f>COUNTIF(Levels!B:B,A1619)</f>
        <v>26</v>
      </c>
      <c r="C1619" s="9">
        <f>IFERROR(AVERAGEIF(Levels!B:B,A1619,Levels!E:E),0)</f>
        <v>18.592916666666664</v>
      </c>
      <c r="D1619" s="9">
        <f>IFERROR(AVERAGEIF(Levels!B:B,A1619,Levels!F:F),0)</f>
        <v>7.02</v>
      </c>
      <c r="E1619" s="9">
        <f>_xlfn.MAXIFS(Levels!E:E,Levels!B:B,A1619)</f>
        <v>35</v>
      </c>
      <c r="F1619" s="9">
        <f>_xlfn.MAXIFS(Levels!F:F,Levels!B:B,A1619)</f>
        <v>9</v>
      </c>
    </row>
    <row r="1620" spans="1:6" x14ac:dyDescent="0.3">
      <c r="A1620" t="s">
        <v>7365</v>
      </c>
      <c r="B1620" s="6">
        <f>COUNTIF(Levels!B:B,A1620)</f>
        <v>1</v>
      </c>
      <c r="C1620" s="6">
        <f>IFERROR(AVERAGEIF(Levels!B:B,A1620,Levels!E:E),0)</f>
        <v>5.44</v>
      </c>
      <c r="D1620" s="6">
        <f>IFERROR(AVERAGEIF(Levels!B:B,A1620,Levels!F:F),0)</f>
        <v>8.1999999999999993</v>
      </c>
      <c r="E1620" s="6">
        <f>_xlfn.MAXIFS(Levels!E:E,Levels!B:B,A1620)</f>
        <v>5.44</v>
      </c>
      <c r="F1620" s="6">
        <f>_xlfn.MAXIFS(Levels!F:F,Levels!B:B,A1620)</f>
        <v>8.1999999999999993</v>
      </c>
    </row>
    <row r="1621" spans="1:6" x14ac:dyDescent="0.3">
      <c r="A1621" t="s">
        <v>7368</v>
      </c>
      <c r="B1621" s="9">
        <f>COUNTIF(Levels!B:B,A1621)</f>
        <v>4</v>
      </c>
      <c r="C1621" s="9">
        <f>IFERROR(AVERAGEIF(Levels!B:B,A1621,Levels!E:E),0)</f>
        <v>16.147500000000001</v>
      </c>
      <c r="D1621" s="9">
        <f>IFERROR(AVERAGEIF(Levels!B:B,A1621,Levels!F:F),0)</f>
        <v>6.9275000000000002</v>
      </c>
      <c r="E1621" s="9">
        <f>_xlfn.MAXIFS(Levels!E:E,Levels!B:B,A1621)</f>
        <v>32</v>
      </c>
      <c r="F1621" s="9">
        <f>_xlfn.MAXIFS(Levels!F:F,Levels!B:B,A1621)</f>
        <v>8.1300000000000008</v>
      </c>
    </row>
    <row r="1622" spans="1:6" x14ac:dyDescent="0.3">
      <c r="A1622" t="s">
        <v>7376</v>
      </c>
      <c r="B1622" s="6">
        <f>COUNTIF(Levels!B:B,A1622)</f>
        <v>1</v>
      </c>
      <c r="C1622" s="6">
        <f>IFERROR(AVERAGEIF(Levels!B:B,A1622,Levels!E:E),0)</f>
        <v>1.64</v>
      </c>
      <c r="D1622" s="6">
        <f>IFERROR(AVERAGEIF(Levels!B:B,A1622,Levels!F:F),0)</f>
        <v>7.11</v>
      </c>
      <c r="E1622" s="6">
        <f>_xlfn.MAXIFS(Levels!E:E,Levels!B:B,A1622)</f>
        <v>1.64</v>
      </c>
      <c r="F1622" s="6">
        <f>_xlfn.MAXIFS(Levels!F:F,Levels!B:B,A1622)</f>
        <v>7.11</v>
      </c>
    </row>
    <row r="1623" spans="1:6" x14ac:dyDescent="0.3">
      <c r="A1623" t="s">
        <v>7378</v>
      </c>
      <c r="B1623" s="9">
        <f>COUNTIF(Levels!B:B,A1623)</f>
        <v>1</v>
      </c>
      <c r="C1623" s="9">
        <f>IFERROR(AVERAGEIF(Levels!B:B,A1623,Levels!E:E),0)</f>
        <v>18</v>
      </c>
      <c r="D1623" s="9">
        <f>IFERROR(AVERAGEIF(Levels!B:B,A1623,Levels!F:F),0)</f>
        <v>3.83</v>
      </c>
      <c r="E1623" s="9">
        <f>_xlfn.MAXIFS(Levels!E:E,Levels!B:B,A1623)</f>
        <v>18</v>
      </c>
      <c r="F1623" s="9">
        <f>_xlfn.MAXIFS(Levels!F:F,Levels!B:B,A1623)</f>
        <v>3.83</v>
      </c>
    </row>
    <row r="1624" spans="1:6" x14ac:dyDescent="0.3">
      <c r="A1624" t="s">
        <v>7383</v>
      </c>
      <c r="B1624" s="6">
        <f>COUNTIF(Levels!B:B,A1624)</f>
        <v>1</v>
      </c>
      <c r="C1624" s="6">
        <f>IFERROR(AVERAGEIF(Levels!B:B,A1624,Levels!E:E),0)</f>
        <v>3.39</v>
      </c>
      <c r="D1624" s="6">
        <f>IFERROR(AVERAGEIF(Levels!B:B,A1624,Levels!F:F),0)</f>
        <v>5.56</v>
      </c>
      <c r="E1624" s="6">
        <f>_xlfn.MAXIFS(Levels!E:E,Levels!B:B,A1624)</f>
        <v>3.39</v>
      </c>
      <c r="F1624" s="6">
        <f>_xlfn.MAXIFS(Levels!F:F,Levels!B:B,A1624)</f>
        <v>5.56</v>
      </c>
    </row>
    <row r="1625" spans="1:6" x14ac:dyDescent="0.3">
      <c r="A1625" t="s">
        <v>7386</v>
      </c>
      <c r="B1625" s="9">
        <f>COUNTIF(Levels!B:B,A1625)</f>
        <v>1</v>
      </c>
      <c r="C1625" s="9">
        <f>IFERROR(AVERAGEIF(Levels!B:B,A1625,Levels!E:E),0)</f>
        <v>22.5</v>
      </c>
      <c r="D1625" s="9">
        <f>IFERROR(AVERAGEIF(Levels!B:B,A1625,Levels!F:F),0)</f>
        <v>9.5</v>
      </c>
      <c r="E1625" s="9">
        <f>_xlfn.MAXIFS(Levels!E:E,Levels!B:B,A1625)</f>
        <v>22.5</v>
      </c>
      <c r="F1625" s="9">
        <f>_xlfn.MAXIFS(Levels!F:F,Levels!B:B,A1625)</f>
        <v>9.5</v>
      </c>
    </row>
    <row r="1626" spans="1:6" x14ac:dyDescent="0.3">
      <c r="A1626" t="s">
        <v>7388</v>
      </c>
      <c r="B1626" s="6">
        <f>COUNTIF(Levels!B:B,A1626)</f>
        <v>1</v>
      </c>
      <c r="C1626" s="6">
        <f>IFERROR(AVERAGEIF(Levels!B:B,A1626,Levels!E:E),0)</f>
        <v>17.86</v>
      </c>
      <c r="D1626" s="6">
        <f>IFERROR(AVERAGEIF(Levels!B:B,A1626,Levels!F:F),0)</f>
        <v>6.29</v>
      </c>
      <c r="E1626" s="6">
        <f>_xlfn.MAXIFS(Levels!E:E,Levels!B:B,A1626)</f>
        <v>17.86</v>
      </c>
      <c r="F1626" s="6">
        <f>_xlfn.MAXIFS(Levels!F:F,Levels!B:B,A1626)</f>
        <v>6.29</v>
      </c>
    </row>
    <row r="1627" spans="1:6" x14ac:dyDescent="0.3">
      <c r="A1627" t="s">
        <v>7391</v>
      </c>
      <c r="B1627" s="9">
        <f>COUNTIF(Levels!B:B,A1627)</f>
        <v>1</v>
      </c>
      <c r="C1627" s="9">
        <f>IFERROR(AVERAGEIF(Levels!B:B,A1627,Levels!E:E),0)</f>
        <v>32</v>
      </c>
      <c r="D1627" s="9">
        <f>IFERROR(AVERAGEIF(Levels!B:B,A1627,Levels!F:F),0)</f>
        <v>2</v>
      </c>
      <c r="E1627" s="9">
        <f>_xlfn.MAXIFS(Levels!E:E,Levels!B:B,A1627)</f>
        <v>32</v>
      </c>
      <c r="F1627" s="9">
        <f>_xlfn.MAXIFS(Levels!F:F,Levels!B:B,A1627)</f>
        <v>2</v>
      </c>
    </row>
    <row r="1628" spans="1:6" x14ac:dyDescent="0.3">
      <c r="A1628" t="s">
        <v>7397</v>
      </c>
      <c r="B1628" s="6">
        <f>COUNTIF(Levels!B:B,A1628)</f>
        <v>3</v>
      </c>
      <c r="C1628" s="6">
        <f>IFERROR(AVERAGEIF(Levels!B:B,A1628,Levels!E:E),0)</f>
        <v>17.843333333333334</v>
      </c>
      <c r="D1628" s="6">
        <f>IFERROR(AVERAGEIF(Levels!B:B,A1628,Levels!F:F),0)</f>
        <v>8.0833333333333339</v>
      </c>
      <c r="E1628" s="6">
        <f>_xlfn.MAXIFS(Levels!E:E,Levels!B:B,A1628)</f>
        <v>19.68</v>
      </c>
      <c r="F1628" s="6">
        <f>_xlfn.MAXIFS(Levels!F:F,Levels!B:B,A1628)</f>
        <v>8.44</v>
      </c>
    </row>
    <row r="1629" spans="1:6" x14ac:dyDescent="0.3">
      <c r="A1629" t="s">
        <v>7404</v>
      </c>
      <c r="B1629" s="9">
        <f>COUNTIF(Levels!B:B,A1629)</f>
        <v>2</v>
      </c>
      <c r="C1629" s="9">
        <f>IFERROR(AVERAGEIF(Levels!B:B,A1629,Levels!E:E),0)</f>
        <v>4.665</v>
      </c>
      <c r="D1629" s="9">
        <f>IFERROR(AVERAGEIF(Levels!B:B,A1629,Levels!F:F),0)</f>
        <v>6.79</v>
      </c>
      <c r="E1629" s="9">
        <f>_xlfn.MAXIFS(Levels!E:E,Levels!B:B,A1629)</f>
        <v>6</v>
      </c>
      <c r="F1629" s="9">
        <f>_xlfn.MAXIFS(Levels!F:F,Levels!B:B,A1629)</f>
        <v>7.08</v>
      </c>
    </row>
    <row r="1630" spans="1:6" x14ac:dyDescent="0.3">
      <c r="A1630" t="s">
        <v>7407</v>
      </c>
      <c r="B1630" s="6">
        <f>COUNTIF(Levels!B:B,A1630)</f>
        <v>1</v>
      </c>
      <c r="C1630" s="6">
        <f>IFERROR(AVERAGEIF(Levels!B:B,A1630,Levels!E:E),0)</f>
        <v>18.760000000000002</v>
      </c>
      <c r="D1630" s="6">
        <f>IFERROR(AVERAGEIF(Levels!B:B,A1630,Levels!F:F),0)</f>
        <v>7.02</v>
      </c>
      <c r="E1630" s="6">
        <f>_xlfn.MAXIFS(Levels!E:E,Levels!B:B,A1630)</f>
        <v>18.760000000000002</v>
      </c>
      <c r="F1630" s="6">
        <f>_xlfn.MAXIFS(Levels!F:F,Levels!B:B,A1630)</f>
        <v>7.02</v>
      </c>
    </row>
    <row r="1631" spans="1:6" x14ac:dyDescent="0.3">
      <c r="A1631" t="s">
        <v>7413</v>
      </c>
      <c r="B1631" s="9">
        <f>COUNTIF(Levels!B:B,A1631)</f>
        <v>3</v>
      </c>
      <c r="C1631" s="9">
        <f>IFERROR(AVERAGEIF(Levels!B:B,A1631,Levels!E:E),0)</f>
        <v>21.133333333333336</v>
      </c>
      <c r="D1631" s="9">
        <f>IFERROR(AVERAGEIF(Levels!B:B,A1631,Levels!F:F),0)</f>
        <v>5.373333333333334</v>
      </c>
      <c r="E1631" s="9">
        <f>_xlfn.MAXIFS(Levels!E:E,Levels!B:B,A1631)</f>
        <v>24.8</v>
      </c>
      <c r="F1631" s="9">
        <f>_xlfn.MAXIFS(Levels!F:F,Levels!B:B,A1631)</f>
        <v>7.5</v>
      </c>
    </row>
    <row r="1632" spans="1:6" x14ac:dyDescent="0.3">
      <c r="A1632" t="s">
        <v>7415</v>
      </c>
      <c r="B1632" s="6">
        <f>COUNTIF(Levels!B:B,A1632)</f>
        <v>1</v>
      </c>
      <c r="C1632" s="6">
        <f>IFERROR(AVERAGEIF(Levels!B:B,A1632,Levels!E:E),0)</f>
        <v>3.81</v>
      </c>
      <c r="D1632" s="6">
        <f>IFERROR(AVERAGEIF(Levels!B:B,A1632,Levels!F:F),0)</f>
        <v>8.11</v>
      </c>
      <c r="E1632" s="6">
        <f>_xlfn.MAXIFS(Levels!E:E,Levels!B:B,A1632)</f>
        <v>3.81</v>
      </c>
      <c r="F1632" s="6">
        <f>_xlfn.MAXIFS(Levels!F:F,Levels!B:B,A1632)</f>
        <v>8.11</v>
      </c>
    </row>
    <row r="1633" spans="1:6" x14ac:dyDescent="0.3">
      <c r="A1633" t="s">
        <v>7419</v>
      </c>
      <c r="B1633" s="9">
        <f>COUNTIF(Levels!B:B,A1633)</f>
        <v>5</v>
      </c>
      <c r="C1633" s="9">
        <f>IFERROR(AVERAGEIF(Levels!B:B,A1633,Levels!E:E),0)</f>
        <v>11.366</v>
      </c>
      <c r="D1633" s="9">
        <f>IFERROR(AVERAGEIF(Levels!B:B,A1633,Levels!F:F),0)</f>
        <v>6.0140000000000002</v>
      </c>
      <c r="E1633" s="9">
        <f>_xlfn.MAXIFS(Levels!E:E,Levels!B:B,A1633)</f>
        <v>18</v>
      </c>
      <c r="F1633" s="9">
        <f>_xlfn.MAXIFS(Levels!F:F,Levels!B:B,A1633)</f>
        <v>7.29</v>
      </c>
    </row>
    <row r="1634" spans="1:6" x14ac:dyDescent="0.3">
      <c r="A1634" t="s">
        <v>7422</v>
      </c>
      <c r="B1634" s="6">
        <f>COUNTIF(Levels!B:B,A1634)</f>
        <v>4</v>
      </c>
      <c r="C1634" s="6">
        <f>IFERROR(AVERAGEIF(Levels!B:B,A1634,Levels!E:E),0)</f>
        <v>4.3474999999999993</v>
      </c>
      <c r="D1634" s="6">
        <f>IFERROR(AVERAGEIF(Levels!B:B,A1634,Levels!F:F),0)</f>
        <v>6.8525</v>
      </c>
      <c r="E1634" s="6">
        <f>_xlfn.MAXIFS(Levels!E:E,Levels!B:B,A1634)</f>
        <v>6</v>
      </c>
      <c r="F1634" s="6">
        <f>_xlfn.MAXIFS(Levels!F:F,Levels!B:B,A1634)</f>
        <v>7.25</v>
      </c>
    </row>
    <row r="1635" spans="1:6" x14ac:dyDescent="0.3">
      <c r="A1635" t="s">
        <v>7431</v>
      </c>
      <c r="B1635" s="9">
        <f>COUNTIF(Levels!B:B,A1635)</f>
        <v>1</v>
      </c>
      <c r="C1635" s="9">
        <f>IFERROR(AVERAGEIF(Levels!B:B,A1635,Levels!E:E),0)</f>
        <v>8.18</v>
      </c>
      <c r="D1635" s="9">
        <f>IFERROR(AVERAGEIF(Levels!B:B,A1635,Levels!F:F),0)</f>
        <v>7.5</v>
      </c>
      <c r="E1635" s="9">
        <f>_xlfn.MAXIFS(Levels!E:E,Levels!B:B,A1635)</f>
        <v>8.18</v>
      </c>
      <c r="F1635" s="9">
        <f>_xlfn.MAXIFS(Levels!F:F,Levels!B:B,A1635)</f>
        <v>7.5</v>
      </c>
    </row>
    <row r="1636" spans="1:6" x14ac:dyDescent="0.3">
      <c r="A1636" t="s">
        <v>7433</v>
      </c>
      <c r="B1636" s="6">
        <f>COUNTIF(Levels!B:B,A1636)</f>
        <v>1</v>
      </c>
      <c r="C1636" s="6">
        <f>IFERROR(AVERAGEIF(Levels!B:B,A1636,Levels!E:E),0)</f>
        <v>11.8</v>
      </c>
      <c r="D1636" s="6">
        <f>IFERROR(AVERAGEIF(Levels!B:B,A1636,Levels!F:F),0)</f>
        <v>5.78</v>
      </c>
      <c r="E1636" s="6">
        <f>_xlfn.MAXIFS(Levels!E:E,Levels!B:B,A1636)</f>
        <v>11.8</v>
      </c>
      <c r="F1636" s="6">
        <f>_xlfn.MAXIFS(Levels!F:F,Levels!B:B,A1636)</f>
        <v>5.78</v>
      </c>
    </row>
    <row r="1637" spans="1:6" x14ac:dyDescent="0.3">
      <c r="A1637" t="s">
        <v>7436</v>
      </c>
      <c r="B1637" s="9">
        <f>COUNTIF(Levels!B:B,A1637)</f>
        <v>10</v>
      </c>
      <c r="C1637" s="9">
        <f>IFERROR(AVERAGEIF(Levels!B:B,A1637,Levels!E:E),0)</f>
        <v>13.73875</v>
      </c>
      <c r="D1637" s="9">
        <f>IFERROR(AVERAGEIF(Levels!B:B,A1637,Levels!F:F),0)</f>
        <v>8.2288888888888909</v>
      </c>
      <c r="E1637" s="9">
        <f>_xlfn.MAXIFS(Levels!E:E,Levels!B:B,A1637)</f>
        <v>22.5</v>
      </c>
      <c r="F1637" s="9">
        <f>_xlfn.MAXIFS(Levels!F:F,Levels!B:B,A1637)</f>
        <v>9.11</v>
      </c>
    </row>
    <row r="1638" spans="1:6" x14ac:dyDescent="0.3">
      <c r="A1638" t="s">
        <v>7438</v>
      </c>
      <c r="B1638" s="6">
        <f>COUNTIF(Levels!B:B,A1638)</f>
        <v>1</v>
      </c>
      <c r="C1638" s="6">
        <f>IFERROR(AVERAGEIF(Levels!B:B,A1638,Levels!E:E),0)</f>
        <v>4.42</v>
      </c>
      <c r="D1638" s="6">
        <f>IFERROR(AVERAGEIF(Levels!B:B,A1638,Levels!F:F),0)</f>
        <v>5</v>
      </c>
      <c r="E1638" s="6">
        <f>_xlfn.MAXIFS(Levels!E:E,Levels!B:B,A1638)</f>
        <v>4.42</v>
      </c>
      <c r="F1638" s="6">
        <f>_xlfn.MAXIFS(Levels!F:F,Levels!B:B,A1638)</f>
        <v>5</v>
      </c>
    </row>
    <row r="1639" spans="1:6" x14ac:dyDescent="0.3">
      <c r="A1639" t="s">
        <v>7444</v>
      </c>
      <c r="B1639" s="9">
        <f>COUNTIF(Levels!B:B,A1639)</f>
        <v>2</v>
      </c>
      <c r="C1639" s="9">
        <f>IFERROR(AVERAGEIF(Levels!B:B,A1639,Levels!E:E),0)</f>
        <v>22.32</v>
      </c>
      <c r="D1639" s="9">
        <f>IFERROR(AVERAGEIF(Levels!B:B,A1639,Levels!F:F),0)</f>
        <v>7.83</v>
      </c>
      <c r="E1639" s="9">
        <f>_xlfn.MAXIFS(Levels!E:E,Levels!B:B,A1639)</f>
        <v>24.14</v>
      </c>
      <c r="F1639" s="9">
        <f>_xlfn.MAXIFS(Levels!F:F,Levels!B:B,A1639)</f>
        <v>8</v>
      </c>
    </row>
    <row r="1640" spans="1:6" x14ac:dyDescent="0.3">
      <c r="A1640" t="s">
        <v>7451</v>
      </c>
      <c r="B1640" s="6">
        <f>COUNTIF(Levels!B:B,A1640)</f>
        <v>1</v>
      </c>
      <c r="C1640" s="6">
        <f>IFERROR(AVERAGEIF(Levels!B:B,A1640,Levels!E:E),0)</f>
        <v>2.68</v>
      </c>
      <c r="D1640" s="6">
        <f>IFERROR(AVERAGEIF(Levels!B:B,A1640,Levels!F:F),0)</f>
        <v>5.64</v>
      </c>
      <c r="E1640" s="6">
        <f>_xlfn.MAXIFS(Levels!E:E,Levels!B:B,A1640)</f>
        <v>2.68</v>
      </c>
      <c r="F1640" s="6">
        <f>_xlfn.MAXIFS(Levels!F:F,Levels!B:B,A1640)</f>
        <v>5.64</v>
      </c>
    </row>
    <row r="1641" spans="1:6" x14ac:dyDescent="0.3">
      <c r="A1641" t="s">
        <v>7454</v>
      </c>
      <c r="B1641" s="9">
        <f>COUNTIF(Levels!B:B,A1641)</f>
        <v>1</v>
      </c>
      <c r="C1641" s="9">
        <f>IFERROR(AVERAGEIF(Levels!B:B,A1641,Levels!E:E),0)</f>
        <v>20.09</v>
      </c>
      <c r="D1641" s="9">
        <f>IFERROR(AVERAGEIF(Levels!B:B,A1641,Levels!F:F),0)</f>
        <v>8.19</v>
      </c>
      <c r="E1641" s="9">
        <f>_xlfn.MAXIFS(Levels!E:E,Levels!B:B,A1641)</f>
        <v>20.09</v>
      </c>
      <c r="F1641" s="9">
        <f>_xlfn.MAXIFS(Levels!F:F,Levels!B:B,A1641)</f>
        <v>8.19</v>
      </c>
    </row>
    <row r="1642" spans="1:6" x14ac:dyDescent="0.3">
      <c r="A1642" t="s">
        <v>7456</v>
      </c>
      <c r="B1642" s="6">
        <f>COUNTIF(Levels!B:B,A1642)</f>
        <v>4</v>
      </c>
      <c r="C1642" s="6">
        <f>IFERROR(AVERAGEIF(Levels!B:B,A1642,Levels!E:E),0)</f>
        <v>18.232500000000002</v>
      </c>
      <c r="D1642" s="6">
        <f>IFERROR(AVERAGEIF(Levels!B:B,A1642,Levels!F:F),0)</f>
        <v>6.5600000000000005</v>
      </c>
      <c r="E1642" s="6">
        <f>_xlfn.MAXIFS(Levels!E:E,Levels!B:B,A1642)</f>
        <v>32.67</v>
      </c>
      <c r="F1642" s="6">
        <f>_xlfn.MAXIFS(Levels!F:F,Levels!B:B,A1642)</f>
        <v>6.82</v>
      </c>
    </row>
    <row r="1643" spans="1:6" x14ac:dyDescent="0.3">
      <c r="A1643" t="s">
        <v>7460</v>
      </c>
      <c r="B1643" s="9">
        <f>COUNTIF(Levels!B:B,A1643)</f>
        <v>1</v>
      </c>
      <c r="C1643" s="9">
        <f>IFERROR(AVERAGEIF(Levels!B:B,A1643,Levels!E:E),0)</f>
        <v>18</v>
      </c>
      <c r="D1643" s="9">
        <f>IFERROR(AVERAGEIF(Levels!B:B,A1643,Levels!F:F),0)</f>
        <v>5</v>
      </c>
      <c r="E1643" s="9">
        <f>_xlfn.MAXIFS(Levels!E:E,Levels!B:B,A1643)</f>
        <v>18</v>
      </c>
      <c r="F1643" s="9">
        <f>_xlfn.MAXIFS(Levels!F:F,Levels!B:B,A1643)</f>
        <v>5</v>
      </c>
    </row>
    <row r="1644" spans="1:6" x14ac:dyDescent="0.3">
      <c r="A1644" t="s">
        <v>7462</v>
      </c>
      <c r="B1644" s="6">
        <f>COUNTIF(Levels!B:B,A1644)</f>
        <v>1</v>
      </c>
      <c r="C1644" s="6">
        <f>IFERROR(AVERAGEIF(Levels!B:B,A1644,Levels!E:E),0)</f>
        <v>3.17</v>
      </c>
      <c r="D1644" s="6">
        <f>IFERROR(AVERAGEIF(Levels!B:B,A1644,Levels!F:F),0)</f>
        <v>5.91</v>
      </c>
      <c r="E1644" s="6">
        <f>_xlfn.MAXIFS(Levels!E:E,Levels!B:B,A1644)</f>
        <v>3.17</v>
      </c>
      <c r="F1644" s="6">
        <f>_xlfn.MAXIFS(Levels!F:F,Levels!B:B,A1644)</f>
        <v>5.91</v>
      </c>
    </row>
    <row r="1645" spans="1:6" x14ac:dyDescent="0.3">
      <c r="A1645" t="s">
        <v>7464</v>
      </c>
      <c r="B1645" s="9">
        <f>COUNTIF(Levels!B:B,A1645)</f>
        <v>1</v>
      </c>
      <c r="C1645" s="9">
        <f>IFERROR(AVERAGEIF(Levels!B:B,A1645,Levels!E:E),0)</f>
        <v>14.43</v>
      </c>
      <c r="D1645" s="9">
        <f>IFERROR(AVERAGEIF(Levels!B:B,A1645,Levels!F:F),0)</f>
        <v>6.17</v>
      </c>
      <c r="E1645" s="9">
        <f>_xlfn.MAXIFS(Levels!E:E,Levels!B:B,A1645)</f>
        <v>14.43</v>
      </c>
      <c r="F1645" s="9">
        <f>_xlfn.MAXIFS(Levels!F:F,Levels!B:B,A1645)</f>
        <v>6.17</v>
      </c>
    </row>
    <row r="1646" spans="1:6" x14ac:dyDescent="0.3">
      <c r="A1646" t="s">
        <v>7476</v>
      </c>
      <c r="B1646" s="6">
        <f>COUNTIF(Levels!B:B,A1646)</f>
        <v>3</v>
      </c>
      <c r="C1646" s="6">
        <f>IFERROR(AVERAGEIF(Levels!B:B,A1646,Levels!E:E),0)</f>
        <v>3.9333333333333336</v>
      </c>
      <c r="D1646" s="6">
        <f>IFERROR(AVERAGEIF(Levels!B:B,A1646,Levels!F:F),0)</f>
        <v>6.5666666666666664</v>
      </c>
      <c r="E1646" s="6">
        <f>_xlfn.MAXIFS(Levels!E:E,Levels!B:B,A1646)</f>
        <v>4.9000000000000004</v>
      </c>
      <c r="F1646" s="6">
        <f>_xlfn.MAXIFS(Levels!F:F,Levels!B:B,A1646)</f>
        <v>7.19</v>
      </c>
    </row>
    <row r="1647" spans="1:6" x14ac:dyDescent="0.3">
      <c r="A1647" t="s">
        <v>7478</v>
      </c>
      <c r="B1647" s="9">
        <f>COUNTIF(Levels!B:B,A1647)</f>
        <v>1</v>
      </c>
      <c r="C1647" s="9">
        <f>IFERROR(AVERAGEIF(Levels!B:B,A1647,Levels!E:E),0)</f>
        <v>3.08</v>
      </c>
      <c r="D1647" s="9">
        <f>IFERROR(AVERAGEIF(Levels!B:B,A1647,Levels!F:F),0)</f>
        <v>6.33</v>
      </c>
      <c r="E1647" s="9">
        <f>_xlfn.MAXIFS(Levels!E:E,Levels!B:B,A1647)</f>
        <v>3.08</v>
      </c>
      <c r="F1647" s="9">
        <f>_xlfn.MAXIFS(Levels!F:F,Levels!B:B,A1647)</f>
        <v>6.33</v>
      </c>
    </row>
    <row r="1648" spans="1:6" x14ac:dyDescent="0.3">
      <c r="A1648" t="s">
        <v>7480</v>
      </c>
      <c r="B1648" s="6">
        <f>COUNTIF(Levels!B:B,A1648)</f>
        <v>3</v>
      </c>
      <c r="C1648" s="6">
        <f>IFERROR(AVERAGEIF(Levels!B:B,A1648,Levels!E:E),0)</f>
        <v>10.066666666666668</v>
      </c>
      <c r="D1648" s="6">
        <f>IFERROR(AVERAGEIF(Levels!B:B,A1648,Levels!F:F),0)</f>
        <v>6.413333333333334</v>
      </c>
      <c r="E1648" s="6">
        <f>_xlfn.MAXIFS(Levels!E:E,Levels!B:B,A1648)</f>
        <v>24.67</v>
      </c>
      <c r="F1648" s="6">
        <f>_xlfn.MAXIFS(Levels!F:F,Levels!B:B,A1648)</f>
        <v>7.24</v>
      </c>
    </row>
    <row r="1649" spans="1:6" x14ac:dyDescent="0.3">
      <c r="A1649" t="s">
        <v>7483</v>
      </c>
      <c r="B1649" s="9">
        <f>COUNTIF(Levels!B:B,A1649)</f>
        <v>1</v>
      </c>
      <c r="C1649" s="9">
        <f>IFERROR(AVERAGEIF(Levels!B:B,A1649,Levels!E:E),0)</f>
        <v>19</v>
      </c>
      <c r="D1649" s="9">
        <f>IFERROR(AVERAGEIF(Levels!B:B,A1649,Levels!F:F),0)</f>
        <v>7.75</v>
      </c>
      <c r="E1649" s="9">
        <f>_xlfn.MAXIFS(Levels!E:E,Levels!B:B,A1649)</f>
        <v>19</v>
      </c>
      <c r="F1649" s="9">
        <f>_xlfn.MAXIFS(Levels!F:F,Levels!B:B,A1649)</f>
        <v>7.75</v>
      </c>
    </row>
    <row r="1650" spans="1:6" x14ac:dyDescent="0.3">
      <c r="A1650" t="s">
        <v>7485</v>
      </c>
      <c r="B1650" s="6">
        <f>COUNTIF(Levels!B:B,A1650)</f>
        <v>1</v>
      </c>
      <c r="C1650" s="6">
        <f>IFERROR(AVERAGEIF(Levels!B:B,A1650,Levels!E:E),0)</f>
        <v>1.0900000000000001</v>
      </c>
      <c r="D1650" s="6">
        <f>IFERROR(AVERAGEIF(Levels!B:B,A1650,Levels!F:F),0)</f>
        <v>6.79</v>
      </c>
      <c r="E1650" s="6">
        <f>_xlfn.MAXIFS(Levels!E:E,Levels!B:B,A1650)</f>
        <v>1.0900000000000001</v>
      </c>
      <c r="F1650" s="6">
        <f>_xlfn.MAXIFS(Levels!F:F,Levels!B:B,A1650)</f>
        <v>6.79</v>
      </c>
    </row>
    <row r="1651" spans="1:6" x14ac:dyDescent="0.3">
      <c r="A1651" t="s">
        <v>7490</v>
      </c>
      <c r="B1651" s="9">
        <f>COUNTIF(Levels!B:B,A1651)</f>
        <v>2</v>
      </c>
      <c r="C1651" s="9">
        <f>IFERROR(AVERAGEIF(Levels!B:B,A1651,Levels!E:E),0)</f>
        <v>2.915</v>
      </c>
      <c r="D1651" s="9">
        <f>IFERROR(AVERAGEIF(Levels!B:B,A1651,Levels!F:F),0)</f>
        <v>7.59</v>
      </c>
      <c r="E1651" s="9">
        <f>_xlfn.MAXIFS(Levels!E:E,Levels!B:B,A1651)</f>
        <v>3.67</v>
      </c>
      <c r="F1651" s="9">
        <f>_xlfn.MAXIFS(Levels!F:F,Levels!B:B,A1651)</f>
        <v>7.67</v>
      </c>
    </row>
    <row r="1652" spans="1:6" x14ac:dyDescent="0.3">
      <c r="A1652" t="s">
        <v>7494</v>
      </c>
      <c r="B1652" s="6">
        <f>COUNTIF(Levels!B:B,A1652)</f>
        <v>6</v>
      </c>
      <c r="C1652" s="6">
        <f>IFERROR(AVERAGEIF(Levels!B:B,A1652,Levels!E:E),0)</f>
        <v>6.3900000000000006</v>
      </c>
      <c r="D1652" s="6">
        <f>IFERROR(AVERAGEIF(Levels!B:B,A1652,Levels!F:F),0)</f>
        <v>6.875</v>
      </c>
      <c r="E1652" s="6">
        <f>_xlfn.MAXIFS(Levels!E:E,Levels!B:B,A1652)</f>
        <v>13.56</v>
      </c>
      <c r="F1652" s="6">
        <f>_xlfn.MAXIFS(Levels!F:F,Levels!B:B,A1652)</f>
        <v>7.33</v>
      </c>
    </row>
    <row r="1653" spans="1:6" x14ac:dyDescent="0.3">
      <c r="A1653" t="s">
        <v>7501</v>
      </c>
      <c r="B1653" s="9">
        <f>COUNTIF(Levels!B:B,A1653)</f>
        <v>3</v>
      </c>
      <c r="C1653" s="9">
        <f>IFERROR(AVERAGEIF(Levels!B:B,A1653,Levels!E:E),0)</f>
        <v>3.456666666666667</v>
      </c>
      <c r="D1653" s="9">
        <f>IFERROR(AVERAGEIF(Levels!B:B,A1653,Levels!F:F),0)</f>
        <v>6.9733333333333336</v>
      </c>
      <c r="E1653" s="9">
        <f>_xlfn.MAXIFS(Levels!E:E,Levels!B:B,A1653)</f>
        <v>5.44</v>
      </c>
      <c r="F1653" s="9">
        <f>_xlfn.MAXIFS(Levels!F:F,Levels!B:B,A1653)</f>
        <v>7.23</v>
      </c>
    </row>
    <row r="1654" spans="1:6" x14ac:dyDescent="0.3">
      <c r="A1654" t="s">
        <v>7504</v>
      </c>
      <c r="B1654" s="6">
        <f>COUNTIF(Levels!B:B,A1654)</f>
        <v>3</v>
      </c>
      <c r="C1654" s="6">
        <f>IFERROR(AVERAGEIF(Levels!B:B,A1654,Levels!E:E),0)</f>
        <v>11.296666666666667</v>
      </c>
      <c r="D1654" s="6">
        <f>IFERROR(AVERAGEIF(Levels!B:B,A1654,Levels!F:F),0)</f>
        <v>6.580000000000001</v>
      </c>
      <c r="E1654" s="6">
        <f>_xlfn.MAXIFS(Levels!E:E,Levels!B:B,A1654)</f>
        <v>31</v>
      </c>
      <c r="F1654" s="6">
        <f>_xlfn.MAXIFS(Levels!F:F,Levels!B:B,A1654)</f>
        <v>7.42</v>
      </c>
    </row>
    <row r="1655" spans="1:6" x14ac:dyDescent="0.3">
      <c r="A1655" t="s">
        <v>7506</v>
      </c>
      <c r="B1655" s="9">
        <f>COUNTIF(Levels!B:B,A1655)</f>
        <v>1</v>
      </c>
      <c r="C1655" s="9">
        <f>IFERROR(AVERAGEIF(Levels!B:B,A1655,Levels!E:E),0)</f>
        <v>3.41</v>
      </c>
      <c r="D1655" s="9">
        <f>IFERROR(AVERAGEIF(Levels!B:B,A1655,Levels!F:F),0)</f>
        <v>6.77</v>
      </c>
      <c r="E1655" s="9">
        <f>_xlfn.MAXIFS(Levels!E:E,Levels!B:B,A1655)</f>
        <v>3.41</v>
      </c>
      <c r="F1655" s="9">
        <f>_xlfn.MAXIFS(Levels!F:F,Levels!B:B,A1655)</f>
        <v>6.77</v>
      </c>
    </row>
    <row r="1656" spans="1:6" x14ac:dyDescent="0.3">
      <c r="A1656" t="s">
        <v>7509</v>
      </c>
      <c r="B1656" s="6">
        <f>COUNTIF(Levels!B:B,A1656)</f>
        <v>1</v>
      </c>
      <c r="C1656" s="6">
        <f>IFERROR(AVERAGEIF(Levels!B:B,A1656,Levels!E:E),0)</f>
        <v>5.08</v>
      </c>
      <c r="D1656" s="6">
        <f>IFERROR(AVERAGEIF(Levels!B:B,A1656,Levels!F:F),0)</f>
        <v>5.13</v>
      </c>
      <c r="E1656" s="6">
        <f>_xlfn.MAXIFS(Levels!E:E,Levels!B:B,A1656)</f>
        <v>5.08</v>
      </c>
      <c r="F1656" s="6">
        <f>_xlfn.MAXIFS(Levels!F:F,Levels!B:B,A1656)</f>
        <v>5.13</v>
      </c>
    </row>
    <row r="1657" spans="1:6" x14ac:dyDescent="0.3">
      <c r="A1657" t="s">
        <v>7523</v>
      </c>
      <c r="B1657" s="9">
        <f>COUNTIF(Levels!B:B,A1657)</f>
        <v>9</v>
      </c>
      <c r="C1657" s="9">
        <f>IFERROR(AVERAGEIF(Levels!B:B,A1657,Levels!E:E),0)</f>
        <v>7.2522222222222217</v>
      </c>
      <c r="D1657" s="9">
        <f>IFERROR(AVERAGEIF(Levels!B:B,A1657,Levels!F:F),0)</f>
        <v>6.6188888888888897</v>
      </c>
      <c r="E1657" s="9">
        <f>_xlfn.MAXIFS(Levels!E:E,Levels!B:B,A1657)</f>
        <v>18.54</v>
      </c>
      <c r="F1657" s="9">
        <f>_xlfn.MAXIFS(Levels!F:F,Levels!B:B,A1657)</f>
        <v>8.09</v>
      </c>
    </row>
    <row r="1658" spans="1:6" x14ac:dyDescent="0.3">
      <c r="A1658" t="s">
        <v>7527</v>
      </c>
      <c r="B1658" s="6">
        <f>COUNTIF(Levels!B:B,A1658)</f>
        <v>4</v>
      </c>
      <c r="C1658" s="6">
        <f>IFERROR(AVERAGEIF(Levels!B:B,A1658,Levels!E:E),0)</f>
        <v>5.0475000000000003</v>
      </c>
      <c r="D1658" s="6">
        <f>IFERROR(AVERAGEIF(Levels!B:B,A1658,Levels!F:F),0)</f>
        <v>7.5075000000000003</v>
      </c>
      <c r="E1658" s="6">
        <f>_xlfn.MAXIFS(Levels!E:E,Levels!B:B,A1658)</f>
        <v>7.33</v>
      </c>
      <c r="F1658" s="6">
        <f>_xlfn.MAXIFS(Levels!F:F,Levels!B:B,A1658)</f>
        <v>8.1300000000000008</v>
      </c>
    </row>
    <row r="1659" spans="1:6" x14ac:dyDescent="0.3">
      <c r="A1659" t="s">
        <v>7530</v>
      </c>
      <c r="B1659" s="9">
        <f>COUNTIF(Levels!B:B,A1659)</f>
        <v>4</v>
      </c>
      <c r="C1659" s="9">
        <f>IFERROR(AVERAGEIF(Levels!B:B,A1659,Levels!E:E),0)</f>
        <v>11.605</v>
      </c>
      <c r="D1659" s="9">
        <f>IFERROR(AVERAGEIF(Levels!B:B,A1659,Levels!F:F),0)</f>
        <v>6.0150000000000006</v>
      </c>
      <c r="E1659" s="9">
        <f>_xlfn.MAXIFS(Levels!E:E,Levels!B:B,A1659)</f>
        <v>21.25</v>
      </c>
      <c r="F1659" s="9">
        <f>_xlfn.MAXIFS(Levels!F:F,Levels!B:B,A1659)</f>
        <v>6.96</v>
      </c>
    </row>
    <row r="1660" spans="1:6" x14ac:dyDescent="0.3">
      <c r="A1660" t="s">
        <v>7532</v>
      </c>
      <c r="B1660" s="6">
        <f>COUNTIF(Levels!B:B,A1660)</f>
        <v>1</v>
      </c>
      <c r="C1660" s="6">
        <f>IFERROR(AVERAGEIF(Levels!B:B,A1660,Levels!E:E),0)</f>
        <v>11.22</v>
      </c>
      <c r="D1660" s="6">
        <f>IFERROR(AVERAGEIF(Levels!B:B,A1660,Levels!F:F),0)</f>
        <v>7.55</v>
      </c>
      <c r="E1660" s="6">
        <f>_xlfn.MAXIFS(Levels!E:E,Levels!B:B,A1660)</f>
        <v>11.22</v>
      </c>
      <c r="F1660" s="6">
        <f>_xlfn.MAXIFS(Levels!F:F,Levels!B:B,A1660)</f>
        <v>7.55</v>
      </c>
    </row>
    <row r="1661" spans="1:6" x14ac:dyDescent="0.3">
      <c r="A1661" t="s">
        <v>7534</v>
      </c>
      <c r="B1661" s="9">
        <f>COUNTIF(Levels!B:B,A1661)</f>
        <v>5</v>
      </c>
      <c r="C1661" s="9">
        <f>IFERROR(AVERAGEIF(Levels!B:B,A1661,Levels!E:E),0)</f>
        <v>17.252500000000001</v>
      </c>
      <c r="D1661" s="9">
        <f>IFERROR(AVERAGEIF(Levels!B:B,A1661,Levels!F:F),0)</f>
        <v>6.98</v>
      </c>
      <c r="E1661" s="9">
        <f>_xlfn.MAXIFS(Levels!E:E,Levels!B:B,A1661)</f>
        <v>26.67</v>
      </c>
      <c r="F1661" s="9">
        <f>_xlfn.MAXIFS(Levels!F:F,Levels!B:B,A1661)</f>
        <v>8</v>
      </c>
    </row>
    <row r="1662" spans="1:6" x14ac:dyDescent="0.3">
      <c r="A1662" t="s">
        <v>7540</v>
      </c>
      <c r="B1662" s="6">
        <f>COUNTIF(Levels!B:B,A1662)</f>
        <v>2</v>
      </c>
      <c r="C1662" s="6">
        <f>IFERROR(AVERAGEIF(Levels!B:B,A1662,Levels!E:E),0)</f>
        <v>17.240000000000002</v>
      </c>
      <c r="D1662" s="6">
        <f>IFERROR(AVERAGEIF(Levels!B:B,A1662,Levels!F:F),0)</f>
        <v>5.8900000000000006</v>
      </c>
      <c r="E1662" s="6">
        <f>_xlfn.MAXIFS(Levels!E:E,Levels!B:B,A1662)</f>
        <v>19.68</v>
      </c>
      <c r="F1662" s="6">
        <f>_xlfn.MAXIFS(Levels!F:F,Levels!B:B,A1662)</f>
        <v>6.11</v>
      </c>
    </row>
    <row r="1663" spans="1:6" x14ac:dyDescent="0.3">
      <c r="A1663" t="s">
        <v>7544</v>
      </c>
      <c r="B1663" s="9">
        <f>COUNTIF(Levels!B:B,A1663)</f>
        <v>1</v>
      </c>
      <c r="C1663" s="9">
        <f>IFERROR(AVERAGEIF(Levels!B:B,A1663,Levels!E:E),0)</f>
        <v>22.38</v>
      </c>
      <c r="D1663" s="9">
        <f>IFERROR(AVERAGEIF(Levels!B:B,A1663,Levels!F:F),0)</f>
        <v>6.2</v>
      </c>
      <c r="E1663" s="9">
        <f>_xlfn.MAXIFS(Levels!E:E,Levels!B:B,A1663)</f>
        <v>22.38</v>
      </c>
      <c r="F1663" s="9">
        <f>_xlfn.MAXIFS(Levels!F:F,Levels!B:B,A1663)</f>
        <v>6.2</v>
      </c>
    </row>
    <row r="1664" spans="1:6" x14ac:dyDescent="0.3">
      <c r="A1664" t="s">
        <v>7545</v>
      </c>
      <c r="B1664" s="6">
        <f>COUNTIF(Levels!B:B,A1664)</f>
        <v>5</v>
      </c>
      <c r="C1664" s="6">
        <f>IFERROR(AVERAGEIF(Levels!B:B,A1664,Levels!E:E),0)</f>
        <v>14.044</v>
      </c>
      <c r="D1664" s="6">
        <f>IFERROR(AVERAGEIF(Levels!B:B,A1664,Levels!F:F),0)</f>
        <v>5.5520000000000005</v>
      </c>
      <c r="E1664" s="6">
        <f>_xlfn.MAXIFS(Levels!E:E,Levels!B:B,A1664)</f>
        <v>32</v>
      </c>
      <c r="F1664" s="6">
        <f>_xlfn.MAXIFS(Levels!F:F,Levels!B:B,A1664)</f>
        <v>6.41</v>
      </c>
    </row>
    <row r="1665" spans="1:6" x14ac:dyDescent="0.3">
      <c r="A1665" t="s">
        <v>7549</v>
      </c>
      <c r="B1665" s="9">
        <f>COUNTIF(Levels!B:B,A1665)</f>
        <v>1</v>
      </c>
      <c r="C1665" s="9">
        <f>IFERROR(AVERAGEIF(Levels!B:B,A1665,Levels!E:E),0)</f>
        <v>21.68</v>
      </c>
      <c r="D1665" s="9">
        <f>IFERROR(AVERAGEIF(Levels!B:B,A1665,Levels!F:F),0)</f>
        <v>7.08</v>
      </c>
      <c r="E1665" s="9">
        <f>_xlfn.MAXIFS(Levels!E:E,Levels!B:B,A1665)</f>
        <v>21.68</v>
      </c>
      <c r="F1665" s="9">
        <f>_xlfn.MAXIFS(Levels!F:F,Levels!B:B,A1665)</f>
        <v>7.08</v>
      </c>
    </row>
    <row r="1666" spans="1:6" x14ac:dyDescent="0.3">
      <c r="A1666" t="s">
        <v>7556</v>
      </c>
      <c r="B1666" s="6">
        <f>COUNTIF(Levels!B:B,A1666)</f>
        <v>1</v>
      </c>
      <c r="C1666" s="6">
        <f>IFERROR(AVERAGEIF(Levels!B:B,A1666,Levels!E:E),0)</f>
        <v>6.4</v>
      </c>
      <c r="D1666" s="6">
        <f>IFERROR(AVERAGEIF(Levels!B:B,A1666,Levels!F:F),0)</f>
        <v>2</v>
      </c>
      <c r="E1666" s="6">
        <f>_xlfn.MAXIFS(Levels!E:E,Levels!B:B,A1666)</f>
        <v>6.4</v>
      </c>
      <c r="F1666" s="6">
        <f>_xlfn.MAXIFS(Levels!F:F,Levels!B:B,A1666)</f>
        <v>2</v>
      </c>
    </row>
    <row r="1667" spans="1:6" x14ac:dyDescent="0.3">
      <c r="A1667" t="s">
        <v>7563</v>
      </c>
      <c r="B1667" s="9">
        <f>COUNTIF(Levels!B:B,A1667)</f>
        <v>6</v>
      </c>
      <c r="C1667" s="9">
        <f>IFERROR(AVERAGEIF(Levels!B:B,A1667,Levels!E:E),0)</f>
        <v>14.638333333333334</v>
      </c>
      <c r="D1667" s="9">
        <f>IFERROR(AVERAGEIF(Levels!B:B,A1667,Levels!F:F),0)</f>
        <v>7.1333333333333337</v>
      </c>
      <c r="E1667" s="9">
        <f>_xlfn.MAXIFS(Levels!E:E,Levels!B:B,A1667)</f>
        <v>24.13</v>
      </c>
      <c r="F1667" s="9">
        <f>_xlfn.MAXIFS(Levels!F:F,Levels!B:B,A1667)</f>
        <v>8.36</v>
      </c>
    </row>
    <row r="1668" spans="1:6" x14ac:dyDescent="0.3">
      <c r="A1668" t="s">
        <v>7566</v>
      </c>
      <c r="B1668" s="6">
        <f>COUNTIF(Levels!B:B,A1668)</f>
        <v>1</v>
      </c>
      <c r="C1668" s="6">
        <f>IFERROR(AVERAGEIF(Levels!B:B,A1668,Levels!E:E),0)</f>
        <v>15.8</v>
      </c>
      <c r="D1668" s="6">
        <f>IFERROR(AVERAGEIF(Levels!B:B,A1668,Levels!F:F),0)</f>
        <v>5.43</v>
      </c>
      <c r="E1668" s="6">
        <f>_xlfn.MAXIFS(Levels!E:E,Levels!B:B,A1668)</f>
        <v>15.8</v>
      </c>
      <c r="F1668" s="6">
        <f>_xlfn.MAXIFS(Levels!F:F,Levels!B:B,A1668)</f>
        <v>5.43</v>
      </c>
    </row>
    <row r="1669" spans="1:6" x14ac:dyDescent="0.3">
      <c r="A1669" t="s">
        <v>7568</v>
      </c>
      <c r="B1669" s="9">
        <f>COUNTIF(Levels!B:B,A1669)</f>
        <v>3</v>
      </c>
      <c r="C1669" s="9">
        <f>IFERROR(AVERAGEIF(Levels!B:B,A1669,Levels!E:E),0)</f>
        <v>33.39</v>
      </c>
      <c r="D1669" s="9">
        <f>IFERROR(AVERAGEIF(Levels!B:B,A1669,Levels!F:F),0)</f>
        <v>8.0549999999999997</v>
      </c>
      <c r="E1669" s="9">
        <f>_xlfn.MAXIFS(Levels!E:E,Levels!B:B,A1669)</f>
        <v>34</v>
      </c>
      <c r="F1669" s="9">
        <f>_xlfn.MAXIFS(Levels!F:F,Levels!B:B,A1669)</f>
        <v>8.11</v>
      </c>
    </row>
    <row r="1670" spans="1:6" x14ac:dyDescent="0.3">
      <c r="A1670" t="s">
        <v>7578</v>
      </c>
      <c r="B1670" s="6">
        <f>COUNTIF(Levels!B:B,A1670)</f>
        <v>4</v>
      </c>
      <c r="C1670" s="6">
        <f>IFERROR(AVERAGEIF(Levels!B:B,A1670,Levels!E:E),0)</f>
        <v>6.4525000000000006</v>
      </c>
      <c r="D1670" s="6">
        <f>IFERROR(AVERAGEIF(Levels!B:B,A1670,Levels!F:F),0)</f>
        <v>7.41</v>
      </c>
      <c r="E1670" s="6">
        <f>_xlfn.MAXIFS(Levels!E:E,Levels!B:B,A1670)</f>
        <v>11.63</v>
      </c>
      <c r="F1670" s="6">
        <f>_xlfn.MAXIFS(Levels!F:F,Levels!B:B,A1670)</f>
        <v>8.25</v>
      </c>
    </row>
    <row r="1671" spans="1:6" x14ac:dyDescent="0.3">
      <c r="A1671" t="s">
        <v>7580</v>
      </c>
      <c r="B1671" s="9">
        <f>COUNTIF(Levels!B:B,A1671)</f>
        <v>1</v>
      </c>
      <c r="C1671" s="9">
        <f>IFERROR(AVERAGEIF(Levels!B:B,A1671,Levels!E:E),0)</f>
        <v>10.33</v>
      </c>
      <c r="D1671" s="9">
        <f>IFERROR(AVERAGEIF(Levels!B:B,A1671,Levels!F:F),0)</f>
        <v>6.6</v>
      </c>
      <c r="E1671" s="9">
        <f>_xlfn.MAXIFS(Levels!E:E,Levels!B:B,A1671)</f>
        <v>10.33</v>
      </c>
      <c r="F1671" s="9">
        <f>_xlfn.MAXIFS(Levels!F:F,Levels!B:B,A1671)</f>
        <v>6.6</v>
      </c>
    </row>
    <row r="1672" spans="1:6" x14ac:dyDescent="0.3">
      <c r="A1672" t="s">
        <v>7582</v>
      </c>
      <c r="B1672" s="6">
        <f>COUNTIF(Levels!B:B,A1672)</f>
        <v>3</v>
      </c>
      <c r="C1672" s="6">
        <f>IFERROR(AVERAGEIF(Levels!B:B,A1672,Levels!E:E),0)</f>
        <v>1.365</v>
      </c>
      <c r="D1672" s="6">
        <f>IFERROR(AVERAGEIF(Levels!B:B,A1672,Levels!F:F),0)</f>
        <v>6.7133333333333338</v>
      </c>
      <c r="E1672" s="6">
        <f>_xlfn.MAXIFS(Levels!E:E,Levels!B:B,A1672)</f>
        <v>1.67</v>
      </c>
      <c r="F1672" s="6">
        <f>_xlfn.MAXIFS(Levels!F:F,Levels!B:B,A1672)</f>
        <v>7.3</v>
      </c>
    </row>
    <row r="1673" spans="1:6" x14ac:dyDescent="0.3">
      <c r="A1673" t="s">
        <v>7585</v>
      </c>
      <c r="B1673" s="9">
        <f>COUNTIF(Levels!B:B,A1673)</f>
        <v>3</v>
      </c>
      <c r="C1673" s="9">
        <f>IFERROR(AVERAGEIF(Levels!B:B,A1673,Levels!E:E),0)</f>
        <v>13.133333333333335</v>
      </c>
      <c r="D1673" s="9">
        <f>IFERROR(AVERAGEIF(Levels!B:B,A1673,Levels!F:F),0)</f>
        <v>7.4333333333333327</v>
      </c>
      <c r="E1673" s="9">
        <f>_xlfn.MAXIFS(Levels!E:E,Levels!B:B,A1673)</f>
        <v>17.71</v>
      </c>
      <c r="F1673" s="9">
        <f>_xlfn.MAXIFS(Levels!F:F,Levels!B:B,A1673)</f>
        <v>8.19</v>
      </c>
    </row>
    <row r="1674" spans="1:6" x14ac:dyDescent="0.3">
      <c r="A1674" t="s">
        <v>7588</v>
      </c>
      <c r="B1674" s="6">
        <f>COUNTIF(Levels!B:B,A1674)</f>
        <v>2</v>
      </c>
      <c r="C1674" s="6">
        <f>IFERROR(AVERAGEIF(Levels!B:B,A1674,Levels!E:E),0)</f>
        <v>7.01</v>
      </c>
      <c r="D1674" s="6">
        <f>IFERROR(AVERAGEIF(Levels!B:B,A1674,Levels!F:F),0)</f>
        <v>7.08</v>
      </c>
      <c r="E1674" s="6">
        <f>_xlfn.MAXIFS(Levels!E:E,Levels!B:B,A1674)</f>
        <v>7.01</v>
      </c>
      <c r="F1674" s="6">
        <f>_xlfn.MAXIFS(Levels!F:F,Levels!B:B,A1674)</f>
        <v>7.08</v>
      </c>
    </row>
    <row r="1675" spans="1:6" x14ac:dyDescent="0.3">
      <c r="A1675" t="s">
        <v>7590</v>
      </c>
      <c r="B1675" s="9">
        <f>COUNTIF(Levels!B:B,A1675)</f>
        <v>1</v>
      </c>
      <c r="C1675" s="9">
        <f>IFERROR(AVERAGEIF(Levels!B:B,A1675,Levels!E:E),0)</f>
        <v>7.9</v>
      </c>
      <c r="D1675" s="9">
        <f>IFERROR(AVERAGEIF(Levels!B:B,A1675,Levels!F:F),0)</f>
        <v>7.41</v>
      </c>
      <c r="E1675" s="9">
        <f>_xlfn.MAXIFS(Levels!E:E,Levels!B:B,A1675)</f>
        <v>7.9</v>
      </c>
      <c r="F1675" s="9">
        <f>_xlfn.MAXIFS(Levels!F:F,Levels!B:B,A1675)</f>
        <v>7.41</v>
      </c>
    </row>
    <row r="1676" spans="1:6" x14ac:dyDescent="0.3">
      <c r="A1676" t="s">
        <v>7592</v>
      </c>
      <c r="B1676" s="6">
        <f>COUNTIF(Levels!B:B,A1676)</f>
        <v>3</v>
      </c>
      <c r="C1676" s="6">
        <f>IFERROR(AVERAGEIF(Levels!B:B,A1676,Levels!E:E),0)</f>
        <v>23.603333333333335</v>
      </c>
      <c r="D1676" s="6">
        <f>IFERROR(AVERAGEIF(Levels!B:B,A1676,Levels!F:F),0)</f>
        <v>7.6766666666666667</v>
      </c>
      <c r="E1676" s="6">
        <f>_xlfn.MAXIFS(Levels!E:E,Levels!B:B,A1676)</f>
        <v>33</v>
      </c>
      <c r="F1676" s="6">
        <f>_xlfn.MAXIFS(Levels!F:F,Levels!B:B,A1676)</f>
        <v>8</v>
      </c>
    </row>
    <row r="1677" spans="1:6" x14ac:dyDescent="0.3">
      <c r="A1677" t="s">
        <v>7595</v>
      </c>
      <c r="B1677" s="9">
        <f>COUNTIF(Levels!B:B,A1677)</f>
        <v>1</v>
      </c>
      <c r="C1677" s="9">
        <f>IFERROR(AVERAGEIF(Levels!B:B,A1677,Levels!E:E),0)</f>
        <v>21</v>
      </c>
      <c r="D1677" s="9">
        <f>IFERROR(AVERAGEIF(Levels!B:B,A1677,Levels!F:F),0)</f>
        <v>7.4</v>
      </c>
      <c r="E1677" s="9">
        <f>_xlfn.MAXIFS(Levels!E:E,Levels!B:B,A1677)</f>
        <v>21</v>
      </c>
      <c r="F1677" s="9">
        <f>_xlfn.MAXIFS(Levels!F:F,Levels!B:B,A1677)</f>
        <v>7.4</v>
      </c>
    </row>
    <row r="1678" spans="1:6" x14ac:dyDescent="0.3">
      <c r="A1678" t="s">
        <v>7604</v>
      </c>
      <c r="B1678" s="6">
        <f>COUNTIF(Levels!B:B,A1678)</f>
        <v>27</v>
      </c>
      <c r="C1678" s="6">
        <f>IFERROR(AVERAGEIF(Levels!B:B,A1678,Levels!E:E),0)</f>
        <v>11.783703703703704</v>
      </c>
      <c r="D1678" s="6">
        <f>IFERROR(AVERAGEIF(Levels!B:B,A1678,Levels!F:F),0)</f>
        <v>7.7925925925925927</v>
      </c>
      <c r="E1678" s="6">
        <f>_xlfn.MAXIFS(Levels!E:E,Levels!B:B,A1678)</f>
        <v>33</v>
      </c>
      <c r="F1678" s="6">
        <f>_xlfn.MAXIFS(Levels!F:F,Levels!B:B,A1678)</f>
        <v>9.17</v>
      </c>
    </row>
    <row r="1679" spans="1:6" x14ac:dyDescent="0.3">
      <c r="A1679" t="s">
        <v>7609</v>
      </c>
      <c r="B1679" s="9">
        <f>COUNTIF(Levels!B:B,A1679)</f>
        <v>1</v>
      </c>
      <c r="C1679" s="9">
        <f>IFERROR(AVERAGEIF(Levels!B:B,A1679,Levels!E:E),0)</f>
        <v>8</v>
      </c>
      <c r="D1679" s="9">
        <f>IFERROR(AVERAGEIF(Levels!B:B,A1679,Levels!F:F),0)</f>
        <v>5</v>
      </c>
      <c r="E1679" s="9">
        <f>_xlfn.MAXIFS(Levels!E:E,Levels!B:B,A1679)</f>
        <v>8</v>
      </c>
      <c r="F1679" s="9">
        <f>_xlfn.MAXIFS(Levels!F:F,Levels!B:B,A1679)</f>
        <v>5</v>
      </c>
    </row>
    <row r="1680" spans="1:6" x14ac:dyDescent="0.3">
      <c r="A1680" t="s">
        <v>7612</v>
      </c>
      <c r="B1680" s="6">
        <f>COUNTIF(Levels!B:B,A1680)</f>
        <v>2</v>
      </c>
      <c r="C1680" s="6">
        <f>IFERROR(AVERAGEIF(Levels!B:B,A1680,Levels!E:E),0)</f>
        <v>1.9350000000000001</v>
      </c>
      <c r="D1680" s="6">
        <f>IFERROR(AVERAGEIF(Levels!B:B,A1680,Levels!F:F),0)</f>
        <v>6.32</v>
      </c>
      <c r="E1680" s="6">
        <f>_xlfn.MAXIFS(Levels!E:E,Levels!B:B,A1680)</f>
        <v>2.2200000000000002</v>
      </c>
      <c r="F1680" s="6">
        <f>_xlfn.MAXIFS(Levels!F:F,Levels!B:B,A1680)</f>
        <v>6.94</v>
      </c>
    </row>
    <row r="1681" spans="1:6" x14ac:dyDescent="0.3">
      <c r="A1681" t="s">
        <v>7614</v>
      </c>
      <c r="B1681" s="9">
        <f>COUNTIF(Levels!B:B,A1681)</f>
        <v>1</v>
      </c>
      <c r="C1681" s="9">
        <f>IFERROR(AVERAGEIF(Levels!B:B,A1681,Levels!E:E),0)</f>
        <v>13.46</v>
      </c>
      <c r="D1681" s="9">
        <f>IFERROR(AVERAGEIF(Levels!B:B,A1681,Levels!F:F),0)</f>
        <v>7.27</v>
      </c>
      <c r="E1681" s="9">
        <f>_xlfn.MAXIFS(Levels!E:E,Levels!B:B,A1681)</f>
        <v>13.46</v>
      </c>
      <c r="F1681" s="9">
        <f>_xlfn.MAXIFS(Levels!F:F,Levels!B:B,A1681)</f>
        <v>7.27</v>
      </c>
    </row>
    <row r="1682" spans="1:6" x14ac:dyDescent="0.3">
      <c r="A1682" t="s">
        <v>7616</v>
      </c>
      <c r="B1682" s="6">
        <f>COUNTIF(Levels!B:B,A1682)</f>
        <v>1</v>
      </c>
      <c r="C1682" s="6">
        <f>IFERROR(AVERAGEIF(Levels!B:B,A1682,Levels!E:E),0)</f>
        <v>11.57</v>
      </c>
      <c r="D1682" s="6">
        <f>IFERROR(AVERAGEIF(Levels!B:B,A1682,Levels!F:F),0)</f>
        <v>3.86</v>
      </c>
      <c r="E1682" s="6">
        <f>_xlfn.MAXIFS(Levels!E:E,Levels!B:B,A1682)</f>
        <v>11.57</v>
      </c>
      <c r="F1682" s="6">
        <f>_xlfn.MAXIFS(Levels!F:F,Levels!B:B,A1682)</f>
        <v>3.86</v>
      </c>
    </row>
    <row r="1683" spans="1:6" x14ac:dyDescent="0.3">
      <c r="A1683" t="s">
        <v>7624</v>
      </c>
      <c r="B1683" s="9">
        <f>COUNTIF(Levels!B:B,A1683)</f>
        <v>3</v>
      </c>
      <c r="C1683" s="9">
        <f>IFERROR(AVERAGEIF(Levels!B:B,A1683,Levels!E:E),0)</f>
        <v>4.833333333333333</v>
      </c>
      <c r="D1683" s="9">
        <f>IFERROR(AVERAGEIF(Levels!B:B,A1683,Levels!F:F),0)</f>
        <v>5.2166666666666659</v>
      </c>
      <c r="E1683" s="9">
        <f>_xlfn.MAXIFS(Levels!E:E,Levels!B:B,A1683)</f>
        <v>6.88</v>
      </c>
      <c r="F1683" s="9">
        <f>_xlfn.MAXIFS(Levels!F:F,Levels!B:B,A1683)</f>
        <v>5.67</v>
      </c>
    </row>
    <row r="1684" spans="1:6" x14ac:dyDescent="0.3">
      <c r="A1684" t="s">
        <v>7626</v>
      </c>
      <c r="B1684" s="6">
        <f>COUNTIF(Levels!B:B,A1684)</f>
        <v>5</v>
      </c>
      <c r="C1684" s="6">
        <f>IFERROR(AVERAGEIF(Levels!B:B,A1684,Levels!E:E),0)</f>
        <v>9.3324999999999996</v>
      </c>
      <c r="D1684" s="6">
        <f>IFERROR(AVERAGEIF(Levels!B:B,A1684,Levels!F:F),0)</f>
        <v>6.2359999999999998</v>
      </c>
      <c r="E1684" s="6">
        <f>_xlfn.MAXIFS(Levels!E:E,Levels!B:B,A1684)</f>
        <v>14.86</v>
      </c>
      <c r="F1684" s="6">
        <f>_xlfn.MAXIFS(Levels!F:F,Levels!B:B,A1684)</f>
        <v>7.5</v>
      </c>
    </row>
    <row r="1685" spans="1:6" x14ac:dyDescent="0.3">
      <c r="A1685" t="s">
        <v>7627</v>
      </c>
      <c r="B1685" s="9">
        <f>COUNTIF(Levels!B:B,A1685)</f>
        <v>1</v>
      </c>
      <c r="C1685" s="9">
        <f>IFERROR(AVERAGEIF(Levels!B:B,A1685,Levels!E:E),0)</f>
        <v>6.37</v>
      </c>
      <c r="D1685" s="9">
        <f>IFERROR(AVERAGEIF(Levels!B:B,A1685,Levels!F:F),0)</f>
        <v>8.33</v>
      </c>
      <c r="E1685" s="9">
        <f>_xlfn.MAXIFS(Levels!E:E,Levels!B:B,A1685)</f>
        <v>6.37</v>
      </c>
      <c r="F1685" s="9">
        <f>_xlfn.MAXIFS(Levels!F:F,Levels!B:B,A1685)</f>
        <v>8.33</v>
      </c>
    </row>
    <row r="1686" spans="1:6" x14ac:dyDescent="0.3">
      <c r="A1686" t="s">
        <v>7629</v>
      </c>
      <c r="B1686" s="6">
        <f>COUNTIF(Levels!B:B,A1686)</f>
        <v>8</v>
      </c>
      <c r="C1686" s="6">
        <f>IFERROR(AVERAGEIF(Levels!B:B,A1686,Levels!E:E),0)</f>
        <v>3.3200000000000003</v>
      </c>
      <c r="D1686" s="6">
        <f>IFERROR(AVERAGEIF(Levels!B:B,A1686,Levels!F:F),0)</f>
        <v>6.0362500000000008</v>
      </c>
      <c r="E1686" s="6">
        <f>_xlfn.MAXIFS(Levels!E:E,Levels!B:B,A1686)</f>
        <v>6.5</v>
      </c>
      <c r="F1686" s="6">
        <f>_xlfn.MAXIFS(Levels!F:F,Levels!B:B,A1686)</f>
        <v>7.46</v>
      </c>
    </row>
    <row r="1687" spans="1:6" x14ac:dyDescent="0.3">
      <c r="A1687" t="s">
        <v>7631</v>
      </c>
      <c r="B1687" s="9">
        <f>COUNTIF(Levels!B:B,A1687)</f>
        <v>3</v>
      </c>
      <c r="C1687" s="9">
        <f>IFERROR(AVERAGEIF(Levels!B:B,A1687,Levels!E:E),0)</f>
        <v>7.4033333333333333</v>
      </c>
      <c r="D1687" s="9">
        <f>IFERROR(AVERAGEIF(Levels!B:B,A1687,Levels!F:F),0)</f>
        <v>6.6066666666666665</v>
      </c>
      <c r="E1687" s="9">
        <f>_xlfn.MAXIFS(Levels!E:E,Levels!B:B,A1687)</f>
        <v>11.91</v>
      </c>
      <c r="F1687" s="9">
        <f>_xlfn.MAXIFS(Levels!F:F,Levels!B:B,A1687)</f>
        <v>7</v>
      </c>
    </row>
    <row r="1688" spans="1:6" x14ac:dyDescent="0.3">
      <c r="A1688" t="s">
        <v>7634</v>
      </c>
      <c r="B1688" s="6">
        <f>COUNTIF(Levels!B:B,A1688)</f>
        <v>1</v>
      </c>
      <c r="C1688" s="6">
        <f>IFERROR(AVERAGEIF(Levels!B:B,A1688,Levels!E:E),0)</f>
        <v>21.3</v>
      </c>
      <c r="D1688" s="6">
        <f>IFERROR(AVERAGEIF(Levels!B:B,A1688,Levels!F:F),0)</f>
        <v>7.7</v>
      </c>
      <c r="E1688" s="6">
        <f>_xlfn.MAXIFS(Levels!E:E,Levels!B:B,A1688)</f>
        <v>21.3</v>
      </c>
      <c r="F1688" s="6">
        <f>_xlfn.MAXIFS(Levels!F:F,Levels!B:B,A1688)</f>
        <v>7.7</v>
      </c>
    </row>
    <row r="1689" spans="1:6" x14ac:dyDescent="0.3">
      <c r="A1689" t="s">
        <v>7636</v>
      </c>
      <c r="B1689" s="9">
        <f>COUNTIF(Levels!B:B,A1689)</f>
        <v>1</v>
      </c>
      <c r="C1689" s="9">
        <f>IFERROR(AVERAGEIF(Levels!B:B,A1689,Levels!E:E),0)</f>
        <v>3.01</v>
      </c>
      <c r="D1689" s="9">
        <f>IFERROR(AVERAGEIF(Levels!B:B,A1689,Levels!F:F),0)</f>
        <v>7.07</v>
      </c>
      <c r="E1689" s="9">
        <f>_xlfn.MAXIFS(Levels!E:E,Levels!B:B,A1689)</f>
        <v>3.01</v>
      </c>
      <c r="F1689" s="9">
        <f>_xlfn.MAXIFS(Levels!F:F,Levels!B:B,A1689)</f>
        <v>7.07</v>
      </c>
    </row>
    <row r="1690" spans="1:6" x14ac:dyDescent="0.3">
      <c r="A1690" t="s">
        <v>7639</v>
      </c>
      <c r="B1690" s="6">
        <f>COUNTIF(Levels!B:B,A1690)</f>
        <v>2</v>
      </c>
      <c r="C1690" s="6">
        <f>IFERROR(AVERAGEIF(Levels!B:B,A1690,Levels!E:E),0)</f>
        <v>6.585</v>
      </c>
      <c r="D1690" s="6">
        <f>IFERROR(AVERAGEIF(Levels!B:B,A1690,Levels!F:F),0)</f>
        <v>6.8849999999999998</v>
      </c>
      <c r="E1690" s="6">
        <f>_xlfn.MAXIFS(Levels!E:E,Levels!B:B,A1690)</f>
        <v>7.86</v>
      </c>
      <c r="F1690" s="6">
        <f>_xlfn.MAXIFS(Levels!F:F,Levels!B:B,A1690)</f>
        <v>7.62</v>
      </c>
    </row>
    <row r="1691" spans="1:6" x14ac:dyDescent="0.3">
      <c r="A1691" t="s">
        <v>7642</v>
      </c>
      <c r="B1691" s="9">
        <f>COUNTIF(Levels!B:B,A1691)</f>
        <v>1</v>
      </c>
      <c r="C1691" s="9">
        <f>IFERROR(AVERAGEIF(Levels!B:B,A1691,Levels!E:E),0)</f>
        <v>4</v>
      </c>
      <c r="D1691" s="9">
        <f>IFERROR(AVERAGEIF(Levels!B:B,A1691,Levels!F:F),0)</f>
        <v>4.38</v>
      </c>
      <c r="E1691" s="9">
        <f>_xlfn.MAXIFS(Levels!E:E,Levels!B:B,A1691)</f>
        <v>4</v>
      </c>
      <c r="F1691" s="9">
        <f>_xlfn.MAXIFS(Levels!F:F,Levels!B:B,A1691)</f>
        <v>4.38</v>
      </c>
    </row>
    <row r="1692" spans="1:6" x14ac:dyDescent="0.3">
      <c r="A1692" t="s">
        <v>7649</v>
      </c>
      <c r="B1692" s="6">
        <f>COUNTIF(Levels!B:B,A1692)</f>
        <v>4</v>
      </c>
      <c r="C1692" s="6">
        <f>IFERROR(AVERAGEIF(Levels!B:B,A1692,Levels!E:E),0)</f>
        <v>1.56</v>
      </c>
      <c r="D1692" s="6">
        <f>IFERROR(AVERAGEIF(Levels!B:B,A1692,Levels!F:F),0)</f>
        <v>7.7324999999999999</v>
      </c>
      <c r="E1692" s="6">
        <f>_xlfn.MAXIFS(Levels!E:E,Levels!B:B,A1692)</f>
        <v>1.56</v>
      </c>
      <c r="F1692" s="6">
        <f>_xlfn.MAXIFS(Levels!F:F,Levels!B:B,A1692)</f>
        <v>8.7799999999999994</v>
      </c>
    </row>
    <row r="1693" spans="1:6" x14ac:dyDescent="0.3">
      <c r="A1693" t="s">
        <v>7652</v>
      </c>
      <c r="B1693" s="9">
        <f>COUNTIF(Levels!B:B,A1693)</f>
        <v>1</v>
      </c>
      <c r="C1693" s="9">
        <f>IFERROR(AVERAGEIF(Levels!B:B,A1693,Levels!E:E),0)</f>
        <v>22.25</v>
      </c>
      <c r="D1693" s="9">
        <f>IFERROR(AVERAGEIF(Levels!B:B,A1693,Levels!F:F),0)</f>
        <v>4.67</v>
      </c>
      <c r="E1693" s="9">
        <f>_xlfn.MAXIFS(Levels!E:E,Levels!B:B,A1693)</f>
        <v>22.25</v>
      </c>
      <c r="F1693" s="9">
        <f>_xlfn.MAXIFS(Levels!F:F,Levels!B:B,A1693)</f>
        <v>4.67</v>
      </c>
    </row>
    <row r="1694" spans="1:6" x14ac:dyDescent="0.3">
      <c r="A1694" t="s">
        <v>7657</v>
      </c>
      <c r="B1694" s="6">
        <f>COUNTIF(Levels!B:B,A1694)</f>
        <v>1</v>
      </c>
      <c r="C1694" s="6">
        <f>IFERROR(AVERAGEIF(Levels!B:B,A1694,Levels!E:E),0)</f>
        <v>3</v>
      </c>
      <c r="D1694" s="6">
        <f>IFERROR(AVERAGEIF(Levels!B:B,A1694,Levels!F:F),0)</f>
        <v>6.11</v>
      </c>
      <c r="E1694" s="6">
        <f>_xlfn.MAXIFS(Levels!E:E,Levels!B:B,A1694)</f>
        <v>3</v>
      </c>
      <c r="F1694" s="6">
        <f>_xlfn.MAXIFS(Levels!F:F,Levels!B:B,A1694)</f>
        <v>6.11</v>
      </c>
    </row>
    <row r="1695" spans="1:6" x14ac:dyDescent="0.3">
      <c r="A1695" t="s">
        <v>7662</v>
      </c>
      <c r="B1695" s="9">
        <f>COUNTIF(Levels!B:B,A1695)</f>
        <v>2</v>
      </c>
      <c r="C1695" s="9">
        <f>IFERROR(AVERAGEIF(Levels!B:B,A1695,Levels!E:E),0)</f>
        <v>1.7949999999999999</v>
      </c>
      <c r="D1695" s="9">
        <f>IFERROR(AVERAGEIF(Levels!B:B,A1695,Levels!F:F),0)</f>
        <v>7.6050000000000004</v>
      </c>
      <c r="E1695" s="9">
        <f>_xlfn.MAXIFS(Levels!E:E,Levels!B:B,A1695)</f>
        <v>1.86</v>
      </c>
      <c r="F1695" s="9">
        <f>_xlfn.MAXIFS(Levels!F:F,Levels!B:B,A1695)</f>
        <v>7.74</v>
      </c>
    </row>
    <row r="1696" spans="1:6" x14ac:dyDescent="0.3">
      <c r="A1696" t="s">
        <v>7668</v>
      </c>
      <c r="B1696" s="6">
        <f>COUNTIF(Levels!B:B,A1696)</f>
        <v>2</v>
      </c>
      <c r="C1696" s="6">
        <f>IFERROR(AVERAGEIF(Levels!B:B,A1696,Levels!E:E),0)</f>
        <v>10.565</v>
      </c>
      <c r="D1696" s="6">
        <f>IFERROR(AVERAGEIF(Levels!B:B,A1696,Levels!F:F),0)</f>
        <v>4.96</v>
      </c>
      <c r="E1696" s="6">
        <f>_xlfn.MAXIFS(Levels!E:E,Levels!B:B,A1696)</f>
        <v>19.18</v>
      </c>
      <c r="F1696" s="6">
        <f>_xlfn.MAXIFS(Levels!F:F,Levels!B:B,A1696)</f>
        <v>5.79</v>
      </c>
    </row>
    <row r="1697" spans="1:6" x14ac:dyDescent="0.3">
      <c r="A1697" t="s">
        <v>7670</v>
      </c>
      <c r="B1697" s="9">
        <f>COUNTIF(Levels!B:B,A1697)</f>
        <v>4</v>
      </c>
      <c r="C1697" s="9">
        <f>IFERROR(AVERAGEIF(Levels!B:B,A1697,Levels!E:E),0)</f>
        <v>8.817499999999999</v>
      </c>
      <c r="D1697" s="9">
        <f>IFERROR(AVERAGEIF(Levels!B:B,A1697,Levels!F:F),0)</f>
        <v>6.0475000000000003</v>
      </c>
      <c r="E1697" s="9">
        <f>_xlfn.MAXIFS(Levels!E:E,Levels!B:B,A1697)</f>
        <v>14.04</v>
      </c>
      <c r="F1697" s="9">
        <f>_xlfn.MAXIFS(Levels!F:F,Levels!B:B,A1697)</f>
        <v>7.66</v>
      </c>
    </row>
    <row r="1698" spans="1:6" x14ac:dyDescent="0.3">
      <c r="A1698" t="s">
        <v>7672</v>
      </c>
      <c r="B1698" s="6">
        <f>COUNTIF(Levels!B:B,A1698)</f>
        <v>1</v>
      </c>
      <c r="C1698" s="6">
        <f>IFERROR(AVERAGEIF(Levels!B:B,A1698,Levels!E:E),0)</f>
        <v>1.79</v>
      </c>
      <c r="D1698" s="6">
        <f>IFERROR(AVERAGEIF(Levels!B:B,A1698,Levels!F:F),0)</f>
        <v>6.71</v>
      </c>
      <c r="E1698" s="6">
        <f>_xlfn.MAXIFS(Levels!E:E,Levels!B:B,A1698)</f>
        <v>1.79</v>
      </c>
      <c r="F1698" s="6">
        <f>_xlfn.MAXIFS(Levels!F:F,Levels!B:B,A1698)</f>
        <v>6.71</v>
      </c>
    </row>
    <row r="1699" spans="1:6" x14ac:dyDescent="0.3">
      <c r="A1699" t="s">
        <v>7674</v>
      </c>
      <c r="B1699" s="9">
        <f>COUNTIF(Levels!B:B,A1699)</f>
        <v>1</v>
      </c>
      <c r="C1699" s="9">
        <f>IFERROR(AVERAGEIF(Levels!B:B,A1699,Levels!E:E),0)</f>
        <v>3.12</v>
      </c>
      <c r="D1699" s="9">
        <f>IFERROR(AVERAGEIF(Levels!B:B,A1699,Levels!F:F),0)</f>
        <v>6.53</v>
      </c>
      <c r="E1699" s="9">
        <f>_xlfn.MAXIFS(Levels!E:E,Levels!B:B,A1699)</f>
        <v>3.12</v>
      </c>
      <c r="F1699" s="9">
        <f>_xlfn.MAXIFS(Levels!F:F,Levels!B:B,A1699)</f>
        <v>6.53</v>
      </c>
    </row>
    <row r="1700" spans="1:6" x14ac:dyDescent="0.3">
      <c r="A1700" t="s">
        <v>7676</v>
      </c>
      <c r="B1700" s="6">
        <f>COUNTIF(Levels!B:B,A1700)</f>
        <v>2</v>
      </c>
      <c r="C1700" s="6">
        <f>IFERROR(AVERAGEIF(Levels!B:B,A1700,Levels!E:E),0)</f>
        <v>18.105</v>
      </c>
      <c r="D1700" s="6">
        <f>IFERROR(AVERAGEIF(Levels!B:B,A1700,Levels!F:F),0)</f>
        <v>6.3550000000000004</v>
      </c>
      <c r="E1700" s="6">
        <f>_xlfn.MAXIFS(Levels!E:E,Levels!B:B,A1700)</f>
        <v>22</v>
      </c>
      <c r="F1700" s="6">
        <f>_xlfn.MAXIFS(Levels!F:F,Levels!B:B,A1700)</f>
        <v>7</v>
      </c>
    </row>
    <row r="1701" spans="1:6" x14ac:dyDescent="0.3">
      <c r="A1701" t="s">
        <v>7683</v>
      </c>
      <c r="B1701" s="9">
        <f>COUNTIF(Levels!B:B,A1701)</f>
        <v>1</v>
      </c>
      <c r="C1701" s="9">
        <f>IFERROR(AVERAGEIF(Levels!B:B,A1701,Levels!E:E),0)</f>
        <v>9</v>
      </c>
      <c r="D1701" s="9">
        <f>IFERROR(AVERAGEIF(Levels!B:B,A1701,Levels!F:F),0)</f>
        <v>8</v>
      </c>
      <c r="E1701" s="9">
        <f>_xlfn.MAXIFS(Levels!E:E,Levels!B:B,A1701)</f>
        <v>9</v>
      </c>
      <c r="F1701" s="9">
        <f>_xlfn.MAXIFS(Levels!F:F,Levels!B:B,A1701)</f>
        <v>8</v>
      </c>
    </row>
    <row r="1702" spans="1:6" x14ac:dyDescent="0.3">
      <c r="A1702" t="s">
        <v>7686</v>
      </c>
      <c r="B1702" s="6">
        <f>COUNTIF(Levels!B:B,A1702)</f>
        <v>2</v>
      </c>
      <c r="C1702" s="6">
        <f>IFERROR(AVERAGEIF(Levels!B:B,A1702,Levels!E:E),0)</f>
        <v>12.959999999999999</v>
      </c>
      <c r="D1702" s="6">
        <f>IFERROR(AVERAGEIF(Levels!B:B,A1702,Levels!F:F),0)</f>
        <v>7.335</v>
      </c>
      <c r="E1702" s="6">
        <f>_xlfn.MAXIFS(Levels!E:E,Levels!B:B,A1702)</f>
        <v>20.11</v>
      </c>
      <c r="F1702" s="6">
        <f>_xlfn.MAXIFS(Levels!F:F,Levels!B:B,A1702)</f>
        <v>7.67</v>
      </c>
    </row>
    <row r="1703" spans="1:6" x14ac:dyDescent="0.3">
      <c r="A1703" t="s">
        <v>7689</v>
      </c>
      <c r="B1703" s="9">
        <f>COUNTIF(Levels!B:B,A1703)</f>
        <v>1</v>
      </c>
      <c r="C1703" s="9">
        <f>IFERROR(AVERAGEIF(Levels!B:B,A1703,Levels!E:E),0)</f>
        <v>4.9000000000000004</v>
      </c>
      <c r="D1703" s="9">
        <f>IFERROR(AVERAGEIF(Levels!B:B,A1703,Levels!F:F),0)</f>
        <v>7.42</v>
      </c>
      <c r="E1703" s="9">
        <f>_xlfn.MAXIFS(Levels!E:E,Levels!B:B,A1703)</f>
        <v>4.9000000000000004</v>
      </c>
      <c r="F1703" s="9">
        <f>_xlfn.MAXIFS(Levels!F:F,Levels!B:B,A1703)</f>
        <v>7.42</v>
      </c>
    </row>
    <row r="1704" spans="1:6" x14ac:dyDescent="0.3">
      <c r="A1704" t="s">
        <v>7693</v>
      </c>
      <c r="B1704" s="6">
        <f>COUNTIF(Levels!B:B,A1704)</f>
        <v>1</v>
      </c>
      <c r="C1704" s="6">
        <f>IFERROR(AVERAGEIF(Levels!B:B,A1704,Levels!E:E),0)</f>
        <v>20</v>
      </c>
      <c r="D1704" s="6">
        <f>IFERROR(AVERAGEIF(Levels!B:B,A1704,Levels!F:F),0)</f>
        <v>6.29</v>
      </c>
      <c r="E1704" s="6">
        <f>_xlfn.MAXIFS(Levels!E:E,Levels!B:B,A1704)</f>
        <v>20</v>
      </c>
      <c r="F1704" s="6">
        <f>_xlfn.MAXIFS(Levels!F:F,Levels!B:B,A1704)</f>
        <v>6.29</v>
      </c>
    </row>
    <row r="1705" spans="1:6" x14ac:dyDescent="0.3">
      <c r="A1705" t="s">
        <v>7698</v>
      </c>
      <c r="B1705" s="9">
        <f>COUNTIF(Levels!B:B,A1705)</f>
        <v>1</v>
      </c>
      <c r="C1705" s="9">
        <f>IFERROR(AVERAGEIF(Levels!B:B,A1705,Levels!E:E),0)</f>
        <v>3.59</v>
      </c>
      <c r="D1705" s="9">
        <f>IFERROR(AVERAGEIF(Levels!B:B,A1705,Levels!F:F),0)</f>
        <v>7.87</v>
      </c>
      <c r="E1705" s="9">
        <f>_xlfn.MAXIFS(Levels!E:E,Levels!B:B,A1705)</f>
        <v>3.59</v>
      </c>
      <c r="F1705" s="9">
        <f>_xlfn.MAXIFS(Levels!F:F,Levels!B:B,A1705)</f>
        <v>7.87</v>
      </c>
    </row>
    <row r="1706" spans="1:6" x14ac:dyDescent="0.3">
      <c r="A1706" t="s">
        <v>7701</v>
      </c>
      <c r="B1706" s="6">
        <f>COUNTIF(Levels!B:B,A1706)</f>
        <v>3</v>
      </c>
      <c r="C1706" s="6">
        <f>IFERROR(AVERAGEIF(Levels!B:B,A1706,Levels!E:E),0)</f>
        <v>2.5333333333333332</v>
      </c>
      <c r="D1706" s="6">
        <f>IFERROR(AVERAGEIF(Levels!B:B,A1706,Levels!F:F),0)</f>
        <v>6.5933333333333337</v>
      </c>
      <c r="E1706" s="6">
        <f>_xlfn.MAXIFS(Levels!E:E,Levels!B:B,A1706)</f>
        <v>3</v>
      </c>
      <c r="F1706" s="6">
        <f>_xlfn.MAXIFS(Levels!F:F,Levels!B:B,A1706)</f>
        <v>7.04</v>
      </c>
    </row>
    <row r="1707" spans="1:6" x14ac:dyDescent="0.3">
      <c r="A1707" t="s">
        <v>7709</v>
      </c>
      <c r="B1707" s="9">
        <f>COUNTIF(Levels!B:B,A1707)</f>
        <v>3</v>
      </c>
      <c r="C1707" s="9">
        <f>IFERROR(AVERAGEIF(Levels!B:B,A1707,Levels!E:E),0)</f>
        <v>9.2666666666666657</v>
      </c>
      <c r="D1707" s="9">
        <f>IFERROR(AVERAGEIF(Levels!B:B,A1707,Levels!F:F),0)</f>
        <v>7.293333333333333</v>
      </c>
      <c r="E1707" s="9">
        <f>_xlfn.MAXIFS(Levels!E:E,Levels!B:B,A1707)</f>
        <v>18.29</v>
      </c>
      <c r="F1707" s="9">
        <f>_xlfn.MAXIFS(Levels!F:F,Levels!B:B,A1707)</f>
        <v>8.26</v>
      </c>
    </row>
    <row r="1708" spans="1:6" x14ac:dyDescent="0.3">
      <c r="A1708" t="s">
        <v>7711</v>
      </c>
      <c r="B1708" s="6">
        <f>COUNTIF(Levels!B:B,A1708)</f>
        <v>1</v>
      </c>
      <c r="C1708" s="6">
        <f>IFERROR(AVERAGEIF(Levels!B:B,A1708,Levels!E:E),0)</f>
        <v>16</v>
      </c>
      <c r="D1708" s="6">
        <f>IFERROR(AVERAGEIF(Levels!B:B,A1708,Levels!F:F),0)</f>
        <v>8</v>
      </c>
      <c r="E1708" s="6">
        <f>_xlfn.MAXIFS(Levels!E:E,Levels!B:B,A1708)</f>
        <v>16</v>
      </c>
      <c r="F1708" s="6">
        <f>_xlfn.MAXIFS(Levels!F:F,Levels!B:B,A1708)</f>
        <v>8</v>
      </c>
    </row>
    <row r="1709" spans="1:6" x14ac:dyDescent="0.3">
      <c r="A1709" t="s">
        <v>7718</v>
      </c>
      <c r="B1709" s="9">
        <f>COUNTIF(Levels!B:B,A1709)</f>
        <v>1</v>
      </c>
      <c r="C1709" s="9">
        <f>IFERROR(AVERAGEIF(Levels!B:B,A1709,Levels!E:E),0)</f>
        <v>18.91</v>
      </c>
      <c r="D1709" s="9">
        <f>IFERROR(AVERAGEIF(Levels!B:B,A1709,Levels!F:F),0)</f>
        <v>7</v>
      </c>
      <c r="E1709" s="9">
        <f>_xlfn.MAXIFS(Levels!E:E,Levels!B:B,A1709)</f>
        <v>18.91</v>
      </c>
      <c r="F1709" s="9">
        <f>_xlfn.MAXIFS(Levels!F:F,Levels!B:B,A1709)</f>
        <v>7</v>
      </c>
    </row>
    <row r="1710" spans="1:6" x14ac:dyDescent="0.3">
      <c r="A1710" t="s">
        <v>7720</v>
      </c>
      <c r="B1710" s="6">
        <f>COUNTIF(Levels!B:B,A1710)</f>
        <v>1</v>
      </c>
      <c r="C1710" s="6">
        <f>IFERROR(AVERAGEIF(Levels!B:B,A1710,Levels!E:E),0)</f>
        <v>13.42</v>
      </c>
      <c r="D1710" s="6">
        <f>IFERROR(AVERAGEIF(Levels!B:B,A1710,Levels!F:F),0)</f>
        <v>8.17</v>
      </c>
      <c r="E1710" s="6">
        <f>_xlfn.MAXIFS(Levels!E:E,Levels!B:B,A1710)</f>
        <v>13.42</v>
      </c>
      <c r="F1710" s="6">
        <f>_xlfn.MAXIFS(Levels!F:F,Levels!B:B,A1710)</f>
        <v>8.17</v>
      </c>
    </row>
    <row r="1711" spans="1:6" x14ac:dyDescent="0.3">
      <c r="A1711" t="s">
        <v>7722</v>
      </c>
      <c r="B1711" s="9">
        <f>COUNTIF(Levels!B:B,A1711)</f>
        <v>1</v>
      </c>
      <c r="C1711" s="9">
        <f>IFERROR(AVERAGEIF(Levels!B:B,A1711,Levels!E:E),0)</f>
        <v>1.91</v>
      </c>
      <c r="D1711" s="9">
        <f>IFERROR(AVERAGEIF(Levels!B:B,A1711,Levels!F:F),0)</f>
        <v>7.11</v>
      </c>
      <c r="E1711" s="9">
        <f>_xlfn.MAXIFS(Levels!E:E,Levels!B:B,A1711)</f>
        <v>1.91</v>
      </c>
      <c r="F1711" s="9">
        <f>_xlfn.MAXIFS(Levels!F:F,Levels!B:B,A1711)</f>
        <v>7.11</v>
      </c>
    </row>
    <row r="1712" spans="1:6" x14ac:dyDescent="0.3">
      <c r="A1712" t="s">
        <v>7730</v>
      </c>
      <c r="B1712" s="6">
        <f>COUNTIF(Levels!B:B,A1712)</f>
        <v>2</v>
      </c>
      <c r="C1712" s="6">
        <f>IFERROR(AVERAGEIF(Levels!B:B,A1712,Levels!E:E),0)</f>
        <v>9.18</v>
      </c>
      <c r="D1712" s="6">
        <f>IFERROR(AVERAGEIF(Levels!B:B,A1712,Levels!F:F),0)</f>
        <v>7.2649999999999997</v>
      </c>
      <c r="E1712" s="6">
        <f>_xlfn.MAXIFS(Levels!E:E,Levels!B:B,A1712)</f>
        <v>15.91</v>
      </c>
      <c r="F1712" s="6">
        <f>_xlfn.MAXIFS(Levels!F:F,Levels!B:B,A1712)</f>
        <v>7.6</v>
      </c>
    </row>
    <row r="1713" spans="1:6" x14ac:dyDescent="0.3">
      <c r="A1713" t="s">
        <v>7733</v>
      </c>
      <c r="B1713" s="9">
        <f>COUNTIF(Levels!B:B,A1713)</f>
        <v>3</v>
      </c>
      <c r="C1713" s="9">
        <f>IFERROR(AVERAGEIF(Levels!B:B,A1713,Levels!E:E),0)</f>
        <v>12.956666666666665</v>
      </c>
      <c r="D1713" s="9">
        <f>IFERROR(AVERAGEIF(Levels!B:B,A1713,Levels!F:F),0)</f>
        <v>6.8500000000000005</v>
      </c>
      <c r="E1713" s="9">
        <f>_xlfn.MAXIFS(Levels!E:E,Levels!B:B,A1713)</f>
        <v>17.93</v>
      </c>
      <c r="F1713" s="9">
        <f>_xlfn.MAXIFS(Levels!F:F,Levels!B:B,A1713)</f>
        <v>7.83</v>
      </c>
    </row>
    <row r="1714" spans="1:6" x14ac:dyDescent="0.3">
      <c r="A1714" t="s">
        <v>7740</v>
      </c>
      <c r="B1714" s="6">
        <f>COUNTIF(Levels!B:B,A1714)</f>
        <v>1</v>
      </c>
      <c r="C1714" s="6">
        <f>IFERROR(AVERAGEIF(Levels!B:B,A1714,Levels!E:E),0)</f>
        <v>4.07</v>
      </c>
      <c r="D1714" s="6">
        <f>IFERROR(AVERAGEIF(Levels!B:B,A1714,Levels!F:F),0)</f>
        <v>6.47</v>
      </c>
      <c r="E1714" s="6">
        <f>_xlfn.MAXIFS(Levels!E:E,Levels!B:B,A1714)</f>
        <v>4.07</v>
      </c>
      <c r="F1714" s="6">
        <f>_xlfn.MAXIFS(Levels!F:F,Levels!B:B,A1714)</f>
        <v>6.47</v>
      </c>
    </row>
    <row r="1715" spans="1:6" x14ac:dyDescent="0.3">
      <c r="A1715" t="s">
        <v>7745</v>
      </c>
      <c r="B1715" s="9">
        <f>COUNTIF(Levels!B:B,A1715)</f>
        <v>3</v>
      </c>
      <c r="C1715" s="9">
        <f>IFERROR(AVERAGEIF(Levels!B:B,A1715,Levels!E:E),0)</f>
        <v>18.733333333333334</v>
      </c>
      <c r="D1715" s="9">
        <f>IFERROR(AVERAGEIF(Levels!B:B,A1715,Levels!F:F),0)</f>
        <v>5.8266666666666671</v>
      </c>
      <c r="E1715" s="9">
        <f>_xlfn.MAXIFS(Levels!E:E,Levels!B:B,A1715)</f>
        <v>32</v>
      </c>
      <c r="F1715" s="9">
        <f>_xlfn.MAXIFS(Levels!F:F,Levels!B:B,A1715)</f>
        <v>8.6300000000000008</v>
      </c>
    </row>
    <row r="1716" spans="1:6" x14ac:dyDescent="0.3">
      <c r="A1716" t="s">
        <v>7747</v>
      </c>
      <c r="B1716" s="6">
        <f>COUNTIF(Levels!B:B,A1716)</f>
        <v>6</v>
      </c>
      <c r="C1716" s="6">
        <f>IFERROR(AVERAGEIF(Levels!B:B,A1716,Levels!E:E),0)</f>
        <v>17.329999999999998</v>
      </c>
      <c r="D1716" s="6">
        <f>IFERROR(AVERAGEIF(Levels!B:B,A1716,Levels!F:F),0)</f>
        <v>6.7549999999999999</v>
      </c>
      <c r="E1716" s="6">
        <f>_xlfn.MAXIFS(Levels!E:E,Levels!B:B,A1716)</f>
        <v>22</v>
      </c>
      <c r="F1716" s="6">
        <f>_xlfn.MAXIFS(Levels!F:F,Levels!B:B,A1716)</f>
        <v>8.5</v>
      </c>
    </row>
    <row r="1717" spans="1:6" x14ac:dyDescent="0.3">
      <c r="A1717" t="s">
        <v>7750</v>
      </c>
      <c r="B1717" s="9">
        <f>COUNTIF(Levels!B:B,A1717)</f>
        <v>1</v>
      </c>
      <c r="C1717" s="9">
        <f>IFERROR(AVERAGEIF(Levels!B:B,A1717,Levels!E:E),0)</f>
        <v>4.9400000000000004</v>
      </c>
      <c r="D1717" s="9">
        <f>IFERROR(AVERAGEIF(Levels!B:B,A1717,Levels!F:F),0)</f>
        <v>7.9</v>
      </c>
      <c r="E1717" s="9">
        <f>_xlfn.MAXIFS(Levels!E:E,Levels!B:B,A1717)</f>
        <v>4.9400000000000004</v>
      </c>
      <c r="F1717" s="9">
        <f>_xlfn.MAXIFS(Levels!F:F,Levels!B:B,A1717)</f>
        <v>7.9</v>
      </c>
    </row>
    <row r="1718" spans="1:6" x14ac:dyDescent="0.3">
      <c r="A1718" t="s">
        <v>7754</v>
      </c>
      <c r="B1718" s="6">
        <f>COUNTIF(Levels!B:B,A1718)</f>
        <v>1</v>
      </c>
      <c r="C1718" s="6">
        <f>IFERROR(AVERAGEIF(Levels!B:B,A1718,Levels!E:E),0)</f>
        <v>2.23</v>
      </c>
      <c r="D1718" s="6">
        <f>IFERROR(AVERAGEIF(Levels!B:B,A1718,Levels!F:F),0)</f>
        <v>5.29</v>
      </c>
      <c r="E1718" s="6">
        <f>_xlfn.MAXIFS(Levels!E:E,Levels!B:B,A1718)</f>
        <v>2.23</v>
      </c>
      <c r="F1718" s="6">
        <f>_xlfn.MAXIFS(Levels!F:F,Levels!B:B,A1718)</f>
        <v>5.29</v>
      </c>
    </row>
    <row r="1719" spans="1:6" x14ac:dyDescent="0.3">
      <c r="A1719" t="s">
        <v>7757</v>
      </c>
      <c r="B1719" s="9">
        <f>COUNTIF(Levels!B:B,A1719)</f>
        <v>1</v>
      </c>
      <c r="C1719" s="9">
        <f>IFERROR(AVERAGEIF(Levels!B:B,A1719,Levels!E:E),0)</f>
        <v>34</v>
      </c>
      <c r="D1719" s="9">
        <f>IFERROR(AVERAGEIF(Levels!B:B,A1719,Levels!F:F),0)</f>
        <v>7.7</v>
      </c>
      <c r="E1719" s="9">
        <f>_xlfn.MAXIFS(Levels!E:E,Levels!B:B,A1719)</f>
        <v>34</v>
      </c>
      <c r="F1719" s="9">
        <f>_xlfn.MAXIFS(Levels!F:F,Levels!B:B,A1719)</f>
        <v>7.7</v>
      </c>
    </row>
    <row r="1720" spans="1:6" x14ac:dyDescent="0.3">
      <c r="A1720" t="s">
        <v>7772</v>
      </c>
      <c r="B1720" s="6">
        <f>COUNTIF(Levels!B:B,A1720)</f>
        <v>1</v>
      </c>
      <c r="C1720" s="6">
        <f>IFERROR(AVERAGEIF(Levels!B:B,A1720,Levels!E:E),0)</f>
        <v>22.8</v>
      </c>
      <c r="D1720" s="6">
        <f>IFERROR(AVERAGEIF(Levels!B:B,A1720,Levels!F:F),0)</f>
        <v>5.5</v>
      </c>
      <c r="E1720" s="6">
        <f>_xlfn.MAXIFS(Levels!E:E,Levels!B:B,A1720)</f>
        <v>22.8</v>
      </c>
      <c r="F1720" s="6">
        <f>_xlfn.MAXIFS(Levels!F:F,Levels!B:B,A1720)</f>
        <v>5.5</v>
      </c>
    </row>
    <row r="1721" spans="1:6" x14ac:dyDescent="0.3">
      <c r="A1721" t="s">
        <v>7778</v>
      </c>
      <c r="B1721" s="9">
        <f>COUNTIF(Levels!B:B,A1721)</f>
        <v>2</v>
      </c>
      <c r="C1721" s="9">
        <f>IFERROR(AVERAGEIF(Levels!B:B,A1721,Levels!E:E),0)</f>
        <v>17.14</v>
      </c>
      <c r="D1721" s="9">
        <f>IFERROR(AVERAGEIF(Levels!B:B,A1721,Levels!F:F),0)</f>
        <v>6.5950000000000006</v>
      </c>
      <c r="E1721" s="9">
        <f>_xlfn.MAXIFS(Levels!E:E,Levels!B:B,A1721)</f>
        <v>20.85</v>
      </c>
      <c r="F1721" s="9">
        <f>_xlfn.MAXIFS(Levels!F:F,Levels!B:B,A1721)</f>
        <v>7.57</v>
      </c>
    </row>
    <row r="1722" spans="1:6" x14ac:dyDescent="0.3">
      <c r="A1722" t="s">
        <v>7782</v>
      </c>
      <c r="B1722" s="6">
        <f>COUNTIF(Levels!B:B,A1722)</f>
        <v>5</v>
      </c>
      <c r="C1722" s="6">
        <f>IFERROR(AVERAGEIF(Levels!B:B,A1722,Levels!E:E),0)</f>
        <v>20.106000000000002</v>
      </c>
      <c r="D1722" s="6">
        <f>IFERROR(AVERAGEIF(Levels!B:B,A1722,Levels!F:F),0)</f>
        <v>7.8</v>
      </c>
      <c r="E1722" s="6">
        <f>_xlfn.MAXIFS(Levels!E:E,Levels!B:B,A1722)</f>
        <v>35</v>
      </c>
      <c r="F1722" s="6">
        <f>_xlfn.MAXIFS(Levels!F:F,Levels!B:B,A1722)</f>
        <v>9.5</v>
      </c>
    </row>
    <row r="1723" spans="1:6" x14ac:dyDescent="0.3">
      <c r="A1723" t="s">
        <v>7784</v>
      </c>
      <c r="B1723" s="9">
        <f>COUNTIF(Levels!B:B,A1723)</f>
        <v>7</v>
      </c>
      <c r="C1723" s="9">
        <f>IFERROR(AVERAGEIF(Levels!B:B,A1723,Levels!E:E),0)</f>
        <v>11.638571428571428</v>
      </c>
      <c r="D1723" s="9">
        <f>IFERROR(AVERAGEIF(Levels!B:B,A1723,Levels!F:F),0)</f>
        <v>7.241428571428572</v>
      </c>
      <c r="E1723" s="9">
        <f>_xlfn.MAXIFS(Levels!E:E,Levels!B:B,A1723)</f>
        <v>22.98</v>
      </c>
      <c r="F1723" s="9">
        <f>_xlfn.MAXIFS(Levels!F:F,Levels!B:B,A1723)</f>
        <v>8.81</v>
      </c>
    </row>
    <row r="1724" spans="1:6" x14ac:dyDescent="0.3">
      <c r="A1724" t="s">
        <v>7787</v>
      </c>
      <c r="B1724" s="6">
        <f>COUNTIF(Levels!B:B,A1724)</f>
        <v>1</v>
      </c>
      <c r="C1724" s="6">
        <f>IFERROR(AVERAGEIF(Levels!B:B,A1724,Levels!E:E),0)</f>
        <v>3.64</v>
      </c>
      <c r="D1724" s="6">
        <f>IFERROR(AVERAGEIF(Levels!B:B,A1724,Levels!F:F),0)</f>
        <v>6.05</v>
      </c>
      <c r="E1724" s="6">
        <f>_xlfn.MAXIFS(Levels!E:E,Levels!B:B,A1724)</f>
        <v>3.64</v>
      </c>
      <c r="F1724" s="6">
        <f>_xlfn.MAXIFS(Levels!F:F,Levels!B:B,A1724)</f>
        <v>6.05</v>
      </c>
    </row>
    <row r="1725" spans="1:6" x14ac:dyDescent="0.3">
      <c r="A1725" t="s">
        <v>7789</v>
      </c>
      <c r="B1725" s="9">
        <f>COUNTIF(Levels!B:B,A1725)</f>
        <v>2</v>
      </c>
      <c r="C1725" s="9">
        <f>IFERROR(AVERAGEIF(Levels!B:B,A1725,Levels!E:E),0)</f>
        <v>15.875</v>
      </c>
      <c r="D1725" s="9">
        <f>IFERROR(AVERAGEIF(Levels!B:B,A1725,Levels!F:F),0)</f>
        <v>7.74</v>
      </c>
      <c r="E1725" s="9">
        <f>_xlfn.MAXIFS(Levels!E:E,Levels!B:B,A1725)</f>
        <v>16.07</v>
      </c>
      <c r="F1725" s="9">
        <f>_xlfn.MAXIFS(Levels!F:F,Levels!B:B,A1725)</f>
        <v>8</v>
      </c>
    </row>
    <row r="1726" spans="1:6" x14ac:dyDescent="0.3">
      <c r="A1726" t="s">
        <v>7792</v>
      </c>
      <c r="B1726" s="6">
        <f>COUNTIF(Levels!B:B,A1726)</f>
        <v>3</v>
      </c>
      <c r="C1726" s="6">
        <f>IFERROR(AVERAGEIF(Levels!B:B,A1726,Levels!E:E),0)</f>
        <v>26.283333333333331</v>
      </c>
      <c r="D1726" s="6">
        <f>IFERROR(AVERAGEIF(Levels!B:B,A1726,Levels!F:F),0)</f>
        <v>6.7566666666666668</v>
      </c>
      <c r="E1726" s="6">
        <f>_xlfn.MAXIFS(Levels!E:E,Levels!B:B,A1726)</f>
        <v>30</v>
      </c>
      <c r="F1726" s="6">
        <f>_xlfn.MAXIFS(Levels!F:F,Levels!B:B,A1726)</f>
        <v>7.68</v>
      </c>
    </row>
    <row r="1727" spans="1:6" x14ac:dyDescent="0.3">
      <c r="A1727" t="s">
        <v>7797</v>
      </c>
      <c r="B1727" s="9">
        <f>COUNTIF(Levels!B:B,A1727)</f>
        <v>1</v>
      </c>
      <c r="C1727" s="9">
        <f>IFERROR(AVERAGEIF(Levels!B:B,A1727,Levels!E:E),0)</f>
        <v>10.42</v>
      </c>
      <c r="D1727" s="9">
        <f>IFERROR(AVERAGEIF(Levels!B:B,A1727,Levels!F:F),0)</f>
        <v>8.3800000000000008</v>
      </c>
      <c r="E1727" s="9">
        <f>_xlfn.MAXIFS(Levels!E:E,Levels!B:B,A1727)</f>
        <v>10.42</v>
      </c>
      <c r="F1727" s="9">
        <f>_xlfn.MAXIFS(Levels!F:F,Levels!B:B,A1727)</f>
        <v>8.3800000000000008</v>
      </c>
    </row>
    <row r="1728" spans="1:6" x14ac:dyDescent="0.3">
      <c r="A1728" t="s">
        <v>7801</v>
      </c>
      <c r="B1728" s="6">
        <f>COUNTIF(Levels!B:B,A1728)</f>
        <v>1</v>
      </c>
      <c r="C1728" s="6">
        <f>IFERROR(AVERAGEIF(Levels!B:B,A1728,Levels!E:E),0)</f>
        <v>7.55</v>
      </c>
      <c r="D1728" s="6">
        <f>IFERROR(AVERAGEIF(Levels!B:B,A1728,Levels!F:F),0)</f>
        <v>6.84</v>
      </c>
      <c r="E1728" s="6">
        <f>_xlfn.MAXIFS(Levels!E:E,Levels!B:B,A1728)</f>
        <v>7.55</v>
      </c>
      <c r="F1728" s="6">
        <f>_xlfn.MAXIFS(Levels!F:F,Levels!B:B,A1728)</f>
        <v>6.84</v>
      </c>
    </row>
    <row r="1729" spans="1:6" x14ac:dyDescent="0.3">
      <c r="A1729" t="s">
        <v>7807</v>
      </c>
      <c r="B1729" s="9">
        <f>COUNTIF(Levels!B:B,A1729)</f>
        <v>1</v>
      </c>
      <c r="C1729" s="9">
        <f>IFERROR(AVERAGEIF(Levels!B:B,A1729,Levels!E:E),0)</f>
        <v>3.81</v>
      </c>
      <c r="D1729" s="9">
        <f>IFERROR(AVERAGEIF(Levels!B:B,A1729,Levels!F:F),0)</f>
        <v>4.33</v>
      </c>
      <c r="E1729" s="9">
        <f>_xlfn.MAXIFS(Levels!E:E,Levels!B:B,A1729)</f>
        <v>3.81</v>
      </c>
      <c r="F1729" s="9">
        <f>_xlfn.MAXIFS(Levels!F:F,Levels!B:B,A1729)</f>
        <v>4.33</v>
      </c>
    </row>
    <row r="1730" spans="1:6" x14ac:dyDescent="0.3">
      <c r="A1730" t="s">
        <v>7813</v>
      </c>
      <c r="B1730" s="6">
        <f>COUNTIF(Levels!B:B,A1730)</f>
        <v>3</v>
      </c>
      <c r="C1730" s="6">
        <f>IFERROR(AVERAGEIF(Levels!B:B,A1730,Levels!E:E),0)</f>
        <v>5.4866666666666672</v>
      </c>
      <c r="D1730" s="6">
        <f>IFERROR(AVERAGEIF(Levels!B:B,A1730,Levels!F:F),0)</f>
        <v>6.2166666666666659</v>
      </c>
      <c r="E1730" s="6">
        <f>_xlfn.MAXIFS(Levels!E:E,Levels!B:B,A1730)</f>
        <v>10.57</v>
      </c>
      <c r="F1730" s="6">
        <f>_xlfn.MAXIFS(Levels!F:F,Levels!B:B,A1730)</f>
        <v>6.85</v>
      </c>
    </row>
    <row r="1731" spans="1:6" x14ac:dyDescent="0.3">
      <c r="A1731" t="s">
        <v>7820</v>
      </c>
      <c r="B1731" s="9">
        <f>COUNTIF(Levels!B:B,A1731)</f>
        <v>2</v>
      </c>
      <c r="C1731" s="9">
        <f>IFERROR(AVERAGEIF(Levels!B:B,A1731,Levels!E:E),0)</f>
        <v>7.9349999999999996</v>
      </c>
      <c r="D1731" s="9">
        <f>IFERROR(AVERAGEIF(Levels!B:B,A1731,Levels!F:F),0)</f>
        <v>7.78</v>
      </c>
      <c r="E1731" s="9">
        <f>_xlfn.MAXIFS(Levels!E:E,Levels!B:B,A1731)</f>
        <v>9.8699999999999992</v>
      </c>
      <c r="F1731" s="9">
        <f>_xlfn.MAXIFS(Levels!F:F,Levels!B:B,A1731)</f>
        <v>8.56</v>
      </c>
    </row>
    <row r="1732" spans="1:6" x14ac:dyDescent="0.3">
      <c r="A1732" t="s">
        <v>7822</v>
      </c>
      <c r="B1732" s="6">
        <f>COUNTIF(Levels!B:B,A1732)</f>
        <v>1</v>
      </c>
      <c r="C1732" s="6">
        <f>IFERROR(AVERAGEIF(Levels!B:B,A1732,Levels!E:E),0)</f>
        <v>11.71</v>
      </c>
      <c r="D1732" s="6">
        <f>IFERROR(AVERAGEIF(Levels!B:B,A1732,Levels!F:F),0)</f>
        <v>5.5</v>
      </c>
      <c r="E1732" s="6">
        <f>_xlfn.MAXIFS(Levels!E:E,Levels!B:B,A1732)</f>
        <v>11.71</v>
      </c>
      <c r="F1732" s="6">
        <f>_xlfn.MAXIFS(Levels!F:F,Levels!B:B,A1732)</f>
        <v>5.5</v>
      </c>
    </row>
    <row r="1733" spans="1:6" x14ac:dyDescent="0.3">
      <c r="A1733" t="s">
        <v>7824</v>
      </c>
      <c r="B1733" s="9">
        <f>COUNTIF(Levels!B:B,A1733)</f>
        <v>3</v>
      </c>
      <c r="C1733" s="9">
        <f>IFERROR(AVERAGEIF(Levels!B:B,A1733,Levels!E:E),0)</f>
        <v>16.756666666666664</v>
      </c>
      <c r="D1733" s="9">
        <f>IFERROR(AVERAGEIF(Levels!B:B,A1733,Levels!F:F),0)</f>
        <v>5.4133333333333331</v>
      </c>
      <c r="E1733" s="9">
        <f>_xlfn.MAXIFS(Levels!E:E,Levels!B:B,A1733)</f>
        <v>31</v>
      </c>
      <c r="F1733" s="9">
        <f>_xlfn.MAXIFS(Levels!F:F,Levels!B:B,A1733)</f>
        <v>8.1</v>
      </c>
    </row>
    <row r="1734" spans="1:6" x14ac:dyDescent="0.3">
      <c r="A1734" t="s">
        <v>7827</v>
      </c>
      <c r="B1734" s="6">
        <f>COUNTIF(Levels!B:B,A1734)</f>
        <v>1</v>
      </c>
      <c r="C1734" s="6">
        <f>IFERROR(AVERAGEIF(Levels!B:B,A1734,Levels!E:E),0)</f>
        <v>2.57</v>
      </c>
      <c r="D1734" s="6">
        <f>IFERROR(AVERAGEIF(Levels!B:B,A1734,Levels!F:F),0)</f>
        <v>5.4</v>
      </c>
      <c r="E1734" s="6">
        <f>_xlfn.MAXIFS(Levels!E:E,Levels!B:B,A1734)</f>
        <v>2.57</v>
      </c>
      <c r="F1734" s="6">
        <f>_xlfn.MAXIFS(Levels!F:F,Levels!B:B,A1734)</f>
        <v>5.4</v>
      </c>
    </row>
    <row r="1735" spans="1:6" x14ac:dyDescent="0.3">
      <c r="A1735" t="s">
        <v>7836</v>
      </c>
      <c r="B1735" s="9">
        <f>COUNTIF(Levels!B:B,A1735)</f>
        <v>3</v>
      </c>
      <c r="C1735" s="9">
        <f>IFERROR(AVERAGEIF(Levels!B:B,A1735,Levels!E:E),0)</f>
        <v>15.07</v>
      </c>
      <c r="D1735" s="9">
        <f>IFERROR(AVERAGEIF(Levels!B:B,A1735,Levels!F:F),0)</f>
        <v>5.0633333333333335</v>
      </c>
      <c r="E1735" s="9">
        <f>_xlfn.MAXIFS(Levels!E:E,Levels!B:B,A1735)</f>
        <v>17.14</v>
      </c>
      <c r="F1735" s="9">
        <f>_xlfn.MAXIFS(Levels!F:F,Levels!B:B,A1735)</f>
        <v>8</v>
      </c>
    </row>
    <row r="1736" spans="1:6" x14ac:dyDescent="0.3">
      <c r="A1736" t="s">
        <v>7839</v>
      </c>
      <c r="B1736" s="6">
        <f>COUNTIF(Levels!B:B,A1736)</f>
        <v>1</v>
      </c>
      <c r="C1736" s="6">
        <f>IFERROR(AVERAGEIF(Levels!B:B,A1736,Levels!E:E),0)</f>
        <v>19</v>
      </c>
      <c r="D1736" s="6">
        <f>IFERROR(AVERAGEIF(Levels!B:B,A1736,Levels!F:F),0)</f>
        <v>8.84</v>
      </c>
      <c r="E1736" s="6">
        <f>_xlfn.MAXIFS(Levels!E:E,Levels!B:B,A1736)</f>
        <v>19</v>
      </c>
      <c r="F1736" s="6">
        <f>_xlfn.MAXIFS(Levels!F:F,Levels!B:B,A1736)</f>
        <v>8.84</v>
      </c>
    </row>
    <row r="1737" spans="1:6" x14ac:dyDescent="0.3">
      <c r="A1737" t="s">
        <v>7844</v>
      </c>
      <c r="B1737" s="9">
        <f>COUNTIF(Levels!B:B,A1737)</f>
        <v>1</v>
      </c>
      <c r="C1737" s="9">
        <f>IFERROR(AVERAGEIF(Levels!B:B,A1737,Levels!E:E),0)</f>
        <v>24</v>
      </c>
      <c r="D1737" s="9">
        <f>IFERROR(AVERAGEIF(Levels!B:B,A1737,Levels!F:F),0)</f>
        <v>0</v>
      </c>
      <c r="E1737" s="9">
        <f>_xlfn.MAXIFS(Levels!E:E,Levels!B:B,A1737)</f>
        <v>24</v>
      </c>
      <c r="F1737" s="9">
        <f>_xlfn.MAXIFS(Levels!F:F,Levels!B:B,A1737)</f>
        <v>0</v>
      </c>
    </row>
    <row r="1738" spans="1:6" x14ac:dyDescent="0.3">
      <c r="A1738" t="s">
        <v>7854</v>
      </c>
      <c r="B1738" s="6">
        <f>COUNTIF(Levels!B:B,A1738)</f>
        <v>1</v>
      </c>
      <c r="C1738" s="6">
        <f>IFERROR(AVERAGEIF(Levels!B:B,A1738,Levels!E:E),0)</f>
        <v>2.15</v>
      </c>
      <c r="D1738" s="6">
        <f>IFERROR(AVERAGEIF(Levels!B:B,A1738,Levels!F:F),0)</f>
        <v>5.93</v>
      </c>
      <c r="E1738" s="6">
        <f>_xlfn.MAXIFS(Levels!E:E,Levels!B:B,A1738)</f>
        <v>2.15</v>
      </c>
      <c r="F1738" s="6">
        <f>_xlfn.MAXIFS(Levels!F:F,Levels!B:B,A1738)</f>
        <v>5.93</v>
      </c>
    </row>
    <row r="1739" spans="1:6" x14ac:dyDescent="0.3">
      <c r="A1739" t="s">
        <v>7858</v>
      </c>
      <c r="B1739" s="9">
        <f>COUNTIF(Levels!B:B,A1739)</f>
        <v>4</v>
      </c>
      <c r="C1739" s="9">
        <f>IFERROR(AVERAGEIF(Levels!B:B,A1739,Levels!E:E),0)</f>
        <v>13.647500000000001</v>
      </c>
      <c r="D1739" s="9">
        <f>IFERROR(AVERAGEIF(Levels!B:B,A1739,Levels!F:F),0)</f>
        <v>5.8900000000000006</v>
      </c>
      <c r="E1739" s="9">
        <f>_xlfn.MAXIFS(Levels!E:E,Levels!B:B,A1739)</f>
        <v>29</v>
      </c>
      <c r="F1739" s="9">
        <f>_xlfn.MAXIFS(Levels!F:F,Levels!B:B,A1739)</f>
        <v>6.35</v>
      </c>
    </row>
    <row r="1740" spans="1:6" x14ac:dyDescent="0.3">
      <c r="A1740" t="s">
        <v>7860</v>
      </c>
      <c r="B1740" s="6">
        <f>COUNTIF(Levels!B:B,A1740)</f>
        <v>1</v>
      </c>
      <c r="C1740" s="6">
        <f>IFERROR(AVERAGEIF(Levels!B:B,A1740,Levels!E:E),0)</f>
        <v>14.4</v>
      </c>
      <c r="D1740" s="6">
        <f>IFERROR(AVERAGEIF(Levels!B:B,A1740,Levels!F:F),0)</f>
        <v>7</v>
      </c>
      <c r="E1740" s="6">
        <f>_xlfn.MAXIFS(Levels!E:E,Levels!B:B,A1740)</f>
        <v>14.4</v>
      </c>
      <c r="F1740" s="6">
        <f>_xlfn.MAXIFS(Levels!F:F,Levels!B:B,A1740)</f>
        <v>7</v>
      </c>
    </row>
    <row r="1741" spans="1:6" x14ac:dyDescent="0.3">
      <c r="A1741" t="s">
        <v>7862</v>
      </c>
      <c r="B1741" s="9">
        <f>COUNTIF(Levels!B:B,A1741)</f>
        <v>1</v>
      </c>
      <c r="C1741" s="9">
        <f>IFERROR(AVERAGEIF(Levels!B:B,A1741,Levels!E:E),0)</f>
        <v>21.29</v>
      </c>
      <c r="D1741" s="9">
        <f>IFERROR(AVERAGEIF(Levels!B:B,A1741,Levels!F:F),0)</f>
        <v>7.78</v>
      </c>
      <c r="E1741" s="9">
        <f>_xlfn.MAXIFS(Levels!E:E,Levels!B:B,A1741)</f>
        <v>21.29</v>
      </c>
      <c r="F1741" s="9">
        <f>_xlfn.MAXIFS(Levels!F:F,Levels!B:B,A1741)</f>
        <v>7.78</v>
      </c>
    </row>
    <row r="1742" spans="1:6" x14ac:dyDescent="0.3">
      <c r="A1742" t="s">
        <v>7880</v>
      </c>
      <c r="B1742" s="6">
        <f>COUNTIF(Levels!B:B,A1742)</f>
        <v>2</v>
      </c>
      <c r="C1742" s="6">
        <f>IFERROR(AVERAGEIF(Levels!B:B,A1742,Levels!E:E),0)</f>
        <v>10.379999999999999</v>
      </c>
      <c r="D1742" s="6">
        <f>IFERROR(AVERAGEIF(Levels!B:B,A1742,Levels!F:F),0)</f>
        <v>7.6</v>
      </c>
      <c r="E1742" s="6">
        <f>_xlfn.MAXIFS(Levels!E:E,Levels!B:B,A1742)</f>
        <v>18.399999999999999</v>
      </c>
      <c r="F1742" s="6">
        <f>_xlfn.MAXIFS(Levels!F:F,Levels!B:B,A1742)</f>
        <v>8</v>
      </c>
    </row>
    <row r="1743" spans="1:6" x14ac:dyDescent="0.3">
      <c r="A1743" t="s">
        <v>7882</v>
      </c>
      <c r="B1743" s="9">
        <f>COUNTIF(Levels!B:B,A1743)</f>
        <v>3</v>
      </c>
      <c r="C1743" s="9">
        <f>IFERROR(AVERAGEIF(Levels!B:B,A1743,Levels!E:E),0)</f>
        <v>6.1733333333333329</v>
      </c>
      <c r="D1743" s="9">
        <f>IFERROR(AVERAGEIF(Levels!B:B,A1743,Levels!F:F),0)</f>
        <v>7.43</v>
      </c>
      <c r="E1743" s="9">
        <f>_xlfn.MAXIFS(Levels!E:E,Levels!B:B,A1743)</f>
        <v>8.1999999999999993</v>
      </c>
      <c r="F1743" s="9">
        <f>_xlfn.MAXIFS(Levels!F:F,Levels!B:B,A1743)</f>
        <v>8.67</v>
      </c>
    </row>
    <row r="1744" spans="1:6" x14ac:dyDescent="0.3">
      <c r="A1744" t="s">
        <v>7885</v>
      </c>
      <c r="B1744" s="6">
        <f>COUNTIF(Levels!B:B,A1744)</f>
        <v>2</v>
      </c>
      <c r="C1744" s="6">
        <f>IFERROR(AVERAGEIF(Levels!B:B,A1744,Levels!E:E),0)</f>
        <v>11.225</v>
      </c>
      <c r="D1744" s="6">
        <f>IFERROR(AVERAGEIF(Levels!B:B,A1744,Levels!F:F),0)</f>
        <v>6.335</v>
      </c>
      <c r="E1744" s="6">
        <f>_xlfn.MAXIFS(Levels!E:E,Levels!B:B,A1744)</f>
        <v>11.25</v>
      </c>
      <c r="F1744" s="6">
        <f>_xlfn.MAXIFS(Levels!F:F,Levels!B:B,A1744)</f>
        <v>7</v>
      </c>
    </row>
    <row r="1745" spans="1:6" x14ac:dyDescent="0.3">
      <c r="A1745" t="s">
        <v>7888</v>
      </c>
      <c r="B1745" s="9">
        <f>COUNTIF(Levels!B:B,A1745)</f>
        <v>3</v>
      </c>
      <c r="C1745" s="9">
        <f>IFERROR(AVERAGEIF(Levels!B:B,A1745,Levels!E:E),0)</f>
        <v>19.09</v>
      </c>
      <c r="D1745" s="9">
        <f>IFERROR(AVERAGEIF(Levels!B:B,A1745,Levels!F:F),0)</f>
        <v>7.0633333333333326</v>
      </c>
      <c r="E1745" s="9">
        <f>_xlfn.MAXIFS(Levels!E:E,Levels!B:B,A1745)</f>
        <v>22</v>
      </c>
      <c r="F1745" s="9">
        <f>_xlfn.MAXIFS(Levels!F:F,Levels!B:B,A1745)</f>
        <v>7.8</v>
      </c>
    </row>
    <row r="1746" spans="1:6" x14ac:dyDescent="0.3">
      <c r="A1746" t="s">
        <v>7892</v>
      </c>
      <c r="B1746" s="6">
        <f>COUNTIF(Levels!B:B,A1746)</f>
        <v>1</v>
      </c>
      <c r="C1746" s="6">
        <f>IFERROR(AVERAGEIF(Levels!B:B,A1746,Levels!E:E),0)</f>
        <v>12.33</v>
      </c>
      <c r="D1746" s="6">
        <f>IFERROR(AVERAGEIF(Levels!B:B,A1746,Levels!F:F),0)</f>
        <v>7.5</v>
      </c>
      <c r="E1746" s="6">
        <f>_xlfn.MAXIFS(Levels!E:E,Levels!B:B,A1746)</f>
        <v>12.33</v>
      </c>
      <c r="F1746" s="6">
        <f>_xlfn.MAXIFS(Levels!F:F,Levels!B:B,A1746)</f>
        <v>7.5</v>
      </c>
    </row>
    <row r="1747" spans="1:6" x14ac:dyDescent="0.3">
      <c r="A1747" t="s">
        <v>7893</v>
      </c>
      <c r="B1747" s="9">
        <f>COUNTIF(Levels!B:B,A1747)</f>
        <v>1</v>
      </c>
      <c r="C1747" s="9">
        <f>IFERROR(AVERAGEIF(Levels!B:B,A1747,Levels!E:E),0)</f>
        <v>10.5</v>
      </c>
      <c r="D1747" s="9">
        <f>IFERROR(AVERAGEIF(Levels!B:B,A1747,Levels!F:F),0)</f>
        <v>7.82</v>
      </c>
      <c r="E1747" s="9">
        <f>_xlfn.MAXIFS(Levels!E:E,Levels!B:B,A1747)</f>
        <v>10.5</v>
      </c>
      <c r="F1747" s="9">
        <f>_xlfn.MAXIFS(Levels!F:F,Levels!B:B,A1747)</f>
        <v>7.82</v>
      </c>
    </row>
    <row r="1748" spans="1:6" x14ac:dyDescent="0.3">
      <c r="A1748" t="s">
        <v>7895</v>
      </c>
      <c r="B1748" s="6">
        <f>COUNTIF(Levels!B:B,A1748)</f>
        <v>1</v>
      </c>
      <c r="C1748" s="6">
        <f>IFERROR(AVERAGEIF(Levels!B:B,A1748,Levels!E:E),0)</f>
        <v>4.08</v>
      </c>
      <c r="D1748" s="6">
        <f>IFERROR(AVERAGEIF(Levels!B:B,A1748,Levels!F:F),0)</f>
        <v>6.09</v>
      </c>
      <c r="E1748" s="6">
        <f>_xlfn.MAXIFS(Levels!E:E,Levels!B:B,A1748)</f>
        <v>4.08</v>
      </c>
      <c r="F1748" s="6">
        <f>_xlfn.MAXIFS(Levels!F:F,Levels!B:B,A1748)</f>
        <v>6.09</v>
      </c>
    </row>
    <row r="1749" spans="1:6" x14ac:dyDescent="0.3">
      <c r="A1749" t="s">
        <v>7907</v>
      </c>
      <c r="B1749" s="9">
        <f>COUNTIF(Levels!B:B,A1749)</f>
        <v>8</v>
      </c>
      <c r="C1749" s="9">
        <f>IFERROR(AVERAGEIF(Levels!B:B,A1749,Levels!E:E),0)</f>
        <v>21.925999999999998</v>
      </c>
      <c r="D1749" s="9">
        <f>IFERROR(AVERAGEIF(Levels!B:B,A1749,Levels!F:F),0)</f>
        <v>6.0157142857142869</v>
      </c>
      <c r="E1749" s="9">
        <f>_xlfn.MAXIFS(Levels!E:E,Levels!B:B,A1749)</f>
        <v>27</v>
      </c>
      <c r="F1749" s="9">
        <f>_xlfn.MAXIFS(Levels!F:F,Levels!B:B,A1749)</f>
        <v>8.81</v>
      </c>
    </row>
    <row r="1750" spans="1:6" x14ac:dyDescent="0.3">
      <c r="A1750" t="s">
        <v>7917</v>
      </c>
      <c r="B1750" s="6">
        <f>COUNTIF(Levels!B:B,A1750)</f>
        <v>5</v>
      </c>
      <c r="C1750" s="6">
        <f>IFERROR(AVERAGEIF(Levels!B:B,A1750,Levels!E:E),0)</f>
        <v>9.6449999999999996</v>
      </c>
      <c r="D1750" s="6">
        <f>IFERROR(AVERAGEIF(Levels!B:B,A1750,Levels!F:F),0)</f>
        <v>7.0340000000000007</v>
      </c>
      <c r="E1750" s="6">
        <f>_xlfn.MAXIFS(Levels!E:E,Levels!B:B,A1750)</f>
        <v>19.899999999999999</v>
      </c>
      <c r="F1750" s="6">
        <f>_xlfn.MAXIFS(Levels!F:F,Levels!B:B,A1750)</f>
        <v>7.95</v>
      </c>
    </row>
    <row r="1751" spans="1:6" x14ac:dyDescent="0.3">
      <c r="A1751" t="s">
        <v>7919</v>
      </c>
      <c r="B1751" s="9">
        <f>COUNTIF(Levels!B:B,A1751)</f>
        <v>1</v>
      </c>
      <c r="C1751" s="9">
        <f>IFERROR(AVERAGEIF(Levels!B:B,A1751,Levels!E:E),0)</f>
        <v>17</v>
      </c>
      <c r="D1751" s="9">
        <f>IFERROR(AVERAGEIF(Levels!B:B,A1751,Levels!F:F),0)</f>
        <v>5.33</v>
      </c>
      <c r="E1751" s="9">
        <f>_xlfn.MAXIFS(Levels!E:E,Levels!B:B,A1751)</f>
        <v>17</v>
      </c>
      <c r="F1751" s="9">
        <f>_xlfn.MAXIFS(Levels!F:F,Levels!B:B,A1751)</f>
        <v>5.33</v>
      </c>
    </row>
    <row r="1752" spans="1:6" x14ac:dyDescent="0.3">
      <c r="A1752" t="s">
        <v>7921</v>
      </c>
      <c r="B1752" s="6">
        <f>COUNTIF(Levels!B:B,A1752)</f>
        <v>2</v>
      </c>
      <c r="C1752" s="6">
        <f>IFERROR(AVERAGEIF(Levels!B:B,A1752,Levels!E:E),0)</f>
        <v>16.07</v>
      </c>
      <c r="D1752" s="6">
        <f>IFERROR(AVERAGEIF(Levels!B:B,A1752,Levels!F:F),0)</f>
        <v>4.6449999999999996</v>
      </c>
      <c r="E1752" s="6">
        <f>_xlfn.MAXIFS(Levels!E:E,Levels!B:B,A1752)</f>
        <v>25</v>
      </c>
      <c r="F1752" s="6">
        <f>_xlfn.MAXIFS(Levels!F:F,Levels!B:B,A1752)</f>
        <v>5.29</v>
      </c>
    </row>
    <row r="1753" spans="1:6" x14ac:dyDescent="0.3">
      <c r="A1753" t="s">
        <v>7924</v>
      </c>
      <c r="B1753" s="9">
        <f>COUNTIF(Levels!B:B,A1753)</f>
        <v>1</v>
      </c>
      <c r="C1753" s="9">
        <f>IFERROR(AVERAGEIF(Levels!B:B,A1753,Levels!E:E),0)</f>
        <v>16.2</v>
      </c>
      <c r="D1753" s="9">
        <f>IFERROR(AVERAGEIF(Levels!B:B,A1753,Levels!F:F),0)</f>
        <v>7.77</v>
      </c>
      <c r="E1753" s="9">
        <f>_xlfn.MAXIFS(Levels!E:E,Levels!B:B,A1753)</f>
        <v>16.2</v>
      </c>
      <c r="F1753" s="9">
        <f>_xlfn.MAXIFS(Levels!F:F,Levels!B:B,A1753)</f>
        <v>7.77</v>
      </c>
    </row>
    <row r="1754" spans="1:6" x14ac:dyDescent="0.3">
      <c r="A1754" t="s">
        <v>7926</v>
      </c>
      <c r="B1754" s="6">
        <f>COUNTIF(Levels!B:B,A1754)</f>
        <v>1</v>
      </c>
      <c r="C1754" s="6">
        <f>IFERROR(AVERAGEIF(Levels!B:B,A1754,Levels!E:E),0)</f>
        <v>2.16</v>
      </c>
      <c r="D1754" s="6">
        <f>IFERROR(AVERAGEIF(Levels!B:B,A1754,Levels!F:F),0)</f>
        <v>7.32</v>
      </c>
      <c r="E1754" s="6">
        <f>_xlfn.MAXIFS(Levels!E:E,Levels!B:B,A1754)</f>
        <v>2.16</v>
      </c>
      <c r="F1754" s="6">
        <f>_xlfn.MAXIFS(Levels!F:F,Levels!B:B,A1754)</f>
        <v>7.32</v>
      </c>
    </row>
    <row r="1755" spans="1:6" x14ac:dyDescent="0.3">
      <c r="A1755" t="s">
        <v>7930</v>
      </c>
      <c r="B1755" s="9">
        <f>COUNTIF(Levels!B:B,A1755)</f>
        <v>1</v>
      </c>
      <c r="C1755" s="9">
        <f>IFERROR(AVERAGEIF(Levels!B:B,A1755,Levels!E:E),0)</f>
        <v>2.58</v>
      </c>
      <c r="D1755" s="9">
        <f>IFERROR(AVERAGEIF(Levels!B:B,A1755,Levels!F:F),0)</f>
        <v>5.71</v>
      </c>
      <c r="E1755" s="9">
        <f>_xlfn.MAXIFS(Levels!E:E,Levels!B:B,A1755)</f>
        <v>2.58</v>
      </c>
      <c r="F1755" s="9">
        <f>_xlfn.MAXIFS(Levels!F:F,Levels!B:B,A1755)</f>
        <v>5.71</v>
      </c>
    </row>
    <row r="1756" spans="1:6" x14ac:dyDescent="0.3">
      <c r="A1756" t="s">
        <v>7933</v>
      </c>
      <c r="B1756" s="6">
        <f>COUNTIF(Levels!B:B,A1756)</f>
        <v>11</v>
      </c>
      <c r="C1756" s="6">
        <f>IFERROR(AVERAGEIF(Levels!B:B,A1756,Levels!E:E),0)</f>
        <v>5.8554545454545455</v>
      </c>
      <c r="D1756" s="6">
        <f>IFERROR(AVERAGEIF(Levels!B:B,A1756,Levels!F:F),0)</f>
        <v>7.4018181818181823</v>
      </c>
      <c r="E1756" s="6">
        <f>_xlfn.MAXIFS(Levels!E:E,Levels!B:B,A1756)</f>
        <v>13</v>
      </c>
      <c r="F1756" s="6">
        <f>_xlfn.MAXIFS(Levels!F:F,Levels!B:B,A1756)</f>
        <v>8.27</v>
      </c>
    </row>
    <row r="1757" spans="1:6" x14ac:dyDescent="0.3">
      <c r="A1757" t="s">
        <v>7938</v>
      </c>
      <c r="B1757" s="9">
        <f>COUNTIF(Levels!B:B,A1757)</f>
        <v>1</v>
      </c>
      <c r="C1757" s="9">
        <f>IFERROR(AVERAGEIF(Levels!B:B,A1757,Levels!E:E),0)</f>
        <v>34.75</v>
      </c>
      <c r="D1757" s="9">
        <f>IFERROR(AVERAGEIF(Levels!B:B,A1757,Levels!F:F),0)</f>
        <v>3.25</v>
      </c>
      <c r="E1757" s="9">
        <f>_xlfn.MAXIFS(Levels!E:E,Levels!B:B,A1757)</f>
        <v>34.75</v>
      </c>
      <c r="F1757" s="9">
        <f>_xlfn.MAXIFS(Levels!F:F,Levels!B:B,A1757)</f>
        <v>3.25</v>
      </c>
    </row>
    <row r="1758" spans="1:6" x14ac:dyDescent="0.3">
      <c r="A1758" t="s">
        <v>7940</v>
      </c>
      <c r="B1758" s="6">
        <f>COUNTIF(Levels!B:B,A1758)</f>
        <v>1</v>
      </c>
      <c r="C1758" s="6">
        <f>IFERROR(AVERAGEIF(Levels!B:B,A1758,Levels!E:E),0)</f>
        <v>8.5</v>
      </c>
      <c r="D1758" s="6">
        <f>IFERROR(AVERAGEIF(Levels!B:B,A1758,Levels!F:F),0)</f>
        <v>4.71</v>
      </c>
      <c r="E1758" s="6">
        <f>_xlfn.MAXIFS(Levels!E:E,Levels!B:B,A1758)</f>
        <v>8.5</v>
      </c>
      <c r="F1758" s="6">
        <f>_xlfn.MAXIFS(Levels!F:F,Levels!B:B,A1758)</f>
        <v>4.71</v>
      </c>
    </row>
    <row r="1759" spans="1:6" x14ac:dyDescent="0.3">
      <c r="A1759" t="s">
        <v>7943</v>
      </c>
      <c r="B1759" s="9">
        <f>COUNTIF(Levels!B:B,A1759)</f>
        <v>1</v>
      </c>
      <c r="C1759" s="9">
        <f>IFERROR(AVERAGEIF(Levels!B:B,A1759,Levels!E:E),0)</f>
        <v>4.7</v>
      </c>
      <c r="D1759" s="9">
        <f>IFERROR(AVERAGEIF(Levels!B:B,A1759,Levels!F:F),0)</f>
        <v>6</v>
      </c>
      <c r="E1759" s="9">
        <f>_xlfn.MAXIFS(Levels!E:E,Levels!B:B,A1759)</f>
        <v>4.7</v>
      </c>
      <c r="F1759" s="9">
        <f>_xlfn.MAXIFS(Levels!F:F,Levels!B:B,A1759)</f>
        <v>6</v>
      </c>
    </row>
    <row r="1760" spans="1:6" x14ac:dyDescent="0.3">
      <c r="A1760" t="s">
        <v>7946</v>
      </c>
      <c r="B1760" s="6">
        <f>COUNTIF(Levels!B:B,A1760)</f>
        <v>1</v>
      </c>
      <c r="C1760" s="6">
        <f>IFERROR(AVERAGEIF(Levels!B:B,A1760,Levels!E:E),0)</f>
        <v>5.83</v>
      </c>
      <c r="D1760" s="6">
        <f>IFERROR(AVERAGEIF(Levels!B:B,A1760,Levels!F:F),0)</f>
        <v>5.88</v>
      </c>
      <c r="E1760" s="6">
        <f>_xlfn.MAXIFS(Levels!E:E,Levels!B:B,A1760)</f>
        <v>5.83</v>
      </c>
      <c r="F1760" s="6">
        <f>_xlfn.MAXIFS(Levels!F:F,Levels!B:B,A1760)</f>
        <v>5.88</v>
      </c>
    </row>
    <row r="1761" spans="1:6" x14ac:dyDescent="0.3">
      <c r="A1761" t="s">
        <v>7956</v>
      </c>
      <c r="B1761" s="9">
        <f>COUNTIF(Levels!B:B,A1761)</f>
        <v>1</v>
      </c>
      <c r="C1761" s="9">
        <f>IFERROR(AVERAGEIF(Levels!B:B,A1761,Levels!E:E),0)</f>
        <v>3.17</v>
      </c>
      <c r="D1761" s="9">
        <f>IFERROR(AVERAGEIF(Levels!B:B,A1761,Levels!F:F),0)</f>
        <v>5</v>
      </c>
      <c r="E1761" s="9">
        <f>_xlfn.MAXIFS(Levels!E:E,Levels!B:B,A1761)</f>
        <v>3.17</v>
      </c>
      <c r="F1761" s="9">
        <f>_xlfn.MAXIFS(Levels!F:F,Levels!B:B,A1761)</f>
        <v>5</v>
      </c>
    </row>
    <row r="1762" spans="1:6" x14ac:dyDescent="0.3">
      <c r="A1762" t="s">
        <v>7962</v>
      </c>
      <c r="B1762" s="6">
        <f>COUNTIF(Levels!B:B,A1762)</f>
        <v>1</v>
      </c>
      <c r="C1762" s="6">
        <f>IFERROR(AVERAGEIF(Levels!B:B,A1762,Levels!E:E),0)</f>
        <v>19.02</v>
      </c>
      <c r="D1762" s="6">
        <f>IFERROR(AVERAGEIF(Levels!B:B,A1762,Levels!F:F),0)</f>
        <v>8.4</v>
      </c>
      <c r="E1762" s="6">
        <f>_xlfn.MAXIFS(Levels!E:E,Levels!B:B,A1762)</f>
        <v>19.02</v>
      </c>
      <c r="F1762" s="6">
        <f>_xlfn.MAXIFS(Levels!F:F,Levels!B:B,A1762)</f>
        <v>8.4</v>
      </c>
    </row>
    <row r="1763" spans="1:6" x14ac:dyDescent="0.3">
      <c r="A1763" t="s">
        <v>7965</v>
      </c>
      <c r="B1763" s="9">
        <f>COUNTIF(Levels!B:B,A1763)</f>
        <v>2</v>
      </c>
      <c r="C1763" s="9">
        <f>IFERROR(AVERAGEIF(Levels!B:B,A1763,Levels!E:E),0)</f>
        <v>2.6950000000000003</v>
      </c>
      <c r="D1763" s="9">
        <f>IFERROR(AVERAGEIF(Levels!B:B,A1763,Levels!F:F),0)</f>
        <v>5.3849999999999998</v>
      </c>
      <c r="E1763" s="9">
        <f>_xlfn.MAXIFS(Levels!E:E,Levels!B:B,A1763)</f>
        <v>3.31</v>
      </c>
      <c r="F1763" s="9">
        <f>_xlfn.MAXIFS(Levels!F:F,Levels!B:B,A1763)</f>
        <v>5.64</v>
      </c>
    </row>
    <row r="1764" spans="1:6" x14ac:dyDescent="0.3">
      <c r="A1764" t="s">
        <v>7969</v>
      </c>
      <c r="B1764" s="6">
        <f>COUNTIF(Levels!B:B,A1764)</f>
        <v>1</v>
      </c>
      <c r="C1764" s="6">
        <f>IFERROR(AVERAGEIF(Levels!B:B,A1764,Levels!E:E),0)</f>
        <v>9.2200000000000006</v>
      </c>
      <c r="D1764" s="6">
        <f>IFERROR(AVERAGEIF(Levels!B:B,A1764,Levels!F:F),0)</f>
        <v>5.63</v>
      </c>
      <c r="E1764" s="6">
        <f>_xlfn.MAXIFS(Levels!E:E,Levels!B:B,A1764)</f>
        <v>9.2200000000000006</v>
      </c>
      <c r="F1764" s="6">
        <f>_xlfn.MAXIFS(Levels!F:F,Levels!B:B,A1764)</f>
        <v>5.63</v>
      </c>
    </row>
    <row r="1765" spans="1:6" x14ac:dyDescent="0.3">
      <c r="A1765" t="s">
        <v>7975</v>
      </c>
      <c r="B1765" s="9">
        <f>COUNTIF(Levels!B:B,A1765)</f>
        <v>1</v>
      </c>
      <c r="C1765" s="9">
        <f>IFERROR(AVERAGEIF(Levels!B:B,A1765,Levels!E:E),0)</f>
        <v>8</v>
      </c>
      <c r="D1765" s="9">
        <f>IFERROR(AVERAGEIF(Levels!B:B,A1765,Levels!F:F),0)</f>
        <v>6.25</v>
      </c>
      <c r="E1765" s="9">
        <f>_xlfn.MAXIFS(Levels!E:E,Levels!B:B,A1765)</f>
        <v>8</v>
      </c>
      <c r="F1765" s="9">
        <f>_xlfn.MAXIFS(Levels!F:F,Levels!B:B,A1765)</f>
        <v>6.25</v>
      </c>
    </row>
    <row r="1766" spans="1:6" x14ac:dyDescent="0.3">
      <c r="A1766" t="s">
        <v>7980</v>
      </c>
      <c r="B1766" s="6">
        <f>COUNTIF(Levels!B:B,A1766)</f>
        <v>3</v>
      </c>
      <c r="C1766" s="6">
        <f>IFERROR(AVERAGEIF(Levels!B:B,A1766,Levels!E:E),0)</f>
        <v>12.986666666666666</v>
      </c>
      <c r="D1766" s="6">
        <f>IFERROR(AVERAGEIF(Levels!B:B,A1766,Levels!F:F),0)</f>
        <v>5.669999999999999</v>
      </c>
      <c r="E1766" s="6">
        <f>_xlfn.MAXIFS(Levels!E:E,Levels!B:B,A1766)</f>
        <v>18.329999999999998</v>
      </c>
      <c r="F1766" s="6">
        <f>_xlfn.MAXIFS(Levels!F:F,Levels!B:B,A1766)</f>
        <v>7.92</v>
      </c>
    </row>
    <row r="1767" spans="1:6" x14ac:dyDescent="0.3">
      <c r="A1767" t="s">
        <v>7989</v>
      </c>
      <c r="B1767" s="9">
        <f>COUNTIF(Levels!B:B,A1767)</f>
        <v>1</v>
      </c>
      <c r="C1767" s="9">
        <f>IFERROR(AVERAGEIF(Levels!B:B,A1767,Levels!E:E),0)</f>
        <v>15.11</v>
      </c>
      <c r="D1767" s="9">
        <f>IFERROR(AVERAGEIF(Levels!B:B,A1767,Levels!F:F),0)</f>
        <v>6.84</v>
      </c>
      <c r="E1767" s="9">
        <f>_xlfn.MAXIFS(Levels!E:E,Levels!B:B,A1767)</f>
        <v>15.11</v>
      </c>
      <c r="F1767" s="9">
        <f>_xlfn.MAXIFS(Levels!F:F,Levels!B:B,A1767)</f>
        <v>6.84</v>
      </c>
    </row>
    <row r="1768" spans="1:6" x14ac:dyDescent="0.3">
      <c r="A1768" t="s">
        <v>7992</v>
      </c>
      <c r="B1768" s="6">
        <f>COUNTIF(Levels!B:B,A1768)</f>
        <v>1</v>
      </c>
      <c r="C1768" s="6">
        <f>IFERROR(AVERAGEIF(Levels!B:B,A1768,Levels!E:E),0)</f>
        <v>21</v>
      </c>
      <c r="D1768" s="6">
        <f>IFERROR(AVERAGEIF(Levels!B:B,A1768,Levels!F:F),0)</f>
        <v>5.73</v>
      </c>
      <c r="E1768" s="6">
        <f>_xlfn.MAXIFS(Levels!E:E,Levels!B:B,A1768)</f>
        <v>21</v>
      </c>
      <c r="F1768" s="6">
        <f>_xlfn.MAXIFS(Levels!F:F,Levels!B:B,A1768)</f>
        <v>5.73</v>
      </c>
    </row>
    <row r="1769" spans="1:6" x14ac:dyDescent="0.3">
      <c r="A1769" t="s">
        <v>7994</v>
      </c>
      <c r="B1769" s="9">
        <f>COUNTIF(Levels!B:B,A1769)</f>
        <v>1</v>
      </c>
      <c r="C1769" s="9">
        <f>IFERROR(AVERAGEIF(Levels!B:B,A1769,Levels!E:E),0)</f>
        <v>16.43</v>
      </c>
      <c r="D1769" s="9">
        <f>IFERROR(AVERAGEIF(Levels!B:B,A1769,Levels!F:F),0)</f>
        <v>6.54</v>
      </c>
      <c r="E1769" s="9">
        <f>_xlfn.MAXIFS(Levels!E:E,Levels!B:B,A1769)</f>
        <v>16.43</v>
      </c>
      <c r="F1769" s="9">
        <f>_xlfn.MAXIFS(Levels!F:F,Levels!B:B,A1769)</f>
        <v>6.54</v>
      </c>
    </row>
    <row r="1770" spans="1:6" x14ac:dyDescent="0.3">
      <c r="A1770" t="s">
        <v>7999</v>
      </c>
      <c r="B1770" s="6">
        <f>COUNTIF(Levels!B:B,A1770)</f>
        <v>1</v>
      </c>
      <c r="C1770" s="6">
        <f>IFERROR(AVERAGEIF(Levels!B:B,A1770,Levels!E:E),0)</f>
        <v>3.5</v>
      </c>
      <c r="D1770" s="6">
        <f>IFERROR(AVERAGEIF(Levels!B:B,A1770,Levels!F:F),0)</f>
        <v>4.6399999999999997</v>
      </c>
      <c r="E1770" s="6">
        <f>_xlfn.MAXIFS(Levels!E:E,Levels!B:B,A1770)</f>
        <v>3.5</v>
      </c>
      <c r="F1770" s="6">
        <f>_xlfn.MAXIFS(Levels!F:F,Levels!B:B,A1770)</f>
        <v>4.6399999999999997</v>
      </c>
    </row>
    <row r="1771" spans="1:6" x14ac:dyDescent="0.3">
      <c r="A1771" t="s">
        <v>8001</v>
      </c>
      <c r="B1771" s="9">
        <f>COUNTIF(Levels!B:B,A1771)</f>
        <v>1</v>
      </c>
      <c r="C1771" s="9">
        <f>IFERROR(AVERAGEIF(Levels!B:B,A1771,Levels!E:E),0)</f>
        <v>2.9</v>
      </c>
      <c r="D1771" s="9">
        <f>IFERROR(AVERAGEIF(Levels!B:B,A1771,Levels!F:F),0)</f>
        <v>6.5</v>
      </c>
      <c r="E1771" s="9">
        <f>_xlfn.MAXIFS(Levels!E:E,Levels!B:B,A1771)</f>
        <v>2.9</v>
      </c>
      <c r="F1771" s="9">
        <f>_xlfn.MAXIFS(Levels!F:F,Levels!B:B,A1771)</f>
        <v>6.5</v>
      </c>
    </row>
    <row r="1772" spans="1:6" x14ac:dyDescent="0.3">
      <c r="A1772" t="s">
        <v>8006</v>
      </c>
      <c r="B1772" s="6">
        <f>COUNTIF(Levels!B:B,A1772)</f>
        <v>1</v>
      </c>
      <c r="C1772" s="6">
        <f>IFERROR(AVERAGEIF(Levels!B:B,A1772,Levels!E:E),0)</f>
        <v>33.75</v>
      </c>
      <c r="D1772" s="6">
        <f>IFERROR(AVERAGEIF(Levels!B:B,A1772,Levels!F:F),0)</f>
        <v>3</v>
      </c>
      <c r="E1772" s="6">
        <f>_xlfn.MAXIFS(Levels!E:E,Levels!B:B,A1772)</f>
        <v>33.75</v>
      </c>
      <c r="F1772" s="6">
        <f>_xlfn.MAXIFS(Levels!F:F,Levels!B:B,A1772)</f>
        <v>3</v>
      </c>
    </row>
    <row r="1773" spans="1:6" x14ac:dyDescent="0.3">
      <c r="A1773" t="s">
        <v>8010</v>
      </c>
      <c r="B1773" s="9">
        <f>COUNTIF(Levels!B:B,A1773)</f>
        <v>1</v>
      </c>
      <c r="C1773" s="9">
        <f>IFERROR(AVERAGEIF(Levels!B:B,A1773,Levels!E:E),0)</f>
        <v>4.68</v>
      </c>
      <c r="D1773" s="9">
        <f>IFERROR(AVERAGEIF(Levels!B:B,A1773,Levels!F:F),0)</f>
        <v>7.29</v>
      </c>
      <c r="E1773" s="9">
        <f>_xlfn.MAXIFS(Levels!E:E,Levels!B:B,A1773)</f>
        <v>4.68</v>
      </c>
      <c r="F1773" s="9">
        <f>_xlfn.MAXIFS(Levels!F:F,Levels!B:B,A1773)</f>
        <v>7.29</v>
      </c>
    </row>
    <row r="1774" spans="1:6" x14ac:dyDescent="0.3">
      <c r="A1774" t="s">
        <v>8013</v>
      </c>
      <c r="B1774" s="6">
        <f>COUNTIF(Levels!B:B,A1774)</f>
        <v>2</v>
      </c>
      <c r="C1774" s="6">
        <f>IFERROR(AVERAGEIF(Levels!B:B,A1774,Levels!E:E),0)</f>
        <v>3.8149999999999999</v>
      </c>
      <c r="D1774" s="6">
        <f>IFERROR(AVERAGEIF(Levels!B:B,A1774,Levels!F:F),0)</f>
        <v>6.9399999999999995</v>
      </c>
      <c r="E1774" s="6">
        <f>_xlfn.MAXIFS(Levels!E:E,Levels!B:B,A1774)</f>
        <v>4.63</v>
      </c>
      <c r="F1774" s="6">
        <f>_xlfn.MAXIFS(Levels!F:F,Levels!B:B,A1774)</f>
        <v>7.75</v>
      </c>
    </row>
    <row r="1775" spans="1:6" x14ac:dyDescent="0.3">
      <c r="A1775" t="s">
        <v>8017</v>
      </c>
      <c r="B1775" s="9">
        <f>COUNTIF(Levels!B:B,A1775)</f>
        <v>2</v>
      </c>
      <c r="C1775" s="9">
        <f>IFERROR(AVERAGEIF(Levels!B:B,A1775,Levels!E:E),0)</f>
        <v>11.69</v>
      </c>
      <c r="D1775" s="9">
        <f>IFERROR(AVERAGEIF(Levels!B:B,A1775,Levels!F:F),0)</f>
        <v>5.3450000000000006</v>
      </c>
      <c r="E1775" s="9">
        <f>_xlfn.MAXIFS(Levels!E:E,Levels!B:B,A1775)</f>
        <v>20</v>
      </c>
      <c r="F1775" s="9">
        <f>_xlfn.MAXIFS(Levels!F:F,Levels!B:B,A1775)</f>
        <v>6</v>
      </c>
    </row>
    <row r="1776" spans="1:6" x14ac:dyDescent="0.3">
      <c r="A1776" t="s">
        <v>8020</v>
      </c>
      <c r="B1776" s="6">
        <f>COUNTIF(Levels!B:B,A1776)</f>
        <v>9</v>
      </c>
      <c r="C1776" s="6">
        <f>IFERROR(AVERAGEIF(Levels!B:B,A1776,Levels!E:E),0)</f>
        <v>7.5850000000000009</v>
      </c>
      <c r="D1776" s="6">
        <f>IFERROR(AVERAGEIF(Levels!B:B,A1776,Levels!F:F),0)</f>
        <v>7.141111111111111</v>
      </c>
      <c r="E1776" s="6">
        <f>_xlfn.MAXIFS(Levels!E:E,Levels!B:B,A1776)</f>
        <v>21.93</v>
      </c>
      <c r="F1776" s="6">
        <f>_xlfn.MAXIFS(Levels!F:F,Levels!B:B,A1776)</f>
        <v>8.1199999999999992</v>
      </c>
    </row>
    <row r="1777" spans="1:6" x14ac:dyDescent="0.3">
      <c r="A1777" t="s">
        <v>8027</v>
      </c>
      <c r="B1777" s="9">
        <f>COUNTIF(Levels!B:B,A1777)</f>
        <v>1</v>
      </c>
      <c r="C1777" s="9">
        <f>IFERROR(AVERAGEIF(Levels!B:B,A1777,Levels!E:E),0)</f>
        <v>8.6300000000000008</v>
      </c>
      <c r="D1777" s="9">
        <f>IFERROR(AVERAGEIF(Levels!B:B,A1777,Levels!F:F),0)</f>
        <v>5.13</v>
      </c>
      <c r="E1777" s="9">
        <f>_xlfn.MAXIFS(Levels!E:E,Levels!B:B,A1777)</f>
        <v>8.6300000000000008</v>
      </c>
      <c r="F1777" s="9">
        <f>_xlfn.MAXIFS(Levels!F:F,Levels!B:B,A1777)</f>
        <v>5.13</v>
      </c>
    </row>
    <row r="1778" spans="1:6" x14ac:dyDescent="0.3">
      <c r="A1778" t="s">
        <v>8029</v>
      </c>
      <c r="B1778" s="6">
        <f>COUNTIF(Levels!B:B,A1778)</f>
        <v>14</v>
      </c>
      <c r="C1778" s="6">
        <f>IFERROR(AVERAGEIF(Levels!B:B,A1778,Levels!E:E),0)</f>
        <v>9.4249999999999989</v>
      </c>
      <c r="D1778" s="6">
        <f>IFERROR(AVERAGEIF(Levels!B:B,A1778,Levels!F:F),0)</f>
        <v>6.8946153846153839</v>
      </c>
      <c r="E1778" s="6">
        <f>_xlfn.MAXIFS(Levels!E:E,Levels!B:B,A1778)</f>
        <v>22.33</v>
      </c>
      <c r="F1778" s="6">
        <f>_xlfn.MAXIFS(Levels!F:F,Levels!B:B,A1778)</f>
        <v>7.78</v>
      </c>
    </row>
    <row r="1779" spans="1:6" x14ac:dyDescent="0.3">
      <c r="A1779" t="s">
        <v>8032</v>
      </c>
      <c r="B1779" s="9">
        <f>COUNTIF(Levels!B:B,A1779)</f>
        <v>4</v>
      </c>
      <c r="C1779" s="9">
        <f>IFERROR(AVERAGEIF(Levels!B:B,A1779,Levels!E:E),0)</f>
        <v>2.3774999999999999</v>
      </c>
      <c r="D1779" s="9">
        <f>IFERROR(AVERAGEIF(Levels!B:B,A1779,Levels!F:F),0)</f>
        <v>7.415</v>
      </c>
      <c r="E1779" s="9">
        <f>_xlfn.MAXIFS(Levels!E:E,Levels!B:B,A1779)</f>
        <v>3.93</v>
      </c>
      <c r="F1779" s="9">
        <f>_xlfn.MAXIFS(Levels!F:F,Levels!B:B,A1779)</f>
        <v>7.79</v>
      </c>
    </row>
    <row r="1780" spans="1:6" x14ac:dyDescent="0.3">
      <c r="A1780" t="s">
        <v>8035</v>
      </c>
      <c r="B1780" s="6">
        <f>COUNTIF(Levels!B:B,A1780)</f>
        <v>1</v>
      </c>
      <c r="C1780" s="6">
        <f>IFERROR(AVERAGEIF(Levels!B:B,A1780,Levels!E:E),0)</f>
        <v>3.14</v>
      </c>
      <c r="D1780" s="6">
        <f>IFERROR(AVERAGEIF(Levels!B:B,A1780,Levels!F:F),0)</f>
        <v>6.9</v>
      </c>
      <c r="E1780" s="6">
        <f>_xlfn.MAXIFS(Levels!E:E,Levels!B:B,A1780)</f>
        <v>3.14</v>
      </c>
      <c r="F1780" s="6">
        <f>_xlfn.MAXIFS(Levels!F:F,Levels!B:B,A1780)</f>
        <v>6.9</v>
      </c>
    </row>
    <row r="1781" spans="1:6" x14ac:dyDescent="0.3">
      <c r="A1781" t="s">
        <v>8040</v>
      </c>
      <c r="B1781" s="9">
        <f>COUNTIF(Levels!B:B,A1781)</f>
        <v>4</v>
      </c>
      <c r="C1781" s="9">
        <f>IFERROR(AVERAGEIF(Levels!B:B,A1781,Levels!E:E),0)</f>
        <v>6.99</v>
      </c>
      <c r="D1781" s="9">
        <f>IFERROR(AVERAGEIF(Levels!B:B,A1781,Levels!F:F),0)</f>
        <v>5.6475</v>
      </c>
      <c r="E1781" s="9">
        <f>_xlfn.MAXIFS(Levels!E:E,Levels!B:B,A1781)</f>
        <v>10.33</v>
      </c>
      <c r="F1781" s="9">
        <f>_xlfn.MAXIFS(Levels!F:F,Levels!B:B,A1781)</f>
        <v>7.2</v>
      </c>
    </row>
    <row r="1782" spans="1:6" x14ac:dyDescent="0.3">
      <c r="A1782" t="s">
        <v>8043</v>
      </c>
      <c r="B1782" s="6">
        <f>COUNTIF(Levels!B:B,A1782)</f>
        <v>1</v>
      </c>
      <c r="C1782" s="6">
        <f>IFERROR(AVERAGEIF(Levels!B:B,A1782,Levels!E:E),0)</f>
        <v>23.93</v>
      </c>
      <c r="D1782" s="6">
        <f>IFERROR(AVERAGEIF(Levels!B:B,A1782,Levels!F:F),0)</f>
        <v>7.25</v>
      </c>
      <c r="E1782" s="6">
        <f>_xlfn.MAXIFS(Levels!E:E,Levels!B:B,A1782)</f>
        <v>23.93</v>
      </c>
      <c r="F1782" s="6">
        <f>_xlfn.MAXIFS(Levels!F:F,Levels!B:B,A1782)</f>
        <v>7.25</v>
      </c>
    </row>
    <row r="1783" spans="1:6" x14ac:dyDescent="0.3">
      <c r="A1783" t="s">
        <v>8045</v>
      </c>
      <c r="B1783" s="9">
        <f>COUNTIF(Levels!B:B,A1783)</f>
        <v>3</v>
      </c>
      <c r="C1783" s="9">
        <f>IFERROR(AVERAGEIF(Levels!B:B,A1783,Levels!E:E),0)</f>
        <v>17.66</v>
      </c>
      <c r="D1783" s="9">
        <f>IFERROR(AVERAGEIF(Levels!B:B,A1783,Levels!F:F),0)</f>
        <v>6.96</v>
      </c>
      <c r="E1783" s="9">
        <f>_xlfn.MAXIFS(Levels!E:E,Levels!B:B,A1783)</f>
        <v>28</v>
      </c>
      <c r="F1783" s="9">
        <f>_xlfn.MAXIFS(Levels!F:F,Levels!B:B,A1783)</f>
        <v>8</v>
      </c>
    </row>
    <row r="1784" spans="1:6" x14ac:dyDescent="0.3">
      <c r="A1784" t="s">
        <v>8047</v>
      </c>
      <c r="B1784" s="6">
        <f>COUNTIF(Levels!B:B,A1784)</f>
        <v>4</v>
      </c>
      <c r="C1784" s="6">
        <f>IFERROR(AVERAGEIF(Levels!B:B,A1784,Levels!E:E),0)</f>
        <v>24.866666666666664</v>
      </c>
      <c r="D1784" s="6">
        <f>IFERROR(AVERAGEIF(Levels!B:B,A1784,Levels!F:F),0)</f>
        <v>8.1666666666666661</v>
      </c>
      <c r="E1784" s="6">
        <f>_xlfn.MAXIFS(Levels!E:E,Levels!B:B,A1784)</f>
        <v>33</v>
      </c>
      <c r="F1784" s="6">
        <f>_xlfn.MAXIFS(Levels!F:F,Levels!B:B,A1784)</f>
        <v>8.6</v>
      </c>
    </row>
    <row r="1785" spans="1:6" x14ac:dyDescent="0.3">
      <c r="A1785" t="s">
        <v>8053</v>
      </c>
      <c r="B1785" s="9">
        <f>COUNTIF(Levels!B:B,A1785)</f>
        <v>2</v>
      </c>
      <c r="C1785" s="9">
        <f>IFERROR(AVERAGEIF(Levels!B:B,A1785,Levels!E:E),0)</f>
        <v>6.01</v>
      </c>
      <c r="D1785" s="9">
        <f>IFERROR(AVERAGEIF(Levels!B:B,A1785,Levels!F:F),0)</f>
        <v>7.2</v>
      </c>
      <c r="E1785" s="9">
        <f>_xlfn.MAXIFS(Levels!E:E,Levels!B:B,A1785)</f>
        <v>8.86</v>
      </c>
      <c r="F1785" s="9">
        <f>_xlfn.MAXIFS(Levels!F:F,Levels!B:B,A1785)</f>
        <v>7.5</v>
      </c>
    </row>
    <row r="1786" spans="1:6" x14ac:dyDescent="0.3">
      <c r="A1786" t="s">
        <v>8055</v>
      </c>
      <c r="B1786" s="6">
        <f>COUNTIF(Levels!B:B,A1786)</f>
        <v>3</v>
      </c>
      <c r="C1786" s="6">
        <f>IFERROR(AVERAGEIF(Levels!B:B,A1786,Levels!E:E),0)</f>
        <v>18.223333333333333</v>
      </c>
      <c r="D1786" s="6">
        <f>IFERROR(AVERAGEIF(Levels!B:B,A1786,Levels!F:F),0)</f>
        <v>8.086666666666666</v>
      </c>
      <c r="E1786" s="6">
        <f>_xlfn.MAXIFS(Levels!E:E,Levels!B:B,A1786)</f>
        <v>23.32</v>
      </c>
      <c r="F1786" s="6">
        <f>_xlfn.MAXIFS(Levels!F:F,Levels!B:B,A1786)</f>
        <v>8.7799999999999994</v>
      </c>
    </row>
    <row r="1787" spans="1:6" x14ac:dyDescent="0.3">
      <c r="A1787" t="s">
        <v>8060</v>
      </c>
      <c r="B1787" s="9">
        <f>COUNTIF(Levels!B:B,A1787)</f>
        <v>3</v>
      </c>
      <c r="C1787" s="9">
        <f>IFERROR(AVERAGEIF(Levels!B:B,A1787,Levels!E:E),0)</f>
        <v>1.9333333333333333</v>
      </c>
      <c r="D1787" s="9">
        <f>IFERROR(AVERAGEIF(Levels!B:B,A1787,Levels!F:F),0)</f>
        <v>6.246666666666667</v>
      </c>
      <c r="E1787" s="9">
        <f>_xlfn.MAXIFS(Levels!E:E,Levels!B:B,A1787)</f>
        <v>3.33</v>
      </c>
      <c r="F1787" s="9">
        <f>_xlfn.MAXIFS(Levels!F:F,Levels!B:B,A1787)</f>
        <v>6.64</v>
      </c>
    </row>
    <row r="1788" spans="1:6" x14ac:dyDescent="0.3">
      <c r="A1788" t="s">
        <v>8065</v>
      </c>
      <c r="B1788" s="6">
        <f>COUNTIF(Levels!B:B,A1788)</f>
        <v>7</v>
      </c>
      <c r="C1788" s="6">
        <f>IFERROR(AVERAGEIF(Levels!B:B,A1788,Levels!E:E),0)</f>
        <v>8.4966666666666679</v>
      </c>
      <c r="D1788" s="6">
        <f>IFERROR(AVERAGEIF(Levels!B:B,A1788,Levels!F:F),0)</f>
        <v>7.6133333333333333</v>
      </c>
      <c r="E1788" s="6">
        <f>_xlfn.MAXIFS(Levels!E:E,Levels!B:B,A1788)</f>
        <v>16</v>
      </c>
      <c r="F1788" s="6">
        <f>_xlfn.MAXIFS(Levels!F:F,Levels!B:B,A1788)</f>
        <v>8</v>
      </c>
    </row>
    <row r="1789" spans="1:6" x14ac:dyDescent="0.3">
      <c r="A1789" t="s">
        <v>8068</v>
      </c>
      <c r="B1789" s="9">
        <f>COUNTIF(Levels!B:B,A1789)</f>
        <v>3</v>
      </c>
      <c r="C1789" s="9">
        <f>IFERROR(AVERAGEIF(Levels!B:B,A1789,Levels!E:E),0)</f>
        <v>12.81</v>
      </c>
      <c r="D1789" s="9">
        <f>IFERROR(AVERAGEIF(Levels!B:B,A1789,Levels!F:F),0)</f>
        <v>5.9833333333333343</v>
      </c>
      <c r="E1789" s="9">
        <f>_xlfn.MAXIFS(Levels!E:E,Levels!B:B,A1789)</f>
        <v>23.67</v>
      </c>
      <c r="F1789" s="9">
        <f>_xlfn.MAXIFS(Levels!F:F,Levels!B:B,A1789)</f>
        <v>7.33</v>
      </c>
    </row>
    <row r="1790" spans="1:6" x14ac:dyDescent="0.3">
      <c r="A1790" t="s">
        <v>8070</v>
      </c>
      <c r="B1790" s="6">
        <f>COUNTIF(Levels!B:B,A1790)</f>
        <v>6</v>
      </c>
      <c r="C1790" s="6">
        <f>IFERROR(AVERAGEIF(Levels!B:B,A1790,Levels!E:E),0)</f>
        <v>11.298333333333334</v>
      </c>
      <c r="D1790" s="6">
        <f>IFERROR(AVERAGEIF(Levels!B:B,A1790,Levels!F:F),0)</f>
        <v>7.2683333333333335</v>
      </c>
      <c r="E1790" s="6">
        <f>_xlfn.MAXIFS(Levels!E:E,Levels!B:B,A1790)</f>
        <v>20.85</v>
      </c>
      <c r="F1790" s="6">
        <f>_xlfn.MAXIFS(Levels!F:F,Levels!B:B,A1790)</f>
        <v>8.08</v>
      </c>
    </row>
    <row r="1791" spans="1:6" x14ac:dyDescent="0.3">
      <c r="A1791" t="s">
        <v>8072</v>
      </c>
      <c r="B1791" s="9">
        <f>COUNTIF(Levels!B:B,A1791)</f>
        <v>1</v>
      </c>
      <c r="C1791" s="9">
        <f>IFERROR(AVERAGEIF(Levels!B:B,A1791,Levels!E:E),0)</f>
        <v>14.87</v>
      </c>
      <c r="D1791" s="9">
        <f>IFERROR(AVERAGEIF(Levels!B:B,A1791,Levels!F:F),0)</f>
        <v>6.46</v>
      </c>
      <c r="E1791" s="9">
        <f>_xlfn.MAXIFS(Levels!E:E,Levels!B:B,A1791)</f>
        <v>14.87</v>
      </c>
      <c r="F1791" s="9">
        <f>_xlfn.MAXIFS(Levels!F:F,Levels!B:B,A1791)</f>
        <v>6.46</v>
      </c>
    </row>
    <row r="1792" spans="1:6" x14ac:dyDescent="0.3">
      <c r="A1792" t="s">
        <v>8075</v>
      </c>
      <c r="B1792" s="6">
        <f>COUNTIF(Levels!B:B,A1792)</f>
        <v>2</v>
      </c>
      <c r="C1792" s="6">
        <f>IFERROR(AVERAGEIF(Levels!B:B,A1792,Levels!E:E),0)</f>
        <v>2.61</v>
      </c>
      <c r="D1792" s="6">
        <f>IFERROR(AVERAGEIF(Levels!B:B,A1792,Levels!F:F),0)</f>
        <v>8.125</v>
      </c>
      <c r="E1792" s="6">
        <f>_xlfn.MAXIFS(Levels!E:E,Levels!B:B,A1792)</f>
        <v>2.88</v>
      </c>
      <c r="F1792" s="6">
        <f>_xlfn.MAXIFS(Levels!F:F,Levels!B:B,A1792)</f>
        <v>8.3800000000000008</v>
      </c>
    </row>
    <row r="1793" spans="1:6" x14ac:dyDescent="0.3">
      <c r="A1793" t="s">
        <v>8089</v>
      </c>
      <c r="B1793" s="9">
        <f>COUNTIF(Levels!B:B,A1793)</f>
        <v>2</v>
      </c>
      <c r="C1793" s="9">
        <f>IFERROR(AVERAGEIF(Levels!B:B,A1793,Levels!E:E),0)</f>
        <v>10.31</v>
      </c>
      <c r="D1793" s="9">
        <f>IFERROR(AVERAGEIF(Levels!B:B,A1793,Levels!F:F),0)</f>
        <v>7.4350000000000005</v>
      </c>
      <c r="E1793" s="9">
        <f>_xlfn.MAXIFS(Levels!E:E,Levels!B:B,A1793)</f>
        <v>12.31</v>
      </c>
      <c r="F1793" s="9">
        <f>_xlfn.MAXIFS(Levels!F:F,Levels!B:B,A1793)</f>
        <v>7.94</v>
      </c>
    </row>
    <row r="1794" spans="1:6" x14ac:dyDescent="0.3">
      <c r="A1794" t="s">
        <v>8097</v>
      </c>
      <c r="B1794" s="6">
        <f>COUNTIF(Levels!B:B,A1794)</f>
        <v>2</v>
      </c>
      <c r="C1794" s="6">
        <f>IFERROR(AVERAGEIF(Levels!B:B,A1794,Levels!E:E),0)</f>
        <v>8.9249999999999989</v>
      </c>
      <c r="D1794" s="6">
        <f>IFERROR(AVERAGEIF(Levels!B:B,A1794,Levels!F:F),0)</f>
        <v>5.5</v>
      </c>
      <c r="E1794" s="6">
        <f>_xlfn.MAXIFS(Levels!E:E,Levels!B:B,A1794)</f>
        <v>11.29</v>
      </c>
      <c r="F1794" s="6">
        <f>_xlfn.MAXIFS(Levels!F:F,Levels!B:B,A1794)</f>
        <v>7.5</v>
      </c>
    </row>
    <row r="1795" spans="1:6" x14ac:dyDescent="0.3">
      <c r="A1795" t="s">
        <v>8102</v>
      </c>
      <c r="B1795" s="9">
        <f>COUNTIF(Levels!B:B,A1795)</f>
        <v>1</v>
      </c>
      <c r="C1795" s="9">
        <f>IFERROR(AVERAGEIF(Levels!B:B,A1795,Levels!E:E),0)</f>
        <v>27.05</v>
      </c>
      <c r="D1795" s="9">
        <f>IFERROR(AVERAGEIF(Levels!B:B,A1795,Levels!F:F),0)</f>
        <v>5</v>
      </c>
      <c r="E1795" s="9">
        <f>_xlfn.MAXIFS(Levels!E:E,Levels!B:B,A1795)</f>
        <v>27.05</v>
      </c>
      <c r="F1795" s="9">
        <f>_xlfn.MAXIFS(Levels!F:F,Levels!B:B,A1795)</f>
        <v>5</v>
      </c>
    </row>
    <row r="1796" spans="1:6" x14ac:dyDescent="0.3">
      <c r="A1796" t="s">
        <v>8107</v>
      </c>
      <c r="B1796" s="6">
        <f>COUNTIF(Levels!B:B,A1796)</f>
        <v>2</v>
      </c>
      <c r="C1796" s="6">
        <f>IFERROR(AVERAGEIF(Levels!B:B,A1796,Levels!E:E),0)</f>
        <v>10.66</v>
      </c>
      <c r="D1796" s="6">
        <f>IFERROR(AVERAGEIF(Levels!B:B,A1796,Levels!F:F),0)</f>
        <v>6.85</v>
      </c>
      <c r="E1796" s="6">
        <f>_xlfn.MAXIFS(Levels!E:E,Levels!B:B,A1796)</f>
        <v>12.69</v>
      </c>
      <c r="F1796" s="6">
        <f>_xlfn.MAXIFS(Levels!F:F,Levels!B:B,A1796)</f>
        <v>8.82</v>
      </c>
    </row>
    <row r="1797" spans="1:6" x14ac:dyDescent="0.3">
      <c r="A1797" t="s">
        <v>8111</v>
      </c>
      <c r="B1797" s="9">
        <f>COUNTIF(Levels!B:B,A1797)</f>
        <v>1</v>
      </c>
      <c r="C1797" s="9">
        <f>IFERROR(AVERAGEIF(Levels!B:B,A1797,Levels!E:E),0)</f>
        <v>5.56</v>
      </c>
      <c r="D1797" s="9">
        <f>IFERROR(AVERAGEIF(Levels!B:B,A1797,Levels!F:F),0)</f>
        <v>7</v>
      </c>
      <c r="E1797" s="9">
        <f>_xlfn.MAXIFS(Levels!E:E,Levels!B:B,A1797)</f>
        <v>5.56</v>
      </c>
      <c r="F1797" s="9">
        <f>_xlfn.MAXIFS(Levels!F:F,Levels!B:B,A1797)</f>
        <v>7</v>
      </c>
    </row>
    <row r="1798" spans="1:6" x14ac:dyDescent="0.3">
      <c r="A1798" t="s">
        <v>8119</v>
      </c>
      <c r="B1798" s="6">
        <f>COUNTIF(Levels!B:B,A1798)</f>
        <v>5</v>
      </c>
      <c r="C1798" s="6">
        <f>IFERROR(AVERAGEIF(Levels!B:B,A1798,Levels!E:E),0)</f>
        <v>12.71</v>
      </c>
      <c r="D1798" s="6">
        <f>IFERROR(AVERAGEIF(Levels!B:B,A1798,Levels!F:F),0)</f>
        <v>7.016</v>
      </c>
      <c r="E1798" s="6">
        <f>_xlfn.MAXIFS(Levels!E:E,Levels!B:B,A1798)</f>
        <v>31.67</v>
      </c>
      <c r="F1798" s="6">
        <f>_xlfn.MAXIFS(Levels!F:F,Levels!B:B,A1798)</f>
        <v>9</v>
      </c>
    </row>
    <row r="1799" spans="1:6" x14ac:dyDescent="0.3">
      <c r="A1799" t="s">
        <v>8124</v>
      </c>
      <c r="B1799" s="9">
        <f>COUNTIF(Levels!B:B,A1799)</f>
        <v>6</v>
      </c>
      <c r="C1799" s="9">
        <f>IFERROR(AVERAGEIF(Levels!B:B,A1799,Levels!E:E),0)</f>
        <v>7.8033333333333337</v>
      </c>
      <c r="D1799" s="9">
        <f>IFERROR(AVERAGEIF(Levels!B:B,A1799,Levels!F:F),0)</f>
        <v>7.0966666666666667</v>
      </c>
      <c r="E1799" s="9">
        <f>_xlfn.MAXIFS(Levels!E:E,Levels!B:B,A1799)</f>
        <v>14.83</v>
      </c>
      <c r="F1799" s="9">
        <f>_xlfn.MAXIFS(Levels!F:F,Levels!B:B,A1799)</f>
        <v>7.35</v>
      </c>
    </row>
    <row r="1800" spans="1:6" x14ac:dyDescent="0.3">
      <c r="A1800" t="s">
        <v>8133</v>
      </c>
      <c r="B1800" s="6">
        <f>COUNTIF(Levels!B:B,A1800)</f>
        <v>3</v>
      </c>
      <c r="C1800" s="6">
        <f>IFERROR(AVERAGEIF(Levels!B:B,A1800,Levels!E:E),0)</f>
        <v>4.62</v>
      </c>
      <c r="D1800" s="6">
        <f>IFERROR(AVERAGEIF(Levels!B:B,A1800,Levels!F:F),0)</f>
        <v>5.6133333333333333</v>
      </c>
      <c r="E1800" s="6">
        <f>_xlfn.MAXIFS(Levels!E:E,Levels!B:B,A1800)</f>
        <v>6.38</v>
      </c>
      <c r="F1800" s="6">
        <f>_xlfn.MAXIFS(Levels!F:F,Levels!B:B,A1800)</f>
        <v>6.09</v>
      </c>
    </row>
    <row r="1801" spans="1:6" x14ac:dyDescent="0.3">
      <c r="A1801" t="s">
        <v>8140</v>
      </c>
      <c r="B1801" s="9">
        <f>COUNTIF(Levels!B:B,A1801)</f>
        <v>1</v>
      </c>
      <c r="C1801" s="9">
        <f>IFERROR(AVERAGEIF(Levels!B:B,A1801,Levels!E:E),0)</f>
        <v>1.7</v>
      </c>
      <c r="D1801" s="9">
        <f>IFERROR(AVERAGEIF(Levels!B:B,A1801,Levels!F:F),0)</f>
        <v>5.75</v>
      </c>
      <c r="E1801" s="9">
        <f>_xlfn.MAXIFS(Levels!E:E,Levels!B:B,A1801)</f>
        <v>1.7</v>
      </c>
      <c r="F1801" s="9">
        <f>_xlfn.MAXIFS(Levels!F:F,Levels!B:B,A1801)</f>
        <v>5.75</v>
      </c>
    </row>
    <row r="1802" spans="1:6" x14ac:dyDescent="0.3">
      <c r="A1802" t="s">
        <v>8149</v>
      </c>
      <c r="B1802" s="6">
        <f>COUNTIF(Levels!B:B,A1802)</f>
        <v>3</v>
      </c>
      <c r="C1802" s="6">
        <f>IFERROR(AVERAGEIF(Levels!B:B,A1802,Levels!E:E),0)</f>
        <v>20.52</v>
      </c>
      <c r="D1802" s="6">
        <f>IFERROR(AVERAGEIF(Levels!B:B,A1802,Levels!F:F),0)</f>
        <v>6.61</v>
      </c>
      <c r="E1802" s="6">
        <f>_xlfn.MAXIFS(Levels!E:E,Levels!B:B,A1802)</f>
        <v>20.52</v>
      </c>
      <c r="F1802" s="6">
        <f>_xlfn.MAXIFS(Levels!F:F,Levels!B:B,A1802)</f>
        <v>6.61</v>
      </c>
    </row>
    <row r="1803" spans="1:6" x14ac:dyDescent="0.3">
      <c r="A1803" t="s">
        <v>8153</v>
      </c>
      <c r="B1803" s="9">
        <f>COUNTIF(Levels!B:B,A1803)</f>
        <v>2</v>
      </c>
      <c r="C1803" s="9">
        <f>IFERROR(AVERAGEIF(Levels!B:B,A1803,Levels!E:E),0)</f>
        <v>10.495000000000001</v>
      </c>
      <c r="D1803" s="9">
        <f>IFERROR(AVERAGEIF(Levels!B:B,A1803,Levels!F:F),0)</f>
        <v>7.55</v>
      </c>
      <c r="E1803" s="9">
        <f>_xlfn.MAXIFS(Levels!E:E,Levels!B:B,A1803)</f>
        <v>13.91</v>
      </c>
      <c r="F1803" s="9">
        <f>_xlfn.MAXIFS(Levels!F:F,Levels!B:B,A1803)</f>
        <v>7.97</v>
      </c>
    </row>
    <row r="1804" spans="1:6" x14ac:dyDescent="0.3">
      <c r="A1804" t="s">
        <v>8159</v>
      </c>
      <c r="B1804" s="6">
        <f>COUNTIF(Levels!B:B,A1804)</f>
        <v>2</v>
      </c>
      <c r="C1804" s="6">
        <f>IFERROR(AVERAGEIF(Levels!B:B,A1804,Levels!E:E),0)</f>
        <v>2.16</v>
      </c>
      <c r="D1804" s="6">
        <f>IFERROR(AVERAGEIF(Levels!B:B,A1804,Levels!F:F),0)</f>
        <v>6.22</v>
      </c>
      <c r="E1804" s="6">
        <f>_xlfn.MAXIFS(Levels!E:E,Levels!B:B,A1804)</f>
        <v>3.17</v>
      </c>
      <c r="F1804" s="6">
        <f>_xlfn.MAXIFS(Levels!F:F,Levels!B:B,A1804)</f>
        <v>6.34</v>
      </c>
    </row>
    <row r="1805" spans="1:6" x14ac:dyDescent="0.3">
      <c r="A1805" t="s">
        <v>8161</v>
      </c>
      <c r="B1805" s="9">
        <f>COUNTIF(Levels!B:B,A1805)</f>
        <v>2</v>
      </c>
      <c r="C1805" s="9">
        <f>IFERROR(AVERAGEIF(Levels!B:B,A1805,Levels!E:E),0)</f>
        <v>9.7650000000000006</v>
      </c>
      <c r="D1805" s="9">
        <f>IFERROR(AVERAGEIF(Levels!B:B,A1805,Levels!F:F),0)</f>
        <v>6.84</v>
      </c>
      <c r="E1805" s="9">
        <f>_xlfn.MAXIFS(Levels!E:E,Levels!B:B,A1805)</f>
        <v>15.04</v>
      </c>
      <c r="F1805" s="9">
        <f>_xlfn.MAXIFS(Levels!F:F,Levels!B:B,A1805)</f>
        <v>6.9</v>
      </c>
    </row>
    <row r="1806" spans="1:6" x14ac:dyDescent="0.3">
      <c r="A1806" t="s">
        <v>8165</v>
      </c>
      <c r="B1806" s="6">
        <f>COUNTIF(Levels!B:B,A1806)</f>
        <v>2</v>
      </c>
      <c r="C1806" s="6">
        <f>IFERROR(AVERAGEIF(Levels!B:B,A1806,Levels!E:E),0)</f>
        <v>6.01</v>
      </c>
      <c r="D1806" s="6">
        <f>IFERROR(AVERAGEIF(Levels!B:B,A1806,Levels!F:F),0)</f>
        <v>5.8450000000000006</v>
      </c>
      <c r="E1806" s="6">
        <f>_xlfn.MAXIFS(Levels!E:E,Levels!B:B,A1806)</f>
        <v>7.57</v>
      </c>
      <c r="F1806" s="6">
        <f>_xlfn.MAXIFS(Levels!F:F,Levels!B:B,A1806)</f>
        <v>6</v>
      </c>
    </row>
    <row r="1807" spans="1:6" x14ac:dyDescent="0.3">
      <c r="A1807" t="s">
        <v>8169</v>
      </c>
      <c r="B1807" s="9">
        <f>COUNTIF(Levels!B:B,A1807)</f>
        <v>3</v>
      </c>
      <c r="C1807" s="9">
        <f>IFERROR(AVERAGEIF(Levels!B:B,A1807,Levels!E:E),0)</f>
        <v>7.7566666666666668</v>
      </c>
      <c r="D1807" s="9">
        <f>IFERROR(AVERAGEIF(Levels!B:B,A1807,Levels!F:F),0)</f>
        <v>5.9899999999999993</v>
      </c>
      <c r="E1807" s="9">
        <f>_xlfn.MAXIFS(Levels!E:E,Levels!B:B,A1807)</f>
        <v>13.16</v>
      </c>
      <c r="F1807" s="9">
        <f>_xlfn.MAXIFS(Levels!F:F,Levels!B:B,A1807)</f>
        <v>7.76</v>
      </c>
    </row>
    <row r="1808" spans="1:6" x14ac:dyDescent="0.3">
      <c r="A1808" t="s">
        <v>8178</v>
      </c>
      <c r="B1808" s="6">
        <f>COUNTIF(Levels!B:B,A1808)</f>
        <v>1</v>
      </c>
      <c r="C1808" s="6">
        <f>IFERROR(AVERAGEIF(Levels!B:B,A1808,Levels!E:E),0)</f>
        <v>21.29</v>
      </c>
      <c r="D1808" s="6">
        <f>IFERROR(AVERAGEIF(Levels!B:B,A1808,Levels!F:F),0)</f>
        <v>6.57</v>
      </c>
      <c r="E1808" s="6">
        <f>_xlfn.MAXIFS(Levels!E:E,Levels!B:B,A1808)</f>
        <v>21.29</v>
      </c>
      <c r="F1808" s="6">
        <f>_xlfn.MAXIFS(Levels!F:F,Levels!B:B,A1808)</f>
        <v>6.57</v>
      </c>
    </row>
    <row r="1809" spans="1:6" x14ac:dyDescent="0.3">
      <c r="A1809" t="s">
        <v>8187</v>
      </c>
      <c r="B1809" s="9">
        <f>COUNTIF(Levels!B:B,A1809)</f>
        <v>4</v>
      </c>
      <c r="C1809" s="9">
        <f>IFERROR(AVERAGEIF(Levels!B:B,A1809,Levels!E:E),0)</f>
        <v>21.615000000000002</v>
      </c>
      <c r="D1809" s="9">
        <f>IFERROR(AVERAGEIF(Levels!B:B,A1809,Levels!F:F),0)</f>
        <v>6.335</v>
      </c>
      <c r="E1809" s="9">
        <f>_xlfn.MAXIFS(Levels!E:E,Levels!B:B,A1809)</f>
        <v>24.33</v>
      </c>
      <c r="F1809" s="9">
        <f>_xlfn.MAXIFS(Levels!F:F,Levels!B:B,A1809)</f>
        <v>7.36</v>
      </c>
    </row>
    <row r="1810" spans="1:6" x14ac:dyDescent="0.3">
      <c r="A1810" t="s">
        <v>8189</v>
      </c>
      <c r="B1810" s="6">
        <f>COUNTIF(Levels!B:B,A1810)</f>
        <v>1</v>
      </c>
      <c r="C1810" s="6">
        <f>IFERROR(AVERAGEIF(Levels!B:B,A1810,Levels!E:E),0)</f>
        <v>9.11</v>
      </c>
      <c r="D1810" s="6">
        <f>IFERROR(AVERAGEIF(Levels!B:B,A1810,Levels!F:F),0)</f>
        <v>5.7</v>
      </c>
      <c r="E1810" s="6">
        <f>_xlfn.MAXIFS(Levels!E:E,Levels!B:B,A1810)</f>
        <v>9.11</v>
      </c>
      <c r="F1810" s="6">
        <f>_xlfn.MAXIFS(Levels!F:F,Levels!B:B,A1810)</f>
        <v>5.7</v>
      </c>
    </row>
    <row r="1811" spans="1:6" x14ac:dyDescent="0.3">
      <c r="A1811" t="s">
        <v>8191</v>
      </c>
      <c r="B1811" s="9">
        <f>COUNTIF(Levels!B:B,A1811)</f>
        <v>1</v>
      </c>
      <c r="C1811" s="9">
        <f>IFERROR(AVERAGEIF(Levels!B:B,A1811,Levels!E:E),0)</f>
        <v>24.67</v>
      </c>
      <c r="D1811" s="9">
        <f>IFERROR(AVERAGEIF(Levels!B:B,A1811,Levels!F:F),0)</f>
        <v>6.94</v>
      </c>
      <c r="E1811" s="9">
        <f>_xlfn.MAXIFS(Levels!E:E,Levels!B:B,A1811)</f>
        <v>24.67</v>
      </c>
      <c r="F1811" s="9">
        <f>_xlfn.MAXIFS(Levels!F:F,Levels!B:B,A1811)</f>
        <v>6.94</v>
      </c>
    </row>
    <row r="1812" spans="1:6" x14ac:dyDescent="0.3">
      <c r="A1812" t="s">
        <v>8195</v>
      </c>
      <c r="B1812" s="6">
        <f>COUNTIF(Levels!B:B,A1812)</f>
        <v>1</v>
      </c>
      <c r="C1812" s="6">
        <f>IFERROR(AVERAGEIF(Levels!B:B,A1812,Levels!E:E),0)</f>
        <v>15.59</v>
      </c>
      <c r="D1812" s="6">
        <f>IFERROR(AVERAGEIF(Levels!B:B,A1812,Levels!F:F),0)</f>
        <v>7.42</v>
      </c>
      <c r="E1812" s="6">
        <f>_xlfn.MAXIFS(Levels!E:E,Levels!B:B,A1812)</f>
        <v>15.59</v>
      </c>
      <c r="F1812" s="6">
        <f>_xlfn.MAXIFS(Levels!F:F,Levels!B:B,A1812)</f>
        <v>7.42</v>
      </c>
    </row>
    <row r="1813" spans="1:6" x14ac:dyDescent="0.3">
      <c r="A1813" t="s">
        <v>8201</v>
      </c>
      <c r="B1813" s="9">
        <f>COUNTIF(Levels!B:B,A1813)</f>
        <v>6</v>
      </c>
      <c r="C1813" s="9">
        <f>IFERROR(AVERAGEIF(Levels!B:B,A1813,Levels!E:E),0)</f>
        <v>14.765000000000001</v>
      </c>
      <c r="D1813" s="9">
        <f>IFERROR(AVERAGEIF(Levels!B:B,A1813,Levels!F:F),0)</f>
        <v>7.4499999999999993</v>
      </c>
      <c r="E1813" s="9">
        <f>_xlfn.MAXIFS(Levels!E:E,Levels!B:B,A1813)</f>
        <v>17.940000000000001</v>
      </c>
      <c r="F1813" s="9">
        <f>_xlfn.MAXIFS(Levels!F:F,Levels!B:B,A1813)</f>
        <v>8.36</v>
      </c>
    </row>
    <row r="1814" spans="1:6" x14ac:dyDescent="0.3">
      <c r="A1814" t="s">
        <v>8207</v>
      </c>
      <c r="B1814" s="6">
        <f>COUNTIF(Levels!B:B,A1814)</f>
        <v>1</v>
      </c>
      <c r="C1814" s="6">
        <f>IFERROR(AVERAGEIF(Levels!B:B,A1814,Levels!E:E),0)</f>
        <v>1.55</v>
      </c>
      <c r="D1814" s="6">
        <f>IFERROR(AVERAGEIF(Levels!B:B,A1814,Levels!F:F),0)</f>
        <v>7.19</v>
      </c>
      <c r="E1814" s="6">
        <f>_xlfn.MAXIFS(Levels!E:E,Levels!B:B,A1814)</f>
        <v>1.55</v>
      </c>
      <c r="F1814" s="6">
        <f>_xlfn.MAXIFS(Levels!F:F,Levels!B:B,A1814)</f>
        <v>7.19</v>
      </c>
    </row>
    <row r="1815" spans="1:6" x14ac:dyDescent="0.3">
      <c r="A1815" t="s">
        <v>8211</v>
      </c>
      <c r="B1815" s="9">
        <f>COUNTIF(Levels!B:B,A1815)</f>
        <v>1</v>
      </c>
      <c r="C1815" s="9">
        <f>IFERROR(AVERAGEIF(Levels!B:B,A1815,Levels!E:E),0)</f>
        <v>5.4</v>
      </c>
      <c r="D1815" s="9">
        <f>IFERROR(AVERAGEIF(Levels!B:B,A1815,Levels!F:F),0)</f>
        <v>5</v>
      </c>
      <c r="E1815" s="9">
        <f>_xlfn.MAXIFS(Levels!E:E,Levels!B:B,A1815)</f>
        <v>5.4</v>
      </c>
      <c r="F1815" s="9">
        <f>_xlfn.MAXIFS(Levels!F:F,Levels!B:B,A1815)</f>
        <v>5</v>
      </c>
    </row>
    <row r="1816" spans="1:6" x14ac:dyDescent="0.3">
      <c r="A1816" t="s">
        <v>8215</v>
      </c>
      <c r="B1816" s="6">
        <f>COUNTIF(Levels!B:B,A1816)</f>
        <v>3</v>
      </c>
      <c r="C1816" s="6">
        <f>IFERROR(AVERAGEIF(Levels!B:B,A1816,Levels!E:E),0)</f>
        <v>10.623333333333333</v>
      </c>
      <c r="D1816" s="6">
        <f>IFERROR(AVERAGEIF(Levels!B:B,A1816,Levels!F:F),0)</f>
        <v>7.8933333333333335</v>
      </c>
      <c r="E1816" s="6">
        <f>_xlfn.MAXIFS(Levels!E:E,Levels!B:B,A1816)</f>
        <v>16.12</v>
      </c>
      <c r="F1816" s="6">
        <f>_xlfn.MAXIFS(Levels!F:F,Levels!B:B,A1816)</f>
        <v>9.24</v>
      </c>
    </row>
    <row r="1817" spans="1:6" x14ac:dyDescent="0.3">
      <c r="A1817" t="s">
        <v>8220</v>
      </c>
      <c r="B1817" s="9">
        <f>COUNTIF(Levels!B:B,A1817)</f>
        <v>2</v>
      </c>
      <c r="C1817" s="9">
        <f>IFERROR(AVERAGEIF(Levels!B:B,A1817,Levels!E:E),0)</f>
        <v>1.0900000000000001</v>
      </c>
      <c r="D1817" s="9">
        <f>IFERROR(AVERAGEIF(Levels!B:B,A1817,Levels!F:F),0)</f>
        <v>6.9350000000000005</v>
      </c>
      <c r="E1817" s="9">
        <f>_xlfn.MAXIFS(Levels!E:E,Levels!B:B,A1817)</f>
        <v>1.1200000000000001</v>
      </c>
      <c r="F1817" s="9">
        <f>_xlfn.MAXIFS(Levels!F:F,Levels!B:B,A1817)</f>
        <v>7.18</v>
      </c>
    </row>
    <row r="1818" spans="1:6" x14ac:dyDescent="0.3">
      <c r="A1818" t="s">
        <v>8224</v>
      </c>
      <c r="B1818" s="6">
        <f>COUNTIF(Levels!B:B,A1818)</f>
        <v>1</v>
      </c>
      <c r="C1818" s="6">
        <f>IFERROR(AVERAGEIF(Levels!B:B,A1818,Levels!E:E),0)</f>
        <v>6.67</v>
      </c>
      <c r="D1818" s="6">
        <f>IFERROR(AVERAGEIF(Levels!B:B,A1818,Levels!F:F),0)</f>
        <v>7</v>
      </c>
      <c r="E1818" s="6">
        <f>_xlfn.MAXIFS(Levels!E:E,Levels!B:B,A1818)</f>
        <v>6.67</v>
      </c>
      <c r="F1818" s="6">
        <f>_xlfn.MAXIFS(Levels!F:F,Levels!B:B,A1818)</f>
        <v>7</v>
      </c>
    </row>
    <row r="1819" spans="1:6" x14ac:dyDescent="0.3">
      <c r="A1819" t="s">
        <v>8227</v>
      </c>
      <c r="B1819" s="9">
        <f>COUNTIF(Levels!B:B,A1819)</f>
        <v>1</v>
      </c>
      <c r="C1819" s="9">
        <f>IFERROR(AVERAGEIF(Levels!B:B,A1819,Levels!E:E),0)</f>
        <v>4.83</v>
      </c>
      <c r="D1819" s="9">
        <f>IFERROR(AVERAGEIF(Levels!B:B,A1819,Levels!F:F),0)</f>
        <v>6.07</v>
      </c>
      <c r="E1819" s="9">
        <f>_xlfn.MAXIFS(Levels!E:E,Levels!B:B,A1819)</f>
        <v>4.83</v>
      </c>
      <c r="F1819" s="9">
        <f>_xlfn.MAXIFS(Levels!F:F,Levels!B:B,A1819)</f>
        <v>6.07</v>
      </c>
    </row>
    <row r="1820" spans="1:6" x14ac:dyDescent="0.3">
      <c r="A1820" t="s">
        <v>8229</v>
      </c>
      <c r="B1820" s="6">
        <f>COUNTIF(Levels!B:B,A1820)</f>
        <v>2</v>
      </c>
      <c r="C1820" s="6">
        <f>IFERROR(AVERAGEIF(Levels!B:B,A1820,Levels!E:E),0)</f>
        <v>7.21</v>
      </c>
      <c r="D1820" s="6">
        <f>IFERROR(AVERAGEIF(Levels!B:B,A1820,Levels!F:F),0)</f>
        <v>3.2750000000000004</v>
      </c>
      <c r="E1820" s="6">
        <f>_xlfn.MAXIFS(Levels!E:E,Levels!B:B,A1820)</f>
        <v>8.25</v>
      </c>
      <c r="F1820" s="6">
        <f>_xlfn.MAXIFS(Levels!F:F,Levels!B:B,A1820)</f>
        <v>3.33</v>
      </c>
    </row>
    <row r="1821" spans="1:6" x14ac:dyDescent="0.3">
      <c r="A1821" t="s">
        <v>8231</v>
      </c>
      <c r="B1821" s="9">
        <f>COUNTIF(Levels!B:B,A1821)</f>
        <v>1</v>
      </c>
      <c r="C1821" s="9">
        <f>IFERROR(AVERAGEIF(Levels!B:B,A1821,Levels!E:E),0)</f>
        <v>3.02</v>
      </c>
      <c r="D1821" s="9">
        <f>IFERROR(AVERAGEIF(Levels!B:B,A1821,Levels!F:F),0)</f>
        <v>7.71</v>
      </c>
      <c r="E1821" s="9">
        <f>_xlfn.MAXIFS(Levels!E:E,Levels!B:B,A1821)</f>
        <v>3.02</v>
      </c>
      <c r="F1821" s="9">
        <f>_xlfn.MAXIFS(Levels!F:F,Levels!B:B,A1821)</f>
        <v>7.71</v>
      </c>
    </row>
    <row r="1822" spans="1:6" x14ac:dyDescent="0.3">
      <c r="A1822" t="s">
        <v>8234</v>
      </c>
      <c r="B1822" s="6">
        <f>COUNTIF(Levels!B:B,A1822)</f>
        <v>2</v>
      </c>
      <c r="C1822" s="6">
        <f>IFERROR(AVERAGEIF(Levels!B:B,A1822,Levels!E:E),0)</f>
        <v>31</v>
      </c>
      <c r="D1822" s="6">
        <f>IFERROR(AVERAGEIF(Levels!B:B,A1822,Levels!F:F),0)</f>
        <v>9.4149999999999991</v>
      </c>
      <c r="E1822" s="6">
        <f>_xlfn.MAXIFS(Levels!E:E,Levels!B:B,A1822)</f>
        <v>32</v>
      </c>
      <c r="F1822" s="6">
        <f>_xlfn.MAXIFS(Levels!F:F,Levels!B:B,A1822)</f>
        <v>10</v>
      </c>
    </row>
    <row r="1823" spans="1:6" x14ac:dyDescent="0.3">
      <c r="A1823" t="s">
        <v>8236</v>
      </c>
      <c r="B1823" s="9">
        <f>COUNTIF(Levels!B:B,A1823)</f>
        <v>2</v>
      </c>
      <c r="C1823" s="9">
        <f>IFERROR(AVERAGEIF(Levels!B:B,A1823,Levels!E:E),0)</f>
        <v>5.3949999999999996</v>
      </c>
      <c r="D1823" s="9">
        <f>IFERROR(AVERAGEIF(Levels!B:B,A1823,Levels!F:F),0)</f>
        <v>6.6050000000000004</v>
      </c>
      <c r="E1823" s="9">
        <f>_xlfn.MAXIFS(Levels!E:E,Levels!B:B,A1823)</f>
        <v>5.71</v>
      </c>
      <c r="F1823" s="9">
        <f>_xlfn.MAXIFS(Levels!F:F,Levels!B:B,A1823)</f>
        <v>7.21</v>
      </c>
    </row>
    <row r="1824" spans="1:6" x14ac:dyDescent="0.3">
      <c r="A1824" t="s">
        <v>8242</v>
      </c>
      <c r="B1824" s="6">
        <f>COUNTIF(Levels!B:B,A1824)</f>
        <v>1</v>
      </c>
      <c r="C1824" s="6">
        <f>IFERROR(AVERAGEIF(Levels!B:B,A1824,Levels!E:E),0)</f>
        <v>4.1100000000000003</v>
      </c>
      <c r="D1824" s="6">
        <f>IFERROR(AVERAGEIF(Levels!B:B,A1824,Levels!F:F),0)</f>
        <v>5.75</v>
      </c>
      <c r="E1824" s="6">
        <f>_xlfn.MAXIFS(Levels!E:E,Levels!B:B,A1824)</f>
        <v>4.1100000000000003</v>
      </c>
      <c r="F1824" s="6">
        <f>_xlfn.MAXIFS(Levels!F:F,Levels!B:B,A1824)</f>
        <v>5.75</v>
      </c>
    </row>
    <row r="1825" spans="1:6" x14ac:dyDescent="0.3">
      <c r="A1825" t="s">
        <v>8244</v>
      </c>
      <c r="B1825" s="9">
        <f>COUNTIF(Levels!B:B,A1825)</f>
        <v>1</v>
      </c>
      <c r="C1825" s="9">
        <f>IFERROR(AVERAGEIF(Levels!B:B,A1825,Levels!E:E),0)</f>
        <v>2.37</v>
      </c>
      <c r="D1825" s="9">
        <f>IFERROR(AVERAGEIF(Levels!B:B,A1825,Levels!F:F),0)</f>
        <v>6.19</v>
      </c>
      <c r="E1825" s="9">
        <f>_xlfn.MAXIFS(Levels!E:E,Levels!B:B,A1825)</f>
        <v>2.37</v>
      </c>
      <c r="F1825" s="9">
        <f>_xlfn.MAXIFS(Levels!F:F,Levels!B:B,A1825)</f>
        <v>6.19</v>
      </c>
    </row>
    <row r="1826" spans="1:6" x14ac:dyDescent="0.3">
      <c r="A1826" t="s">
        <v>8247</v>
      </c>
      <c r="B1826" s="6">
        <f>COUNTIF(Levels!B:B,A1826)</f>
        <v>3</v>
      </c>
      <c r="C1826" s="6">
        <f>IFERROR(AVERAGEIF(Levels!B:B,A1826,Levels!E:E),0)</f>
        <v>10.806666666666667</v>
      </c>
      <c r="D1826" s="6">
        <f>IFERROR(AVERAGEIF(Levels!B:B,A1826,Levels!F:F),0)</f>
        <v>5.07</v>
      </c>
      <c r="E1826" s="6">
        <f>_xlfn.MAXIFS(Levels!E:E,Levels!B:B,A1826)</f>
        <v>22</v>
      </c>
      <c r="F1826" s="6">
        <f>_xlfn.MAXIFS(Levels!F:F,Levels!B:B,A1826)</f>
        <v>5.71</v>
      </c>
    </row>
    <row r="1827" spans="1:6" x14ac:dyDescent="0.3">
      <c r="A1827" t="s">
        <v>8249</v>
      </c>
      <c r="B1827" s="9">
        <f>COUNTIF(Levels!B:B,A1827)</f>
        <v>3</v>
      </c>
      <c r="C1827" s="9">
        <f>IFERROR(AVERAGEIF(Levels!B:B,A1827,Levels!E:E),0)</f>
        <v>7.0333333333333341</v>
      </c>
      <c r="D1827" s="9">
        <f>IFERROR(AVERAGEIF(Levels!B:B,A1827,Levels!F:F),0)</f>
        <v>6.43</v>
      </c>
      <c r="E1827" s="9">
        <f>_xlfn.MAXIFS(Levels!E:E,Levels!B:B,A1827)</f>
        <v>11.33</v>
      </c>
      <c r="F1827" s="9">
        <f>_xlfn.MAXIFS(Levels!F:F,Levels!B:B,A1827)</f>
        <v>7.52</v>
      </c>
    </row>
    <row r="1828" spans="1:6" x14ac:dyDescent="0.3">
      <c r="A1828" t="s">
        <v>8251</v>
      </c>
      <c r="B1828" s="6">
        <f>COUNTIF(Levels!B:B,A1828)</f>
        <v>5</v>
      </c>
      <c r="C1828" s="6">
        <f>IFERROR(AVERAGEIF(Levels!B:B,A1828,Levels!E:E),0)</f>
        <v>4.2120000000000006</v>
      </c>
      <c r="D1828" s="6">
        <f>IFERROR(AVERAGEIF(Levels!B:B,A1828,Levels!F:F),0)</f>
        <v>6.6379999999999999</v>
      </c>
      <c r="E1828" s="6">
        <f>_xlfn.MAXIFS(Levels!E:E,Levels!B:B,A1828)</f>
        <v>10.17</v>
      </c>
      <c r="F1828" s="6">
        <f>_xlfn.MAXIFS(Levels!F:F,Levels!B:B,A1828)</f>
        <v>6.89</v>
      </c>
    </row>
    <row r="1829" spans="1:6" x14ac:dyDescent="0.3">
      <c r="A1829" t="s">
        <v>8256</v>
      </c>
      <c r="B1829" s="9">
        <f>COUNTIF(Levels!B:B,A1829)</f>
        <v>8</v>
      </c>
      <c r="C1829" s="9">
        <f>IFERROR(AVERAGEIF(Levels!B:B,A1829,Levels!E:E),0)</f>
        <v>16.703750000000003</v>
      </c>
      <c r="D1829" s="9">
        <f>IFERROR(AVERAGEIF(Levels!B:B,A1829,Levels!F:F),0)</f>
        <v>7.6725000000000003</v>
      </c>
      <c r="E1829" s="9">
        <f>_xlfn.MAXIFS(Levels!E:E,Levels!B:B,A1829)</f>
        <v>22.94</v>
      </c>
      <c r="F1829" s="9">
        <f>_xlfn.MAXIFS(Levels!F:F,Levels!B:B,A1829)</f>
        <v>9.4</v>
      </c>
    </row>
    <row r="1830" spans="1:6" x14ac:dyDescent="0.3">
      <c r="A1830" t="s">
        <v>8262</v>
      </c>
      <c r="B1830" s="6">
        <f>COUNTIF(Levels!B:B,A1830)</f>
        <v>1</v>
      </c>
      <c r="C1830" s="6">
        <f>IFERROR(AVERAGEIF(Levels!B:B,A1830,Levels!E:E),0)</f>
        <v>5.77</v>
      </c>
      <c r="D1830" s="6">
        <f>IFERROR(AVERAGEIF(Levels!B:B,A1830,Levels!F:F),0)</f>
        <v>7.14</v>
      </c>
      <c r="E1830" s="6">
        <f>_xlfn.MAXIFS(Levels!E:E,Levels!B:B,A1830)</f>
        <v>5.77</v>
      </c>
      <c r="F1830" s="6">
        <f>_xlfn.MAXIFS(Levels!F:F,Levels!B:B,A1830)</f>
        <v>7.14</v>
      </c>
    </row>
    <row r="1831" spans="1:6" x14ac:dyDescent="0.3">
      <c r="A1831" t="s">
        <v>8278</v>
      </c>
      <c r="B1831" s="9">
        <f>COUNTIF(Levels!B:B,A1831)</f>
        <v>1</v>
      </c>
      <c r="C1831" s="9">
        <f>IFERROR(AVERAGEIF(Levels!B:B,A1831,Levels!E:E),0)</f>
        <v>14.06</v>
      </c>
      <c r="D1831" s="9">
        <f>IFERROR(AVERAGEIF(Levels!B:B,A1831,Levels!F:F),0)</f>
        <v>5.79</v>
      </c>
      <c r="E1831" s="9">
        <f>_xlfn.MAXIFS(Levels!E:E,Levels!B:B,A1831)</f>
        <v>14.06</v>
      </c>
      <c r="F1831" s="9">
        <f>_xlfn.MAXIFS(Levels!F:F,Levels!B:B,A1831)</f>
        <v>5.79</v>
      </c>
    </row>
    <row r="1832" spans="1:6" x14ac:dyDescent="0.3">
      <c r="A1832" t="s">
        <v>8283</v>
      </c>
      <c r="B1832" s="6">
        <f>COUNTIF(Levels!B:B,A1832)</f>
        <v>1</v>
      </c>
      <c r="C1832" s="6">
        <f>IFERROR(AVERAGEIF(Levels!B:B,A1832,Levels!E:E),0)</f>
        <v>19.670000000000002</v>
      </c>
      <c r="D1832" s="6">
        <f>IFERROR(AVERAGEIF(Levels!B:B,A1832,Levels!F:F),0)</f>
        <v>5.38</v>
      </c>
      <c r="E1832" s="6">
        <f>_xlfn.MAXIFS(Levels!E:E,Levels!B:B,A1832)</f>
        <v>19.670000000000002</v>
      </c>
      <c r="F1832" s="6">
        <f>_xlfn.MAXIFS(Levels!F:F,Levels!B:B,A1832)</f>
        <v>5.38</v>
      </c>
    </row>
    <row r="1833" spans="1:6" x14ac:dyDescent="0.3">
      <c r="A1833" t="s">
        <v>8287</v>
      </c>
      <c r="B1833" s="9">
        <f>COUNTIF(Levels!B:B,A1833)</f>
        <v>1</v>
      </c>
      <c r="C1833" s="9">
        <f>IFERROR(AVERAGEIF(Levels!B:B,A1833,Levels!E:E),0)</f>
        <v>6.8</v>
      </c>
      <c r="D1833" s="9">
        <f>IFERROR(AVERAGEIF(Levels!B:B,A1833,Levels!F:F),0)</f>
        <v>7.5</v>
      </c>
      <c r="E1833" s="9">
        <f>_xlfn.MAXIFS(Levels!E:E,Levels!B:B,A1833)</f>
        <v>6.8</v>
      </c>
      <c r="F1833" s="9">
        <f>_xlfn.MAXIFS(Levels!F:F,Levels!B:B,A1833)</f>
        <v>7.5</v>
      </c>
    </row>
    <row r="1834" spans="1:6" x14ac:dyDescent="0.3">
      <c r="A1834" t="s">
        <v>8289</v>
      </c>
      <c r="B1834" s="6">
        <f>COUNTIF(Levels!B:B,A1834)</f>
        <v>1</v>
      </c>
      <c r="C1834" s="6">
        <f>IFERROR(AVERAGEIF(Levels!B:B,A1834,Levels!E:E),0)</f>
        <v>8.5</v>
      </c>
      <c r="D1834" s="6">
        <f>IFERROR(AVERAGEIF(Levels!B:B,A1834,Levels!F:F),0)</f>
        <v>3.67</v>
      </c>
      <c r="E1834" s="6">
        <f>_xlfn.MAXIFS(Levels!E:E,Levels!B:B,A1834)</f>
        <v>8.5</v>
      </c>
      <c r="F1834" s="6">
        <f>_xlfn.MAXIFS(Levels!F:F,Levels!B:B,A1834)</f>
        <v>3.67</v>
      </c>
    </row>
    <row r="1835" spans="1:6" x14ac:dyDescent="0.3">
      <c r="A1835" t="s">
        <v>8292</v>
      </c>
      <c r="B1835" s="9">
        <f>COUNTIF(Levels!B:B,A1835)</f>
        <v>1</v>
      </c>
      <c r="C1835" s="9">
        <f>IFERROR(AVERAGEIF(Levels!B:B,A1835,Levels!E:E),0)</f>
        <v>3.59</v>
      </c>
      <c r="D1835" s="9">
        <f>IFERROR(AVERAGEIF(Levels!B:B,A1835,Levels!F:F),0)</f>
        <v>6.37</v>
      </c>
      <c r="E1835" s="9">
        <f>_xlfn.MAXIFS(Levels!E:E,Levels!B:B,A1835)</f>
        <v>3.59</v>
      </c>
      <c r="F1835" s="9">
        <f>_xlfn.MAXIFS(Levels!F:F,Levels!B:B,A1835)</f>
        <v>6.37</v>
      </c>
    </row>
    <row r="1836" spans="1:6" x14ac:dyDescent="0.3">
      <c r="A1836" t="s">
        <v>8311</v>
      </c>
      <c r="B1836" s="6">
        <f>COUNTIF(Levels!B:B,A1836)</f>
        <v>2</v>
      </c>
      <c r="C1836" s="6">
        <f>IFERROR(AVERAGEIF(Levels!B:B,A1836,Levels!E:E),0)</f>
        <v>22.19</v>
      </c>
      <c r="D1836" s="6">
        <f>IFERROR(AVERAGEIF(Levels!B:B,A1836,Levels!F:F),0)</f>
        <v>6.7349999999999994</v>
      </c>
      <c r="E1836" s="6">
        <f>_xlfn.MAXIFS(Levels!E:E,Levels!B:B,A1836)</f>
        <v>29</v>
      </c>
      <c r="F1836" s="6">
        <f>_xlfn.MAXIFS(Levels!F:F,Levels!B:B,A1836)</f>
        <v>7</v>
      </c>
    </row>
    <row r="1837" spans="1:6" x14ac:dyDescent="0.3">
      <c r="A1837" t="s">
        <v>8313</v>
      </c>
      <c r="B1837" s="9">
        <f>COUNTIF(Levels!B:B,A1837)</f>
        <v>2</v>
      </c>
      <c r="C1837" s="9">
        <f>IFERROR(AVERAGEIF(Levels!B:B,A1837,Levels!E:E),0)</f>
        <v>6.21</v>
      </c>
      <c r="D1837" s="9">
        <f>IFERROR(AVERAGEIF(Levels!B:B,A1837,Levels!F:F),0)</f>
        <v>6</v>
      </c>
      <c r="E1837" s="9">
        <f>_xlfn.MAXIFS(Levels!E:E,Levels!B:B,A1837)</f>
        <v>6.75</v>
      </c>
      <c r="F1837" s="9">
        <f>_xlfn.MAXIFS(Levels!F:F,Levels!B:B,A1837)</f>
        <v>6</v>
      </c>
    </row>
    <row r="1838" spans="1:6" x14ac:dyDescent="0.3">
      <c r="A1838" t="s">
        <v>8317</v>
      </c>
      <c r="B1838" s="6">
        <f>COUNTIF(Levels!B:B,A1838)</f>
        <v>1</v>
      </c>
      <c r="C1838" s="6">
        <f>IFERROR(AVERAGEIF(Levels!B:B,A1838,Levels!E:E),0)</f>
        <v>2.97</v>
      </c>
      <c r="D1838" s="6">
        <f>IFERROR(AVERAGEIF(Levels!B:B,A1838,Levels!F:F),0)</f>
        <v>5.65</v>
      </c>
      <c r="E1838" s="6">
        <f>_xlfn.MAXIFS(Levels!E:E,Levels!B:B,A1838)</f>
        <v>2.97</v>
      </c>
      <c r="F1838" s="6">
        <f>_xlfn.MAXIFS(Levels!F:F,Levels!B:B,A1838)</f>
        <v>5.65</v>
      </c>
    </row>
    <row r="1839" spans="1:6" x14ac:dyDescent="0.3">
      <c r="A1839" t="s">
        <v>8319</v>
      </c>
      <c r="B1839" s="9">
        <f>COUNTIF(Levels!B:B,A1839)</f>
        <v>3</v>
      </c>
      <c r="C1839" s="9">
        <f>IFERROR(AVERAGEIF(Levels!B:B,A1839,Levels!E:E),0)</f>
        <v>2.6933333333333334</v>
      </c>
      <c r="D1839" s="9">
        <f>IFERROR(AVERAGEIF(Levels!B:B,A1839,Levels!F:F),0)</f>
        <v>6.4466666666666663</v>
      </c>
      <c r="E1839" s="9">
        <f>_xlfn.MAXIFS(Levels!E:E,Levels!B:B,A1839)</f>
        <v>4.38</v>
      </c>
      <c r="F1839" s="9">
        <f>_xlfn.MAXIFS(Levels!F:F,Levels!B:B,A1839)</f>
        <v>7</v>
      </c>
    </row>
    <row r="1840" spans="1:6" x14ac:dyDescent="0.3">
      <c r="A1840" t="s">
        <v>8326</v>
      </c>
      <c r="B1840" s="6">
        <f>COUNTIF(Levels!B:B,A1840)</f>
        <v>5</v>
      </c>
      <c r="C1840" s="6">
        <f>IFERROR(AVERAGEIF(Levels!B:B,A1840,Levels!E:E),0)</f>
        <v>11.6275</v>
      </c>
      <c r="D1840" s="6">
        <f>IFERROR(AVERAGEIF(Levels!B:B,A1840,Levels!F:F),0)</f>
        <v>7.4799999999999995</v>
      </c>
      <c r="E1840" s="6">
        <f>_xlfn.MAXIFS(Levels!E:E,Levels!B:B,A1840)</f>
        <v>18</v>
      </c>
      <c r="F1840" s="6">
        <f>_xlfn.MAXIFS(Levels!F:F,Levels!B:B,A1840)</f>
        <v>9.5</v>
      </c>
    </row>
    <row r="1841" spans="1:6" x14ac:dyDescent="0.3">
      <c r="A1841" t="s">
        <v>8328</v>
      </c>
      <c r="B1841" s="9">
        <f>COUNTIF(Levels!B:B,A1841)</f>
        <v>4</v>
      </c>
      <c r="C1841" s="9">
        <f>IFERROR(AVERAGEIF(Levels!B:B,A1841,Levels!E:E),0)</f>
        <v>3.956666666666667</v>
      </c>
      <c r="D1841" s="9">
        <f>IFERROR(AVERAGEIF(Levels!B:B,A1841,Levels!F:F),0)</f>
        <v>7.1974999999999998</v>
      </c>
      <c r="E1841" s="9">
        <f>_xlfn.MAXIFS(Levels!E:E,Levels!B:B,A1841)</f>
        <v>5.95</v>
      </c>
      <c r="F1841" s="9">
        <f>_xlfn.MAXIFS(Levels!F:F,Levels!B:B,A1841)</f>
        <v>7.39</v>
      </c>
    </row>
    <row r="1842" spans="1:6" x14ac:dyDescent="0.3">
      <c r="A1842" t="s">
        <v>8332</v>
      </c>
      <c r="B1842" s="6">
        <f>COUNTIF(Levels!B:B,A1842)</f>
        <v>1</v>
      </c>
      <c r="C1842" s="6">
        <f>IFERROR(AVERAGEIF(Levels!B:B,A1842,Levels!E:E),0)</f>
        <v>16.690000000000001</v>
      </c>
      <c r="D1842" s="6">
        <f>IFERROR(AVERAGEIF(Levels!B:B,A1842,Levels!F:F),0)</f>
        <v>5.88</v>
      </c>
      <c r="E1842" s="6">
        <f>_xlfn.MAXIFS(Levels!E:E,Levels!B:B,A1842)</f>
        <v>16.690000000000001</v>
      </c>
      <c r="F1842" s="6">
        <f>_xlfn.MAXIFS(Levels!F:F,Levels!B:B,A1842)</f>
        <v>5.88</v>
      </c>
    </row>
    <row r="1843" spans="1:6" x14ac:dyDescent="0.3">
      <c r="A1843" t="s">
        <v>8334</v>
      </c>
      <c r="B1843" s="9">
        <f>COUNTIF(Levels!B:B,A1843)</f>
        <v>1</v>
      </c>
      <c r="C1843" s="9">
        <f>IFERROR(AVERAGEIF(Levels!B:B,A1843,Levels!E:E),0)</f>
        <v>13.87</v>
      </c>
      <c r="D1843" s="9">
        <f>IFERROR(AVERAGEIF(Levels!B:B,A1843,Levels!F:F),0)</f>
        <v>7.93</v>
      </c>
      <c r="E1843" s="9">
        <f>_xlfn.MAXIFS(Levels!E:E,Levels!B:B,A1843)</f>
        <v>13.87</v>
      </c>
      <c r="F1843" s="9">
        <f>_xlfn.MAXIFS(Levels!F:F,Levels!B:B,A1843)</f>
        <v>7.93</v>
      </c>
    </row>
    <row r="1844" spans="1:6" x14ac:dyDescent="0.3">
      <c r="A1844" t="s">
        <v>8338</v>
      </c>
      <c r="B1844" s="6">
        <f>COUNTIF(Levels!B:B,A1844)</f>
        <v>3</v>
      </c>
      <c r="C1844" s="6">
        <f>IFERROR(AVERAGEIF(Levels!B:B,A1844,Levels!E:E),0)</f>
        <v>4.7</v>
      </c>
      <c r="D1844" s="6">
        <f>IFERROR(AVERAGEIF(Levels!B:B,A1844,Levels!F:F),0)</f>
        <v>7.53</v>
      </c>
      <c r="E1844" s="6">
        <f>_xlfn.MAXIFS(Levels!E:E,Levels!B:B,A1844)</f>
        <v>7.06</v>
      </c>
      <c r="F1844" s="6">
        <f>_xlfn.MAXIFS(Levels!F:F,Levels!B:B,A1844)</f>
        <v>8</v>
      </c>
    </row>
    <row r="1845" spans="1:6" x14ac:dyDescent="0.3">
      <c r="A1845" t="s">
        <v>8340</v>
      </c>
      <c r="B1845" s="9">
        <f>COUNTIF(Levels!B:B,A1845)</f>
        <v>6</v>
      </c>
      <c r="C1845" s="9">
        <f>IFERROR(AVERAGEIF(Levels!B:B,A1845,Levels!E:E),0)</f>
        <v>19.893999999999998</v>
      </c>
      <c r="D1845" s="9">
        <f>IFERROR(AVERAGEIF(Levels!B:B,A1845,Levels!F:F),0)</f>
        <v>7.1833333333333327</v>
      </c>
      <c r="E1845" s="9">
        <f>_xlfn.MAXIFS(Levels!E:E,Levels!B:B,A1845)</f>
        <v>27.63</v>
      </c>
      <c r="F1845" s="9">
        <f>_xlfn.MAXIFS(Levels!F:F,Levels!B:B,A1845)</f>
        <v>10</v>
      </c>
    </row>
    <row r="1846" spans="1:6" x14ac:dyDescent="0.3">
      <c r="A1846" t="s">
        <v>8342</v>
      </c>
      <c r="B1846" s="6">
        <f>COUNTIF(Levels!B:B,A1846)</f>
        <v>2</v>
      </c>
      <c r="C1846" s="6">
        <f>IFERROR(AVERAGEIF(Levels!B:B,A1846,Levels!E:E),0)</f>
        <v>8.7800000000000011</v>
      </c>
      <c r="D1846" s="6">
        <f>IFERROR(AVERAGEIF(Levels!B:B,A1846,Levels!F:F),0)</f>
        <v>8.5300000000000011</v>
      </c>
      <c r="E1846" s="6">
        <f>_xlfn.MAXIFS(Levels!E:E,Levels!B:B,A1846)</f>
        <v>10.06</v>
      </c>
      <c r="F1846" s="6">
        <f>_xlfn.MAXIFS(Levels!F:F,Levels!B:B,A1846)</f>
        <v>8.81</v>
      </c>
    </row>
    <row r="1847" spans="1:6" x14ac:dyDescent="0.3">
      <c r="A1847" t="s">
        <v>8346</v>
      </c>
      <c r="B1847" s="9">
        <f>COUNTIF(Levels!B:B,A1847)</f>
        <v>2</v>
      </c>
      <c r="C1847" s="9">
        <f>IFERROR(AVERAGEIF(Levels!B:B,A1847,Levels!E:E),0)</f>
        <v>2.5</v>
      </c>
      <c r="D1847" s="9">
        <f>IFERROR(AVERAGEIF(Levels!B:B,A1847,Levels!F:F),0)</f>
        <v>6.6749999999999998</v>
      </c>
      <c r="E1847" s="9">
        <f>_xlfn.MAXIFS(Levels!E:E,Levels!B:B,A1847)</f>
        <v>3.38</v>
      </c>
      <c r="F1847" s="9">
        <f>_xlfn.MAXIFS(Levels!F:F,Levels!B:B,A1847)</f>
        <v>7.6</v>
      </c>
    </row>
    <row r="1848" spans="1:6" x14ac:dyDescent="0.3">
      <c r="A1848" t="s">
        <v>8348</v>
      </c>
      <c r="B1848" s="6">
        <f>COUNTIF(Levels!B:B,A1848)</f>
        <v>3</v>
      </c>
      <c r="C1848" s="6">
        <f>IFERROR(AVERAGEIF(Levels!B:B,A1848,Levels!E:E),0)</f>
        <v>3.8633333333333333</v>
      </c>
      <c r="D1848" s="6">
        <f>IFERROR(AVERAGEIF(Levels!B:B,A1848,Levels!F:F),0)</f>
        <v>5.95</v>
      </c>
      <c r="E1848" s="6">
        <f>_xlfn.MAXIFS(Levels!E:E,Levels!B:B,A1848)</f>
        <v>6.1</v>
      </c>
      <c r="F1848" s="6">
        <f>_xlfn.MAXIFS(Levels!F:F,Levels!B:B,A1848)</f>
        <v>6.39</v>
      </c>
    </row>
    <row r="1849" spans="1:6" x14ac:dyDescent="0.3">
      <c r="A1849" t="s">
        <v>8352</v>
      </c>
      <c r="B1849" s="9">
        <f>COUNTIF(Levels!B:B,A1849)</f>
        <v>1</v>
      </c>
      <c r="C1849" s="9">
        <f>IFERROR(AVERAGEIF(Levels!B:B,A1849,Levels!E:E),0)</f>
        <v>35</v>
      </c>
      <c r="D1849" s="9">
        <f>IFERROR(AVERAGEIF(Levels!B:B,A1849,Levels!F:F),0)</f>
        <v>9.25</v>
      </c>
      <c r="E1849" s="9">
        <f>_xlfn.MAXIFS(Levels!E:E,Levels!B:B,A1849)</f>
        <v>35</v>
      </c>
      <c r="F1849" s="9">
        <f>_xlfn.MAXIFS(Levels!F:F,Levels!B:B,A1849)</f>
        <v>9.25</v>
      </c>
    </row>
    <row r="1850" spans="1:6" x14ac:dyDescent="0.3">
      <c r="A1850" t="s">
        <v>8357</v>
      </c>
      <c r="B1850" s="6">
        <f>COUNTIF(Levels!B:B,A1850)</f>
        <v>2</v>
      </c>
      <c r="C1850" s="6">
        <f>IFERROR(AVERAGEIF(Levels!B:B,A1850,Levels!E:E),0)</f>
        <v>8.6999999999999993</v>
      </c>
      <c r="D1850" s="6">
        <f>IFERROR(AVERAGEIF(Levels!B:B,A1850,Levels!F:F),0)</f>
        <v>8.02</v>
      </c>
      <c r="E1850" s="6">
        <f>_xlfn.MAXIFS(Levels!E:E,Levels!B:B,A1850)</f>
        <v>11.95</v>
      </c>
      <c r="F1850" s="6">
        <f>_xlfn.MAXIFS(Levels!F:F,Levels!B:B,A1850)</f>
        <v>8.74</v>
      </c>
    </row>
    <row r="1851" spans="1:6" x14ac:dyDescent="0.3">
      <c r="A1851" t="s">
        <v>8367</v>
      </c>
      <c r="B1851" s="9">
        <f>COUNTIF(Levels!B:B,A1851)</f>
        <v>1</v>
      </c>
      <c r="C1851" s="9">
        <f>IFERROR(AVERAGEIF(Levels!B:B,A1851,Levels!E:E),0)</f>
        <v>2.15</v>
      </c>
      <c r="D1851" s="9">
        <f>IFERROR(AVERAGEIF(Levels!B:B,A1851,Levels!F:F),0)</f>
        <v>6.13</v>
      </c>
      <c r="E1851" s="9">
        <f>_xlfn.MAXIFS(Levels!E:E,Levels!B:B,A1851)</f>
        <v>2.15</v>
      </c>
      <c r="F1851" s="9">
        <f>_xlfn.MAXIFS(Levels!F:F,Levels!B:B,A1851)</f>
        <v>6.13</v>
      </c>
    </row>
    <row r="1852" spans="1:6" x14ac:dyDescent="0.3">
      <c r="A1852" t="s">
        <v>8376</v>
      </c>
      <c r="B1852" s="6">
        <f>COUNTIF(Levels!B:B,A1852)</f>
        <v>2</v>
      </c>
      <c r="C1852" s="6">
        <f>IFERROR(AVERAGEIF(Levels!B:B,A1852,Levels!E:E),0)</f>
        <v>8.9500000000000011</v>
      </c>
      <c r="D1852" s="6">
        <f>IFERROR(AVERAGEIF(Levels!B:B,A1852,Levels!F:F),0)</f>
        <v>7.5449999999999999</v>
      </c>
      <c r="E1852" s="6">
        <f>_xlfn.MAXIFS(Levels!E:E,Levels!B:B,A1852)</f>
        <v>15.05</v>
      </c>
      <c r="F1852" s="6">
        <f>_xlfn.MAXIFS(Levels!F:F,Levels!B:B,A1852)</f>
        <v>7.88</v>
      </c>
    </row>
    <row r="1853" spans="1:6" x14ac:dyDescent="0.3">
      <c r="A1853" t="s">
        <v>8378</v>
      </c>
      <c r="B1853" s="9">
        <f>COUNTIF(Levels!B:B,A1853)</f>
        <v>1</v>
      </c>
      <c r="C1853" s="9">
        <f>IFERROR(AVERAGEIF(Levels!B:B,A1853,Levels!E:E),0)</f>
        <v>2.2799999999999998</v>
      </c>
      <c r="D1853" s="9">
        <f>IFERROR(AVERAGEIF(Levels!B:B,A1853,Levels!F:F),0)</f>
        <v>7.29</v>
      </c>
      <c r="E1853" s="9">
        <f>_xlfn.MAXIFS(Levels!E:E,Levels!B:B,A1853)</f>
        <v>2.2799999999999998</v>
      </c>
      <c r="F1853" s="9">
        <f>_xlfn.MAXIFS(Levels!F:F,Levels!B:B,A1853)</f>
        <v>7.29</v>
      </c>
    </row>
    <row r="1854" spans="1:6" x14ac:dyDescent="0.3">
      <c r="A1854" t="s">
        <v>8387</v>
      </c>
      <c r="B1854" s="6">
        <f>COUNTIF(Levels!B:B,A1854)</f>
        <v>2</v>
      </c>
      <c r="C1854" s="6">
        <f>IFERROR(AVERAGEIF(Levels!B:B,A1854,Levels!E:E),0)</f>
        <v>11.41</v>
      </c>
      <c r="D1854" s="6">
        <f>IFERROR(AVERAGEIF(Levels!B:B,A1854,Levels!F:F),0)</f>
        <v>5.6899999999999995</v>
      </c>
      <c r="E1854" s="6">
        <f>_xlfn.MAXIFS(Levels!E:E,Levels!B:B,A1854)</f>
        <v>15.4</v>
      </c>
      <c r="F1854" s="6">
        <f>_xlfn.MAXIFS(Levels!F:F,Levels!B:B,A1854)</f>
        <v>7.04</v>
      </c>
    </row>
    <row r="1855" spans="1:6" x14ac:dyDescent="0.3">
      <c r="A1855" t="s">
        <v>8394</v>
      </c>
      <c r="B1855" s="9">
        <f>COUNTIF(Levels!B:B,A1855)</f>
        <v>3</v>
      </c>
      <c r="C1855" s="9">
        <f>IFERROR(AVERAGEIF(Levels!B:B,A1855,Levels!E:E),0)</f>
        <v>19.900000000000002</v>
      </c>
      <c r="D1855" s="9">
        <f>IFERROR(AVERAGEIF(Levels!B:B,A1855,Levels!F:F),0)</f>
        <v>8.3666666666666671</v>
      </c>
      <c r="E1855" s="9">
        <f>_xlfn.MAXIFS(Levels!E:E,Levels!B:B,A1855)</f>
        <v>27.86</v>
      </c>
      <c r="F1855" s="9">
        <f>_xlfn.MAXIFS(Levels!F:F,Levels!B:B,A1855)</f>
        <v>8.7899999999999991</v>
      </c>
    </row>
    <row r="1856" spans="1:6" x14ac:dyDescent="0.3">
      <c r="A1856" t="s">
        <v>8397</v>
      </c>
      <c r="B1856" s="6">
        <f>COUNTIF(Levels!B:B,A1856)</f>
        <v>11</v>
      </c>
      <c r="C1856" s="6">
        <f>IFERROR(AVERAGEIF(Levels!B:B,A1856,Levels!E:E),0)</f>
        <v>4.2136363636363638</v>
      </c>
      <c r="D1856" s="6">
        <f>IFERROR(AVERAGEIF(Levels!B:B,A1856,Levels!F:F),0)</f>
        <v>7.64</v>
      </c>
      <c r="E1856" s="6">
        <f>_xlfn.MAXIFS(Levels!E:E,Levels!B:B,A1856)</f>
        <v>14.76</v>
      </c>
      <c r="F1856" s="6">
        <f>_xlfn.MAXIFS(Levels!F:F,Levels!B:B,A1856)</f>
        <v>8.52</v>
      </c>
    </row>
    <row r="1857" spans="1:6" x14ac:dyDescent="0.3">
      <c r="A1857" t="s">
        <v>8398</v>
      </c>
      <c r="B1857" s="9">
        <f>COUNTIF(Levels!B:B,A1857)</f>
        <v>1</v>
      </c>
      <c r="C1857" s="9">
        <f>IFERROR(AVERAGEIF(Levels!B:B,A1857,Levels!E:E),0)</f>
        <v>4.9400000000000004</v>
      </c>
      <c r="D1857" s="9">
        <f>IFERROR(AVERAGEIF(Levels!B:B,A1857,Levels!F:F),0)</f>
        <v>6.06</v>
      </c>
      <c r="E1857" s="9">
        <f>_xlfn.MAXIFS(Levels!E:E,Levels!B:B,A1857)</f>
        <v>4.9400000000000004</v>
      </c>
      <c r="F1857" s="9">
        <f>_xlfn.MAXIFS(Levels!F:F,Levels!B:B,A1857)</f>
        <v>6.06</v>
      </c>
    </row>
    <row r="1858" spans="1:6" x14ac:dyDescent="0.3">
      <c r="A1858" t="s">
        <v>8404</v>
      </c>
      <c r="B1858" s="6">
        <f>COUNTIF(Levels!B:B,A1858)</f>
        <v>3</v>
      </c>
      <c r="C1858" s="6">
        <f>IFERROR(AVERAGEIF(Levels!B:B,A1858,Levels!E:E),0)</f>
        <v>6.7333333333333343</v>
      </c>
      <c r="D1858" s="6">
        <f>IFERROR(AVERAGEIF(Levels!B:B,A1858,Levels!F:F),0)</f>
        <v>8.0166666666666675</v>
      </c>
      <c r="E1858" s="6">
        <f>_xlfn.MAXIFS(Levels!E:E,Levels!B:B,A1858)</f>
        <v>9.3000000000000007</v>
      </c>
      <c r="F1858" s="6">
        <f>_xlfn.MAXIFS(Levels!F:F,Levels!B:B,A1858)</f>
        <v>8.08</v>
      </c>
    </row>
    <row r="1859" spans="1:6" x14ac:dyDescent="0.3">
      <c r="A1859" t="s">
        <v>8407</v>
      </c>
      <c r="B1859" s="9">
        <f>COUNTIF(Levels!B:B,A1859)</f>
        <v>2</v>
      </c>
      <c r="C1859" s="9">
        <f>IFERROR(AVERAGEIF(Levels!B:B,A1859,Levels!E:E),0)</f>
        <v>16.899999999999999</v>
      </c>
      <c r="D1859" s="9">
        <f>IFERROR(AVERAGEIF(Levels!B:B,A1859,Levels!F:F),0)</f>
        <v>8.2100000000000009</v>
      </c>
      <c r="E1859" s="9">
        <f>_xlfn.MAXIFS(Levels!E:E,Levels!B:B,A1859)</f>
        <v>16.899999999999999</v>
      </c>
      <c r="F1859" s="9">
        <f>_xlfn.MAXIFS(Levels!F:F,Levels!B:B,A1859)</f>
        <v>8.2100000000000009</v>
      </c>
    </row>
    <row r="1860" spans="1:6" x14ac:dyDescent="0.3">
      <c r="A1860" t="s">
        <v>8410</v>
      </c>
      <c r="B1860" s="6">
        <f>COUNTIF(Levels!B:B,A1860)</f>
        <v>2</v>
      </c>
      <c r="C1860" s="6">
        <f>IFERROR(AVERAGEIF(Levels!B:B,A1860,Levels!E:E),0)</f>
        <v>1.84</v>
      </c>
      <c r="D1860" s="6">
        <f>IFERROR(AVERAGEIF(Levels!B:B,A1860,Levels!F:F),0)</f>
        <v>7.1</v>
      </c>
      <c r="E1860" s="6">
        <f>_xlfn.MAXIFS(Levels!E:E,Levels!B:B,A1860)</f>
        <v>1.84</v>
      </c>
      <c r="F1860" s="6">
        <f>_xlfn.MAXIFS(Levels!F:F,Levels!B:B,A1860)</f>
        <v>7.1</v>
      </c>
    </row>
    <row r="1861" spans="1:6" x14ac:dyDescent="0.3">
      <c r="A1861" t="s">
        <v>8414</v>
      </c>
      <c r="B1861" s="9">
        <f>COUNTIF(Levels!B:B,A1861)</f>
        <v>2</v>
      </c>
      <c r="C1861" s="9">
        <f>IFERROR(AVERAGEIF(Levels!B:B,A1861,Levels!E:E),0)</f>
        <v>3.83</v>
      </c>
      <c r="D1861" s="9">
        <f>IFERROR(AVERAGEIF(Levels!B:B,A1861,Levels!F:F),0)</f>
        <v>6.42</v>
      </c>
      <c r="E1861" s="9">
        <f>_xlfn.MAXIFS(Levels!E:E,Levels!B:B,A1861)</f>
        <v>3.83</v>
      </c>
      <c r="F1861" s="9">
        <f>_xlfn.MAXIFS(Levels!F:F,Levels!B:B,A1861)</f>
        <v>6.42</v>
      </c>
    </row>
    <row r="1862" spans="1:6" x14ac:dyDescent="0.3">
      <c r="A1862" t="s">
        <v>8417</v>
      </c>
      <c r="B1862" s="6">
        <f>COUNTIF(Levels!B:B,A1862)</f>
        <v>11</v>
      </c>
      <c r="C1862" s="6">
        <f>IFERROR(AVERAGEIF(Levels!B:B,A1862,Levels!E:E),0)</f>
        <v>3.2800000000000011</v>
      </c>
      <c r="D1862" s="6">
        <f>IFERROR(AVERAGEIF(Levels!B:B,A1862,Levels!F:F),0)</f>
        <v>7.2327272727272733</v>
      </c>
      <c r="E1862" s="6">
        <f>_xlfn.MAXIFS(Levels!E:E,Levels!B:B,A1862)</f>
        <v>6.25</v>
      </c>
      <c r="F1862" s="6">
        <f>_xlfn.MAXIFS(Levels!F:F,Levels!B:B,A1862)</f>
        <v>8.75</v>
      </c>
    </row>
    <row r="1863" spans="1:6" x14ac:dyDescent="0.3">
      <c r="A1863" t="s">
        <v>8421</v>
      </c>
      <c r="B1863" s="9">
        <f>COUNTIF(Levels!B:B,A1863)</f>
        <v>4</v>
      </c>
      <c r="C1863" s="9">
        <f>IFERROR(AVERAGEIF(Levels!B:B,A1863,Levels!E:E),0)</f>
        <v>8.9474999999999998</v>
      </c>
      <c r="D1863" s="9">
        <f>IFERROR(AVERAGEIF(Levels!B:B,A1863,Levels!F:F),0)</f>
        <v>5.7350000000000003</v>
      </c>
      <c r="E1863" s="9">
        <f>_xlfn.MAXIFS(Levels!E:E,Levels!B:B,A1863)</f>
        <v>14.79</v>
      </c>
      <c r="F1863" s="9">
        <f>_xlfn.MAXIFS(Levels!F:F,Levels!B:B,A1863)</f>
        <v>6.57</v>
      </c>
    </row>
    <row r="1864" spans="1:6" x14ac:dyDescent="0.3">
      <c r="A1864" t="s">
        <v>8427</v>
      </c>
      <c r="B1864" s="6">
        <f>COUNTIF(Levels!B:B,A1864)</f>
        <v>2</v>
      </c>
      <c r="C1864" s="6">
        <f>IFERROR(AVERAGEIF(Levels!B:B,A1864,Levels!E:E),0)</f>
        <v>9.67</v>
      </c>
      <c r="D1864" s="6">
        <f>IFERROR(AVERAGEIF(Levels!B:B,A1864,Levels!F:F),0)</f>
        <v>6.33</v>
      </c>
      <c r="E1864" s="6">
        <f>_xlfn.MAXIFS(Levels!E:E,Levels!B:B,A1864)</f>
        <v>9.67</v>
      </c>
      <c r="F1864" s="6">
        <f>_xlfn.MAXIFS(Levels!F:F,Levels!B:B,A1864)</f>
        <v>6.33</v>
      </c>
    </row>
    <row r="1865" spans="1:6" x14ac:dyDescent="0.3">
      <c r="A1865" t="s">
        <v>8430</v>
      </c>
      <c r="B1865" s="9">
        <f>COUNTIF(Levels!B:B,A1865)</f>
        <v>4</v>
      </c>
      <c r="C1865" s="9">
        <f>IFERROR(AVERAGEIF(Levels!B:B,A1865,Levels!E:E),0)</f>
        <v>2.4125000000000001</v>
      </c>
      <c r="D1865" s="9">
        <f>IFERROR(AVERAGEIF(Levels!B:B,A1865,Levels!F:F),0)</f>
        <v>6.1749999999999998</v>
      </c>
      <c r="E1865" s="9">
        <f>_xlfn.MAXIFS(Levels!E:E,Levels!B:B,A1865)</f>
        <v>4</v>
      </c>
      <c r="F1865" s="9">
        <f>_xlfn.MAXIFS(Levels!F:F,Levels!B:B,A1865)</f>
        <v>6.76</v>
      </c>
    </row>
    <row r="1866" spans="1:6" x14ac:dyDescent="0.3">
      <c r="A1866" t="s">
        <v>8433</v>
      </c>
      <c r="B1866" s="6">
        <f>COUNTIF(Levels!B:B,A1866)</f>
        <v>1</v>
      </c>
      <c r="C1866" s="6">
        <f>IFERROR(AVERAGEIF(Levels!B:B,A1866,Levels!E:E),0)</f>
        <v>3.03</v>
      </c>
      <c r="D1866" s="6">
        <f>IFERROR(AVERAGEIF(Levels!B:B,A1866,Levels!F:F),0)</f>
        <v>6.07</v>
      </c>
      <c r="E1866" s="6">
        <f>_xlfn.MAXIFS(Levels!E:E,Levels!B:B,A1866)</f>
        <v>3.03</v>
      </c>
      <c r="F1866" s="6">
        <f>_xlfn.MAXIFS(Levels!F:F,Levels!B:B,A1866)</f>
        <v>6.07</v>
      </c>
    </row>
    <row r="1867" spans="1:6" x14ac:dyDescent="0.3">
      <c r="A1867" t="s">
        <v>8437</v>
      </c>
      <c r="B1867" s="9">
        <f>COUNTIF(Levels!B:B,A1867)</f>
        <v>1</v>
      </c>
      <c r="C1867" s="9">
        <f>IFERROR(AVERAGEIF(Levels!B:B,A1867,Levels!E:E),0)</f>
        <v>25</v>
      </c>
      <c r="D1867" s="9">
        <f>IFERROR(AVERAGEIF(Levels!B:B,A1867,Levels!F:F),0)</f>
        <v>4</v>
      </c>
      <c r="E1867" s="9">
        <f>_xlfn.MAXIFS(Levels!E:E,Levels!B:B,A1867)</f>
        <v>25</v>
      </c>
      <c r="F1867" s="9">
        <f>_xlfn.MAXIFS(Levels!F:F,Levels!B:B,A1867)</f>
        <v>4</v>
      </c>
    </row>
    <row r="1868" spans="1:6" x14ac:dyDescent="0.3">
      <c r="A1868" t="s">
        <v>8441</v>
      </c>
      <c r="B1868" s="6">
        <f>COUNTIF(Levels!B:B,A1868)</f>
        <v>1</v>
      </c>
      <c r="C1868" s="6">
        <f>IFERROR(AVERAGEIF(Levels!B:B,A1868,Levels!E:E),0)</f>
        <v>4.47</v>
      </c>
      <c r="D1868" s="6">
        <f>IFERROR(AVERAGEIF(Levels!B:B,A1868,Levels!F:F),0)</f>
        <v>6.7</v>
      </c>
      <c r="E1868" s="6">
        <f>_xlfn.MAXIFS(Levels!E:E,Levels!B:B,A1868)</f>
        <v>4.47</v>
      </c>
      <c r="F1868" s="6">
        <f>_xlfn.MAXIFS(Levels!F:F,Levels!B:B,A1868)</f>
        <v>6.7</v>
      </c>
    </row>
    <row r="1869" spans="1:6" x14ac:dyDescent="0.3">
      <c r="A1869" t="s">
        <v>8446</v>
      </c>
      <c r="B1869" s="9">
        <f>COUNTIF(Levels!B:B,A1869)</f>
        <v>1</v>
      </c>
      <c r="C1869" s="9">
        <f>IFERROR(AVERAGEIF(Levels!B:B,A1869,Levels!E:E),0)</f>
        <v>12.82</v>
      </c>
      <c r="D1869" s="9">
        <f>IFERROR(AVERAGEIF(Levels!B:B,A1869,Levels!F:F),0)</f>
        <v>5.93</v>
      </c>
      <c r="E1869" s="9">
        <f>_xlfn.MAXIFS(Levels!E:E,Levels!B:B,A1869)</f>
        <v>12.82</v>
      </c>
      <c r="F1869" s="9">
        <f>_xlfn.MAXIFS(Levels!F:F,Levels!B:B,A1869)</f>
        <v>5.93</v>
      </c>
    </row>
    <row r="1870" spans="1:6" x14ac:dyDescent="0.3">
      <c r="A1870" t="s">
        <v>8448</v>
      </c>
      <c r="B1870" s="6">
        <f>COUNTIF(Levels!B:B,A1870)</f>
        <v>1</v>
      </c>
      <c r="C1870" s="6">
        <f>IFERROR(AVERAGEIF(Levels!B:B,A1870,Levels!E:E),0)</f>
        <v>20.399999999999999</v>
      </c>
      <c r="D1870" s="6">
        <f>IFERROR(AVERAGEIF(Levels!B:B,A1870,Levels!F:F),0)</f>
        <v>7.16</v>
      </c>
      <c r="E1870" s="6">
        <f>_xlfn.MAXIFS(Levels!E:E,Levels!B:B,A1870)</f>
        <v>20.399999999999999</v>
      </c>
      <c r="F1870" s="6">
        <f>_xlfn.MAXIFS(Levels!F:F,Levels!B:B,A1870)</f>
        <v>7.16</v>
      </c>
    </row>
    <row r="1871" spans="1:6" x14ac:dyDescent="0.3">
      <c r="A1871" t="s">
        <v>8453</v>
      </c>
      <c r="B1871" s="9">
        <f>COUNTIF(Levels!B:B,A1871)</f>
        <v>2</v>
      </c>
      <c r="C1871" s="9">
        <f>IFERROR(AVERAGEIF(Levels!B:B,A1871,Levels!E:E),0)</f>
        <v>13.164999999999999</v>
      </c>
      <c r="D1871" s="9">
        <f>IFERROR(AVERAGEIF(Levels!B:B,A1871,Levels!F:F),0)</f>
        <v>6.25</v>
      </c>
      <c r="E1871" s="9">
        <f>_xlfn.MAXIFS(Levels!E:E,Levels!B:B,A1871)</f>
        <v>21.93</v>
      </c>
      <c r="F1871" s="9">
        <f>_xlfn.MAXIFS(Levels!F:F,Levels!B:B,A1871)</f>
        <v>7.25</v>
      </c>
    </row>
    <row r="1872" spans="1:6" x14ac:dyDescent="0.3">
      <c r="A1872" t="s">
        <v>8457</v>
      </c>
      <c r="B1872" s="6">
        <f>COUNTIF(Levels!B:B,A1872)</f>
        <v>5</v>
      </c>
      <c r="C1872" s="6">
        <f>IFERROR(AVERAGEIF(Levels!B:B,A1872,Levels!E:E),0)</f>
        <v>10.014000000000001</v>
      </c>
      <c r="D1872" s="6">
        <f>IFERROR(AVERAGEIF(Levels!B:B,A1872,Levels!F:F),0)</f>
        <v>6.8019999999999996</v>
      </c>
      <c r="E1872" s="6">
        <f>_xlfn.MAXIFS(Levels!E:E,Levels!B:B,A1872)</f>
        <v>30</v>
      </c>
      <c r="F1872" s="6">
        <f>_xlfn.MAXIFS(Levels!F:F,Levels!B:B,A1872)</f>
        <v>7.53</v>
      </c>
    </row>
    <row r="1873" spans="1:6" x14ac:dyDescent="0.3">
      <c r="A1873" t="s">
        <v>8460</v>
      </c>
      <c r="B1873" s="9">
        <f>COUNTIF(Levels!B:B,A1873)</f>
        <v>3</v>
      </c>
      <c r="C1873" s="9">
        <f>IFERROR(AVERAGEIF(Levels!B:B,A1873,Levels!E:E),0)</f>
        <v>4.083333333333333</v>
      </c>
      <c r="D1873" s="9">
        <f>IFERROR(AVERAGEIF(Levels!B:B,A1873,Levels!F:F),0)</f>
        <v>5.7666666666666666</v>
      </c>
      <c r="E1873" s="9">
        <f>_xlfn.MAXIFS(Levels!E:E,Levels!B:B,A1873)</f>
        <v>4.63</v>
      </c>
      <c r="F1873" s="9">
        <f>_xlfn.MAXIFS(Levels!F:F,Levels!B:B,A1873)</f>
        <v>6.13</v>
      </c>
    </row>
    <row r="1874" spans="1:6" x14ac:dyDescent="0.3">
      <c r="A1874" t="s">
        <v>8463</v>
      </c>
      <c r="B1874" s="6">
        <f>COUNTIF(Levels!B:B,A1874)</f>
        <v>1</v>
      </c>
      <c r="C1874" s="6">
        <f>IFERROR(AVERAGEIF(Levels!B:B,A1874,Levels!E:E),0)</f>
        <v>5.5</v>
      </c>
      <c r="D1874" s="6">
        <f>IFERROR(AVERAGEIF(Levels!B:B,A1874,Levels!F:F),0)</f>
        <v>6.91</v>
      </c>
      <c r="E1874" s="6">
        <f>_xlfn.MAXIFS(Levels!E:E,Levels!B:B,A1874)</f>
        <v>5.5</v>
      </c>
      <c r="F1874" s="6">
        <f>_xlfn.MAXIFS(Levels!F:F,Levels!B:B,A1874)</f>
        <v>6.91</v>
      </c>
    </row>
    <row r="1875" spans="1:6" x14ac:dyDescent="0.3">
      <c r="A1875" t="s">
        <v>8471</v>
      </c>
      <c r="B1875" s="9">
        <f>COUNTIF(Levels!B:B,A1875)</f>
        <v>1</v>
      </c>
      <c r="C1875" s="9">
        <f>IFERROR(AVERAGEIF(Levels!B:B,A1875,Levels!E:E),0)</f>
        <v>4.75</v>
      </c>
      <c r="D1875" s="9">
        <f>IFERROR(AVERAGEIF(Levels!B:B,A1875,Levels!F:F),0)</f>
        <v>5.57</v>
      </c>
      <c r="E1875" s="9">
        <f>_xlfn.MAXIFS(Levels!E:E,Levels!B:B,A1875)</f>
        <v>4.75</v>
      </c>
      <c r="F1875" s="9">
        <f>_xlfn.MAXIFS(Levels!F:F,Levels!B:B,A1875)</f>
        <v>5.57</v>
      </c>
    </row>
    <row r="1876" spans="1:6" x14ac:dyDescent="0.3">
      <c r="A1876" t="s">
        <v>8474</v>
      </c>
      <c r="B1876" s="6">
        <f>COUNTIF(Levels!B:B,A1876)</f>
        <v>1</v>
      </c>
      <c r="C1876" s="6">
        <f>IFERROR(AVERAGEIF(Levels!B:B,A1876,Levels!E:E),0)</f>
        <v>2.9</v>
      </c>
      <c r="D1876" s="6">
        <f>IFERROR(AVERAGEIF(Levels!B:B,A1876,Levels!F:F),0)</f>
        <v>6.09</v>
      </c>
      <c r="E1876" s="6">
        <f>_xlfn.MAXIFS(Levels!E:E,Levels!B:B,A1876)</f>
        <v>2.9</v>
      </c>
      <c r="F1876" s="6">
        <f>_xlfn.MAXIFS(Levels!F:F,Levels!B:B,A1876)</f>
        <v>6.09</v>
      </c>
    </row>
    <row r="1877" spans="1:6" x14ac:dyDescent="0.3">
      <c r="A1877" t="s">
        <v>8476</v>
      </c>
      <c r="B1877" s="9">
        <f>COUNTIF(Levels!B:B,A1877)</f>
        <v>1</v>
      </c>
      <c r="C1877" s="9">
        <f>IFERROR(AVERAGEIF(Levels!B:B,A1877,Levels!E:E),0)</f>
        <v>3</v>
      </c>
      <c r="D1877" s="9">
        <f>IFERROR(AVERAGEIF(Levels!B:B,A1877,Levels!F:F),0)</f>
        <v>6</v>
      </c>
      <c r="E1877" s="9">
        <f>_xlfn.MAXIFS(Levels!E:E,Levels!B:B,A1877)</f>
        <v>3</v>
      </c>
      <c r="F1877" s="9">
        <f>_xlfn.MAXIFS(Levels!F:F,Levels!B:B,A1877)</f>
        <v>6</v>
      </c>
    </row>
    <row r="1878" spans="1:6" x14ac:dyDescent="0.3">
      <c r="A1878" t="s">
        <v>8479</v>
      </c>
      <c r="B1878" s="6">
        <f>COUNTIF(Levels!B:B,A1878)</f>
        <v>7</v>
      </c>
      <c r="C1878" s="6">
        <f>IFERROR(AVERAGEIF(Levels!B:B,A1878,Levels!E:E),0)</f>
        <v>13.376666666666667</v>
      </c>
      <c r="D1878" s="6">
        <f>IFERROR(AVERAGEIF(Levels!B:B,A1878,Levels!F:F),0)</f>
        <v>7.5316666666666672</v>
      </c>
      <c r="E1878" s="6">
        <f>_xlfn.MAXIFS(Levels!E:E,Levels!B:B,A1878)</f>
        <v>22.05</v>
      </c>
      <c r="F1878" s="6">
        <f>_xlfn.MAXIFS(Levels!F:F,Levels!B:B,A1878)</f>
        <v>8.67</v>
      </c>
    </row>
    <row r="1879" spans="1:6" x14ac:dyDescent="0.3">
      <c r="A1879" t="s">
        <v>8493</v>
      </c>
      <c r="B1879" s="9">
        <f>COUNTIF(Levels!B:B,A1879)</f>
        <v>2</v>
      </c>
      <c r="C1879" s="9">
        <f>IFERROR(AVERAGEIF(Levels!B:B,A1879,Levels!E:E),0)</f>
        <v>10.91</v>
      </c>
      <c r="D1879" s="9">
        <f>IFERROR(AVERAGEIF(Levels!B:B,A1879,Levels!F:F),0)</f>
        <v>7.8900000000000006</v>
      </c>
      <c r="E1879" s="9">
        <f>_xlfn.MAXIFS(Levels!E:E,Levels!B:B,A1879)</f>
        <v>11.04</v>
      </c>
      <c r="F1879" s="9">
        <f>_xlfn.MAXIFS(Levels!F:F,Levels!B:B,A1879)</f>
        <v>7.95</v>
      </c>
    </row>
    <row r="1880" spans="1:6" x14ac:dyDescent="0.3">
      <c r="A1880" t="s">
        <v>8495</v>
      </c>
      <c r="B1880" s="6">
        <f>COUNTIF(Levels!B:B,A1880)</f>
        <v>1</v>
      </c>
      <c r="C1880" s="6">
        <f>IFERROR(AVERAGEIF(Levels!B:B,A1880,Levels!E:E),0)</f>
        <v>10.4</v>
      </c>
      <c r="D1880" s="6">
        <f>IFERROR(AVERAGEIF(Levels!B:B,A1880,Levels!F:F),0)</f>
        <v>7.78</v>
      </c>
      <c r="E1880" s="6">
        <f>_xlfn.MAXIFS(Levels!E:E,Levels!B:B,A1880)</f>
        <v>10.4</v>
      </c>
      <c r="F1880" s="6">
        <f>_xlfn.MAXIFS(Levels!F:F,Levels!B:B,A1880)</f>
        <v>7.78</v>
      </c>
    </row>
    <row r="1881" spans="1:6" x14ac:dyDescent="0.3">
      <c r="A1881" t="s">
        <v>8501</v>
      </c>
      <c r="B1881" s="9">
        <f>COUNTIF(Levels!B:B,A1881)</f>
        <v>1</v>
      </c>
      <c r="C1881" s="9">
        <f>IFERROR(AVERAGEIF(Levels!B:B,A1881,Levels!E:E),0)</f>
        <v>5.62</v>
      </c>
      <c r="D1881" s="9">
        <f>IFERROR(AVERAGEIF(Levels!B:B,A1881,Levels!F:F),0)</f>
        <v>7.77</v>
      </c>
      <c r="E1881" s="9">
        <f>_xlfn.MAXIFS(Levels!E:E,Levels!B:B,A1881)</f>
        <v>5.62</v>
      </c>
      <c r="F1881" s="9">
        <f>_xlfn.MAXIFS(Levels!F:F,Levels!B:B,A1881)</f>
        <v>7.77</v>
      </c>
    </row>
    <row r="1882" spans="1:6" x14ac:dyDescent="0.3">
      <c r="A1882" t="s">
        <v>8508</v>
      </c>
      <c r="B1882" s="6">
        <f>COUNTIF(Levels!B:B,A1882)</f>
        <v>4</v>
      </c>
      <c r="C1882" s="6">
        <f>IFERROR(AVERAGEIF(Levels!B:B,A1882,Levels!E:E),0)</f>
        <v>2.3374999999999999</v>
      </c>
      <c r="D1882" s="6">
        <f>IFERROR(AVERAGEIF(Levels!B:B,A1882,Levels!F:F),0)</f>
        <v>7.4675000000000002</v>
      </c>
      <c r="E1882" s="6">
        <f>_xlfn.MAXIFS(Levels!E:E,Levels!B:B,A1882)</f>
        <v>3.94</v>
      </c>
      <c r="F1882" s="6">
        <f>_xlfn.MAXIFS(Levels!F:F,Levels!B:B,A1882)</f>
        <v>7.97</v>
      </c>
    </row>
    <row r="1883" spans="1:6" x14ac:dyDescent="0.3">
      <c r="A1883" t="s">
        <v>8510</v>
      </c>
      <c r="B1883" s="9">
        <f>COUNTIF(Levels!B:B,A1883)</f>
        <v>1</v>
      </c>
      <c r="C1883" s="9">
        <f>IFERROR(AVERAGEIF(Levels!B:B,A1883,Levels!E:E),0)</f>
        <v>5.5</v>
      </c>
      <c r="D1883" s="9">
        <f>IFERROR(AVERAGEIF(Levels!B:B,A1883,Levels!F:F),0)</f>
        <v>7.5</v>
      </c>
      <c r="E1883" s="9">
        <f>_xlfn.MAXIFS(Levels!E:E,Levels!B:B,A1883)</f>
        <v>5.5</v>
      </c>
      <c r="F1883" s="9">
        <f>_xlfn.MAXIFS(Levels!F:F,Levels!B:B,A1883)</f>
        <v>7.5</v>
      </c>
    </row>
    <row r="1884" spans="1:6" x14ac:dyDescent="0.3">
      <c r="A1884" t="s">
        <v>8513</v>
      </c>
      <c r="B1884" s="6">
        <f>COUNTIF(Levels!B:B,A1884)</f>
        <v>1</v>
      </c>
      <c r="C1884" s="6">
        <f>IFERROR(AVERAGEIF(Levels!B:B,A1884,Levels!E:E),0)</f>
        <v>11.33</v>
      </c>
      <c r="D1884" s="6">
        <f>IFERROR(AVERAGEIF(Levels!B:B,A1884,Levels!F:F),0)</f>
        <v>8</v>
      </c>
      <c r="E1884" s="6">
        <f>_xlfn.MAXIFS(Levels!E:E,Levels!B:B,A1884)</f>
        <v>11.33</v>
      </c>
      <c r="F1884" s="6">
        <f>_xlfn.MAXIFS(Levels!F:F,Levels!B:B,A1884)</f>
        <v>8</v>
      </c>
    </row>
    <row r="1885" spans="1:6" x14ac:dyDescent="0.3">
      <c r="A1885" t="s">
        <v>8516</v>
      </c>
      <c r="B1885" s="9">
        <f>COUNTIF(Levels!B:B,A1885)</f>
        <v>4</v>
      </c>
      <c r="C1885" s="9">
        <f>IFERROR(AVERAGEIF(Levels!B:B,A1885,Levels!E:E),0)</f>
        <v>10.5025</v>
      </c>
      <c r="D1885" s="9">
        <f>IFERROR(AVERAGEIF(Levels!B:B,A1885,Levels!F:F),0)</f>
        <v>6.5600000000000005</v>
      </c>
      <c r="E1885" s="9">
        <f>_xlfn.MAXIFS(Levels!E:E,Levels!B:B,A1885)</f>
        <v>23.04</v>
      </c>
      <c r="F1885" s="9">
        <f>_xlfn.MAXIFS(Levels!F:F,Levels!B:B,A1885)</f>
        <v>7.85</v>
      </c>
    </row>
    <row r="1886" spans="1:6" x14ac:dyDescent="0.3">
      <c r="A1886" t="s">
        <v>8526</v>
      </c>
      <c r="B1886" s="6">
        <f>COUNTIF(Levels!B:B,A1886)</f>
        <v>1</v>
      </c>
      <c r="C1886" s="6">
        <f>IFERROR(AVERAGEIF(Levels!B:B,A1886,Levels!E:E),0)</f>
        <v>6.32</v>
      </c>
      <c r="D1886" s="6">
        <f>IFERROR(AVERAGEIF(Levels!B:B,A1886,Levels!F:F),0)</f>
        <v>6.91</v>
      </c>
      <c r="E1886" s="6">
        <f>_xlfn.MAXIFS(Levels!E:E,Levels!B:B,A1886)</f>
        <v>6.32</v>
      </c>
      <c r="F1886" s="6">
        <f>_xlfn.MAXIFS(Levels!F:F,Levels!B:B,A1886)</f>
        <v>6.91</v>
      </c>
    </row>
    <row r="1887" spans="1:6" x14ac:dyDescent="0.3">
      <c r="A1887" t="s">
        <v>8529</v>
      </c>
      <c r="B1887" s="9">
        <f>COUNTIF(Levels!B:B,A1887)</f>
        <v>2</v>
      </c>
      <c r="C1887" s="9">
        <f>IFERROR(AVERAGEIF(Levels!B:B,A1887,Levels!E:E),0)</f>
        <v>5.3650000000000002</v>
      </c>
      <c r="D1887" s="9">
        <f>IFERROR(AVERAGEIF(Levels!B:B,A1887,Levels!F:F),0)</f>
        <v>6.8250000000000002</v>
      </c>
      <c r="E1887" s="9">
        <f>_xlfn.MAXIFS(Levels!E:E,Levels!B:B,A1887)</f>
        <v>8.11</v>
      </c>
      <c r="F1887" s="9">
        <f>_xlfn.MAXIFS(Levels!F:F,Levels!B:B,A1887)</f>
        <v>7.57</v>
      </c>
    </row>
    <row r="1888" spans="1:6" x14ac:dyDescent="0.3">
      <c r="A1888" t="s">
        <v>8540</v>
      </c>
      <c r="B1888" s="6">
        <f>COUNTIF(Levels!B:B,A1888)</f>
        <v>2</v>
      </c>
      <c r="C1888" s="6">
        <f>IFERROR(AVERAGEIF(Levels!B:B,A1888,Levels!E:E),0)</f>
        <v>10.855</v>
      </c>
      <c r="D1888" s="6">
        <f>IFERROR(AVERAGEIF(Levels!B:B,A1888,Levels!F:F),0)</f>
        <v>7.27</v>
      </c>
      <c r="E1888" s="6">
        <f>_xlfn.MAXIFS(Levels!E:E,Levels!B:B,A1888)</f>
        <v>11.77</v>
      </c>
      <c r="F1888" s="6">
        <f>_xlfn.MAXIFS(Levels!F:F,Levels!B:B,A1888)</f>
        <v>7.69</v>
      </c>
    </row>
    <row r="1889" spans="1:6" x14ac:dyDescent="0.3">
      <c r="A1889" t="s">
        <v>8544</v>
      </c>
      <c r="B1889" s="9">
        <f>COUNTIF(Levels!B:B,A1889)</f>
        <v>2</v>
      </c>
      <c r="C1889" s="9">
        <f>IFERROR(AVERAGEIF(Levels!B:B,A1889,Levels!E:E),0)</f>
        <v>4.9550000000000001</v>
      </c>
      <c r="D1889" s="9">
        <f>IFERROR(AVERAGEIF(Levels!B:B,A1889,Levels!F:F),0)</f>
        <v>7.17</v>
      </c>
      <c r="E1889" s="9">
        <f>_xlfn.MAXIFS(Levels!E:E,Levels!B:B,A1889)</f>
        <v>5.97</v>
      </c>
      <c r="F1889" s="9">
        <f>_xlfn.MAXIFS(Levels!F:F,Levels!B:B,A1889)</f>
        <v>7.56</v>
      </c>
    </row>
    <row r="1890" spans="1:6" x14ac:dyDescent="0.3">
      <c r="A1890" t="s">
        <v>8549</v>
      </c>
      <c r="B1890" s="6">
        <f>COUNTIF(Levels!B:B,A1890)</f>
        <v>1</v>
      </c>
      <c r="C1890" s="6">
        <f>IFERROR(AVERAGEIF(Levels!B:B,A1890,Levels!E:E),0)</f>
        <v>34</v>
      </c>
      <c r="D1890" s="6">
        <f>IFERROR(AVERAGEIF(Levels!B:B,A1890,Levels!F:F),0)</f>
        <v>7</v>
      </c>
      <c r="E1890" s="6">
        <f>_xlfn.MAXIFS(Levels!E:E,Levels!B:B,A1890)</f>
        <v>34</v>
      </c>
      <c r="F1890" s="6">
        <f>_xlfn.MAXIFS(Levels!F:F,Levels!B:B,A1890)</f>
        <v>7</v>
      </c>
    </row>
    <row r="1891" spans="1:6" x14ac:dyDescent="0.3">
      <c r="A1891" t="s">
        <v>8565</v>
      </c>
      <c r="B1891" s="9">
        <f>COUNTIF(Levels!B:B,A1891)</f>
        <v>7</v>
      </c>
      <c r="C1891" s="9">
        <f>IFERROR(AVERAGEIF(Levels!B:B,A1891,Levels!E:E),0)</f>
        <v>13.437142857142858</v>
      </c>
      <c r="D1891" s="9">
        <f>IFERROR(AVERAGEIF(Levels!B:B,A1891,Levels!F:F),0)</f>
        <v>7.7871428571428583</v>
      </c>
      <c r="E1891" s="9">
        <f>_xlfn.MAXIFS(Levels!E:E,Levels!B:B,A1891)</f>
        <v>21</v>
      </c>
      <c r="F1891" s="9">
        <f>_xlfn.MAXIFS(Levels!F:F,Levels!B:B,A1891)</f>
        <v>8.5500000000000007</v>
      </c>
    </row>
    <row r="1892" spans="1:6" x14ac:dyDescent="0.3">
      <c r="A1892" t="s">
        <v>8574</v>
      </c>
      <c r="B1892" s="6">
        <f>COUNTIF(Levels!B:B,A1892)</f>
        <v>3</v>
      </c>
      <c r="C1892" s="6">
        <f>IFERROR(AVERAGEIF(Levels!B:B,A1892,Levels!E:E),0)</f>
        <v>18.556666666666668</v>
      </c>
      <c r="D1892" s="6">
        <f>IFERROR(AVERAGEIF(Levels!B:B,A1892,Levels!F:F),0)</f>
        <v>5.583333333333333</v>
      </c>
      <c r="E1892" s="6">
        <f>_xlfn.MAXIFS(Levels!E:E,Levels!B:B,A1892)</f>
        <v>21.26</v>
      </c>
      <c r="F1892" s="6">
        <f>_xlfn.MAXIFS(Levels!F:F,Levels!B:B,A1892)</f>
        <v>7.32</v>
      </c>
    </row>
    <row r="1893" spans="1:6" x14ac:dyDescent="0.3">
      <c r="A1893" t="s">
        <v>8577</v>
      </c>
      <c r="B1893" s="9">
        <f>COUNTIF(Levels!B:B,A1893)</f>
        <v>1</v>
      </c>
      <c r="C1893" s="9">
        <f>IFERROR(AVERAGEIF(Levels!B:B,A1893,Levels!E:E),0)</f>
        <v>13.16</v>
      </c>
      <c r="D1893" s="9">
        <f>IFERROR(AVERAGEIF(Levels!B:B,A1893,Levels!F:F),0)</f>
        <v>8.06</v>
      </c>
      <c r="E1893" s="9">
        <f>_xlfn.MAXIFS(Levels!E:E,Levels!B:B,A1893)</f>
        <v>13.16</v>
      </c>
      <c r="F1893" s="9">
        <f>_xlfn.MAXIFS(Levels!F:F,Levels!B:B,A1893)</f>
        <v>8.06</v>
      </c>
    </row>
    <row r="1894" spans="1:6" x14ac:dyDescent="0.3">
      <c r="A1894" t="s">
        <v>8585</v>
      </c>
      <c r="B1894" s="6">
        <f>COUNTIF(Levels!B:B,A1894)</f>
        <v>3</v>
      </c>
      <c r="C1894" s="6">
        <f>IFERROR(AVERAGEIF(Levels!B:B,A1894,Levels!E:E),0)</f>
        <v>6.27</v>
      </c>
      <c r="D1894" s="6">
        <f>IFERROR(AVERAGEIF(Levels!B:B,A1894,Levels!F:F),0)</f>
        <v>6.4433333333333342</v>
      </c>
      <c r="E1894" s="6">
        <f>_xlfn.MAXIFS(Levels!E:E,Levels!B:B,A1894)</f>
        <v>14</v>
      </c>
      <c r="F1894" s="6">
        <f>_xlfn.MAXIFS(Levels!F:F,Levels!B:B,A1894)</f>
        <v>7.03</v>
      </c>
    </row>
    <row r="1895" spans="1:6" x14ac:dyDescent="0.3">
      <c r="A1895" t="s">
        <v>8591</v>
      </c>
      <c r="B1895" s="9">
        <f>COUNTIF(Levels!B:B,A1895)</f>
        <v>2</v>
      </c>
      <c r="C1895" s="9">
        <f>IFERROR(AVERAGEIF(Levels!B:B,A1895,Levels!E:E),0)</f>
        <v>2.4450000000000003</v>
      </c>
      <c r="D1895" s="9">
        <f>IFERROR(AVERAGEIF(Levels!B:B,A1895,Levels!F:F),0)</f>
        <v>6.1549999999999994</v>
      </c>
      <c r="E1895" s="9">
        <f>_xlfn.MAXIFS(Levels!E:E,Levels!B:B,A1895)</f>
        <v>2.95</v>
      </c>
      <c r="F1895" s="9">
        <f>_xlfn.MAXIFS(Levels!F:F,Levels!B:B,A1895)</f>
        <v>6.68</v>
      </c>
    </row>
    <row r="1896" spans="1:6" x14ac:dyDescent="0.3">
      <c r="A1896" t="s">
        <v>8593</v>
      </c>
      <c r="B1896" s="6">
        <f>COUNTIF(Levels!B:B,A1896)</f>
        <v>1</v>
      </c>
      <c r="C1896" s="6">
        <f>IFERROR(AVERAGEIF(Levels!B:B,A1896,Levels!E:E),0)</f>
        <v>2</v>
      </c>
      <c r="D1896" s="6">
        <f>IFERROR(AVERAGEIF(Levels!B:B,A1896,Levels!F:F),0)</f>
        <v>6.38</v>
      </c>
      <c r="E1896" s="6">
        <f>_xlfn.MAXIFS(Levels!E:E,Levels!B:B,A1896)</f>
        <v>2</v>
      </c>
      <c r="F1896" s="6">
        <f>_xlfn.MAXIFS(Levels!F:F,Levels!B:B,A1896)</f>
        <v>6.38</v>
      </c>
    </row>
    <row r="1897" spans="1:6" x14ac:dyDescent="0.3">
      <c r="A1897" t="s">
        <v>8598</v>
      </c>
      <c r="B1897" s="9">
        <f>COUNTIF(Levels!B:B,A1897)</f>
        <v>1</v>
      </c>
      <c r="C1897" s="9">
        <f>IFERROR(AVERAGEIF(Levels!B:B,A1897,Levels!E:E),0)</f>
        <v>1.89</v>
      </c>
      <c r="D1897" s="9">
        <f>IFERROR(AVERAGEIF(Levels!B:B,A1897,Levels!F:F),0)</f>
        <v>4.5999999999999996</v>
      </c>
      <c r="E1897" s="9">
        <f>_xlfn.MAXIFS(Levels!E:E,Levels!B:B,A1897)</f>
        <v>1.89</v>
      </c>
      <c r="F1897" s="9">
        <f>_xlfn.MAXIFS(Levels!F:F,Levels!B:B,A1897)</f>
        <v>4.5999999999999996</v>
      </c>
    </row>
    <row r="1898" spans="1:6" x14ac:dyDescent="0.3">
      <c r="A1898" t="s">
        <v>8601</v>
      </c>
      <c r="B1898" s="6">
        <f>COUNTIF(Levels!B:B,A1898)</f>
        <v>3</v>
      </c>
      <c r="C1898" s="6">
        <f>IFERROR(AVERAGEIF(Levels!B:B,A1898,Levels!E:E),0)</f>
        <v>2.5</v>
      </c>
      <c r="D1898" s="6">
        <f>IFERROR(AVERAGEIF(Levels!B:B,A1898,Levels!F:F),0)</f>
        <v>7.8966666666666656</v>
      </c>
      <c r="E1898" s="6">
        <f>_xlfn.MAXIFS(Levels!E:E,Levels!B:B,A1898)</f>
        <v>2.83</v>
      </c>
      <c r="F1898" s="6">
        <f>_xlfn.MAXIFS(Levels!F:F,Levels!B:B,A1898)</f>
        <v>8.18</v>
      </c>
    </row>
    <row r="1899" spans="1:6" x14ac:dyDescent="0.3">
      <c r="A1899" t="s">
        <v>8607</v>
      </c>
      <c r="B1899" s="9">
        <f>COUNTIF(Levels!B:B,A1899)</f>
        <v>1</v>
      </c>
      <c r="C1899" s="9">
        <f>IFERROR(AVERAGEIF(Levels!B:B,A1899,Levels!E:E),0)</f>
        <v>2.74</v>
      </c>
      <c r="D1899" s="9">
        <f>IFERROR(AVERAGEIF(Levels!B:B,A1899,Levels!F:F),0)</f>
        <v>6.46</v>
      </c>
      <c r="E1899" s="9">
        <f>_xlfn.MAXIFS(Levels!E:E,Levels!B:B,A1899)</f>
        <v>2.74</v>
      </c>
      <c r="F1899" s="9">
        <f>_xlfn.MAXIFS(Levels!F:F,Levels!B:B,A1899)</f>
        <v>6.46</v>
      </c>
    </row>
    <row r="1900" spans="1:6" x14ac:dyDescent="0.3">
      <c r="A1900" t="s">
        <v>8611</v>
      </c>
      <c r="B1900" s="6">
        <f>COUNTIF(Levels!B:B,A1900)</f>
        <v>1</v>
      </c>
      <c r="C1900" s="6">
        <f>IFERROR(AVERAGEIF(Levels!B:B,A1900,Levels!E:E),0)</f>
        <v>12.03</v>
      </c>
      <c r="D1900" s="6">
        <f>IFERROR(AVERAGEIF(Levels!B:B,A1900,Levels!F:F),0)</f>
        <v>8.06</v>
      </c>
      <c r="E1900" s="6">
        <f>_xlfn.MAXIFS(Levels!E:E,Levels!B:B,A1900)</f>
        <v>12.03</v>
      </c>
      <c r="F1900" s="6">
        <f>_xlfn.MAXIFS(Levels!F:F,Levels!B:B,A1900)</f>
        <v>8.06</v>
      </c>
    </row>
    <row r="1901" spans="1:6" x14ac:dyDescent="0.3">
      <c r="A1901" t="s">
        <v>8613</v>
      </c>
      <c r="B1901" s="9">
        <f>COUNTIF(Levels!B:B,A1901)</f>
        <v>3</v>
      </c>
      <c r="C1901" s="9">
        <f>IFERROR(AVERAGEIF(Levels!B:B,A1901,Levels!E:E),0)</f>
        <v>15.493333333333332</v>
      </c>
      <c r="D1901" s="9">
        <f>IFERROR(AVERAGEIF(Levels!B:B,A1901,Levels!F:F),0)</f>
        <v>8.58</v>
      </c>
      <c r="E1901" s="9">
        <f>_xlfn.MAXIFS(Levels!E:E,Levels!B:B,A1901)</f>
        <v>17.649999999999999</v>
      </c>
      <c r="F1901" s="9">
        <f>_xlfn.MAXIFS(Levels!F:F,Levels!B:B,A1901)</f>
        <v>9.17</v>
      </c>
    </row>
    <row r="1902" spans="1:6" x14ac:dyDescent="0.3">
      <c r="A1902" t="s">
        <v>8615</v>
      </c>
      <c r="B1902" s="6">
        <f>COUNTIF(Levels!B:B,A1902)</f>
        <v>3</v>
      </c>
      <c r="C1902" s="6">
        <f>IFERROR(AVERAGEIF(Levels!B:B,A1902,Levels!E:E),0)</f>
        <v>18.213333333333335</v>
      </c>
      <c r="D1902" s="6">
        <f>IFERROR(AVERAGEIF(Levels!B:B,A1902,Levels!F:F),0)</f>
        <v>7.333333333333333</v>
      </c>
      <c r="E1902" s="6">
        <f>_xlfn.MAXIFS(Levels!E:E,Levels!B:B,A1902)</f>
        <v>32</v>
      </c>
      <c r="F1902" s="6">
        <f>_xlfn.MAXIFS(Levels!F:F,Levels!B:B,A1902)</f>
        <v>8.4</v>
      </c>
    </row>
    <row r="1903" spans="1:6" x14ac:dyDescent="0.3">
      <c r="A1903" t="s">
        <v>8626</v>
      </c>
      <c r="B1903" s="9">
        <f>COUNTIF(Levels!B:B,A1903)</f>
        <v>1</v>
      </c>
      <c r="C1903" s="9">
        <f>IFERROR(AVERAGEIF(Levels!B:B,A1903,Levels!E:E),0)</f>
        <v>2.4900000000000002</v>
      </c>
      <c r="D1903" s="9">
        <f>IFERROR(AVERAGEIF(Levels!B:B,A1903,Levels!F:F),0)</f>
        <v>7.13</v>
      </c>
      <c r="E1903" s="9">
        <f>_xlfn.MAXIFS(Levels!E:E,Levels!B:B,A1903)</f>
        <v>2.4900000000000002</v>
      </c>
      <c r="F1903" s="9">
        <f>_xlfn.MAXIFS(Levels!F:F,Levels!B:B,A1903)</f>
        <v>7.13</v>
      </c>
    </row>
    <row r="1904" spans="1:6" x14ac:dyDescent="0.3">
      <c r="A1904" t="s">
        <v>8628</v>
      </c>
      <c r="B1904" s="6">
        <f>COUNTIF(Levels!B:B,A1904)</f>
        <v>1</v>
      </c>
      <c r="C1904" s="6">
        <f>IFERROR(AVERAGEIF(Levels!B:B,A1904,Levels!E:E),0)</f>
        <v>6.43</v>
      </c>
      <c r="D1904" s="6">
        <f>IFERROR(AVERAGEIF(Levels!B:B,A1904,Levels!F:F),0)</f>
        <v>6.88</v>
      </c>
      <c r="E1904" s="6">
        <f>_xlfn.MAXIFS(Levels!E:E,Levels!B:B,A1904)</f>
        <v>6.43</v>
      </c>
      <c r="F1904" s="6">
        <f>_xlfn.MAXIFS(Levels!F:F,Levels!B:B,A1904)</f>
        <v>6.88</v>
      </c>
    </row>
    <row r="1905" spans="1:6" x14ac:dyDescent="0.3">
      <c r="A1905" t="s">
        <v>8641</v>
      </c>
      <c r="B1905" s="9">
        <f>COUNTIF(Levels!B:B,A1905)</f>
        <v>2</v>
      </c>
      <c r="C1905" s="9">
        <f>IFERROR(AVERAGEIF(Levels!B:B,A1905,Levels!E:E),0)</f>
        <v>4.12</v>
      </c>
      <c r="D1905" s="9">
        <f>IFERROR(AVERAGEIF(Levels!B:B,A1905,Levels!F:F),0)</f>
        <v>7.0500000000000007</v>
      </c>
      <c r="E1905" s="9">
        <f>_xlfn.MAXIFS(Levels!E:E,Levels!B:B,A1905)</f>
        <v>4.12</v>
      </c>
      <c r="F1905" s="9">
        <f>_xlfn.MAXIFS(Levels!F:F,Levels!B:B,A1905)</f>
        <v>7.7</v>
      </c>
    </row>
    <row r="1906" spans="1:6" x14ac:dyDescent="0.3">
      <c r="A1906" t="s">
        <v>8643</v>
      </c>
      <c r="B1906" s="6">
        <f>COUNTIF(Levels!B:B,A1906)</f>
        <v>1</v>
      </c>
      <c r="C1906" s="6">
        <f>IFERROR(AVERAGEIF(Levels!B:B,A1906,Levels!E:E),0)</f>
        <v>34.799999999999997</v>
      </c>
      <c r="D1906" s="6">
        <f>IFERROR(AVERAGEIF(Levels!B:B,A1906,Levels!F:F),0)</f>
        <v>4.4000000000000004</v>
      </c>
      <c r="E1906" s="6">
        <f>_xlfn.MAXIFS(Levels!E:E,Levels!B:B,A1906)</f>
        <v>34.799999999999997</v>
      </c>
      <c r="F1906" s="6">
        <f>_xlfn.MAXIFS(Levels!F:F,Levels!B:B,A1906)</f>
        <v>4.4000000000000004</v>
      </c>
    </row>
    <row r="1907" spans="1:6" x14ac:dyDescent="0.3">
      <c r="A1907" t="s">
        <v>8645</v>
      </c>
      <c r="B1907" s="9">
        <f>COUNTIF(Levels!B:B,A1907)</f>
        <v>1</v>
      </c>
      <c r="C1907" s="9">
        <f>IFERROR(AVERAGEIF(Levels!B:B,A1907,Levels!E:E),0)</f>
        <v>2.2400000000000002</v>
      </c>
      <c r="D1907" s="9">
        <f>IFERROR(AVERAGEIF(Levels!B:B,A1907,Levels!F:F),0)</f>
        <v>6.6</v>
      </c>
      <c r="E1907" s="9">
        <f>_xlfn.MAXIFS(Levels!E:E,Levels!B:B,A1907)</f>
        <v>2.2400000000000002</v>
      </c>
      <c r="F1907" s="9">
        <f>_xlfn.MAXIFS(Levels!F:F,Levels!B:B,A1907)</f>
        <v>6.6</v>
      </c>
    </row>
    <row r="1908" spans="1:6" x14ac:dyDescent="0.3">
      <c r="A1908" t="s">
        <v>8648</v>
      </c>
      <c r="B1908" s="6">
        <f>COUNTIF(Levels!B:B,A1908)</f>
        <v>2</v>
      </c>
      <c r="C1908" s="6">
        <f>IFERROR(AVERAGEIF(Levels!B:B,A1908,Levels!E:E),0)</f>
        <v>11.03</v>
      </c>
      <c r="D1908" s="6">
        <f>IFERROR(AVERAGEIF(Levels!B:B,A1908,Levels!F:F),0)</f>
        <v>6.93</v>
      </c>
      <c r="E1908" s="6">
        <f>_xlfn.MAXIFS(Levels!E:E,Levels!B:B,A1908)</f>
        <v>13.29</v>
      </c>
      <c r="F1908" s="6">
        <f>_xlfn.MAXIFS(Levels!F:F,Levels!B:B,A1908)</f>
        <v>8.61</v>
      </c>
    </row>
    <row r="1909" spans="1:6" x14ac:dyDescent="0.3">
      <c r="A1909" t="s">
        <v>8650</v>
      </c>
      <c r="B1909" s="9">
        <f>COUNTIF(Levels!B:B,A1909)</f>
        <v>1</v>
      </c>
      <c r="C1909" s="9">
        <f>IFERROR(AVERAGEIF(Levels!B:B,A1909,Levels!E:E),0)</f>
        <v>3.65</v>
      </c>
      <c r="D1909" s="9">
        <f>IFERROR(AVERAGEIF(Levels!B:B,A1909,Levels!F:F),0)</f>
        <v>7.35</v>
      </c>
      <c r="E1909" s="9">
        <f>_xlfn.MAXIFS(Levels!E:E,Levels!B:B,A1909)</f>
        <v>3.65</v>
      </c>
      <c r="F1909" s="9">
        <f>_xlfn.MAXIFS(Levels!F:F,Levels!B:B,A1909)</f>
        <v>7.35</v>
      </c>
    </row>
    <row r="1910" spans="1:6" x14ac:dyDescent="0.3">
      <c r="A1910" t="s">
        <v>8652</v>
      </c>
      <c r="B1910" s="6">
        <f>COUNTIF(Levels!B:B,A1910)</f>
        <v>1</v>
      </c>
      <c r="C1910" s="6">
        <f>IFERROR(AVERAGEIF(Levels!B:B,A1910,Levels!E:E),0)</f>
        <v>24</v>
      </c>
      <c r="D1910" s="6">
        <f>IFERROR(AVERAGEIF(Levels!B:B,A1910,Levels!F:F),0)</f>
        <v>7.5</v>
      </c>
      <c r="E1910" s="6">
        <f>_xlfn.MAXIFS(Levels!E:E,Levels!B:B,A1910)</f>
        <v>24</v>
      </c>
      <c r="F1910" s="6">
        <f>_xlfn.MAXIFS(Levels!F:F,Levels!B:B,A1910)</f>
        <v>7.5</v>
      </c>
    </row>
    <row r="1911" spans="1:6" x14ac:dyDescent="0.3">
      <c r="A1911" t="s">
        <v>8656</v>
      </c>
      <c r="B1911" s="9">
        <f>COUNTIF(Levels!B:B,A1911)</f>
        <v>2</v>
      </c>
      <c r="C1911" s="9">
        <f>IFERROR(AVERAGEIF(Levels!B:B,A1911,Levels!E:E),0)</f>
        <v>6.3550000000000004</v>
      </c>
      <c r="D1911" s="9">
        <f>IFERROR(AVERAGEIF(Levels!B:B,A1911,Levels!F:F),0)</f>
        <v>6.84</v>
      </c>
      <c r="E1911" s="9">
        <f>_xlfn.MAXIFS(Levels!E:E,Levels!B:B,A1911)</f>
        <v>7.86</v>
      </c>
      <c r="F1911" s="9">
        <f>_xlfn.MAXIFS(Levels!F:F,Levels!B:B,A1911)</f>
        <v>7.33</v>
      </c>
    </row>
    <row r="1912" spans="1:6" x14ac:dyDescent="0.3">
      <c r="A1912" t="s">
        <v>8663</v>
      </c>
      <c r="B1912" s="6">
        <f>COUNTIF(Levels!B:B,A1912)</f>
        <v>3</v>
      </c>
      <c r="C1912" s="6">
        <f>IFERROR(AVERAGEIF(Levels!B:B,A1912,Levels!E:E),0)</f>
        <v>5.1933333333333334</v>
      </c>
      <c r="D1912" s="6">
        <f>IFERROR(AVERAGEIF(Levels!B:B,A1912,Levels!F:F),0)</f>
        <v>6.1966666666666663</v>
      </c>
      <c r="E1912" s="6">
        <f>_xlfn.MAXIFS(Levels!E:E,Levels!B:B,A1912)</f>
        <v>9.83</v>
      </c>
      <c r="F1912" s="6">
        <f>_xlfn.MAXIFS(Levels!F:F,Levels!B:B,A1912)</f>
        <v>6.82</v>
      </c>
    </row>
    <row r="1913" spans="1:6" x14ac:dyDescent="0.3">
      <c r="A1913" t="s">
        <v>8665</v>
      </c>
      <c r="B1913" s="9">
        <f>COUNTIF(Levels!B:B,A1913)</f>
        <v>2</v>
      </c>
      <c r="C1913" s="9">
        <f>IFERROR(AVERAGEIF(Levels!B:B,A1913,Levels!E:E),0)</f>
        <v>29.75</v>
      </c>
      <c r="D1913" s="9">
        <f>IFERROR(AVERAGEIF(Levels!B:B,A1913,Levels!F:F),0)</f>
        <v>6.125</v>
      </c>
      <c r="E1913" s="9">
        <f>_xlfn.MAXIFS(Levels!E:E,Levels!B:B,A1913)</f>
        <v>30.5</v>
      </c>
      <c r="F1913" s="9">
        <f>_xlfn.MAXIFS(Levels!F:F,Levels!B:B,A1913)</f>
        <v>9</v>
      </c>
    </row>
    <row r="1914" spans="1:6" x14ac:dyDescent="0.3">
      <c r="A1914" t="s">
        <v>8667</v>
      </c>
      <c r="B1914" s="6">
        <f>COUNTIF(Levels!B:B,A1914)</f>
        <v>1</v>
      </c>
      <c r="C1914" s="6">
        <f>IFERROR(AVERAGEIF(Levels!B:B,A1914,Levels!E:E),0)</f>
        <v>6.89</v>
      </c>
      <c r="D1914" s="6">
        <f>IFERROR(AVERAGEIF(Levels!B:B,A1914,Levels!F:F),0)</f>
        <v>6.67</v>
      </c>
      <c r="E1914" s="6">
        <f>_xlfn.MAXIFS(Levels!E:E,Levels!B:B,A1914)</f>
        <v>6.89</v>
      </c>
      <c r="F1914" s="6">
        <f>_xlfn.MAXIFS(Levels!F:F,Levels!B:B,A1914)</f>
        <v>6.67</v>
      </c>
    </row>
    <row r="1915" spans="1:6" x14ac:dyDescent="0.3">
      <c r="A1915" t="s">
        <v>8671</v>
      </c>
      <c r="B1915" s="9">
        <f>COUNTIF(Levels!B:B,A1915)</f>
        <v>9</v>
      </c>
      <c r="C1915" s="9">
        <f>IFERROR(AVERAGEIF(Levels!B:B,A1915,Levels!E:E),0)</f>
        <v>11.72</v>
      </c>
      <c r="D1915" s="9">
        <f>IFERROR(AVERAGEIF(Levels!B:B,A1915,Levels!F:F),0)</f>
        <v>7.5311111111111098</v>
      </c>
      <c r="E1915" s="9">
        <f>_xlfn.MAXIFS(Levels!E:E,Levels!B:B,A1915)</f>
        <v>25.5</v>
      </c>
      <c r="F1915" s="9">
        <f>_xlfn.MAXIFS(Levels!F:F,Levels!B:B,A1915)</f>
        <v>8.19</v>
      </c>
    </row>
    <row r="1916" spans="1:6" x14ac:dyDescent="0.3">
      <c r="A1916" t="s">
        <v>8684</v>
      </c>
      <c r="B1916" s="6">
        <f>COUNTIF(Levels!B:B,A1916)</f>
        <v>2</v>
      </c>
      <c r="C1916" s="6">
        <f>IFERROR(AVERAGEIF(Levels!B:B,A1916,Levels!E:E),0)</f>
        <v>7.09</v>
      </c>
      <c r="D1916" s="6">
        <f>IFERROR(AVERAGEIF(Levels!B:B,A1916,Levels!F:F),0)</f>
        <v>5.21</v>
      </c>
      <c r="E1916" s="6">
        <f>_xlfn.MAXIFS(Levels!E:E,Levels!B:B,A1916)</f>
        <v>7.38</v>
      </c>
      <c r="F1916" s="6">
        <f>_xlfn.MAXIFS(Levels!F:F,Levels!B:B,A1916)</f>
        <v>5.75</v>
      </c>
    </row>
    <row r="1917" spans="1:6" x14ac:dyDescent="0.3">
      <c r="A1917" t="s">
        <v>8686</v>
      </c>
      <c r="B1917" s="9">
        <f>COUNTIF(Levels!B:B,A1917)</f>
        <v>5</v>
      </c>
      <c r="C1917" s="9">
        <f>IFERROR(AVERAGEIF(Levels!B:B,A1917,Levels!E:E),0)</f>
        <v>8.4719999999999978</v>
      </c>
      <c r="D1917" s="9">
        <f>IFERROR(AVERAGEIF(Levels!B:B,A1917,Levels!F:F),0)</f>
        <v>7.0840000000000005</v>
      </c>
      <c r="E1917" s="9">
        <f>_xlfn.MAXIFS(Levels!E:E,Levels!B:B,A1917)</f>
        <v>21.58</v>
      </c>
      <c r="F1917" s="9">
        <f>_xlfn.MAXIFS(Levels!F:F,Levels!B:B,A1917)</f>
        <v>7.58</v>
      </c>
    </row>
    <row r="1918" spans="1:6" x14ac:dyDescent="0.3">
      <c r="A1918" t="s">
        <v>8691</v>
      </c>
      <c r="B1918" s="6">
        <f>COUNTIF(Levels!B:B,A1918)</f>
        <v>1</v>
      </c>
      <c r="C1918" s="6">
        <f>IFERROR(AVERAGEIF(Levels!B:B,A1918,Levels!E:E),0)</f>
        <v>29.25</v>
      </c>
      <c r="D1918" s="6">
        <f>IFERROR(AVERAGEIF(Levels!B:B,A1918,Levels!F:F),0)</f>
        <v>7.5</v>
      </c>
      <c r="E1918" s="6">
        <f>_xlfn.MAXIFS(Levels!E:E,Levels!B:B,A1918)</f>
        <v>29.25</v>
      </c>
      <c r="F1918" s="6">
        <f>_xlfn.MAXIFS(Levels!F:F,Levels!B:B,A1918)</f>
        <v>7.5</v>
      </c>
    </row>
    <row r="1919" spans="1:6" x14ac:dyDescent="0.3">
      <c r="A1919" t="s">
        <v>8697</v>
      </c>
      <c r="B1919" s="9">
        <f>COUNTIF(Levels!B:B,A1919)</f>
        <v>3</v>
      </c>
      <c r="C1919" s="9">
        <f>IFERROR(AVERAGEIF(Levels!B:B,A1919,Levels!E:E),0)</f>
        <v>25.556666666666668</v>
      </c>
      <c r="D1919" s="9">
        <f>IFERROR(AVERAGEIF(Levels!B:B,A1919,Levels!F:F),0)</f>
        <v>7.9433333333333325</v>
      </c>
      <c r="E1919" s="9">
        <f>_xlfn.MAXIFS(Levels!E:E,Levels!B:B,A1919)</f>
        <v>28</v>
      </c>
      <c r="F1919" s="9">
        <f>_xlfn.MAXIFS(Levels!F:F,Levels!B:B,A1919)</f>
        <v>8.5</v>
      </c>
    </row>
    <row r="1920" spans="1:6" x14ac:dyDescent="0.3">
      <c r="A1920" t="s">
        <v>8701</v>
      </c>
      <c r="B1920" s="6">
        <f>COUNTIF(Levels!B:B,A1920)</f>
        <v>5</v>
      </c>
      <c r="C1920" s="6">
        <f>IFERROR(AVERAGEIF(Levels!B:B,A1920,Levels!E:E),0)</f>
        <v>3.8650000000000002</v>
      </c>
      <c r="D1920" s="6">
        <f>IFERROR(AVERAGEIF(Levels!B:B,A1920,Levels!F:F),0)</f>
        <v>8.0659999999999989</v>
      </c>
      <c r="E1920" s="6">
        <f>_xlfn.MAXIFS(Levels!E:E,Levels!B:B,A1920)</f>
        <v>6.59</v>
      </c>
      <c r="F1920" s="6">
        <f>_xlfn.MAXIFS(Levels!F:F,Levels!B:B,A1920)</f>
        <v>8.73</v>
      </c>
    </row>
    <row r="1921" spans="1:6" x14ac:dyDescent="0.3">
      <c r="A1921" t="s">
        <v>8705</v>
      </c>
      <c r="B1921" s="9">
        <f>COUNTIF(Levels!B:B,A1921)</f>
        <v>1</v>
      </c>
      <c r="C1921" s="9">
        <f>IFERROR(AVERAGEIF(Levels!B:B,A1921,Levels!E:E),0)</f>
        <v>2.58</v>
      </c>
      <c r="D1921" s="9">
        <f>IFERROR(AVERAGEIF(Levels!B:B,A1921,Levels!F:F),0)</f>
        <v>6.95</v>
      </c>
      <c r="E1921" s="9">
        <f>_xlfn.MAXIFS(Levels!E:E,Levels!B:B,A1921)</f>
        <v>2.58</v>
      </c>
      <c r="F1921" s="9">
        <f>_xlfn.MAXIFS(Levels!F:F,Levels!B:B,A1921)</f>
        <v>6.95</v>
      </c>
    </row>
    <row r="1922" spans="1:6" x14ac:dyDescent="0.3">
      <c r="A1922" t="s">
        <v>8710</v>
      </c>
      <c r="B1922" s="6">
        <f>COUNTIF(Levels!B:B,A1922)</f>
        <v>1</v>
      </c>
      <c r="C1922" s="6">
        <f>IFERROR(AVERAGEIF(Levels!B:B,A1922,Levels!E:E),0)</f>
        <v>3.11</v>
      </c>
      <c r="D1922" s="6">
        <f>IFERROR(AVERAGEIF(Levels!B:B,A1922,Levels!F:F),0)</f>
        <v>5.67</v>
      </c>
      <c r="E1922" s="6">
        <f>_xlfn.MAXIFS(Levels!E:E,Levels!B:B,A1922)</f>
        <v>3.11</v>
      </c>
      <c r="F1922" s="6">
        <f>_xlfn.MAXIFS(Levels!F:F,Levels!B:B,A1922)</f>
        <v>5.67</v>
      </c>
    </row>
    <row r="1923" spans="1:6" x14ac:dyDescent="0.3">
      <c r="A1923" t="s">
        <v>8713</v>
      </c>
      <c r="B1923" s="9">
        <f>COUNTIF(Levels!B:B,A1923)</f>
        <v>1</v>
      </c>
      <c r="C1923" s="9">
        <f>IFERROR(AVERAGEIF(Levels!B:B,A1923,Levels!E:E),0)</f>
        <v>9.85</v>
      </c>
      <c r="D1923" s="9">
        <f>IFERROR(AVERAGEIF(Levels!B:B,A1923,Levels!F:F),0)</f>
        <v>7.58</v>
      </c>
      <c r="E1923" s="9">
        <f>_xlfn.MAXIFS(Levels!E:E,Levels!B:B,A1923)</f>
        <v>9.85</v>
      </c>
      <c r="F1923" s="9">
        <f>_xlfn.MAXIFS(Levels!F:F,Levels!B:B,A1923)</f>
        <v>7.58</v>
      </c>
    </row>
    <row r="1924" spans="1:6" x14ac:dyDescent="0.3">
      <c r="A1924" t="s">
        <v>8715</v>
      </c>
      <c r="B1924" s="6">
        <f>COUNTIF(Levels!B:B,A1924)</f>
        <v>1</v>
      </c>
      <c r="C1924" s="6">
        <f>IFERROR(AVERAGEIF(Levels!B:B,A1924,Levels!E:E),0)</f>
        <v>16.03</v>
      </c>
      <c r="D1924" s="6">
        <f>IFERROR(AVERAGEIF(Levels!B:B,A1924,Levels!F:F),0)</f>
        <v>5.35</v>
      </c>
      <c r="E1924" s="6">
        <f>_xlfn.MAXIFS(Levels!E:E,Levels!B:B,A1924)</f>
        <v>16.03</v>
      </c>
      <c r="F1924" s="6">
        <f>_xlfn.MAXIFS(Levels!F:F,Levels!B:B,A1924)</f>
        <v>5.35</v>
      </c>
    </row>
    <row r="1925" spans="1:6" x14ac:dyDescent="0.3">
      <c r="A1925" t="s">
        <v>8722</v>
      </c>
      <c r="B1925" s="9">
        <f>COUNTIF(Levels!B:B,A1925)</f>
        <v>4</v>
      </c>
      <c r="C1925" s="9">
        <f>IFERROR(AVERAGEIF(Levels!B:B,A1925,Levels!E:E),0)</f>
        <v>6.76</v>
      </c>
      <c r="D1925" s="9">
        <f>IFERROR(AVERAGEIF(Levels!B:B,A1925,Levels!F:F),0)</f>
        <v>6.7925000000000004</v>
      </c>
      <c r="E1925" s="9">
        <f>_xlfn.MAXIFS(Levels!E:E,Levels!B:B,A1925)</f>
        <v>9.83</v>
      </c>
      <c r="F1925" s="9">
        <f>_xlfn.MAXIFS(Levels!F:F,Levels!B:B,A1925)</f>
        <v>8.07</v>
      </c>
    </row>
    <row r="1926" spans="1:6" x14ac:dyDescent="0.3">
      <c r="A1926" t="s">
        <v>8725</v>
      </c>
      <c r="B1926" s="6">
        <f>COUNTIF(Levels!B:B,A1926)</f>
        <v>1</v>
      </c>
      <c r="C1926" s="6">
        <f>IFERROR(AVERAGEIF(Levels!B:B,A1926,Levels!E:E),0)</f>
        <v>3.94</v>
      </c>
      <c r="D1926" s="6">
        <f>IFERROR(AVERAGEIF(Levels!B:B,A1926,Levels!F:F),0)</f>
        <v>6.76</v>
      </c>
      <c r="E1926" s="6">
        <f>_xlfn.MAXIFS(Levels!E:E,Levels!B:B,A1926)</f>
        <v>3.94</v>
      </c>
      <c r="F1926" s="6">
        <f>_xlfn.MAXIFS(Levels!F:F,Levels!B:B,A1926)</f>
        <v>6.76</v>
      </c>
    </row>
    <row r="1927" spans="1:6" x14ac:dyDescent="0.3">
      <c r="A1927" t="s">
        <v>8729</v>
      </c>
      <c r="B1927" s="9">
        <f>COUNTIF(Levels!B:B,A1927)</f>
        <v>1</v>
      </c>
      <c r="C1927" s="9">
        <f>IFERROR(AVERAGEIF(Levels!B:B,A1927,Levels!E:E),0)</f>
        <v>15.75</v>
      </c>
      <c r="D1927" s="9">
        <f>IFERROR(AVERAGEIF(Levels!B:B,A1927,Levels!F:F),0)</f>
        <v>4</v>
      </c>
      <c r="E1927" s="9">
        <f>_xlfn.MAXIFS(Levels!E:E,Levels!B:B,A1927)</f>
        <v>15.75</v>
      </c>
      <c r="F1927" s="9">
        <f>_xlfn.MAXIFS(Levels!F:F,Levels!B:B,A1927)</f>
        <v>4</v>
      </c>
    </row>
    <row r="1928" spans="1:6" x14ac:dyDescent="0.3">
      <c r="A1928" t="s">
        <v>8730</v>
      </c>
      <c r="B1928" s="6">
        <f>COUNTIF(Levels!B:B,A1928)</f>
        <v>3</v>
      </c>
      <c r="C1928" s="6">
        <f>IFERROR(AVERAGEIF(Levels!B:B,A1928,Levels!E:E),0)</f>
        <v>18.440000000000001</v>
      </c>
      <c r="D1928" s="6">
        <f>IFERROR(AVERAGEIF(Levels!B:B,A1928,Levels!F:F),0)</f>
        <v>8.1566666666666663</v>
      </c>
      <c r="E1928" s="6">
        <f>_xlfn.MAXIFS(Levels!E:E,Levels!B:B,A1928)</f>
        <v>25.57</v>
      </c>
      <c r="F1928" s="6">
        <f>_xlfn.MAXIFS(Levels!F:F,Levels!B:B,A1928)</f>
        <v>9.86</v>
      </c>
    </row>
    <row r="1929" spans="1:6" x14ac:dyDescent="0.3">
      <c r="A1929" t="s">
        <v>8743</v>
      </c>
      <c r="B1929" s="9">
        <f>COUNTIF(Levels!B:B,A1929)</f>
        <v>7</v>
      </c>
      <c r="C1929" s="9">
        <f>IFERROR(AVERAGEIF(Levels!B:B,A1929,Levels!E:E),0)</f>
        <v>17.690000000000001</v>
      </c>
      <c r="D1929" s="9">
        <f>IFERROR(AVERAGEIF(Levels!B:B,A1929,Levels!F:F),0)</f>
        <v>8.2128571428571426</v>
      </c>
      <c r="E1929" s="9">
        <f>_xlfn.MAXIFS(Levels!E:E,Levels!B:B,A1929)</f>
        <v>29</v>
      </c>
      <c r="F1929" s="9">
        <f>_xlfn.MAXIFS(Levels!F:F,Levels!B:B,A1929)</f>
        <v>10</v>
      </c>
    </row>
    <row r="1930" spans="1:6" x14ac:dyDescent="0.3">
      <c r="A1930" t="s">
        <v>8750</v>
      </c>
      <c r="B1930" s="6">
        <f>COUNTIF(Levels!B:B,A1930)</f>
        <v>1</v>
      </c>
      <c r="C1930" s="6">
        <f>IFERROR(AVERAGEIF(Levels!B:B,A1930,Levels!E:E),0)</f>
        <v>23</v>
      </c>
      <c r="D1930" s="6">
        <f>IFERROR(AVERAGEIF(Levels!B:B,A1930,Levels!F:F),0)</f>
        <v>0</v>
      </c>
      <c r="E1930" s="6">
        <f>_xlfn.MAXIFS(Levels!E:E,Levels!B:B,A1930)</f>
        <v>23</v>
      </c>
      <c r="F1930" s="6">
        <f>_xlfn.MAXIFS(Levels!F:F,Levels!B:B,A1930)</f>
        <v>0</v>
      </c>
    </row>
    <row r="1931" spans="1:6" x14ac:dyDescent="0.3">
      <c r="A1931" t="s">
        <v>8752</v>
      </c>
      <c r="B1931" s="9">
        <f>COUNTIF(Levels!B:B,A1931)</f>
        <v>1</v>
      </c>
      <c r="C1931" s="9">
        <f>IFERROR(AVERAGEIF(Levels!B:B,A1931,Levels!E:E),0)</f>
        <v>7</v>
      </c>
      <c r="D1931" s="9">
        <f>IFERROR(AVERAGEIF(Levels!B:B,A1931,Levels!F:F),0)</f>
        <v>4.83</v>
      </c>
      <c r="E1931" s="9">
        <f>_xlfn.MAXIFS(Levels!E:E,Levels!B:B,A1931)</f>
        <v>7</v>
      </c>
      <c r="F1931" s="9">
        <f>_xlfn.MAXIFS(Levels!F:F,Levels!B:B,A1931)</f>
        <v>4.83</v>
      </c>
    </row>
    <row r="1932" spans="1:6" x14ac:dyDescent="0.3">
      <c r="A1932" t="s">
        <v>8757</v>
      </c>
      <c r="B1932" s="6">
        <f>COUNTIF(Levels!B:B,A1932)</f>
        <v>1</v>
      </c>
      <c r="C1932" s="6">
        <f>IFERROR(AVERAGEIF(Levels!B:B,A1932,Levels!E:E),0)</f>
        <v>1.1000000000000001</v>
      </c>
      <c r="D1932" s="6">
        <f>IFERROR(AVERAGEIF(Levels!B:B,A1932,Levels!F:F),0)</f>
        <v>7.05</v>
      </c>
      <c r="E1932" s="6">
        <f>_xlfn.MAXIFS(Levels!E:E,Levels!B:B,A1932)</f>
        <v>1.1000000000000001</v>
      </c>
      <c r="F1932" s="6">
        <f>_xlfn.MAXIFS(Levels!F:F,Levels!B:B,A1932)</f>
        <v>7.05</v>
      </c>
    </row>
    <row r="1933" spans="1:6" x14ac:dyDescent="0.3">
      <c r="A1933" t="s">
        <v>8760</v>
      </c>
      <c r="B1933" s="9">
        <f>COUNTIF(Levels!B:B,A1933)</f>
        <v>1</v>
      </c>
      <c r="C1933" s="9">
        <f>IFERROR(AVERAGEIF(Levels!B:B,A1933,Levels!E:E),0)</f>
        <v>4.6500000000000004</v>
      </c>
      <c r="D1933" s="9">
        <f>IFERROR(AVERAGEIF(Levels!B:B,A1933,Levels!F:F),0)</f>
        <v>6</v>
      </c>
      <c r="E1933" s="9">
        <f>_xlfn.MAXIFS(Levels!E:E,Levels!B:B,A1933)</f>
        <v>4.6500000000000004</v>
      </c>
      <c r="F1933" s="9">
        <f>_xlfn.MAXIFS(Levels!F:F,Levels!B:B,A1933)</f>
        <v>6</v>
      </c>
    </row>
    <row r="1934" spans="1:6" x14ac:dyDescent="0.3">
      <c r="A1934" t="s">
        <v>8763</v>
      </c>
      <c r="B1934" s="6">
        <f>COUNTIF(Levels!B:B,A1934)</f>
        <v>1</v>
      </c>
      <c r="C1934" s="6">
        <f>IFERROR(AVERAGEIF(Levels!B:B,A1934,Levels!E:E),0)</f>
        <v>17.64</v>
      </c>
      <c r="D1934" s="6">
        <f>IFERROR(AVERAGEIF(Levels!B:B,A1934,Levels!F:F),0)</f>
        <v>6.89</v>
      </c>
      <c r="E1934" s="6">
        <f>_xlfn.MAXIFS(Levels!E:E,Levels!B:B,A1934)</f>
        <v>17.64</v>
      </c>
      <c r="F1934" s="6">
        <f>_xlfn.MAXIFS(Levels!F:F,Levels!B:B,A1934)</f>
        <v>6.89</v>
      </c>
    </row>
    <row r="1935" spans="1:6" x14ac:dyDescent="0.3">
      <c r="A1935" t="s">
        <v>8765</v>
      </c>
      <c r="B1935" s="9">
        <f>COUNTIF(Levels!B:B,A1935)</f>
        <v>2</v>
      </c>
      <c r="C1935" s="9">
        <f>IFERROR(AVERAGEIF(Levels!B:B,A1935,Levels!E:E),0)</f>
        <v>2.1399999999999997</v>
      </c>
      <c r="D1935" s="9">
        <f>IFERROR(AVERAGEIF(Levels!B:B,A1935,Levels!F:F),0)</f>
        <v>6.53</v>
      </c>
      <c r="E1935" s="9">
        <f>_xlfn.MAXIFS(Levels!E:E,Levels!B:B,A1935)</f>
        <v>2.17</v>
      </c>
      <c r="F1935" s="9">
        <f>_xlfn.MAXIFS(Levels!F:F,Levels!B:B,A1935)</f>
        <v>6.66</v>
      </c>
    </row>
    <row r="1936" spans="1:6" x14ac:dyDescent="0.3">
      <c r="A1936" t="s">
        <v>8771</v>
      </c>
      <c r="B1936" s="6">
        <f>COUNTIF(Levels!B:B,A1936)</f>
        <v>1</v>
      </c>
      <c r="C1936" s="6">
        <f>IFERROR(AVERAGEIF(Levels!B:B,A1936,Levels!E:E),0)</f>
        <v>13.89</v>
      </c>
      <c r="D1936" s="6">
        <f>IFERROR(AVERAGEIF(Levels!B:B,A1936,Levels!F:F),0)</f>
        <v>6.11</v>
      </c>
      <c r="E1936" s="6">
        <f>_xlfn.MAXIFS(Levels!E:E,Levels!B:B,A1936)</f>
        <v>13.89</v>
      </c>
      <c r="F1936" s="6">
        <f>_xlfn.MAXIFS(Levels!F:F,Levels!B:B,A1936)</f>
        <v>6.11</v>
      </c>
    </row>
    <row r="1937" spans="1:6" x14ac:dyDescent="0.3">
      <c r="A1937" t="s">
        <v>8774</v>
      </c>
      <c r="B1937" s="9">
        <f>COUNTIF(Levels!B:B,A1937)</f>
        <v>1</v>
      </c>
      <c r="C1937" s="9">
        <f>IFERROR(AVERAGEIF(Levels!B:B,A1937,Levels!E:E),0)</f>
        <v>27.43</v>
      </c>
      <c r="D1937" s="9">
        <f>IFERROR(AVERAGEIF(Levels!B:B,A1937,Levels!F:F),0)</f>
        <v>8</v>
      </c>
      <c r="E1937" s="9">
        <f>_xlfn.MAXIFS(Levels!E:E,Levels!B:B,A1937)</f>
        <v>27.43</v>
      </c>
      <c r="F1937" s="9">
        <f>_xlfn.MAXIFS(Levels!F:F,Levels!B:B,A1937)</f>
        <v>8</v>
      </c>
    </row>
    <row r="1938" spans="1:6" x14ac:dyDescent="0.3">
      <c r="A1938" t="s">
        <v>8782</v>
      </c>
      <c r="B1938" s="6">
        <f>COUNTIF(Levels!B:B,A1938)</f>
        <v>1</v>
      </c>
      <c r="C1938" s="6">
        <f>IFERROR(AVERAGEIF(Levels!B:B,A1938,Levels!E:E),0)</f>
        <v>5.5</v>
      </c>
      <c r="D1938" s="6">
        <f>IFERROR(AVERAGEIF(Levels!B:B,A1938,Levels!F:F),0)</f>
        <v>5.25</v>
      </c>
      <c r="E1938" s="6">
        <f>_xlfn.MAXIFS(Levels!E:E,Levels!B:B,A1938)</f>
        <v>5.5</v>
      </c>
      <c r="F1938" s="6">
        <f>_xlfn.MAXIFS(Levels!F:F,Levels!B:B,A1938)</f>
        <v>5.25</v>
      </c>
    </row>
    <row r="1939" spans="1:6" x14ac:dyDescent="0.3">
      <c r="A1939" t="s">
        <v>8787</v>
      </c>
      <c r="B1939" s="9">
        <f>COUNTIF(Levels!B:B,A1939)</f>
        <v>4</v>
      </c>
      <c r="C1939" s="9">
        <f>IFERROR(AVERAGEIF(Levels!B:B,A1939,Levels!E:E),0)</f>
        <v>25.75</v>
      </c>
      <c r="D1939" s="9">
        <f>IFERROR(AVERAGEIF(Levels!B:B,A1939,Levels!F:F),0)</f>
        <v>6.8849999999999998</v>
      </c>
      <c r="E1939" s="9">
        <f>_xlfn.MAXIFS(Levels!E:E,Levels!B:B,A1939)</f>
        <v>32</v>
      </c>
      <c r="F1939" s="9">
        <f>_xlfn.MAXIFS(Levels!F:F,Levels!B:B,A1939)</f>
        <v>9</v>
      </c>
    </row>
    <row r="1940" spans="1:6" x14ac:dyDescent="0.3">
      <c r="A1940" t="s">
        <v>8791</v>
      </c>
      <c r="B1940" s="6">
        <f>COUNTIF(Levels!B:B,A1940)</f>
        <v>1</v>
      </c>
      <c r="C1940" s="6">
        <f>IFERROR(AVERAGEIF(Levels!B:B,A1940,Levels!E:E),0)</f>
        <v>15.13</v>
      </c>
      <c r="D1940" s="6">
        <f>IFERROR(AVERAGEIF(Levels!B:B,A1940,Levels!F:F),0)</f>
        <v>7.57</v>
      </c>
      <c r="E1940" s="6">
        <f>_xlfn.MAXIFS(Levels!E:E,Levels!B:B,A1940)</f>
        <v>15.13</v>
      </c>
      <c r="F1940" s="6">
        <f>_xlfn.MAXIFS(Levels!F:F,Levels!B:B,A1940)</f>
        <v>7.57</v>
      </c>
    </row>
    <row r="1941" spans="1:6" x14ac:dyDescent="0.3">
      <c r="A1941" t="s">
        <v>8799</v>
      </c>
      <c r="B1941" s="9">
        <f>COUNTIF(Levels!B:B,A1941)</f>
        <v>1</v>
      </c>
      <c r="C1941" s="9">
        <f>IFERROR(AVERAGEIF(Levels!B:B,A1941,Levels!E:E),0)</f>
        <v>7.07</v>
      </c>
      <c r="D1941" s="9">
        <f>IFERROR(AVERAGEIF(Levels!B:B,A1941,Levels!F:F),0)</f>
        <v>6.96</v>
      </c>
      <c r="E1941" s="9">
        <f>_xlfn.MAXIFS(Levels!E:E,Levels!B:B,A1941)</f>
        <v>7.07</v>
      </c>
      <c r="F1941" s="9">
        <f>_xlfn.MAXIFS(Levels!F:F,Levels!B:B,A1941)</f>
        <v>6.96</v>
      </c>
    </row>
    <row r="1942" spans="1:6" x14ac:dyDescent="0.3">
      <c r="A1942" t="s">
        <v>8803</v>
      </c>
      <c r="B1942" s="6">
        <f>COUNTIF(Levels!B:B,A1942)</f>
        <v>1</v>
      </c>
      <c r="C1942" s="6">
        <f>IFERROR(AVERAGEIF(Levels!B:B,A1942,Levels!E:E),0)</f>
        <v>9</v>
      </c>
      <c r="D1942" s="6">
        <f>IFERROR(AVERAGEIF(Levels!B:B,A1942,Levels!F:F),0)</f>
        <v>5</v>
      </c>
      <c r="E1942" s="6">
        <f>_xlfn.MAXIFS(Levels!E:E,Levels!B:B,A1942)</f>
        <v>9</v>
      </c>
      <c r="F1942" s="6">
        <f>_xlfn.MAXIFS(Levels!F:F,Levels!B:B,A1942)</f>
        <v>5</v>
      </c>
    </row>
    <row r="1943" spans="1:6" x14ac:dyDescent="0.3">
      <c r="A1943" t="s">
        <v>8808</v>
      </c>
      <c r="B1943" s="9">
        <f>COUNTIF(Levels!B:B,A1943)</f>
        <v>10</v>
      </c>
      <c r="C1943" s="9">
        <f>IFERROR(AVERAGEIF(Levels!B:B,A1943,Levels!E:E),0)</f>
        <v>6.57</v>
      </c>
      <c r="D1943" s="9">
        <f>IFERROR(AVERAGEIF(Levels!B:B,A1943,Levels!F:F),0)</f>
        <v>7.2989999999999995</v>
      </c>
      <c r="E1943" s="9">
        <f>_xlfn.MAXIFS(Levels!E:E,Levels!B:B,A1943)</f>
        <v>17.11</v>
      </c>
      <c r="F1943" s="9">
        <f>_xlfn.MAXIFS(Levels!F:F,Levels!B:B,A1943)</f>
        <v>8.64</v>
      </c>
    </row>
    <row r="1944" spans="1:6" x14ac:dyDescent="0.3">
      <c r="A1944" t="s">
        <v>8810</v>
      </c>
      <c r="B1944" s="6">
        <f>COUNTIF(Levels!B:B,A1944)</f>
        <v>4</v>
      </c>
      <c r="C1944" s="6">
        <f>IFERROR(AVERAGEIF(Levels!B:B,A1944,Levels!E:E),0)</f>
        <v>4.6225000000000005</v>
      </c>
      <c r="D1944" s="6">
        <f>IFERROR(AVERAGEIF(Levels!B:B,A1944,Levels!F:F),0)</f>
        <v>8.4699999999999989</v>
      </c>
      <c r="E1944" s="6">
        <f>_xlfn.MAXIFS(Levels!E:E,Levels!B:B,A1944)</f>
        <v>8.59</v>
      </c>
      <c r="F1944" s="6">
        <f>_xlfn.MAXIFS(Levels!F:F,Levels!B:B,A1944)</f>
        <v>8.9499999999999993</v>
      </c>
    </row>
    <row r="1945" spans="1:6" x14ac:dyDescent="0.3">
      <c r="A1945" t="s">
        <v>8811</v>
      </c>
      <c r="B1945" s="9">
        <f>COUNTIF(Levels!B:B,A1945)</f>
        <v>1</v>
      </c>
      <c r="C1945" s="9">
        <f>IFERROR(AVERAGEIF(Levels!B:B,A1945,Levels!E:E),0)</f>
        <v>31</v>
      </c>
      <c r="D1945" s="9">
        <f>IFERROR(AVERAGEIF(Levels!B:B,A1945,Levels!F:F),0)</f>
        <v>5</v>
      </c>
      <c r="E1945" s="9">
        <f>_xlfn.MAXIFS(Levels!E:E,Levels!B:B,A1945)</f>
        <v>31</v>
      </c>
      <c r="F1945" s="9">
        <f>_xlfn.MAXIFS(Levels!F:F,Levels!B:B,A1945)</f>
        <v>5</v>
      </c>
    </row>
    <row r="1946" spans="1:6" x14ac:dyDescent="0.3">
      <c r="A1946" t="s">
        <v>8813</v>
      </c>
      <c r="B1946" s="6">
        <f>COUNTIF(Levels!B:B,A1946)</f>
        <v>1</v>
      </c>
      <c r="C1946" s="6">
        <f>IFERROR(AVERAGEIF(Levels!B:B,A1946,Levels!E:E),0)</f>
        <v>1.25</v>
      </c>
      <c r="D1946" s="6">
        <f>IFERROR(AVERAGEIF(Levels!B:B,A1946,Levels!F:F),0)</f>
        <v>6.56</v>
      </c>
      <c r="E1946" s="6">
        <f>_xlfn.MAXIFS(Levels!E:E,Levels!B:B,A1946)</f>
        <v>1.25</v>
      </c>
      <c r="F1946" s="6">
        <f>_xlfn.MAXIFS(Levels!F:F,Levels!B:B,A1946)</f>
        <v>6.56</v>
      </c>
    </row>
    <row r="1947" spans="1:6" x14ac:dyDescent="0.3">
      <c r="A1947" t="s">
        <v>8817</v>
      </c>
      <c r="B1947" s="9">
        <f>COUNTIF(Levels!B:B,A1947)</f>
        <v>3</v>
      </c>
      <c r="C1947" s="9">
        <f>IFERROR(AVERAGEIF(Levels!B:B,A1947,Levels!E:E),0)</f>
        <v>4.8166666666666664</v>
      </c>
      <c r="D1947" s="9">
        <f>IFERROR(AVERAGEIF(Levels!B:B,A1947,Levels!F:F),0)</f>
        <v>6.246666666666667</v>
      </c>
      <c r="E1947" s="9">
        <f>_xlfn.MAXIFS(Levels!E:E,Levels!B:B,A1947)</f>
        <v>6.43</v>
      </c>
      <c r="F1947" s="9">
        <f>_xlfn.MAXIFS(Levels!F:F,Levels!B:B,A1947)</f>
        <v>7.19</v>
      </c>
    </row>
    <row r="1948" spans="1:6" x14ac:dyDescent="0.3">
      <c r="A1948" t="s">
        <v>8825</v>
      </c>
      <c r="B1948" s="6">
        <f>COUNTIF(Levels!B:B,A1948)</f>
        <v>2</v>
      </c>
      <c r="C1948" s="6">
        <f>IFERROR(AVERAGEIF(Levels!B:B,A1948,Levels!E:E),0)</f>
        <v>21.204999999999998</v>
      </c>
      <c r="D1948" s="6">
        <f>IFERROR(AVERAGEIF(Levels!B:B,A1948,Levels!F:F),0)</f>
        <v>7.0299999999999994</v>
      </c>
      <c r="E1948" s="6">
        <f>_xlfn.MAXIFS(Levels!E:E,Levels!B:B,A1948)</f>
        <v>21.41</v>
      </c>
      <c r="F1948" s="6">
        <f>_xlfn.MAXIFS(Levels!F:F,Levels!B:B,A1948)</f>
        <v>7.71</v>
      </c>
    </row>
    <row r="1949" spans="1:6" x14ac:dyDescent="0.3">
      <c r="A1949" t="s">
        <v>3374</v>
      </c>
      <c r="B1949" s="9">
        <f>COUNTIF(Levels!B:B,A1949)</f>
        <v>1</v>
      </c>
      <c r="C1949" s="9">
        <f>IFERROR(AVERAGEIF(Levels!B:B,A1949,Levels!E:E),0)</f>
        <v>9.3000000000000007</v>
      </c>
      <c r="D1949" s="9">
        <f>IFERROR(AVERAGEIF(Levels!B:B,A1949,Levels!F:F),0)</f>
        <v>8.14</v>
      </c>
      <c r="E1949" s="9">
        <f>_xlfn.MAXIFS(Levels!E:E,Levels!B:B,A1949)</f>
        <v>9.3000000000000007</v>
      </c>
      <c r="F1949" s="9">
        <f>_xlfn.MAXIFS(Levels!F:F,Levels!B:B,A1949)</f>
        <v>8.14</v>
      </c>
    </row>
    <row r="1950" spans="1:6" x14ac:dyDescent="0.3">
      <c r="A1950" t="s">
        <v>8831</v>
      </c>
      <c r="B1950" s="6">
        <f>COUNTIF(Levels!B:B,A1950)</f>
        <v>3</v>
      </c>
      <c r="C1950" s="6">
        <f>IFERROR(AVERAGEIF(Levels!B:B,A1950,Levels!E:E),0)</f>
        <v>24.376666666666665</v>
      </c>
      <c r="D1950" s="6">
        <f>IFERROR(AVERAGEIF(Levels!B:B,A1950,Levels!F:F),0)</f>
        <v>5.9633333333333338</v>
      </c>
      <c r="E1950" s="6">
        <f>_xlfn.MAXIFS(Levels!E:E,Levels!B:B,A1950)</f>
        <v>27.94</v>
      </c>
      <c r="F1950" s="6">
        <f>_xlfn.MAXIFS(Levels!F:F,Levels!B:B,A1950)</f>
        <v>7</v>
      </c>
    </row>
    <row r="1951" spans="1:6" x14ac:dyDescent="0.3">
      <c r="A1951" t="s">
        <v>8834</v>
      </c>
      <c r="B1951" s="9">
        <f>COUNTIF(Levels!B:B,A1951)</f>
        <v>1</v>
      </c>
      <c r="C1951" s="9">
        <f>IFERROR(AVERAGEIF(Levels!B:B,A1951,Levels!E:E),0)</f>
        <v>16.11</v>
      </c>
      <c r="D1951" s="9">
        <f>IFERROR(AVERAGEIF(Levels!B:B,A1951,Levels!F:F),0)</f>
        <v>5.14</v>
      </c>
      <c r="E1951" s="9">
        <f>_xlfn.MAXIFS(Levels!E:E,Levels!B:B,A1951)</f>
        <v>16.11</v>
      </c>
      <c r="F1951" s="9">
        <f>_xlfn.MAXIFS(Levels!F:F,Levels!B:B,A1951)</f>
        <v>5.14</v>
      </c>
    </row>
    <row r="1952" spans="1:6" x14ac:dyDescent="0.3">
      <c r="A1952" t="s">
        <v>8838</v>
      </c>
      <c r="B1952" s="6">
        <f>COUNTIF(Levels!B:B,A1952)</f>
        <v>15</v>
      </c>
      <c r="C1952" s="6">
        <f>IFERROR(AVERAGEIF(Levels!B:B,A1952,Levels!E:E),0)</f>
        <v>8.1713333333333331</v>
      </c>
      <c r="D1952" s="6">
        <f>IFERROR(AVERAGEIF(Levels!B:B,A1952,Levels!F:F),0)</f>
        <v>7.1446666666666667</v>
      </c>
      <c r="E1952" s="6">
        <f>_xlfn.MAXIFS(Levels!E:E,Levels!B:B,A1952)</f>
        <v>21</v>
      </c>
      <c r="F1952" s="6">
        <f>_xlfn.MAXIFS(Levels!F:F,Levels!B:B,A1952)</f>
        <v>8.3800000000000008</v>
      </c>
    </row>
    <row r="1953" spans="1:6" x14ac:dyDescent="0.3">
      <c r="A1953" t="s">
        <v>8842</v>
      </c>
      <c r="B1953" s="9">
        <f>COUNTIF(Levels!B:B,A1953)</f>
        <v>1</v>
      </c>
      <c r="C1953" s="9">
        <f>IFERROR(AVERAGEIF(Levels!B:B,A1953,Levels!E:E),0)</f>
        <v>0</v>
      </c>
      <c r="D1953" s="9">
        <f>IFERROR(AVERAGEIF(Levels!B:B,A1953,Levels!F:F),0)</f>
        <v>0</v>
      </c>
      <c r="E1953" s="9">
        <f>_xlfn.MAXIFS(Levels!E:E,Levels!B:B,A1953)</f>
        <v>0</v>
      </c>
      <c r="F1953" s="9">
        <f>_xlfn.MAXIFS(Levels!F:F,Levels!B:B,A1953)</f>
        <v>0</v>
      </c>
    </row>
    <row r="1954" spans="1:6" x14ac:dyDescent="0.3">
      <c r="A1954" t="s">
        <v>8846</v>
      </c>
      <c r="B1954" s="6">
        <f>COUNTIF(Levels!B:B,A1954)</f>
        <v>3</v>
      </c>
      <c r="C1954" s="6">
        <f>IFERROR(AVERAGEIF(Levels!B:B,A1954,Levels!E:E),0)</f>
        <v>6.8833333333333337</v>
      </c>
      <c r="D1954" s="6">
        <f>IFERROR(AVERAGEIF(Levels!B:B,A1954,Levels!F:F),0)</f>
        <v>7.84</v>
      </c>
      <c r="E1954" s="6">
        <f>_xlfn.MAXIFS(Levels!E:E,Levels!B:B,A1954)</f>
        <v>9.86</v>
      </c>
      <c r="F1954" s="6">
        <f>_xlfn.MAXIFS(Levels!F:F,Levels!B:B,A1954)</f>
        <v>8.08</v>
      </c>
    </row>
    <row r="1955" spans="1:6" x14ac:dyDescent="0.3">
      <c r="A1955" t="s">
        <v>8848</v>
      </c>
      <c r="B1955" s="9">
        <f>COUNTIF(Levels!B:B,A1955)</f>
        <v>2</v>
      </c>
      <c r="C1955" s="9">
        <f>IFERROR(AVERAGEIF(Levels!B:B,A1955,Levels!E:E),0)</f>
        <v>5.68</v>
      </c>
      <c r="D1955" s="9">
        <f>IFERROR(AVERAGEIF(Levels!B:B,A1955,Levels!F:F),0)</f>
        <v>6.0649999999999995</v>
      </c>
      <c r="E1955" s="9">
        <f>_xlfn.MAXIFS(Levels!E:E,Levels!B:B,A1955)</f>
        <v>8.75</v>
      </c>
      <c r="F1955" s="9">
        <f>_xlfn.MAXIFS(Levels!F:F,Levels!B:B,A1955)</f>
        <v>6.25</v>
      </c>
    </row>
    <row r="1956" spans="1:6" x14ac:dyDescent="0.3">
      <c r="A1956" t="s">
        <v>8850</v>
      </c>
      <c r="B1956" s="6">
        <f>COUNTIF(Levels!B:B,A1956)</f>
        <v>1</v>
      </c>
      <c r="C1956" s="6">
        <f>IFERROR(AVERAGEIF(Levels!B:B,A1956,Levels!E:E),0)</f>
        <v>6.7</v>
      </c>
      <c r="D1956" s="6">
        <f>IFERROR(AVERAGEIF(Levels!B:B,A1956,Levels!F:F),0)</f>
        <v>7.61</v>
      </c>
      <c r="E1956" s="6">
        <f>_xlfn.MAXIFS(Levels!E:E,Levels!B:B,A1956)</f>
        <v>6.7</v>
      </c>
      <c r="F1956" s="6">
        <f>_xlfn.MAXIFS(Levels!F:F,Levels!B:B,A1956)</f>
        <v>7.61</v>
      </c>
    </row>
    <row r="1957" spans="1:6" x14ac:dyDescent="0.3">
      <c r="A1957" t="s">
        <v>4546</v>
      </c>
      <c r="B1957" s="9">
        <f>COUNTIF(Levels!B:B,A1957)</f>
        <v>3</v>
      </c>
      <c r="C1957" s="9">
        <f>IFERROR(AVERAGEIF(Levels!B:B,A1957,Levels!E:E),0)</f>
        <v>13.94</v>
      </c>
      <c r="D1957" s="9">
        <f>IFERROR(AVERAGEIF(Levels!B:B,A1957,Levels!F:F),0)</f>
        <v>6.5533333333333337</v>
      </c>
      <c r="E1957" s="9">
        <f>_xlfn.MAXIFS(Levels!E:E,Levels!B:B,A1957)</f>
        <v>34</v>
      </c>
      <c r="F1957" s="9">
        <f>_xlfn.MAXIFS(Levels!F:F,Levels!B:B,A1957)</f>
        <v>7.34</v>
      </c>
    </row>
    <row r="1958" spans="1:6" x14ac:dyDescent="0.3">
      <c r="A1958" t="s">
        <v>8854</v>
      </c>
      <c r="B1958" s="6">
        <f>COUNTIF(Levels!B:B,A1958)</f>
        <v>2</v>
      </c>
      <c r="C1958" s="6">
        <f>IFERROR(AVERAGEIF(Levels!B:B,A1958,Levels!E:E),0)</f>
        <v>4.5999999999999996</v>
      </c>
      <c r="D1958" s="6">
        <f>IFERROR(AVERAGEIF(Levels!B:B,A1958,Levels!F:F),0)</f>
        <v>6.3</v>
      </c>
      <c r="E1958" s="6">
        <f>_xlfn.MAXIFS(Levels!E:E,Levels!B:B,A1958)</f>
        <v>5.34</v>
      </c>
      <c r="F1958" s="6">
        <f>_xlfn.MAXIFS(Levels!F:F,Levels!B:B,A1958)</f>
        <v>6.5</v>
      </c>
    </row>
    <row r="1959" spans="1:6" x14ac:dyDescent="0.3">
      <c r="A1959" t="s">
        <v>8857</v>
      </c>
      <c r="B1959" s="9">
        <f>COUNTIF(Levels!B:B,A1959)</f>
        <v>1</v>
      </c>
      <c r="C1959" s="9">
        <f>IFERROR(AVERAGEIF(Levels!B:B,A1959,Levels!E:E),0)</f>
        <v>7.69</v>
      </c>
      <c r="D1959" s="9">
        <f>IFERROR(AVERAGEIF(Levels!B:B,A1959,Levels!F:F),0)</f>
        <v>7.72</v>
      </c>
      <c r="E1959" s="9">
        <f>_xlfn.MAXIFS(Levels!E:E,Levels!B:B,A1959)</f>
        <v>7.69</v>
      </c>
      <c r="F1959" s="9">
        <f>_xlfn.MAXIFS(Levels!F:F,Levels!B:B,A1959)</f>
        <v>7.72</v>
      </c>
    </row>
    <row r="1960" spans="1:6" x14ac:dyDescent="0.3">
      <c r="A1960" t="s">
        <v>8860</v>
      </c>
      <c r="B1960" s="6">
        <f>COUNTIF(Levels!B:B,A1960)</f>
        <v>1</v>
      </c>
      <c r="C1960" s="6">
        <f>IFERROR(AVERAGEIF(Levels!B:B,A1960,Levels!E:E),0)</f>
        <v>7.5</v>
      </c>
      <c r="D1960" s="6">
        <f>IFERROR(AVERAGEIF(Levels!B:B,A1960,Levels!F:F),0)</f>
        <v>4.75</v>
      </c>
      <c r="E1960" s="6">
        <f>_xlfn.MAXIFS(Levels!E:E,Levels!B:B,A1960)</f>
        <v>7.5</v>
      </c>
      <c r="F1960" s="6">
        <f>_xlfn.MAXIFS(Levels!F:F,Levels!B:B,A1960)</f>
        <v>4.75</v>
      </c>
    </row>
    <row r="1961" spans="1:6" x14ac:dyDescent="0.3">
      <c r="A1961" t="s">
        <v>8862</v>
      </c>
      <c r="B1961" s="9">
        <f>COUNTIF(Levels!B:B,A1961)</f>
        <v>1</v>
      </c>
      <c r="C1961" s="9">
        <f>IFERROR(AVERAGEIF(Levels!B:B,A1961,Levels!E:E),0)</f>
        <v>3.5</v>
      </c>
      <c r="D1961" s="9">
        <f>IFERROR(AVERAGEIF(Levels!B:B,A1961,Levels!F:F),0)</f>
        <v>6.71</v>
      </c>
      <c r="E1961" s="9">
        <f>_xlfn.MAXIFS(Levels!E:E,Levels!B:B,A1961)</f>
        <v>3.5</v>
      </c>
      <c r="F1961" s="9">
        <f>_xlfn.MAXIFS(Levels!F:F,Levels!B:B,A1961)</f>
        <v>6.71</v>
      </c>
    </row>
    <row r="1962" spans="1:6" x14ac:dyDescent="0.3">
      <c r="A1962" t="s">
        <v>8864</v>
      </c>
      <c r="B1962" s="6">
        <f>COUNTIF(Levels!B:B,A1962)</f>
        <v>4</v>
      </c>
      <c r="C1962" s="6">
        <f>IFERROR(AVERAGEIF(Levels!B:B,A1962,Levels!E:E),0)</f>
        <v>14.580000000000002</v>
      </c>
      <c r="D1962" s="6">
        <f>IFERROR(AVERAGEIF(Levels!B:B,A1962,Levels!F:F),0)</f>
        <v>7.21</v>
      </c>
      <c r="E1962" s="6">
        <f>_xlfn.MAXIFS(Levels!E:E,Levels!B:B,A1962)</f>
        <v>19.25</v>
      </c>
      <c r="F1962" s="6">
        <f>_xlfn.MAXIFS(Levels!F:F,Levels!B:B,A1962)</f>
        <v>9.0500000000000007</v>
      </c>
    </row>
    <row r="1963" spans="1:6" x14ac:dyDescent="0.3">
      <c r="A1963" t="s">
        <v>8866</v>
      </c>
      <c r="B1963" s="9">
        <f>COUNTIF(Levels!B:B,A1963)</f>
        <v>2</v>
      </c>
      <c r="C1963" s="9">
        <f>IFERROR(AVERAGEIF(Levels!B:B,A1963,Levels!E:E),0)</f>
        <v>9.3450000000000006</v>
      </c>
      <c r="D1963" s="9">
        <f>IFERROR(AVERAGEIF(Levels!B:B,A1963,Levels!F:F),0)</f>
        <v>6.63</v>
      </c>
      <c r="E1963" s="9">
        <f>_xlfn.MAXIFS(Levels!E:E,Levels!B:B,A1963)</f>
        <v>13</v>
      </c>
      <c r="F1963" s="9">
        <f>_xlfn.MAXIFS(Levels!F:F,Levels!B:B,A1963)</f>
        <v>7.59</v>
      </c>
    </row>
    <row r="1964" spans="1:6" x14ac:dyDescent="0.3">
      <c r="A1964" t="s">
        <v>8868</v>
      </c>
      <c r="B1964" s="6">
        <f>COUNTIF(Levels!B:B,A1964)</f>
        <v>1</v>
      </c>
      <c r="C1964" s="6">
        <f>IFERROR(AVERAGEIF(Levels!B:B,A1964,Levels!E:E),0)</f>
        <v>21.33</v>
      </c>
      <c r="D1964" s="6">
        <f>IFERROR(AVERAGEIF(Levels!B:B,A1964,Levels!F:F),0)</f>
        <v>9</v>
      </c>
      <c r="E1964" s="6">
        <f>_xlfn.MAXIFS(Levels!E:E,Levels!B:B,A1964)</f>
        <v>21.33</v>
      </c>
      <c r="F1964" s="6">
        <f>_xlfn.MAXIFS(Levels!F:F,Levels!B:B,A1964)</f>
        <v>9</v>
      </c>
    </row>
    <row r="1965" spans="1:6" x14ac:dyDescent="0.3">
      <c r="A1965" t="s">
        <v>8873</v>
      </c>
      <c r="B1965" s="9">
        <f>COUNTIF(Levels!B:B,A1965)</f>
        <v>1</v>
      </c>
      <c r="C1965" s="9">
        <f>IFERROR(AVERAGEIF(Levels!B:B,A1965,Levels!E:E),0)</f>
        <v>13.13</v>
      </c>
      <c r="D1965" s="9">
        <f>IFERROR(AVERAGEIF(Levels!B:B,A1965,Levels!F:F),0)</f>
        <v>6.17</v>
      </c>
      <c r="E1965" s="9">
        <f>_xlfn.MAXIFS(Levels!E:E,Levels!B:B,A1965)</f>
        <v>13.13</v>
      </c>
      <c r="F1965" s="9">
        <f>_xlfn.MAXIFS(Levels!F:F,Levels!B:B,A1965)</f>
        <v>6.17</v>
      </c>
    </row>
    <row r="1966" spans="1:6" x14ac:dyDescent="0.3">
      <c r="A1966" t="s">
        <v>8874</v>
      </c>
      <c r="B1966" s="6">
        <f>COUNTIF(Levels!B:B,A1966)</f>
        <v>2</v>
      </c>
      <c r="C1966" s="6">
        <f>IFERROR(AVERAGEIF(Levels!B:B,A1966,Levels!E:E),0)</f>
        <v>6.2850000000000001</v>
      </c>
      <c r="D1966" s="6">
        <f>IFERROR(AVERAGEIF(Levels!B:B,A1966,Levels!F:F),0)</f>
        <v>6.8049999999999997</v>
      </c>
      <c r="E1966" s="6">
        <f>_xlfn.MAXIFS(Levels!E:E,Levels!B:B,A1966)</f>
        <v>6.85</v>
      </c>
      <c r="F1966" s="6">
        <f>_xlfn.MAXIFS(Levels!F:F,Levels!B:B,A1966)</f>
        <v>7.31</v>
      </c>
    </row>
    <row r="1967" spans="1:6" x14ac:dyDescent="0.3">
      <c r="A1967" t="s">
        <v>8876</v>
      </c>
      <c r="B1967" s="9">
        <f>COUNTIF(Levels!B:B,A1967)</f>
        <v>4</v>
      </c>
      <c r="C1967" s="9">
        <f>IFERROR(AVERAGEIF(Levels!B:B,A1967,Levels!E:E),0)</f>
        <v>6.26</v>
      </c>
      <c r="D1967" s="9">
        <f>IFERROR(AVERAGEIF(Levels!B:B,A1967,Levels!F:F),0)</f>
        <v>6.8025000000000002</v>
      </c>
      <c r="E1967" s="9">
        <f>_xlfn.MAXIFS(Levels!E:E,Levels!B:B,A1967)</f>
        <v>7.85</v>
      </c>
      <c r="F1967" s="9">
        <f>_xlfn.MAXIFS(Levels!F:F,Levels!B:B,A1967)</f>
        <v>7.54</v>
      </c>
    </row>
    <row r="1968" spans="1:6" x14ac:dyDescent="0.3">
      <c r="A1968" t="s">
        <v>8878</v>
      </c>
      <c r="B1968" s="6">
        <f>COUNTIF(Levels!B:B,A1968)</f>
        <v>1</v>
      </c>
      <c r="C1968" s="6">
        <f>IFERROR(AVERAGEIF(Levels!B:B,A1968,Levels!E:E),0)</f>
        <v>8.75</v>
      </c>
      <c r="D1968" s="6">
        <f>IFERROR(AVERAGEIF(Levels!B:B,A1968,Levels!F:F),0)</f>
        <v>6.56</v>
      </c>
      <c r="E1968" s="6">
        <f>_xlfn.MAXIFS(Levels!E:E,Levels!B:B,A1968)</f>
        <v>8.75</v>
      </c>
      <c r="F1968" s="6">
        <f>_xlfn.MAXIFS(Levels!F:F,Levels!B:B,A1968)</f>
        <v>6.56</v>
      </c>
    </row>
    <row r="1969" spans="1:6" x14ac:dyDescent="0.3">
      <c r="A1969" t="s">
        <v>8881</v>
      </c>
      <c r="B1969" s="9">
        <f>COUNTIF(Levels!B:B,A1969)</f>
        <v>1</v>
      </c>
      <c r="C1969" s="9">
        <f>IFERROR(AVERAGEIF(Levels!B:B,A1969,Levels!E:E),0)</f>
        <v>3.23</v>
      </c>
      <c r="D1969" s="9">
        <f>IFERROR(AVERAGEIF(Levels!B:B,A1969,Levels!F:F),0)</f>
        <v>5.55</v>
      </c>
      <c r="E1969" s="9">
        <f>_xlfn.MAXIFS(Levels!E:E,Levels!B:B,A1969)</f>
        <v>3.23</v>
      </c>
      <c r="F1969" s="9">
        <f>_xlfn.MAXIFS(Levels!F:F,Levels!B:B,A1969)</f>
        <v>5.55</v>
      </c>
    </row>
    <row r="1970" spans="1:6" x14ac:dyDescent="0.3">
      <c r="A1970" t="s">
        <v>8883</v>
      </c>
      <c r="B1970" s="6">
        <f>COUNTIF(Levels!B:B,A1970)</f>
        <v>5</v>
      </c>
      <c r="C1970" s="6">
        <f>IFERROR(AVERAGEIF(Levels!B:B,A1970,Levels!E:E),0)</f>
        <v>6.5620000000000003</v>
      </c>
      <c r="D1970" s="6">
        <f>IFERROR(AVERAGEIF(Levels!B:B,A1970,Levels!F:F),0)</f>
        <v>6.4760000000000009</v>
      </c>
      <c r="E1970" s="6">
        <f>_xlfn.MAXIFS(Levels!E:E,Levels!B:B,A1970)</f>
        <v>15.3</v>
      </c>
      <c r="F1970" s="6">
        <f>_xlfn.MAXIFS(Levels!F:F,Levels!B:B,A1970)</f>
        <v>7.56</v>
      </c>
    </row>
    <row r="1971" spans="1:6" x14ac:dyDescent="0.3">
      <c r="A1971" t="s">
        <v>8890</v>
      </c>
      <c r="B1971" s="9">
        <f>COUNTIF(Levels!B:B,A1971)</f>
        <v>1</v>
      </c>
      <c r="C1971" s="9">
        <f>IFERROR(AVERAGEIF(Levels!B:B,A1971,Levels!E:E),0)</f>
        <v>1.92</v>
      </c>
      <c r="D1971" s="9">
        <f>IFERROR(AVERAGEIF(Levels!B:B,A1971,Levels!F:F),0)</f>
        <v>6.89</v>
      </c>
      <c r="E1971" s="9">
        <f>_xlfn.MAXIFS(Levels!E:E,Levels!B:B,A1971)</f>
        <v>1.92</v>
      </c>
      <c r="F1971" s="9">
        <f>_xlfn.MAXIFS(Levels!F:F,Levels!B:B,A1971)</f>
        <v>6.89</v>
      </c>
    </row>
    <row r="1972" spans="1:6" x14ac:dyDescent="0.3">
      <c r="A1972" t="s">
        <v>8901</v>
      </c>
      <c r="B1972" s="6">
        <f>COUNTIF(Levels!B:B,A1972)</f>
        <v>1</v>
      </c>
      <c r="C1972" s="6">
        <f>IFERROR(AVERAGEIF(Levels!B:B,A1972,Levels!E:E),0)</f>
        <v>2.96</v>
      </c>
      <c r="D1972" s="6">
        <f>IFERROR(AVERAGEIF(Levels!B:B,A1972,Levels!F:F),0)</f>
        <v>6.1</v>
      </c>
      <c r="E1972" s="6">
        <f>_xlfn.MAXIFS(Levels!E:E,Levels!B:B,A1972)</f>
        <v>2.96</v>
      </c>
      <c r="F1972" s="6">
        <f>_xlfn.MAXIFS(Levels!F:F,Levels!B:B,A1972)</f>
        <v>6.1</v>
      </c>
    </row>
    <row r="1973" spans="1:6" x14ac:dyDescent="0.3">
      <c r="A1973" t="s">
        <v>8903</v>
      </c>
      <c r="B1973" s="9">
        <f>COUNTIF(Levels!B:B,A1973)</f>
        <v>2</v>
      </c>
      <c r="C1973" s="9">
        <f>IFERROR(AVERAGEIF(Levels!B:B,A1973,Levels!E:E),0)</f>
        <v>4.1500000000000004</v>
      </c>
      <c r="D1973" s="9">
        <f>IFERROR(AVERAGEIF(Levels!B:B,A1973,Levels!F:F),0)</f>
        <v>5.335</v>
      </c>
      <c r="E1973" s="9">
        <f>_xlfn.MAXIFS(Levels!E:E,Levels!B:B,A1973)</f>
        <v>6.33</v>
      </c>
      <c r="F1973" s="9">
        <f>_xlfn.MAXIFS(Levels!F:F,Levels!B:B,A1973)</f>
        <v>6.84</v>
      </c>
    </row>
    <row r="1974" spans="1:6" x14ac:dyDescent="0.3">
      <c r="A1974" t="s">
        <v>8906</v>
      </c>
      <c r="B1974" s="6">
        <f>COUNTIF(Levels!B:B,A1974)</f>
        <v>7</v>
      </c>
      <c r="C1974" s="6">
        <f>IFERROR(AVERAGEIF(Levels!B:B,A1974,Levels!E:E),0)</f>
        <v>20.69142857142857</v>
      </c>
      <c r="D1974" s="6">
        <f>IFERROR(AVERAGEIF(Levels!B:B,A1974,Levels!F:F),0)</f>
        <v>6.6671428571428573</v>
      </c>
      <c r="E1974" s="6">
        <f>_xlfn.MAXIFS(Levels!E:E,Levels!B:B,A1974)</f>
        <v>32</v>
      </c>
      <c r="F1974" s="6">
        <f>_xlfn.MAXIFS(Levels!F:F,Levels!B:B,A1974)</f>
        <v>10</v>
      </c>
    </row>
    <row r="1975" spans="1:6" x14ac:dyDescent="0.3">
      <c r="A1975" t="s">
        <v>8909</v>
      </c>
      <c r="B1975" s="9">
        <f>COUNTIF(Levels!B:B,A1975)</f>
        <v>2</v>
      </c>
      <c r="C1975" s="9">
        <f>IFERROR(AVERAGEIF(Levels!B:B,A1975,Levels!E:E),0)</f>
        <v>20.305</v>
      </c>
      <c r="D1975" s="9">
        <f>IFERROR(AVERAGEIF(Levels!B:B,A1975,Levels!F:F),0)</f>
        <v>7.8100000000000005</v>
      </c>
      <c r="E1975" s="9">
        <f>_xlfn.MAXIFS(Levels!E:E,Levels!B:B,A1975)</f>
        <v>21.11</v>
      </c>
      <c r="F1975" s="9">
        <f>_xlfn.MAXIFS(Levels!F:F,Levels!B:B,A1975)</f>
        <v>7.83</v>
      </c>
    </row>
    <row r="1976" spans="1:6" x14ac:dyDescent="0.3">
      <c r="A1976" t="s">
        <v>8912</v>
      </c>
      <c r="B1976" s="6">
        <f>COUNTIF(Levels!B:B,A1976)</f>
        <v>3</v>
      </c>
      <c r="C1976" s="6">
        <f>IFERROR(AVERAGEIF(Levels!B:B,A1976,Levels!E:E),0)</f>
        <v>2.7966666666666669</v>
      </c>
      <c r="D1976" s="6">
        <f>IFERROR(AVERAGEIF(Levels!B:B,A1976,Levels!F:F),0)</f>
        <v>5.18</v>
      </c>
      <c r="E1976" s="6">
        <f>_xlfn.MAXIFS(Levels!E:E,Levels!B:B,A1976)</f>
        <v>4.4800000000000004</v>
      </c>
      <c r="F1976" s="6">
        <f>_xlfn.MAXIFS(Levels!F:F,Levels!B:B,A1976)</f>
        <v>6.3</v>
      </c>
    </row>
    <row r="1977" spans="1:6" x14ac:dyDescent="0.3">
      <c r="A1977" t="s">
        <v>8915</v>
      </c>
      <c r="B1977" s="9">
        <f>COUNTIF(Levels!B:B,A1977)</f>
        <v>1</v>
      </c>
      <c r="C1977" s="9">
        <f>IFERROR(AVERAGEIF(Levels!B:B,A1977,Levels!E:E),0)</f>
        <v>3.16</v>
      </c>
      <c r="D1977" s="9">
        <f>IFERROR(AVERAGEIF(Levels!B:B,A1977,Levels!F:F),0)</f>
        <v>7</v>
      </c>
      <c r="E1977" s="9">
        <f>_xlfn.MAXIFS(Levels!E:E,Levels!B:B,A1977)</f>
        <v>3.16</v>
      </c>
      <c r="F1977" s="9">
        <f>_xlfn.MAXIFS(Levels!F:F,Levels!B:B,A1977)</f>
        <v>7</v>
      </c>
    </row>
    <row r="1978" spans="1:6" x14ac:dyDescent="0.3">
      <c r="A1978" t="s">
        <v>8919</v>
      </c>
      <c r="B1978" s="6">
        <f>COUNTIF(Levels!B:B,A1978)</f>
        <v>1</v>
      </c>
      <c r="C1978" s="6">
        <f>IFERROR(AVERAGEIF(Levels!B:B,A1978,Levels!E:E),0)</f>
        <v>3.26</v>
      </c>
      <c r="D1978" s="6">
        <f>IFERROR(AVERAGEIF(Levels!B:B,A1978,Levels!F:F),0)</f>
        <v>6.78</v>
      </c>
      <c r="E1978" s="6">
        <f>_xlfn.MAXIFS(Levels!E:E,Levels!B:B,A1978)</f>
        <v>3.26</v>
      </c>
      <c r="F1978" s="6">
        <f>_xlfn.MAXIFS(Levels!F:F,Levels!B:B,A1978)</f>
        <v>6.78</v>
      </c>
    </row>
    <row r="1979" spans="1:6" x14ac:dyDescent="0.3">
      <c r="A1979" t="s">
        <v>8926</v>
      </c>
      <c r="B1979" s="9">
        <f>COUNTIF(Levels!B:B,A1979)</f>
        <v>1</v>
      </c>
      <c r="C1979" s="9">
        <f>IFERROR(AVERAGEIF(Levels!B:B,A1979,Levels!E:E),0)</f>
        <v>1.72</v>
      </c>
      <c r="D1979" s="9">
        <f>IFERROR(AVERAGEIF(Levels!B:B,A1979,Levels!F:F),0)</f>
        <v>7.15</v>
      </c>
      <c r="E1979" s="9">
        <f>_xlfn.MAXIFS(Levels!E:E,Levels!B:B,A1979)</f>
        <v>1.72</v>
      </c>
      <c r="F1979" s="9">
        <f>_xlfn.MAXIFS(Levels!F:F,Levels!B:B,A1979)</f>
        <v>7.15</v>
      </c>
    </row>
    <row r="1980" spans="1:6" x14ac:dyDescent="0.3">
      <c r="A1980" t="s">
        <v>8933</v>
      </c>
      <c r="B1980" s="6">
        <f>COUNTIF(Levels!B:B,A1980)</f>
        <v>1</v>
      </c>
      <c r="C1980" s="6">
        <f>IFERROR(AVERAGEIF(Levels!B:B,A1980,Levels!E:E),0)</f>
        <v>2.94</v>
      </c>
      <c r="D1980" s="6">
        <f>IFERROR(AVERAGEIF(Levels!B:B,A1980,Levels!F:F),0)</f>
        <v>5.05</v>
      </c>
      <c r="E1980" s="6">
        <f>_xlfn.MAXIFS(Levels!E:E,Levels!B:B,A1980)</f>
        <v>2.94</v>
      </c>
      <c r="F1980" s="6">
        <f>_xlfn.MAXIFS(Levels!F:F,Levels!B:B,A1980)</f>
        <v>5.05</v>
      </c>
    </row>
    <row r="1981" spans="1:6" x14ac:dyDescent="0.3">
      <c r="A1981" t="s">
        <v>8940</v>
      </c>
      <c r="B1981" s="9">
        <f>COUNTIF(Levels!B:B,A1981)</f>
        <v>1</v>
      </c>
      <c r="C1981" s="9">
        <f>IFERROR(AVERAGEIF(Levels!B:B,A1981,Levels!E:E),0)</f>
        <v>17.8</v>
      </c>
      <c r="D1981" s="9">
        <f>IFERROR(AVERAGEIF(Levels!B:B,A1981,Levels!F:F),0)</f>
        <v>8</v>
      </c>
      <c r="E1981" s="9">
        <f>_xlfn.MAXIFS(Levels!E:E,Levels!B:B,A1981)</f>
        <v>17.8</v>
      </c>
      <c r="F1981" s="9">
        <f>_xlfn.MAXIFS(Levels!F:F,Levels!B:B,A1981)</f>
        <v>8</v>
      </c>
    </row>
    <row r="1982" spans="1:6" x14ac:dyDescent="0.3">
      <c r="A1982" t="s">
        <v>8944</v>
      </c>
      <c r="B1982" s="6">
        <f>COUNTIF(Levels!B:B,A1982)</f>
        <v>3</v>
      </c>
      <c r="C1982" s="6">
        <f>IFERROR(AVERAGEIF(Levels!B:B,A1982,Levels!E:E),0)</f>
        <v>21.033333333333331</v>
      </c>
      <c r="D1982" s="6">
        <f>IFERROR(AVERAGEIF(Levels!B:B,A1982,Levels!F:F),0)</f>
        <v>6.8466666666666667</v>
      </c>
      <c r="E1982" s="6">
        <f>_xlfn.MAXIFS(Levels!E:E,Levels!B:B,A1982)</f>
        <v>24</v>
      </c>
      <c r="F1982" s="6">
        <f>_xlfn.MAXIFS(Levels!F:F,Levels!B:B,A1982)</f>
        <v>8</v>
      </c>
    </row>
    <row r="1983" spans="1:6" x14ac:dyDescent="0.3">
      <c r="A1983" t="s">
        <v>8947</v>
      </c>
      <c r="B1983" s="9">
        <f>COUNTIF(Levels!B:B,A1983)</f>
        <v>2</v>
      </c>
      <c r="C1983" s="9">
        <f>IFERROR(AVERAGEIF(Levels!B:B,A1983,Levels!E:E),0)</f>
        <v>3.4400000000000004</v>
      </c>
      <c r="D1983" s="9">
        <f>IFERROR(AVERAGEIF(Levels!B:B,A1983,Levels!F:F),0)</f>
        <v>6.08</v>
      </c>
      <c r="E1983" s="9">
        <f>_xlfn.MAXIFS(Levels!E:E,Levels!B:B,A1983)</f>
        <v>3.66</v>
      </c>
      <c r="F1983" s="9">
        <f>_xlfn.MAXIFS(Levels!F:F,Levels!B:B,A1983)</f>
        <v>6.94</v>
      </c>
    </row>
    <row r="1984" spans="1:6" x14ac:dyDescent="0.3">
      <c r="A1984" t="s">
        <v>8950</v>
      </c>
      <c r="B1984" s="6">
        <f>COUNTIF(Levels!B:B,A1984)</f>
        <v>4</v>
      </c>
      <c r="C1984" s="6">
        <f>IFERROR(AVERAGEIF(Levels!B:B,A1984,Levels!E:E),0)</f>
        <v>2.0900000000000003</v>
      </c>
      <c r="D1984" s="6">
        <f>IFERROR(AVERAGEIF(Levels!B:B,A1984,Levels!F:F),0)</f>
        <v>6.4700000000000006</v>
      </c>
      <c r="E1984" s="6">
        <f>_xlfn.MAXIFS(Levels!E:E,Levels!B:B,A1984)</f>
        <v>2.82</v>
      </c>
      <c r="F1984" s="6">
        <f>_xlfn.MAXIFS(Levels!F:F,Levels!B:B,A1984)</f>
        <v>7.87</v>
      </c>
    </row>
    <row r="1985" spans="1:6" x14ac:dyDescent="0.3">
      <c r="A1985" t="s">
        <v>8952</v>
      </c>
      <c r="B1985" s="9">
        <f>COUNTIF(Levels!B:B,A1985)</f>
        <v>1</v>
      </c>
      <c r="C1985" s="9">
        <f>IFERROR(AVERAGEIF(Levels!B:B,A1985,Levels!E:E),0)</f>
        <v>14.5</v>
      </c>
      <c r="D1985" s="9">
        <f>IFERROR(AVERAGEIF(Levels!B:B,A1985,Levels!F:F),0)</f>
        <v>6.71</v>
      </c>
      <c r="E1985" s="9">
        <f>_xlfn.MAXIFS(Levels!E:E,Levels!B:B,A1985)</f>
        <v>14.5</v>
      </c>
      <c r="F1985" s="9">
        <f>_xlfn.MAXIFS(Levels!F:F,Levels!B:B,A1985)</f>
        <v>6.71</v>
      </c>
    </row>
    <row r="1986" spans="1:6" x14ac:dyDescent="0.3">
      <c r="A1986" t="s">
        <v>8955</v>
      </c>
      <c r="B1986" s="6">
        <f>COUNTIF(Levels!B:B,A1986)</f>
        <v>3</v>
      </c>
      <c r="C1986" s="6">
        <f>IFERROR(AVERAGEIF(Levels!B:B,A1986,Levels!E:E),0)</f>
        <v>7.1733333333333329</v>
      </c>
      <c r="D1986" s="6">
        <f>IFERROR(AVERAGEIF(Levels!B:B,A1986,Levels!F:F),0)</f>
        <v>7.7399999999999993</v>
      </c>
      <c r="E1986" s="6">
        <f>_xlfn.MAXIFS(Levels!E:E,Levels!B:B,A1986)</f>
        <v>11.91</v>
      </c>
      <c r="F1986" s="6">
        <f>_xlfn.MAXIFS(Levels!F:F,Levels!B:B,A1986)</f>
        <v>8.36</v>
      </c>
    </row>
    <row r="1987" spans="1:6" x14ac:dyDescent="0.3">
      <c r="A1987" t="s">
        <v>8958</v>
      </c>
      <c r="B1987" s="9">
        <f>COUNTIF(Levels!B:B,A1987)</f>
        <v>2</v>
      </c>
      <c r="C1987" s="9">
        <f>IFERROR(AVERAGEIF(Levels!B:B,A1987,Levels!E:E),0)</f>
        <v>6.47</v>
      </c>
      <c r="D1987" s="9">
        <f>IFERROR(AVERAGEIF(Levels!B:B,A1987,Levels!F:F),0)</f>
        <v>7.0649999999999995</v>
      </c>
      <c r="E1987" s="9">
        <f>_xlfn.MAXIFS(Levels!E:E,Levels!B:B,A1987)</f>
        <v>10.33</v>
      </c>
      <c r="F1987" s="9">
        <f>_xlfn.MAXIFS(Levels!F:F,Levels!B:B,A1987)</f>
        <v>7.31</v>
      </c>
    </row>
    <row r="1988" spans="1:6" x14ac:dyDescent="0.3">
      <c r="A1988" t="s">
        <v>8960</v>
      </c>
      <c r="B1988" s="6">
        <f>COUNTIF(Levels!B:B,A1988)</f>
        <v>4</v>
      </c>
      <c r="C1988" s="6">
        <f>IFERROR(AVERAGEIF(Levels!B:B,A1988,Levels!E:E),0)</f>
        <v>24.384999999999998</v>
      </c>
      <c r="D1988" s="6">
        <f>IFERROR(AVERAGEIF(Levels!B:B,A1988,Levels!F:F),0)</f>
        <v>7.4399999999999995</v>
      </c>
      <c r="E1988" s="6">
        <f>_xlfn.MAXIFS(Levels!E:E,Levels!B:B,A1988)</f>
        <v>24.63</v>
      </c>
      <c r="F1988" s="6">
        <f>_xlfn.MAXIFS(Levels!F:F,Levels!B:B,A1988)</f>
        <v>7.88</v>
      </c>
    </row>
    <row r="1989" spans="1:6" x14ac:dyDescent="0.3">
      <c r="A1989" t="s">
        <v>8962</v>
      </c>
      <c r="B1989" s="9">
        <f>COUNTIF(Levels!B:B,A1989)</f>
        <v>4</v>
      </c>
      <c r="C1989" s="9">
        <f>IFERROR(AVERAGEIF(Levels!B:B,A1989,Levels!E:E),0)</f>
        <v>10.125</v>
      </c>
      <c r="D1989" s="9">
        <f>IFERROR(AVERAGEIF(Levels!B:B,A1989,Levels!F:F),0)</f>
        <v>8.495000000000001</v>
      </c>
      <c r="E1989" s="9">
        <f>_xlfn.MAXIFS(Levels!E:E,Levels!B:B,A1989)</f>
        <v>16.100000000000001</v>
      </c>
      <c r="F1989" s="9">
        <f>_xlfn.MAXIFS(Levels!F:F,Levels!B:B,A1989)</f>
        <v>9.2200000000000006</v>
      </c>
    </row>
    <row r="1990" spans="1:6" x14ac:dyDescent="0.3">
      <c r="A1990" t="s">
        <v>8965</v>
      </c>
      <c r="B1990" s="6">
        <f>COUNTIF(Levels!B:B,A1990)</f>
        <v>1</v>
      </c>
      <c r="C1990" s="6">
        <f>IFERROR(AVERAGEIF(Levels!B:B,A1990,Levels!E:E),0)</f>
        <v>9.5</v>
      </c>
      <c r="D1990" s="6">
        <f>IFERROR(AVERAGEIF(Levels!B:B,A1990,Levels!F:F),0)</f>
        <v>8.08</v>
      </c>
      <c r="E1990" s="6">
        <f>_xlfn.MAXIFS(Levels!E:E,Levels!B:B,A1990)</f>
        <v>9.5</v>
      </c>
      <c r="F1990" s="6">
        <f>_xlfn.MAXIFS(Levels!F:F,Levels!B:B,A1990)</f>
        <v>8.08</v>
      </c>
    </row>
    <row r="1991" spans="1:6" x14ac:dyDescent="0.3">
      <c r="A1991" t="s">
        <v>8968</v>
      </c>
      <c r="B1991" s="9">
        <f>COUNTIF(Levels!B:B,A1991)</f>
        <v>1</v>
      </c>
      <c r="C1991" s="9">
        <f>IFERROR(AVERAGEIF(Levels!B:B,A1991,Levels!E:E),0)</f>
        <v>11</v>
      </c>
      <c r="D1991" s="9">
        <f>IFERROR(AVERAGEIF(Levels!B:B,A1991,Levels!F:F),0)</f>
        <v>5.25</v>
      </c>
      <c r="E1991" s="9">
        <f>_xlfn.MAXIFS(Levels!E:E,Levels!B:B,A1991)</f>
        <v>11</v>
      </c>
      <c r="F1991" s="9">
        <f>_xlfn.MAXIFS(Levels!F:F,Levels!B:B,A1991)</f>
        <v>5.25</v>
      </c>
    </row>
    <row r="1992" spans="1:6" x14ac:dyDescent="0.3">
      <c r="A1992" t="s">
        <v>8970</v>
      </c>
      <c r="B1992" s="6">
        <f>COUNTIF(Levels!B:B,A1992)</f>
        <v>2</v>
      </c>
      <c r="C1992" s="6">
        <f>IFERROR(AVERAGEIF(Levels!B:B,A1992,Levels!E:E),0)</f>
        <v>8.98</v>
      </c>
      <c r="D1992" s="6">
        <f>IFERROR(AVERAGEIF(Levels!B:B,A1992,Levels!F:F),0)</f>
        <v>6.9649999999999999</v>
      </c>
      <c r="E1992" s="6">
        <f>_xlfn.MAXIFS(Levels!E:E,Levels!B:B,A1992)</f>
        <v>15.6</v>
      </c>
      <c r="F1992" s="6">
        <f>_xlfn.MAXIFS(Levels!F:F,Levels!B:B,A1992)</f>
        <v>7.83</v>
      </c>
    </row>
    <row r="1993" spans="1:6" x14ac:dyDescent="0.3">
      <c r="A1993" t="s">
        <v>8977</v>
      </c>
      <c r="B1993" s="9">
        <f>COUNTIF(Levels!B:B,A1993)</f>
        <v>2</v>
      </c>
      <c r="C1993" s="9">
        <f>IFERROR(AVERAGEIF(Levels!B:B,A1993,Levels!E:E),0)</f>
        <v>13.870000000000001</v>
      </c>
      <c r="D1993" s="9">
        <f>IFERROR(AVERAGEIF(Levels!B:B,A1993,Levels!F:F),0)</f>
        <v>6.6899999999999995</v>
      </c>
      <c r="E1993" s="9">
        <f>_xlfn.MAXIFS(Levels!E:E,Levels!B:B,A1993)</f>
        <v>20.28</v>
      </c>
      <c r="F1993" s="9">
        <f>_xlfn.MAXIFS(Levels!F:F,Levels!B:B,A1993)</f>
        <v>7.38</v>
      </c>
    </row>
    <row r="1994" spans="1:6" x14ac:dyDescent="0.3">
      <c r="A1994" t="s">
        <v>8981</v>
      </c>
      <c r="B1994" s="6">
        <f>COUNTIF(Levels!B:B,A1994)</f>
        <v>2</v>
      </c>
      <c r="C1994" s="6">
        <f>IFERROR(AVERAGEIF(Levels!B:B,A1994,Levels!E:E),0)</f>
        <v>14.22</v>
      </c>
      <c r="D1994" s="6">
        <f>IFERROR(AVERAGEIF(Levels!B:B,A1994,Levels!F:F),0)</f>
        <v>8.0650000000000013</v>
      </c>
      <c r="E1994" s="6">
        <f>_xlfn.MAXIFS(Levels!E:E,Levels!B:B,A1994)</f>
        <v>18.71</v>
      </c>
      <c r="F1994" s="6">
        <f>_xlfn.MAXIFS(Levels!F:F,Levels!B:B,A1994)</f>
        <v>8.4700000000000006</v>
      </c>
    </row>
    <row r="1995" spans="1:6" x14ac:dyDescent="0.3">
      <c r="A1995" t="s">
        <v>8984</v>
      </c>
      <c r="B1995" s="9">
        <f>COUNTIF(Levels!B:B,A1995)</f>
        <v>7</v>
      </c>
      <c r="C1995" s="9">
        <f>IFERROR(AVERAGEIF(Levels!B:B,A1995,Levels!E:E),0)</f>
        <v>16.358333333333334</v>
      </c>
      <c r="D1995" s="9">
        <f>IFERROR(AVERAGEIF(Levels!B:B,A1995,Levels!F:F),0)</f>
        <v>7.0285714285714294</v>
      </c>
      <c r="E1995" s="9">
        <f>_xlfn.MAXIFS(Levels!E:E,Levels!B:B,A1995)</f>
        <v>21.75</v>
      </c>
      <c r="F1995" s="9">
        <f>_xlfn.MAXIFS(Levels!F:F,Levels!B:B,A1995)</f>
        <v>7.94</v>
      </c>
    </row>
    <row r="1996" spans="1:6" x14ac:dyDescent="0.3">
      <c r="A1996" t="s">
        <v>8986</v>
      </c>
      <c r="B1996" s="6">
        <f>COUNTIF(Levels!B:B,A1996)</f>
        <v>2</v>
      </c>
      <c r="C1996" s="6">
        <f>IFERROR(AVERAGEIF(Levels!B:B,A1996,Levels!E:E),0)</f>
        <v>9.74</v>
      </c>
      <c r="D1996" s="6">
        <f>IFERROR(AVERAGEIF(Levels!B:B,A1996,Levels!F:F),0)</f>
        <v>7.1550000000000002</v>
      </c>
      <c r="E1996" s="6">
        <f>_xlfn.MAXIFS(Levels!E:E,Levels!B:B,A1996)</f>
        <v>13.17</v>
      </c>
      <c r="F1996" s="6">
        <f>_xlfn.MAXIFS(Levels!F:F,Levels!B:B,A1996)</f>
        <v>7.45</v>
      </c>
    </row>
    <row r="1997" spans="1:6" x14ac:dyDescent="0.3">
      <c r="A1997" t="s">
        <v>8988</v>
      </c>
      <c r="B1997" s="9">
        <f>COUNTIF(Levels!B:B,A1997)</f>
        <v>6</v>
      </c>
      <c r="C1997" s="9">
        <f>IFERROR(AVERAGEIF(Levels!B:B,A1997,Levels!E:E),0)</f>
        <v>19.004999999999999</v>
      </c>
      <c r="D1997" s="9">
        <f>IFERROR(AVERAGEIF(Levels!B:B,A1997,Levels!F:F),0)</f>
        <v>6.59</v>
      </c>
      <c r="E1997" s="9">
        <f>_xlfn.MAXIFS(Levels!E:E,Levels!B:B,A1997)</f>
        <v>33</v>
      </c>
      <c r="F1997" s="9">
        <f>_xlfn.MAXIFS(Levels!F:F,Levels!B:B,A1997)</f>
        <v>8</v>
      </c>
    </row>
    <row r="1998" spans="1:6" x14ac:dyDescent="0.3">
      <c r="A1998" t="s">
        <v>8999</v>
      </c>
      <c r="B1998" s="6">
        <f>COUNTIF(Levels!B:B,A1998)</f>
        <v>1</v>
      </c>
      <c r="C1998" s="6">
        <f>IFERROR(AVERAGEIF(Levels!B:B,A1998,Levels!E:E),0)</f>
        <v>1.07</v>
      </c>
      <c r="D1998" s="6">
        <f>IFERROR(AVERAGEIF(Levels!B:B,A1998,Levels!F:F),0)</f>
        <v>7.12</v>
      </c>
      <c r="E1998" s="6">
        <f>_xlfn.MAXIFS(Levels!E:E,Levels!B:B,A1998)</f>
        <v>1.07</v>
      </c>
      <c r="F1998" s="6">
        <f>_xlfn.MAXIFS(Levels!F:F,Levels!B:B,A1998)</f>
        <v>7.12</v>
      </c>
    </row>
    <row r="1999" spans="1:6" x14ac:dyDescent="0.3">
      <c r="A1999" t="s">
        <v>9003</v>
      </c>
      <c r="B1999" s="9">
        <f>COUNTIF(Levels!B:B,A1999)</f>
        <v>1</v>
      </c>
      <c r="C1999" s="9">
        <f>IFERROR(AVERAGEIF(Levels!B:B,A1999,Levels!E:E),0)</f>
        <v>7.85</v>
      </c>
      <c r="D1999" s="9">
        <f>IFERROR(AVERAGEIF(Levels!B:B,A1999,Levels!F:F),0)</f>
        <v>6.89</v>
      </c>
      <c r="E1999" s="9">
        <f>_xlfn.MAXIFS(Levels!E:E,Levels!B:B,A1999)</f>
        <v>7.85</v>
      </c>
      <c r="F1999" s="9">
        <f>_xlfn.MAXIFS(Levels!F:F,Levels!B:B,A1999)</f>
        <v>6.89</v>
      </c>
    </row>
    <row r="2000" spans="1:6" x14ac:dyDescent="0.3">
      <c r="A2000" t="s">
        <v>9006</v>
      </c>
      <c r="B2000" s="6">
        <f>COUNTIF(Levels!B:B,A2000)</f>
        <v>2</v>
      </c>
      <c r="C2000" s="6">
        <f>IFERROR(AVERAGEIF(Levels!B:B,A2000,Levels!E:E),0)</f>
        <v>12.25</v>
      </c>
      <c r="D2000" s="6">
        <f>IFERROR(AVERAGEIF(Levels!B:B,A2000,Levels!F:F),0)</f>
        <v>7.23</v>
      </c>
      <c r="E2000" s="6">
        <f>_xlfn.MAXIFS(Levels!E:E,Levels!B:B,A2000)</f>
        <v>12.29</v>
      </c>
      <c r="F2000" s="6">
        <f>_xlfn.MAXIFS(Levels!F:F,Levels!B:B,A2000)</f>
        <v>7.69</v>
      </c>
    </row>
    <row r="2001" spans="1:6" x14ac:dyDescent="0.3">
      <c r="A2001" t="s">
        <v>9009</v>
      </c>
      <c r="B2001" s="9">
        <f>COUNTIF(Levels!B:B,A2001)</f>
        <v>1</v>
      </c>
      <c r="C2001" s="9">
        <f>IFERROR(AVERAGEIF(Levels!B:B,A2001,Levels!E:E),0)</f>
        <v>3.3</v>
      </c>
      <c r="D2001" s="9">
        <f>IFERROR(AVERAGEIF(Levels!B:B,A2001,Levels!F:F),0)</f>
        <v>7.72</v>
      </c>
      <c r="E2001" s="9">
        <f>_xlfn.MAXIFS(Levels!E:E,Levels!B:B,A2001)</f>
        <v>3.3</v>
      </c>
      <c r="F2001" s="9">
        <f>_xlfn.MAXIFS(Levels!F:F,Levels!B:B,A2001)</f>
        <v>7.72</v>
      </c>
    </row>
    <row r="2002" spans="1:6" x14ac:dyDescent="0.3">
      <c r="A2002" t="s">
        <v>9011</v>
      </c>
      <c r="B2002" s="6">
        <f>COUNTIF(Levels!B:B,A2002)</f>
        <v>1</v>
      </c>
      <c r="C2002" s="6">
        <f>IFERROR(AVERAGEIF(Levels!B:B,A2002,Levels!E:E),0)</f>
        <v>2.5099999999999998</v>
      </c>
      <c r="D2002" s="6">
        <f>IFERROR(AVERAGEIF(Levels!B:B,A2002,Levels!F:F),0)</f>
        <v>6.31</v>
      </c>
      <c r="E2002" s="6">
        <f>_xlfn.MAXIFS(Levels!E:E,Levels!B:B,A2002)</f>
        <v>2.5099999999999998</v>
      </c>
      <c r="F2002" s="6">
        <f>_xlfn.MAXIFS(Levels!F:F,Levels!B:B,A2002)</f>
        <v>6.31</v>
      </c>
    </row>
    <row r="2003" spans="1:6" x14ac:dyDescent="0.3">
      <c r="A2003" t="s">
        <v>9013</v>
      </c>
      <c r="B2003" s="9">
        <f>COUNTIF(Levels!B:B,A2003)</f>
        <v>3</v>
      </c>
      <c r="C2003" s="9">
        <f>IFERROR(AVERAGEIF(Levels!B:B,A2003,Levels!E:E),0)</f>
        <v>17.813333333333333</v>
      </c>
      <c r="D2003" s="9">
        <f>IFERROR(AVERAGEIF(Levels!B:B,A2003,Levels!F:F),0)</f>
        <v>5.57</v>
      </c>
      <c r="E2003" s="9">
        <f>_xlfn.MAXIFS(Levels!E:E,Levels!B:B,A2003)</f>
        <v>22</v>
      </c>
      <c r="F2003" s="9">
        <f>_xlfn.MAXIFS(Levels!F:F,Levels!B:B,A2003)</f>
        <v>6.13</v>
      </c>
    </row>
    <row r="2004" spans="1:6" x14ac:dyDescent="0.3">
      <c r="A2004" t="s">
        <v>9016</v>
      </c>
      <c r="B2004" s="6">
        <f>COUNTIF(Levels!B:B,A2004)</f>
        <v>1</v>
      </c>
      <c r="C2004" s="6">
        <f>IFERROR(AVERAGEIF(Levels!B:B,A2004,Levels!E:E),0)</f>
        <v>4.08</v>
      </c>
      <c r="D2004" s="6">
        <f>IFERROR(AVERAGEIF(Levels!B:B,A2004,Levels!F:F),0)</f>
        <v>6.67</v>
      </c>
      <c r="E2004" s="6">
        <f>_xlfn.MAXIFS(Levels!E:E,Levels!B:B,A2004)</f>
        <v>4.08</v>
      </c>
      <c r="F2004" s="6">
        <f>_xlfn.MAXIFS(Levels!F:F,Levels!B:B,A2004)</f>
        <v>6.67</v>
      </c>
    </row>
    <row r="2005" spans="1:6" x14ac:dyDescent="0.3">
      <c r="A2005" t="s">
        <v>9023</v>
      </c>
      <c r="B2005" s="9">
        <f>COUNTIF(Levels!B:B,A2005)</f>
        <v>1</v>
      </c>
      <c r="C2005" s="9">
        <f>IFERROR(AVERAGEIF(Levels!B:B,A2005,Levels!E:E),0)</f>
        <v>1.97</v>
      </c>
      <c r="D2005" s="9">
        <f>IFERROR(AVERAGEIF(Levels!B:B,A2005,Levels!F:F),0)</f>
        <v>7.07</v>
      </c>
      <c r="E2005" s="9">
        <f>_xlfn.MAXIFS(Levels!E:E,Levels!B:B,A2005)</f>
        <v>1.97</v>
      </c>
      <c r="F2005" s="9">
        <f>_xlfn.MAXIFS(Levels!F:F,Levels!B:B,A2005)</f>
        <v>7.07</v>
      </c>
    </row>
    <row r="2006" spans="1:6" x14ac:dyDescent="0.3">
      <c r="A2006" t="s">
        <v>9027</v>
      </c>
      <c r="B2006" s="6">
        <f>COUNTIF(Levels!B:B,A2006)</f>
        <v>2</v>
      </c>
      <c r="C2006" s="6">
        <f>IFERROR(AVERAGEIF(Levels!B:B,A2006,Levels!E:E),0)</f>
        <v>14.91</v>
      </c>
      <c r="D2006" s="6">
        <f>IFERROR(AVERAGEIF(Levels!B:B,A2006,Levels!F:F),0)</f>
        <v>7.24</v>
      </c>
      <c r="E2006" s="6">
        <f>_xlfn.MAXIFS(Levels!E:E,Levels!B:B,A2006)</f>
        <v>14.91</v>
      </c>
      <c r="F2006" s="6">
        <f>_xlfn.MAXIFS(Levels!F:F,Levels!B:B,A2006)</f>
        <v>7.24</v>
      </c>
    </row>
    <row r="2007" spans="1:6" x14ac:dyDescent="0.3">
      <c r="A2007" t="s">
        <v>9029</v>
      </c>
      <c r="B2007" s="9">
        <f>COUNTIF(Levels!B:B,A2007)</f>
        <v>1</v>
      </c>
      <c r="C2007" s="9">
        <f>IFERROR(AVERAGEIF(Levels!B:B,A2007,Levels!E:E),0)</f>
        <v>2.91</v>
      </c>
      <c r="D2007" s="9">
        <f>IFERROR(AVERAGEIF(Levels!B:B,A2007,Levels!F:F),0)</f>
        <v>7.8</v>
      </c>
      <c r="E2007" s="9">
        <f>_xlfn.MAXIFS(Levels!E:E,Levels!B:B,A2007)</f>
        <v>2.91</v>
      </c>
      <c r="F2007" s="9">
        <f>_xlfn.MAXIFS(Levels!F:F,Levels!B:B,A2007)</f>
        <v>7.8</v>
      </c>
    </row>
    <row r="2008" spans="1:6" x14ac:dyDescent="0.3">
      <c r="A2008" t="s">
        <v>9032</v>
      </c>
      <c r="B2008" s="6">
        <f>COUNTIF(Levels!B:B,A2008)</f>
        <v>2</v>
      </c>
      <c r="C2008" s="6">
        <f>IFERROR(AVERAGEIF(Levels!B:B,A2008,Levels!E:E),0)</f>
        <v>8.25</v>
      </c>
      <c r="D2008" s="6">
        <f>IFERROR(AVERAGEIF(Levels!B:B,A2008,Levels!F:F),0)</f>
        <v>8.2149999999999999</v>
      </c>
      <c r="E2008" s="6">
        <f>_xlfn.MAXIFS(Levels!E:E,Levels!B:B,A2008)</f>
        <v>10</v>
      </c>
      <c r="F2008" s="6">
        <f>_xlfn.MAXIFS(Levels!F:F,Levels!B:B,A2008)</f>
        <v>8.43</v>
      </c>
    </row>
    <row r="2009" spans="1:6" x14ac:dyDescent="0.3">
      <c r="A2009" t="s">
        <v>9037</v>
      </c>
      <c r="B2009" s="9">
        <f>COUNTIF(Levels!B:B,A2009)</f>
        <v>1</v>
      </c>
      <c r="C2009" s="9">
        <f>IFERROR(AVERAGEIF(Levels!B:B,A2009,Levels!E:E),0)</f>
        <v>8.2899999999999991</v>
      </c>
      <c r="D2009" s="9">
        <f>IFERROR(AVERAGEIF(Levels!B:B,A2009,Levels!F:F),0)</f>
        <v>6.75</v>
      </c>
      <c r="E2009" s="9">
        <f>_xlfn.MAXIFS(Levels!E:E,Levels!B:B,A2009)</f>
        <v>8.2899999999999991</v>
      </c>
      <c r="F2009" s="9">
        <f>_xlfn.MAXIFS(Levels!F:F,Levels!B:B,A2009)</f>
        <v>6.75</v>
      </c>
    </row>
    <row r="2010" spans="1:6" x14ac:dyDescent="0.3">
      <c r="A2010" t="s">
        <v>9041</v>
      </c>
      <c r="B2010" s="6">
        <f>COUNTIF(Levels!B:B,A2010)</f>
        <v>1</v>
      </c>
      <c r="C2010" s="6">
        <f>IFERROR(AVERAGEIF(Levels!B:B,A2010,Levels!E:E),0)</f>
        <v>4.34</v>
      </c>
      <c r="D2010" s="6">
        <f>IFERROR(AVERAGEIF(Levels!B:B,A2010,Levels!F:F),0)</f>
        <v>6.41</v>
      </c>
      <c r="E2010" s="6">
        <f>_xlfn.MAXIFS(Levels!E:E,Levels!B:B,A2010)</f>
        <v>4.34</v>
      </c>
      <c r="F2010" s="6">
        <f>_xlfn.MAXIFS(Levels!F:F,Levels!B:B,A2010)</f>
        <v>6.41</v>
      </c>
    </row>
    <row r="2011" spans="1:6" x14ac:dyDescent="0.3">
      <c r="A2011" t="s">
        <v>9048</v>
      </c>
      <c r="B2011" s="9">
        <f>COUNTIF(Levels!B:B,A2011)</f>
        <v>4</v>
      </c>
      <c r="C2011" s="9">
        <f>IFERROR(AVERAGEIF(Levels!B:B,A2011,Levels!E:E),0)</f>
        <v>12.483333333333334</v>
      </c>
      <c r="D2011" s="9">
        <f>IFERROR(AVERAGEIF(Levels!B:B,A2011,Levels!F:F),0)</f>
        <v>6.6766666666666667</v>
      </c>
      <c r="E2011" s="9">
        <f>_xlfn.MAXIFS(Levels!E:E,Levels!B:B,A2011)</f>
        <v>20.25</v>
      </c>
      <c r="F2011" s="9">
        <f>_xlfn.MAXIFS(Levels!F:F,Levels!B:B,A2011)</f>
        <v>6.76</v>
      </c>
    </row>
    <row r="2012" spans="1:6" x14ac:dyDescent="0.3">
      <c r="A2012" t="s">
        <v>9051</v>
      </c>
      <c r="B2012" s="6">
        <f>COUNTIF(Levels!B:B,A2012)</f>
        <v>1</v>
      </c>
      <c r="C2012" s="6">
        <f>IFERROR(AVERAGEIF(Levels!B:B,A2012,Levels!E:E),0)</f>
        <v>22.43</v>
      </c>
      <c r="D2012" s="6">
        <f>IFERROR(AVERAGEIF(Levels!B:B,A2012,Levels!F:F),0)</f>
        <v>4.83</v>
      </c>
      <c r="E2012" s="6">
        <f>_xlfn.MAXIFS(Levels!E:E,Levels!B:B,A2012)</f>
        <v>22.43</v>
      </c>
      <c r="F2012" s="6">
        <f>_xlfn.MAXIFS(Levels!F:F,Levels!B:B,A2012)</f>
        <v>4.83</v>
      </c>
    </row>
    <row r="2013" spans="1:6" x14ac:dyDescent="0.3">
      <c r="A2013" t="s">
        <v>9062</v>
      </c>
      <c r="B2013" s="9">
        <f>COUNTIF(Levels!B:B,A2013)</f>
        <v>2</v>
      </c>
      <c r="C2013" s="9">
        <f>IFERROR(AVERAGEIF(Levels!B:B,A2013,Levels!E:E),0)</f>
        <v>8.8249999999999993</v>
      </c>
      <c r="D2013" s="9">
        <f>IFERROR(AVERAGEIF(Levels!B:B,A2013,Levels!F:F),0)</f>
        <v>7.375</v>
      </c>
      <c r="E2013" s="9">
        <f>_xlfn.MAXIFS(Levels!E:E,Levels!B:B,A2013)</f>
        <v>15.25</v>
      </c>
      <c r="F2013" s="9">
        <f>_xlfn.MAXIFS(Levels!F:F,Levels!B:B,A2013)</f>
        <v>8.75</v>
      </c>
    </row>
    <row r="2014" spans="1:6" x14ac:dyDescent="0.3">
      <c r="A2014" t="s">
        <v>9064</v>
      </c>
      <c r="B2014" s="6">
        <f>COUNTIF(Levels!B:B,A2014)</f>
        <v>1</v>
      </c>
      <c r="C2014" s="6">
        <f>IFERROR(AVERAGEIF(Levels!B:B,A2014,Levels!E:E),0)</f>
        <v>2.61</v>
      </c>
      <c r="D2014" s="6">
        <f>IFERROR(AVERAGEIF(Levels!B:B,A2014,Levels!F:F),0)</f>
        <v>5.94</v>
      </c>
      <c r="E2014" s="6">
        <f>_xlfn.MAXIFS(Levels!E:E,Levels!B:B,A2014)</f>
        <v>2.61</v>
      </c>
      <c r="F2014" s="6">
        <f>_xlfn.MAXIFS(Levels!F:F,Levels!B:B,A2014)</f>
        <v>5.94</v>
      </c>
    </row>
    <row r="2015" spans="1:6" x14ac:dyDescent="0.3">
      <c r="A2015" t="s">
        <v>9069</v>
      </c>
      <c r="B2015" s="9">
        <f>COUNTIF(Levels!B:B,A2015)</f>
        <v>1</v>
      </c>
      <c r="C2015" s="9">
        <f>IFERROR(AVERAGEIF(Levels!B:B,A2015,Levels!E:E),0)</f>
        <v>9.8000000000000007</v>
      </c>
      <c r="D2015" s="9">
        <f>IFERROR(AVERAGEIF(Levels!B:B,A2015,Levels!F:F),0)</f>
        <v>7.7</v>
      </c>
      <c r="E2015" s="9">
        <f>_xlfn.MAXIFS(Levels!E:E,Levels!B:B,A2015)</f>
        <v>9.8000000000000007</v>
      </c>
      <c r="F2015" s="9">
        <f>_xlfn.MAXIFS(Levels!F:F,Levels!B:B,A2015)</f>
        <v>7.7</v>
      </c>
    </row>
    <row r="2016" spans="1:6" x14ac:dyDescent="0.3">
      <c r="A2016" t="s">
        <v>9071</v>
      </c>
      <c r="B2016" s="6">
        <f>COUNTIF(Levels!B:B,A2016)</f>
        <v>16</v>
      </c>
      <c r="C2016" s="6">
        <f>IFERROR(AVERAGEIF(Levels!B:B,A2016,Levels!E:E),0)</f>
        <v>19.609230769230766</v>
      </c>
      <c r="D2016" s="6">
        <f>IFERROR(AVERAGEIF(Levels!B:B,A2016,Levels!F:F),0)</f>
        <v>7.9293333333333331</v>
      </c>
      <c r="E2016" s="6">
        <f>_xlfn.MAXIFS(Levels!E:E,Levels!B:B,A2016)</f>
        <v>32</v>
      </c>
      <c r="F2016" s="6">
        <f>_xlfn.MAXIFS(Levels!F:F,Levels!B:B,A2016)</f>
        <v>10</v>
      </c>
    </row>
    <row r="2017" spans="1:6" x14ac:dyDescent="0.3">
      <c r="A2017" t="s">
        <v>9075</v>
      </c>
      <c r="B2017" s="9">
        <f>COUNTIF(Levels!B:B,A2017)</f>
        <v>1</v>
      </c>
      <c r="C2017" s="9">
        <f>IFERROR(AVERAGEIF(Levels!B:B,A2017,Levels!E:E),0)</f>
        <v>7.37</v>
      </c>
      <c r="D2017" s="9">
        <f>IFERROR(AVERAGEIF(Levels!B:B,A2017,Levels!F:F),0)</f>
        <v>6.8</v>
      </c>
      <c r="E2017" s="9">
        <f>_xlfn.MAXIFS(Levels!E:E,Levels!B:B,A2017)</f>
        <v>7.37</v>
      </c>
      <c r="F2017" s="9">
        <f>_xlfn.MAXIFS(Levels!F:F,Levels!B:B,A2017)</f>
        <v>6.8</v>
      </c>
    </row>
    <row r="2018" spans="1:6" x14ac:dyDescent="0.3">
      <c r="A2018" t="s">
        <v>9077</v>
      </c>
      <c r="B2018" s="6">
        <f>COUNTIF(Levels!B:B,A2018)</f>
        <v>1</v>
      </c>
      <c r="C2018" s="6">
        <f>IFERROR(AVERAGEIF(Levels!B:B,A2018,Levels!E:E),0)</f>
        <v>17.8</v>
      </c>
      <c r="D2018" s="6">
        <f>IFERROR(AVERAGEIF(Levels!B:B,A2018,Levels!F:F),0)</f>
        <v>6.4</v>
      </c>
      <c r="E2018" s="6">
        <f>_xlfn.MAXIFS(Levels!E:E,Levels!B:B,A2018)</f>
        <v>17.8</v>
      </c>
      <c r="F2018" s="6">
        <f>_xlfn.MAXIFS(Levels!F:F,Levels!B:B,A2018)</f>
        <v>6.4</v>
      </c>
    </row>
    <row r="2019" spans="1:6" x14ac:dyDescent="0.3">
      <c r="A2019" t="s">
        <v>9079</v>
      </c>
      <c r="B2019" s="9">
        <f>COUNTIF(Levels!B:B,A2019)</f>
        <v>1</v>
      </c>
      <c r="C2019" s="9">
        <f>IFERROR(AVERAGEIF(Levels!B:B,A2019,Levels!E:E),0)</f>
        <v>16.86</v>
      </c>
      <c r="D2019" s="9">
        <f>IFERROR(AVERAGEIF(Levels!B:B,A2019,Levels!F:F),0)</f>
        <v>7.17</v>
      </c>
      <c r="E2019" s="9">
        <f>_xlfn.MAXIFS(Levels!E:E,Levels!B:B,A2019)</f>
        <v>16.86</v>
      </c>
      <c r="F2019" s="9">
        <f>_xlfn.MAXIFS(Levels!F:F,Levels!B:B,A2019)</f>
        <v>7.17</v>
      </c>
    </row>
    <row r="2020" spans="1:6" x14ac:dyDescent="0.3">
      <c r="A2020" t="s">
        <v>9081</v>
      </c>
      <c r="B2020" s="6">
        <f>COUNTIF(Levels!B:B,A2020)</f>
        <v>2</v>
      </c>
      <c r="C2020" s="6">
        <f>IFERROR(AVERAGEIF(Levels!B:B,A2020,Levels!E:E),0)</f>
        <v>2.7949999999999999</v>
      </c>
      <c r="D2020" s="6">
        <f>IFERROR(AVERAGEIF(Levels!B:B,A2020,Levels!F:F),0)</f>
        <v>7.0650000000000004</v>
      </c>
      <c r="E2020" s="6">
        <f>_xlfn.MAXIFS(Levels!E:E,Levels!B:B,A2020)</f>
        <v>2.88</v>
      </c>
      <c r="F2020" s="6">
        <f>_xlfn.MAXIFS(Levels!F:F,Levels!B:B,A2020)</f>
        <v>7.94</v>
      </c>
    </row>
    <row r="2021" spans="1:6" x14ac:dyDescent="0.3">
      <c r="A2021" t="s">
        <v>9083</v>
      </c>
      <c r="B2021" s="9">
        <f>COUNTIF(Levels!B:B,A2021)</f>
        <v>1</v>
      </c>
      <c r="C2021" s="9">
        <f>IFERROR(AVERAGEIF(Levels!B:B,A2021,Levels!E:E),0)</f>
        <v>6.91</v>
      </c>
      <c r="D2021" s="9">
        <f>IFERROR(AVERAGEIF(Levels!B:B,A2021,Levels!F:F),0)</f>
        <v>7.95</v>
      </c>
      <c r="E2021" s="9">
        <f>_xlfn.MAXIFS(Levels!E:E,Levels!B:B,A2021)</f>
        <v>6.91</v>
      </c>
      <c r="F2021" s="9">
        <f>_xlfn.MAXIFS(Levels!F:F,Levels!B:B,A2021)</f>
        <v>7.95</v>
      </c>
    </row>
    <row r="2022" spans="1:6" x14ac:dyDescent="0.3">
      <c r="A2022" t="s">
        <v>9092</v>
      </c>
      <c r="B2022" s="6">
        <f>COUNTIF(Levels!B:B,A2022)</f>
        <v>1</v>
      </c>
      <c r="C2022" s="6">
        <f>IFERROR(AVERAGEIF(Levels!B:B,A2022,Levels!E:E),0)</f>
        <v>2.94</v>
      </c>
      <c r="D2022" s="6">
        <f>IFERROR(AVERAGEIF(Levels!B:B,A2022,Levels!F:F),0)</f>
        <v>7.22</v>
      </c>
      <c r="E2022" s="6">
        <f>_xlfn.MAXIFS(Levels!E:E,Levels!B:B,A2022)</f>
        <v>2.94</v>
      </c>
      <c r="F2022" s="6">
        <f>_xlfn.MAXIFS(Levels!F:F,Levels!B:B,A2022)</f>
        <v>7.22</v>
      </c>
    </row>
    <row r="2023" spans="1:6" x14ac:dyDescent="0.3">
      <c r="A2023" t="s">
        <v>9094</v>
      </c>
      <c r="B2023" s="9">
        <f>COUNTIF(Levels!B:B,A2023)</f>
        <v>2</v>
      </c>
      <c r="C2023" s="9">
        <f>IFERROR(AVERAGEIF(Levels!B:B,A2023,Levels!E:E),0)</f>
        <v>4.9749999999999996</v>
      </c>
      <c r="D2023" s="9">
        <f>IFERROR(AVERAGEIF(Levels!B:B,A2023,Levels!F:F),0)</f>
        <v>7.3</v>
      </c>
      <c r="E2023" s="9">
        <f>_xlfn.MAXIFS(Levels!E:E,Levels!B:B,A2023)</f>
        <v>4.99</v>
      </c>
      <c r="F2023" s="9">
        <f>_xlfn.MAXIFS(Levels!F:F,Levels!B:B,A2023)</f>
        <v>8</v>
      </c>
    </row>
    <row r="2024" spans="1:6" x14ac:dyDescent="0.3">
      <c r="A2024" t="s">
        <v>9098</v>
      </c>
      <c r="B2024" s="6">
        <f>COUNTIF(Levels!B:B,A2024)</f>
        <v>3</v>
      </c>
      <c r="C2024" s="6">
        <f>IFERROR(AVERAGEIF(Levels!B:B,A2024,Levels!E:E),0)</f>
        <v>11.693333333333333</v>
      </c>
      <c r="D2024" s="6">
        <f>IFERROR(AVERAGEIF(Levels!B:B,A2024,Levels!F:F),0)</f>
        <v>7.9766666666666666</v>
      </c>
      <c r="E2024" s="6">
        <f>_xlfn.MAXIFS(Levels!E:E,Levels!B:B,A2024)</f>
        <v>16.88</v>
      </c>
      <c r="F2024" s="6">
        <f>_xlfn.MAXIFS(Levels!F:F,Levels!B:B,A2024)</f>
        <v>9.8800000000000008</v>
      </c>
    </row>
    <row r="2025" spans="1:6" x14ac:dyDescent="0.3">
      <c r="A2025" t="s">
        <v>9102</v>
      </c>
      <c r="B2025" s="9">
        <f>COUNTIF(Levels!B:B,A2025)</f>
        <v>2</v>
      </c>
      <c r="C2025" s="9">
        <f>IFERROR(AVERAGEIF(Levels!B:B,A2025,Levels!E:E),0)</f>
        <v>8.2650000000000006</v>
      </c>
      <c r="D2025" s="9">
        <f>IFERROR(AVERAGEIF(Levels!B:B,A2025,Levels!F:F),0)</f>
        <v>5.79</v>
      </c>
      <c r="E2025" s="9">
        <f>_xlfn.MAXIFS(Levels!E:E,Levels!B:B,A2025)</f>
        <v>9.7100000000000009</v>
      </c>
      <c r="F2025" s="9">
        <f>_xlfn.MAXIFS(Levels!F:F,Levels!B:B,A2025)</f>
        <v>6.2</v>
      </c>
    </row>
    <row r="2026" spans="1:6" x14ac:dyDescent="0.3">
      <c r="A2026" t="s">
        <v>9105</v>
      </c>
      <c r="B2026" s="6">
        <f>COUNTIF(Levels!B:B,A2026)</f>
        <v>7</v>
      </c>
      <c r="C2026" s="6">
        <f>IFERROR(AVERAGEIF(Levels!B:B,A2026,Levels!E:E),0)</f>
        <v>20.377142857142854</v>
      </c>
      <c r="D2026" s="6">
        <f>IFERROR(AVERAGEIF(Levels!B:B,A2026,Levels!F:F),0)</f>
        <v>7.7628571428571425</v>
      </c>
      <c r="E2026" s="6">
        <f>_xlfn.MAXIFS(Levels!E:E,Levels!B:B,A2026)</f>
        <v>26.33</v>
      </c>
      <c r="F2026" s="6">
        <f>_xlfn.MAXIFS(Levels!F:F,Levels!B:B,A2026)</f>
        <v>8.6999999999999993</v>
      </c>
    </row>
    <row r="2027" spans="1:6" x14ac:dyDescent="0.3">
      <c r="A2027" t="s">
        <v>9107</v>
      </c>
      <c r="B2027" s="9">
        <f>COUNTIF(Levels!B:B,A2027)</f>
        <v>1</v>
      </c>
      <c r="C2027" s="9">
        <f>IFERROR(AVERAGEIF(Levels!B:B,A2027,Levels!E:E),0)</f>
        <v>9.36</v>
      </c>
      <c r="D2027" s="9">
        <f>IFERROR(AVERAGEIF(Levels!B:B,A2027,Levels!F:F),0)</f>
        <v>8.11</v>
      </c>
      <c r="E2027" s="9">
        <f>_xlfn.MAXIFS(Levels!E:E,Levels!B:B,A2027)</f>
        <v>9.36</v>
      </c>
      <c r="F2027" s="9">
        <f>_xlfn.MAXIFS(Levels!F:F,Levels!B:B,A2027)</f>
        <v>8.11</v>
      </c>
    </row>
    <row r="2028" spans="1:6" x14ac:dyDescent="0.3">
      <c r="A2028" t="s">
        <v>9111</v>
      </c>
      <c r="B2028" s="6">
        <f>COUNTIF(Levels!B:B,A2028)</f>
        <v>4</v>
      </c>
      <c r="C2028" s="6">
        <f>IFERROR(AVERAGEIF(Levels!B:B,A2028,Levels!E:E),0)</f>
        <v>4.5050000000000008</v>
      </c>
      <c r="D2028" s="6">
        <f>IFERROR(AVERAGEIF(Levels!B:B,A2028,Levels!F:F),0)</f>
        <v>6.9024999999999999</v>
      </c>
      <c r="E2028" s="6">
        <f>_xlfn.MAXIFS(Levels!E:E,Levels!B:B,A2028)</f>
        <v>5.98</v>
      </c>
      <c r="F2028" s="6">
        <f>_xlfn.MAXIFS(Levels!F:F,Levels!B:B,A2028)</f>
        <v>7.21</v>
      </c>
    </row>
    <row r="2029" spans="1:6" x14ac:dyDescent="0.3">
      <c r="A2029" t="s">
        <v>9114</v>
      </c>
      <c r="B2029" s="9">
        <f>COUNTIF(Levels!B:B,A2029)</f>
        <v>1</v>
      </c>
      <c r="C2029" s="9">
        <f>IFERROR(AVERAGEIF(Levels!B:B,A2029,Levels!E:E),0)</f>
        <v>3.21</v>
      </c>
      <c r="D2029" s="9">
        <f>IFERROR(AVERAGEIF(Levels!B:B,A2029,Levels!F:F),0)</f>
        <v>6.52</v>
      </c>
      <c r="E2029" s="9">
        <f>_xlfn.MAXIFS(Levels!E:E,Levels!B:B,A2029)</f>
        <v>3.21</v>
      </c>
      <c r="F2029" s="9">
        <f>_xlfn.MAXIFS(Levels!F:F,Levels!B:B,A2029)</f>
        <v>6.52</v>
      </c>
    </row>
    <row r="2030" spans="1:6" x14ac:dyDescent="0.3">
      <c r="A2030" t="s">
        <v>9122</v>
      </c>
      <c r="B2030" s="6">
        <f>COUNTIF(Levels!B:B,A2030)</f>
        <v>3</v>
      </c>
      <c r="C2030" s="6">
        <f>IFERROR(AVERAGEIF(Levels!B:B,A2030,Levels!E:E),0)</f>
        <v>9.5166666666666657</v>
      </c>
      <c r="D2030" s="6">
        <f>IFERROR(AVERAGEIF(Levels!B:B,A2030,Levels!F:F),0)</f>
        <v>7.8666666666666671</v>
      </c>
      <c r="E2030" s="6">
        <f>_xlfn.MAXIFS(Levels!E:E,Levels!B:B,A2030)</f>
        <v>15.38</v>
      </c>
      <c r="F2030" s="6">
        <f>_xlfn.MAXIFS(Levels!F:F,Levels!B:B,A2030)</f>
        <v>8.6199999999999992</v>
      </c>
    </row>
    <row r="2031" spans="1:6" x14ac:dyDescent="0.3">
      <c r="A2031" t="s">
        <v>9135</v>
      </c>
      <c r="B2031" s="9">
        <f>COUNTIF(Levels!B:B,A2031)</f>
        <v>2</v>
      </c>
      <c r="C2031" s="9">
        <f>IFERROR(AVERAGEIF(Levels!B:B,A2031,Levels!E:E),0)</f>
        <v>6.74</v>
      </c>
      <c r="D2031" s="9">
        <f>IFERROR(AVERAGEIF(Levels!B:B,A2031,Levels!F:F),0)</f>
        <v>7.0049999999999999</v>
      </c>
      <c r="E2031" s="9">
        <f>_xlfn.MAXIFS(Levels!E:E,Levels!B:B,A2031)</f>
        <v>6.98</v>
      </c>
      <c r="F2031" s="9">
        <f>_xlfn.MAXIFS(Levels!F:F,Levels!B:B,A2031)</f>
        <v>7.33</v>
      </c>
    </row>
    <row r="2032" spans="1:6" x14ac:dyDescent="0.3">
      <c r="A2032" t="s">
        <v>9144</v>
      </c>
      <c r="B2032" s="6">
        <f>COUNTIF(Levels!B:B,A2032)</f>
        <v>2</v>
      </c>
      <c r="C2032" s="6">
        <f>IFERROR(AVERAGEIF(Levels!B:B,A2032,Levels!E:E),0)</f>
        <v>2.0099999999999998</v>
      </c>
      <c r="D2032" s="6">
        <f>IFERROR(AVERAGEIF(Levels!B:B,A2032,Levels!F:F),0)</f>
        <v>7.375</v>
      </c>
      <c r="E2032" s="6">
        <f>_xlfn.MAXIFS(Levels!E:E,Levels!B:B,A2032)</f>
        <v>2.14</v>
      </c>
      <c r="F2032" s="6">
        <f>_xlfn.MAXIFS(Levels!F:F,Levels!B:B,A2032)</f>
        <v>7.92</v>
      </c>
    </row>
    <row r="2033" spans="1:6" x14ac:dyDescent="0.3">
      <c r="A2033" t="s">
        <v>9147</v>
      </c>
      <c r="B2033" s="9">
        <f>COUNTIF(Levels!B:B,A2033)</f>
        <v>1</v>
      </c>
      <c r="C2033" s="9">
        <f>IFERROR(AVERAGEIF(Levels!B:B,A2033,Levels!E:E),0)</f>
        <v>3.28</v>
      </c>
      <c r="D2033" s="9">
        <f>IFERROR(AVERAGEIF(Levels!B:B,A2033,Levels!F:F),0)</f>
        <v>5.67</v>
      </c>
      <c r="E2033" s="9">
        <f>_xlfn.MAXIFS(Levels!E:E,Levels!B:B,A2033)</f>
        <v>3.28</v>
      </c>
      <c r="F2033" s="9">
        <f>_xlfn.MAXIFS(Levels!F:F,Levels!B:B,A2033)</f>
        <v>5.67</v>
      </c>
    </row>
    <row r="2034" spans="1:6" x14ac:dyDescent="0.3">
      <c r="A2034" t="s">
        <v>9153</v>
      </c>
      <c r="B2034" s="6">
        <f>COUNTIF(Levels!B:B,A2034)</f>
        <v>1</v>
      </c>
      <c r="C2034" s="6">
        <f>IFERROR(AVERAGEIF(Levels!B:B,A2034,Levels!E:E),0)</f>
        <v>24</v>
      </c>
      <c r="D2034" s="6">
        <f>IFERROR(AVERAGEIF(Levels!B:B,A2034,Levels!F:F),0)</f>
        <v>7.07</v>
      </c>
      <c r="E2034" s="6">
        <f>_xlfn.MAXIFS(Levels!E:E,Levels!B:B,A2034)</f>
        <v>24</v>
      </c>
      <c r="F2034" s="6">
        <f>_xlfn.MAXIFS(Levels!F:F,Levels!B:B,A2034)</f>
        <v>7.07</v>
      </c>
    </row>
    <row r="2035" spans="1:6" x14ac:dyDescent="0.3">
      <c r="A2035" t="s">
        <v>9156</v>
      </c>
      <c r="B2035" s="9">
        <f>COUNTIF(Levels!B:B,A2035)</f>
        <v>1</v>
      </c>
      <c r="C2035" s="9">
        <f>IFERROR(AVERAGEIF(Levels!B:B,A2035,Levels!E:E),0)</f>
        <v>8.1199999999999992</v>
      </c>
      <c r="D2035" s="9">
        <f>IFERROR(AVERAGEIF(Levels!B:B,A2035,Levels!F:F),0)</f>
        <v>7.54</v>
      </c>
      <c r="E2035" s="9">
        <f>_xlfn.MAXIFS(Levels!E:E,Levels!B:B,A2035)</f>
        <v>8.1199999999999992</v>
      </c>
      <c r="F2035" s="9">
        <f>_xlfn.MAXIFS(Levels!F:F,Levels!B:B,A2035)</f>
        <v>7.54</v>
      </c>
    </row>
    <row r="2036" spans="1:6" x14ac:dyDescent="0.3">
      <c r="A2036" t="s">
        <v>9161</v>
      </c>
      <c r="B2036" s="6">
        <f>COUNTIF(Levels!B:B,A2036)</f>
        <v>3</v>
      </c>
      <c r="C2036" s="6">
        <f>IFERROR(AVERAGEIF(Levels!B:B,A2036,Levels!E:E),0)</f>
        <v>16.349999999999998</v>
      </c>
      <c r="D2036" s="6">
        <f>IFERROR(AVERAGEIF(Levels!B:B,A2036,Levels!F:F),0)</f>
        <v>7.2633333333333328</v>
      </c>
      <c r="E2036" s="6">
        <f>_xlfn.MAXIFS(Levels!E:E,Levels!B:B,A2036)</f>
        <v>16.95</v>
      </c>
      <c r="F2036" s="6">
        <f>_xlfn.MAXIFS(Levels!F:F,Levels!B:B,A2036)</f>
        <v>7.4</v>
      </c>
    </row>
    <row r="2037" spans="1:6" x14ac:dyDescent="0.3">
      <c r="A2037" t="s">
        <v>9166</v>
      </c>
      <c r="B2037" s="9">
        <f>COUNTIF(Levels!B:B,A2037)</f>
        <v>2</v>
      </c>
      <c r="C2037" s="9">
        <f>IFERROR(AVERAGEIF(Levels!B:B,A2037,Levels!E:E),0)</f>
        <v>4.1050000000000004</v>
      </c>
      <c r="D2037" s="9">
        <f>IFERROR(AVERAGEIF(Levels!B:B,A2037,Levels!F:F),0)</f>
        <v>5.58</v>
      </c>
      <c r="E2037" s="9">
        <f>_xlfn.MAXIFS(Levels!E:E,Levels!B:B,A2037)</f>
        <v>4.38</v>
      </c>
      <c r="F2037" s="9">
        <f>_xlfn.MAXIFS(Levels!F:F,Levels!B:B,A2037)</f>
        <v>5.6</v>
      </c>
    </row>
    <row r="2038" spans="1:6" x14ac:dyDescent="0.3">
      <c r="A2038" t="s">
        <v>9169</v>
      </c>
      <c r="B2038" s="6">
        <f>COUNTIF(Levels!B:B,A2038)</f>
        <v>1</v>
      </c>
      <c r="C2038" s="6">
        <f>IFERROR(AVERAGEIF(Levels!B:B,A2038,Levels!E:E),0)</f>
        <v>3.08</v>
      </c>
      <c r="D2038" s="6">
        <f>IFERROR(AVERAGEIF(Levels!B:B,A2038,Levels!F:F),0)</f>
        <v>6.69</v>
      </c>
      <c r="E2038" s="6">
        <f>_xlfn.MAXIFS(Levels!E:E,Levels!B:B,A2038)</f>
        <v>3.08</v>
      </c>
      <c r="F2038" s="6">
        <f>_xlfn.MAXIFS(Levels!F:F,Levels!B:B,A2038)</f>
        <v>6.69</v>
      </c>
    </row>
    <row r="2039" spans="1:6" x14ac:dyDescent="0.3">
      <c r="A2039" t="s">
        <v>9171</v>
      </c>
      <c r="B2039" s="9">
        <f>COUNTIF(Levels!B:B,A2039)</f>
        <v>1</v>
      </c>
      <c r="C2039" s="9">
        <f>IFERROR(AVERAGEIF(Levels!B:B,A2039,Levels!E:E),0)</f>
        <v>10.11</v>
      </c>
      <c r="D2039" s="9">
        <f>IFERROR(AVERAGEIF(Levels!B:B,A2039,Levels!F:F),0)</f>
        <v>5.63</v>
      </c>
      <c r="E2039" s="9">
        <f>_xlfn.MAXIFS(Levels!E:E,Levels!B:B,A2039)</f>
        <v>10.11</v>
      </c>
      <c r="F2039" s="9">
        <f>_xlfn.MAXIFS(Levels!F:F,Levels!B:B,A2039)</f>
        <v>5.63</v>
      </c>
    </row>
    <row r="2040" spans="1:6" x14ac:dyDescent="0.3">
      <c r="A2040" t="s">
        <v>9176</v>
      </c>
      <c r="B2040" s="6">
        <f>COUNTIF(Levels!B:B,A2040)</f>
        <v>1</v>
      </c>
      <c r="C2040" s="6">
        <f>IFERROR(AVERAGEIF(Levels!B:B,A2040,Levels!E:E),0)</f>
        <v>4.22</v>
      </c>
      <c r="D2040" s="6">
        <f>IFERROR(AVERAGEIF(Levels!B:B,A2040,Levels!F:F),0)</f>
        <v>6</v>
      </c>
      <c r="E2040" s="6">
        <f>_xlfn.MAXIFS(Levels!E:E,Levels!B:B,A2040)</f>
        <v>4.22</v>
      </c>
      <c r="F2040" s="6">
        <f>_xlfn.MAXIFS(Levels!F:F,Levels!B:B,A2040)</f>
        <v>6</v>
      </c>
    </row>
    <row r="2041" spans="1:6" x14ac:dyDescent="0.3">
      <c r="A2041" t="s">
        <v>9178</v>
      </c>
      <c r="B2041" s="9">
        <f>COUNTIF(Levels!B:B,A2041)</f>
        <v>8</v>
      </c>
      <c r="C2041" s="9">
        <f>IFERROR(AVERAGEIF(Levels!B:B,A2041,Levels!E:E),0)</f>
        <v>5.638749999999999</v>
      </c>
      <c r="D2041" s="9">
        <f>IFERROR(AVERAGEIF(Levels!B:B,A2041,Levels!F:F),0)</f>
        <v>8.1812500000000004</v>
      </c>
      <c r="E2041" s="9">
        <f>_xlfn.MAXIFS(Levels!E:E,Levels!B:B,A2041)</f>
        <v>17.71</v>
      </c>
      <c r="F2041" s="9">
        <f>_xlfn.MAXIFS(Levels!F:F,Levels!B:B,A2041)</f>
        <v>8.9</v>
      </c>
    </row>
    <row r="2042" spans="1:6" x14ac:dyDescent="0.3">
      <c r="A2042" t="s">
        <v>9181</v>
      </c>
      <c r="B2042" s="6">
        <f>COUNTIF(Levels!B:B,A2042)</f>
        <v>2</v>
      </c>
      <c r="C2042" s="6">
        <f>IFERROR(AVERAGEIF(Levels!B:B,A2042,Levels!E:E),0)</f>
        <v>5.125</v>
      </c>
      <c r="D2042" s="6">
        <f>IFERROR(AVERAGEIF(Levels!B:B,A2042,Levels!F:F),0)</f>
        <v>8.1999999999999993</v>
      </c>
      <c r="E2042" s="6">
        <f>_xlfn.MAXIFS(Levels!E:E,Levels!B:B,A2042)</f>
        <v>8.43</v>
      </c>
      <c r="F2042" s="6">
        <f>_xlfn.MAXIFS(Levels!F:F,Levels!B:B,A2042)</f>
        <v>8.4</v>
      </c>
    </row>
    <row r="2043" spans="1:6" x14ac:dyDescent="0.3">
      <c r="A2043" t="s">
        <v>9184</v>
      </c>
      <c r="B2043" s="9">
        <f>COUNTIF(Levels!B:B,A2043)</f>
        <v>1</v>
      </c>
      <c r="C2043" s="9">
        <f>IFERROR(AVERAGEIF(Levels!B:B,A2043,Levels!E:E),0)</f>
        <v>27.08</v>
      </c>
      <c r="D2043" s="9">
        <f>IFERROR(AVERAGEIF(Levels!B:B,A2043,Levels!F:F),0)</f>
        <v>9.08</v>
      </c>
      <c r="E2043" s="9">
        <f>_xlfn.MAXIFS(Levels!E:E,Levels!B:B,A2043)</f>
        <v>27.08</v>
      </c>
      <c r="F2043" s="9">
        <f>_xlfn.MAXIFS(Levels!F:F,Levels!B:B,A2043)</f>
        <v>9.08</v>
      </c>
    </row>
    <row r="2044" spans="1:6" x14ac:dyDescent="0.3">
      <c r="A2044" t="s">
        <v>9192</v>
      </c>
      <c r="B2044" s="6">
        <f>COUNTIF(Levels!B:B,A2044)</f>
        <v>1</v>
      </c>
      <c r="C2044" s="6">
        <f>IFERROR(AVERAGEIF(Levels!B:B,A2044,Levels!E:E),0)</f>
        <v>7.27</v>
      </c>
      <c r="D2044" s="6">
        <f>IFERROR(AVERAGEIF(Levels!B:B,A2044,Levels!F:F),0)</f>
        <v>8.33</v>
      </c>
      <c r="E2044" s="6">
        <f>_xlfn.MAXIFS(Levels!E:E,Levels!B:B,A2044)</f>
        <v>7.27</v>
      </c>
      <c r="F2044" s="6">
        <f>_xlfn.MAXIFS(Levels!F:F,Levels!B:B,A2044)</f>
        <v>8.33</v>
      </c>
    </row>
    <row r="2045" spans="1:6" x14ac:dyDescent="0.3">
      <c r="A2045" t="s">
        <v>9200</v>
      </c>
      <c r="B2045" s="9">
        <f>COUNTIF(Levels!B:B,A2045)</f>
        <v>4</v>
      </c>
      <c r="C2045" s="9">
        <f>IFERROR(AVERAGEIF(Levels!B:B,A2045,Levels!E:E),0)</f>
        <v>10.1875</v>
      </c>
      <c r="D2045" s="9">
        <f>IFERROR(AVERAGEIF(Levels!B:B,A2045,Levels!F:F),0)</f>
        <v>7.8250000000000002</v>
      </c>
      <c r="E2045" s="9">
        <f>_xlfn.MAXIFS(Levels!E:E,Levels!B:B,A2045)</f>
        <v>16.07</v>
      </c>
      <c r="F2045" s="9">
        <f>_xlfn.MAXIFS(Levels!F:F,Levels!B:B,A2045)</f>
        <v>8.61</v>
      </c>
    </row>
    <row r="2046" spans="1:6" x14ac:dyDescent="0.3">
      <c r="A2046" t="s">
        <v>9204</v>
      </c>
      <c r="B2046" s="6">
        <f>COUNTIF(Levels!B:B,A2046)</f>
        <v>1</v>
      </c>
      <c r="C2046" s="6">
        <f>IFERROR(AVERAGEIF(Levels!B:B,A2046,Levels!E:E),0)</f>
        <v>13.91</v>
      </c>
      <c r="D2046" s="6">
        <f>IFERROR(AVERAGEIF(Levels!B:B,A2046,Levels!F:F),0)</f>
        <v>8.89</v>
      </c>
      <c r="E2046" s="6">
        <f>_xlfn.MAXIFS(Levels!E:E,Levels!B:B,A2046)</f>
        <v>13.91</v>
      </c>
      <c r="F2046" s="6">
        <f>_xlfn.MAXIFS(Levels!F:F,Levels!B:B,A2046)</f>
        <v>8.89</v>
      </c>
    </row>
    <row r="2047" spans="1:6" x14ac:dyDescent="0.3">
      <c r="A2047" t="s">
        <v>9207</v>
      </c>
      <c r="B2047" s="9">
        <f>COUNTIF(Levels!B:B,A2047)</f>
        <v>3</v>
      </c>
      <c r="C2047" s="9">
        <f>IFERROR(AVERAGEIF(Levels!B:B,A2047,Levels!E:E),0)</f>
        <v>19.876666666666665</v>
      </c>
      <c r="D2047" s="9">
        <f>IFERROR(AVERAGEIF(Levels!B:B,A2047,Levels!F:F),0)</f>
        <v>8.2000000000000011</v>
      </c>
      <c r="E2047" s="9">
        <f>_xlfn.MAXIFS(Levels!E:E,Levels!B:B,A2047)</f>
        <v>23.22</v>
      </c>
      <c r="F2047" s="9">
        <f>_xlfn.MAXIFS(Levels!F:F,Levels!B:B,A2047)</f>
        <v>8.6300000000000008</v>
      </c>
    </row>
    <row r="2048" spans="1:6" x14ac:dyDescent="0.3">
      <c r="A2048" t="s">
        <v>9209</v>
      </c>
      <c r="B2048" s="6">
        <f>COUNTIF(Levels!B:B,A2048)</f>
        <v>1</v>
      </c>
      <c r="C2048" s="6">
        <f>IFERROR(AVERAGEIF(Levels!B:B,A2048,Levels!E:E),0)</f>
        <v>3.29</v>
      </c>
      <c r="D2048" s="6">
        <f>IFERROR(AVERAGEIF(Levels!B:B,A2048,Levels!F:F),0)</f>
        <v>6.63</v>
      </c>
      <c r="E2048" s="6">
        <f>_xlfn.MAXIFS(Levels!E:E,Levels!B:B,A2048)</f>
        <v>3.29</v>
      </c>
      <c r="F2048" s="6">
        <f>_xlfn.MAXIFS(Levels!F:F,Levels!B:B,A2048)</f>
        <v>6.63</v>
      </c>
    </row>
    <row r="2049" spans="1:6" x14ac:dyDescent="0.3">
      <c r="A2049" t="s">
        <v>9217</v>
      </c>
      <c r="B2049" s="9">
        <f>COUNTIF(Levels!B:B,A2049)</f>
        <v>2</v>
      </c>
      <c r="C2049" s="9">
        <f>IFERROR(AVERAGEIF(Levels!B:B,A2049,Levels!E:E),0)</f>
        <v>24.5</v>
      </c>
      <c r="D2049" s="9">
        <f>IFERROR(AVERAGEIF(Levels!B:B,A2049,Levels!F:F),0)</f>
        <v>8.25</v>
      </c>
      <c r="E2049" s="9">
        <f>_xlfn.MAXIFS(Levels!E:E,Levels!B:B,A2049)</f>
        <v>33</v>
      </c>
      <c r="F2049" s="9">
        <f>_xlfn.MAXIFS(Levels!F:F,Levels!B:B,A2049)</f>
        <v>9</v>
      </c>
    </row>
    <row r="2050" spans="1:6" x14ac:dyDescent="0.3">
      <c r="A2050" t="s">
        <v>9222</v>
      </c>
      <c r="B2050" s="6">
        <f>COUNTIF(Levels!B:B,A2050)</f>
        <v>1</v>
      </c>
      <c r="C2050" s="6">
        <f>IFERROR(AVERAGEIF(Levels!B:B,A2050,Levels!E:E),0)</f>
        <v>18.27</v>
      </c>
      <c r="D2050" s="6">
        <f>IFERROR(AVERAGEIF(Levels!B:B,A2050,Levels!F:F),0)</f>
        <v>7</v>
      </c>
      <c r="E2050" s="6">
        <f>_xlfn.MAXIFS(Levels!E:E,Levels!B:B,A2050)</f>
        <v>18.27</v>
      </c>
      <c r="F2050" s="6">
        <f>_xlfn.MAXIFS(Levels!F:F,Levels!B:B,A2050)</f>
        <v>7</v>
      </c>
    </row>
    <row r="2051" spans="1:6" x14ac:dyDescent="0.3">
      <c r="A2051" t="s">
        <v>9228</v>
      </c>
      <c r="B2051" s="9">
        <f>COUNTIF(Levels!B:B,A2051)</f>
        <v>2</v>
      </c>
      <c r="C2051" s="9">
        <f>IFERROR(AVERAGEIF(Levels!B:B,A2051,Levels!E:E),0)</f>
        <v>3.6350000000000002</v>
      </c>
      <c r="D2051" s="9">
        <f>IFERROR(AVERAGEIF(Levels!B:B,A2051,Levels!F:F),0)</f>
        <v>6.49</v>
      </c>
      <c r="E2051" s="9">
        <f>_xlfn.MAXIFS(Levels!E:E,Levels!B:B,A2051)</f>
        <v>4.1100000000000003</v>
      </c>
      <c r="F2051" s="9">
        <f>_xlfn.MAXIFS(Levels!F:F,Levels!B:B,A2051)</f>
        <v>7.62</v>
      </c>
    </row>
    <row r="2052" spans="1:6" x14ac:dyDescent="0.3">
      <c r="A2052" t="s">
        <v>9233</v>
      </c>
      <c r="B2052" s="6">
        <f>COUNTIF(Levels!B:B,A2052)</f>
        <v>4</v>
      </c>
      <c r="C2052" s="6">
        <f>IFERROR(AVERAGEIF(Levels!B:B,A2052,Levels!E:E),0)</f>
        <v>26.384999999999998</v>
      </c>
      <c r="D2052" s="6">
        <f>IFERROR(AVERAGEIF(Levels!B:B,A2052,Levels!F:F),0)</f>
        <v>8.9824999999999999</v>
      </c>
      <c r="E2052" s="6">
        <f>_xlfn.MAXIFS(Levels!E:E,Levels!B:B,A2052)</f>
        <v>33</v>
      </c>
      <c r="F2052" s="6">
        <f>_xlfn.MAXIFS(Levels!F:F,Levels!B:B,A2052)</f>
        <v>10</v>
      </c>
    </row>
    <row r="2053" spans="1:6" x14ac:dyDescent="0.3">
      <c r="A2053" t="s">
        <v>9234</v>
      </c>
      <c r="B2053" s="9">
        <f>COUNTIF(Levels!B:B,A2053)</f>
        <v>5</v>
      </c>
      <c r="C2053" s="9">
        <f>IFERROR(AVERAGEIF(Levels!B:B,A2053,Levels!E:E),0)</f>
        <v>6.0739999999999998</v>
      </c>
      <c r="D2053" s="9">
        <f>IFERROR(AVERAGEIF(Levels!B:B,A2053,Levels!F:F),0)</f>
        <v>6.9560000000000004</v>
      </c>
      <c r="E2053" s="9">
        <f>_xlfn.MAXIFS(Levels!E:E,Levels!B:B,A2053)</f>
        <v>12.5</v>
      </c>
      <c r="F2053" s="9">
        <f>_xlfn.MAXIFS(Levels!F:F,Levels!B:B,A2053)</f>
        <v>7.79</v>
      </c>
    </row>
    <row r="2054" spans="1:6" x14ac:dyDescent="0.3">
      <c r="A2054" t="s">
        <v>9241</v>
      </c>
      <c r="B2054" s="6">
        <f>COUNTIF(Levels!B:B,A2054)</f>
        <v>1</v>
      </c>
      <c r="C2054" s="6">
        <f>IFERROR(AVERAGEIF(Levels!B:B,A2054,Levels!E:E),0)</f>
        <v>9.8800000000000008</v>
      </c>
      <c r="D2054" s="6">
        <f>IFERROR(AVERAGEIF(Levels!B:B,A2054,Levels!F:F),0)</f>
        <v>8.06</v>
      </c>
      <c r="E2054" s="6">
        <f>_xlfn.MAXIFS(Levels!E:E,Levels!B:B,A2054)</f>
        <v>9.8800000000000008</v>
      </c>
      <c r="F2054" s="6">
        <f>_xlfn.MAXIFS(Levels!F:F,Levels!B:B,A2054)</f>
        <v>8.06</v>
      </c>
    </row>
    <row r="2055" spans="1:6" x14ac:dyDescent="0.3">
      <c r="A2055" t="s">
        <v>9249</v>
      </c>
      <c r="B2055" s="9">
        <f>COUNTIF(Levels!B:B,A2055)</f>
        <v>3</v>
      </c>
      <c r="C2055" s="9">
        <f>IFERROR(AVERAGEIF(Levels!B:B,A2055,Levels!E:E),0)</f>
        <v>19.266666666666666</v>
      </c>
      <c r="D2055" s="9">
        <f>IFERROR(AVERAGEIF(Levels!B:B,A2055,Levels!F:F),0)</f>
        <v>7.2633333333333328</v>
      </c>
      <c r="E2055" s="9">
        <f>_xlfn.MAXIFS(Levels!E:E,Levels!B:B,A2055)</f>
        <v>23.39</v>
      </c>
      <c r="F2055" s="9">
        <f>_xlfn.MAXIFS(Levels!F:F,Levels!B:B,A2055)</f>
        <v>8.8699999999999992</v>
      </c>
    </row>
    <row r="2056" spans="1:6" x14ac:dyDescent="0.3">
      <c r="A2056" t="s">
        <v>9259</v>
      </c>
      <c r="B2056" s="6">
        <f>COUNTIF(Levels!B:B,A2056)</f>
        <v>2</v>
      </c>
      <c r="C2056" s="6">
        <f>IFERROR(AVERAGEIF(Levels!B:B,A2056,Levels!E:E),0)</f>
        <v>12.4</v>
      </c>
      <c r="D2056" s="6">
        <f>IFERROR(AVERAGEIF(Levels!B:B,A2056,Levels!F:F),0)</f>
        <v>6.9050000000000002</v>
      </c>
      <c r="E2056" s="6">
        <f>_xlfn.MAXIFS(Levels!E:E,Levels!B:B,A2056)</f>
        <v>12.8</v>
      </c>
      <c r="F2056" s="6">
        <f>_xlfn.MAXIFS(Levels!F:F,Levels!B:B,A2056)</f>
        <v>8.14</v>
      </c>
    </row>
    <row r="2057" spans="1:6" x14ac:dyDescent="0.3">
      <c r="A2057" t="s">
        <v>9264</v>
      </c>
      <c r="B2057" s="9">
        <f>COUNTIF(Levels!B:B,A2057)</f>
        <v>2</v>
      </c>
      <c r="C2057" s="9">
        <f>IFERROR(AVERAGEIF(Levels!B:B,A2057,Levels!E:E),0)</f>
        <v>10.504999999999999</v>
      </c>
      <c r="D2057" s="9">
        <f>IFERROR(AVERAGEIF(Levels!B:B,A2057,Levels!F:F),0)</f>
        <v>6.8450000000000006</v>
      </c>
      <c r="E2057" s="9">
        <f>_xlfn.MAXIFS(Levels!E:E,Levels!B:B,A2057)</f>
        <v>11.26</v>
      </c>
      <c r="F2057" s="9">
        <f>_xlfn.MAXIFS(Levels!F:F,Levels!B:B,A2057)</f>
        <v>6.94</v>
      </c>
    </row>
    <row r="2058" spans="1:6" x14ac:dyDescent="0.3">
      <c r="A2058" t="s">
        <v>9268</v>
      </c>
      <c r="B2058" s="6">
        <f>COUNTIF(Levels!B:B,A2058)</f>
        <v>1</v>
      </c>
      <c r="C2058" s="6">
        <f>IFERROR(AVERAGEIF(Levels!B:B,A2058,Levels!E:E),0)</f>
        <v>2.29</v>
      </c>
      <c r="D2058" s="6">
        <f>IFERROR(AVERAGEIF(Levels!B:B,A2058,Levels!F:F),0)</f>
        <v>5.38</v>
      </c>
      <c r="E2058" s="6">
        <f>_xlfn.MAXIFS(Levels!E:E,Levels!B:B,A2058)</f>
        <v>2.29</v>
      </c>
      <c r="F2058" s="6">
        <f>_xlfn.MAXIFS(Levels!F:F,Levels!B:B,A2058)</f>
        <v>5.38</v>
      </c>
    </row>
    <row r="2059" spans="1:6" x14ac:dyDescent="0.3">
      <c r="A2059" t="s">
        <v>9280</v>
      </c>
      <c r="B2059" s="9">
        <f>COUNTIF(Levels!B:B,A2059)</f>
        <v>1</v>
      </c>
      <c r="C2059" s="9">
        <f>IFERROR(AVERAGEIF(Levels!B:B,A2059,Levels!E:E),0)</f>
        <v>7.63</v>
      </c>
      <c r="D2059" s="9">
        <f>IFERROR(AVERAGEIF(Levels!B:B,A2059,Levels!F:F),0)</f>
        <v>7.57</v>
      </c>
      <c r="E2059" s="9">
        <f>_xlfn.MAXIFS(Levels!E:E,Levels!B:B,A2059)</f>
        <v>7.63</v>
      </c>
      <c r="F2059" s="9">
        <f>_xlfn.MAXIFS(Levels!F:F,Levels!B:B,A2059)</f>
        <v>7.57</v>
      </c>
    </row>
    <row r="2060" spans="1:6" x14ac:dyDescent="0.3">
      <c r="A2060" t="s">
        <v>9283</v>
      </c>
      <c r="B2060" s="6">
        <f>COUNTIF(Levels!B:B,A2060)</f>
        <v>2</v>
      </c>
      <c r="C2060" s="6">
        <f>IFERROR(AVERAGEIF(Levels!B:B,A2060,Levels!E:E),0)</f>
        <v>6.59</v>
      </c>
      <c r="D2060" s="6">
        <f>IFERROR(AVERAGEIF(Levels!B:B,A2060,Levels!F:F),0)</f>
        <v>6.91</v>
      </c>
      <c r="E2060" s="6">
        <f>_xlfn.MAXIFS(Levels!E:E,Levels!B:B,A2060)</f>
        <v>11.27</v>
      </c>
      <c r="F2060" s="6">
        <f>_xlfn.MAXIFS(Levels!F:F,Levels!B:B,A2060)</f>
        <v>7.36</v>
      </c>
    </row>
    <row r="2061" spans="1:6" x14ac:dyDescent="0.3">
      <c r="A2061" t="s">
        <v>9291</v>
      </c>
      <c r="B2061" s="9">
        <f>COUNTIF(Levels!B:B,A2061)</f>
        <v>3</v>
      </c>
      <c r="C2061" s="9">
        <f>IFERROR(AVERAGEIF(Levels!B:B,A2061,Levels!E:E),0)</f>
        <v>14.676666666666668</v>
      </c>
      <c r="D2061" s="9">
        <f>IFERROR(AVERAGEIF(Levels!B:B,A2061,Levels!F:F),0)</f>
        <v>6.93</v>
      </c>
      <c r="E2061" s="9">
        <f>_xlfn.MAXIFS(Levels!E:E,Levels!B:B,A2061)</f>
        <v>16.829999999999998</v>
      </c>
      <c r="F2061" s="9">
        <f>_xlfn.MAXIFS(Levels!F:F,Levels!B:B,A2061)</f>
        <v>8.43</v>
      </c>
    </row>
    <row r="2062" spans="1:6" x14ac:dyDescent="0.3">
      <c r="A2062" t="s">
        <v>9295</v>
      </c>
      <c r="B2062" s="6">
        <f>COUNTIF(Levels!B:B,A2062)</f>
        <v>1</v>
      </c>
      <c r="C2062" s="6">
        <f>IFERROR(AVERAGEIF(Levels!B:B,A2062,Levels!E:E),0)</f>
        <v>11.54</v>
      </c>
      <c r="D2062" s="6">
        <f>IFERROR(AVERAGEIF(Levels!B:B,A2062,Levels!F:F),0)</f>
        <v>6.76</v>
      </c>
      <c r="E2062" s="6">
        <f>_xlfn.MAXIFS(Levels!E:E,Levels!B:B,A2062)</f>
        <v>11.54</v>
      </c>
      <c r="F2062" s="6">
        <f>_xlfn.MAXIFS(Levels!F:F,Levels!B:B,A2062)</f>
        <v>6.76</v>
      </c>
    </row>
    <row r="2063" spans="1:6" x14ac:dyDescent="0.3">
      <c r="A2063" t="s">
        <v>9307</v>
      </c>
      <c r="B2063" s="9">
        <f>COUNTIF(Levels!B:B,A2063)</f>
        <v>2</v>
      </c>
      <c r="C2063" s="9">
        <f>IFERROR(AVERAGEIF(Levels!B:B,A2063,Levels!E:E),0)</f>
        <v>4.4049999999999994</v>
      </c>
      <c r="D2063" s="9">
        <f>IFERROR(AVERAGEIF(Levels!B:B,A2063,Levels!F:F),0)</f>
        <v>6.84</v>
      </c>
      <c r="E2063" s="9">
        <f>_xlfn.MAXIFS(Levels!E:E,Levels!B:B,A2063)</f>
        <v>4.97</v>
      </c>
      <c r="F2063" s="9">
        <f>_xlfn.MAXIFS(Levels!F:F,Levels!B:B,A2063)</f>
        <v>7.46</v>
      </c>
    </row>
    <row r="2064" spans="1:6" x14ac:dyDescent="0.3">
      <c r="A2064" t="s">
        <v>9311</v>
      </c>
      <c r="B2064" s="6">
        <f>COUNTIF(Levels!B:B,A2064)</f>
        <v>2</v>
      </c>
      <c r="C2064" s="6">
        <f>IFERROR(AVERAGEIF(Levels!B:B,A2064,Levels!E:E),0)</f>
        <v>5.1950000000000003</v>
      </c>
      <c r="D2064" s="6">
        <f>IFERROR(AVERAGEIF(Levels!B:B,A2064,Levels!F:F),0)</f>
        <v>6.9249999999999998</v>
      </c>
      <c r="E2064" s="6">
        <f>_xlfn.MAXIFS(Levels!E:E,Levels!B:B,A2064)</f>
        <v>8.1</v>
      </c>
      <c r="F2064" s="6">
        <f>_xlfn.MAXIFS(Levels!F:F,Levels!B:B,A2064)</f>
        <v>7</v>
      </c>
    </row>
    <row r="2065" spans="1:6" x14ac:dyDescent="0.3">
      <c r="A2065" t="s">
        <v>9314</v>
      </c>
      <c r="B2065" s="9">
        <f>COUNTIF(Levels!B:B,A2065)</f>
        <v>1</v>
      </c>
      <c r="C2065" s="9">
        <f>IFERROR(AVERAGEIF(Levels!B:B,A2065,Levels!E:E),0)</f>
        <v>1.88</v>
      </c>
      <c r="D2065" s="9">
        <f>IFERROR(AVERAGEIF(Levels!B:B,A2065,Levels!F:F),0)</f>
        <v>6.08</v>
      </c>
      <c r="E2065" s="9">
        <f>_xlfn.MAXIFS(Levels!E:E,Levels!B:B,A2065)</f>
        <v>1.88</v>
      </c>
      <c r="F2065" s="9">
        <f>_xlfn.MAXIFS(Levels!F:F,Levels!B:B,A2065)</f>
        <v>6.08</v>
      </c>
    </row>
    <row r="2066" spans="1:6" x14ac:dyDescent="0.3">
      <c r="A2066" t="s">
        <v>9318</v>
      </c>
      <c r="B2066" s="6">
        <f>COUNTIF(Levels!B:B,A2066)</f>
        <v>2</v>
      </c>
      <c r="C2066" s="6">
        <f>IFERROR(AVERAGEIF(Levels!B:B,A2066,Levels!E:E),0)</f>
        <v>6.9649999999999999</v>
      </c>
      <c r="D2066" s="6">
        <f>IFERROR(AVERAGEIF(Levels!B:B,A2066,Levels!F:F),0)</f>
        <v>5.34</v>
      </c>
      <c r="E2066" s="6">
        <f>_xlfn.MAXIFS(Levels!E:E,Levels!B:B,A2066)</f>
        <v>9.68</v>
      </c>
      <c r="F2066" s="6">
        <f>_xlfn.MAXIFS(Levels!F:F,Levels!B:B,A2066)</f>
        <v>6.05</v>
      </c>
    </row>
    <row r="2067" spans="1:6" x14ac:dyDescent="0.3">
      <c r="A2067" t="s">
        <v>9331</v>
      </c>
      <c r="B2067" s="9">
        <f>COUNTIF(Levels!B:B,A2067)</f>
        <v>2</v>
      </c>
      <c r="C2067" s="9">
        <f>IFERROR(AVERAGEIF(Levels!B:B,A2067,Levels!E:E),0)</f>
        <v>6.68</v>
      </c>
      <c r="D2067" s="9">
        <f>IFERROR(AVERAGEIF(Levels!B:B,A2067,Levels!F:F),0)</f>
        <v>4.6349999999999998</v>
      </c>
      <c r="E2067" s="9">
        <f>_xlfn.MAXIFS(Levels!E:E,Levels!B:B,A2067)</f>
        <v>9.16</v>
      </c>
      <c r="F2067" s="9">
        <f>_xlfn.MAXIFS(Levels!F:F,Levels!B:B,A2067)</f>
        <v>5.6</v>
      </c>
    </row>
    <row r="2068" spans="1:6" x14ac:dyDescent="0.3">
      <c r="A2068" t="s">
        <v>9335</v>
      </c>
      <c r="B2068" s="6">
        <f>COUNTIF(Levels!B:B,A2068)</f>
        <v>2</v>
      </c>
      <c r="C2068" s="6">
        <f>IFERROR(AVERAGEIF(Levels!B:B,A2068,Levels!E:E),0)</f>
        <v>7.125</v>
      </c>
      <c r="D2068" s="6">
        <f>IFERROR(AVERAGEIF(Levels!B:B,A2068,Levels!F:F),0)</f>
        <v>7.2450000000000001</v>
      </c>
      <c r="E2068" s="6">
        <f>_xlfn.MAXIFS(Levels!E:E,Levels!B:B,A2068)</f>
        <v>11.07</v>
      </c>
      <c r="F2068" s="6">
        <f>_xlfn.MAXIFS(Levels!F:F,Levels!B:B,A2068)</f>
        <v>8.57</v>
      </c>
    </row>
    <row r="2069" spans="1:6" x14ac:dyDescent="0.3">
      <c r="A2069" t="s">
        <v>9336</v>
      </c>
      <c r="B2069" s="9">
        <f>COUNTIF(Levels!B:B,A2069)</f>
        <v>3</v>
      </c>
      <c r="C2069" s="9">
        <f>IFERROR(AVERAGEIF(Levels!B:B,A2069,Levels!E:E),0)</f>
        <v>8.3766666666666669</v>
      </c>
      <c r="D2069" s="9">
        <f>IFERROR(AVERAGEIF(Levels!B:B,A2069,Levels!F:F),0)</f>
        <v>7.0133333333333328</v>
      </c>
      <c r="E2069" s="9">
        <f>_xlfn.MAXIFS(Levels!E:E,Levels!B:B,A2069)</f>
        <v>13.67</v>
      </c>
      <c r="F2069" s="9">
        <f>_xlfn.MAXIFS(Levels!F:F,Levels!B:B,A2069)</f>
        <v>7.8</v>
      </c>
    </row>
    <row r="2070" spans="1:6" x14ac:dyDescent="0.3">
      <c r="A2070" t="s">
        <v>9343</v>
      </c>
      <c r="B2070" s="6">
        <f>COUNTIF(Levels!B:B,A2070)</f>
        <v>1</v>
      </c>
      <c r="C2070" s="6">
        <f>IFERROR(AVERAGEIF(Levels!B:B,A2070,Levels!E:E),0)</f>
        <v>5.08</v>
      </c>
      <c r="D2070" s="6">
        <f>IFERROR(AVERAGEIF(Levels!B:B,A2070,Levels!F:F),0)</f>
        <v>6.63</v>
      </c>
      <c r="E2070" s="6">
        <f>_xlfn.MAXIFS(Levels!E:E,Levels!B:B,A2070)</f>
        <v>5.08</v>
      </c>
      <c r="F2070" s="6">
        <f>_xlfn.MAXIFS(Levels!F:F,Levels!B:B,A2070)</f>
        <v>6.63</v>
      </c>
    </row>
    <row r="2071" spans="1:6" x14ac:dyDescent="0.3">
      <c r="A2071" t="s">
        <v>9345</v>
      </c>
      <c r="B2071" s="9">
        <f>COUNTIF(Levels!B:B,A2071)</f>
        <v>1</v>
      </c>
      <c r="C2071" s="9">
        <f>IFERROR(AVERAGEIF(Levels!B:B,A2071,Levels!E:E),0)</f>
        <v>15.47</v>
      </c>
      <c r="D2071" s="9">
        <f>IFERROR(AVERAGEIF(Levels!B:B,A2071,Levels!F:F),0)</f>
        <v>7.52</v>
      </c>
      <c r="E2071" s="9">
        <f>_xlfn.MAXIFS(Levels!E:E,Levels!B:B,A2071)</f>
        <v>15.47</v>
      </c>
      <c r="F2071" s="9">
        <f>_xlfn.MAXIFS(Levels!F:F,Levels!B:B,A2071)</f>
        <v>7.52</v>
      </c>
    </row>
    <row r="2072" spans="1:6" x14ac:dyDescent="0.3">
      <c r="A2072" t="s">
        <v>9348</v>
      </c>
      <c r="B2072" s="6">
        <f>COUNTIF(Levels!B:B,A2072)</f>
        <v>1</v>
      </c>
      <c r="C2072" s="6">
        <f>IFERROR(AVERAGEIF(Levels!B:B,A2072,Levels!E:E),0)</f>
        <v>10.45</v>
      </c>
      <c r="D2072" s="6">
        <f>IFERROR(AVERAGEIF(Levels!B:B,A2072,Levels!F:F),0)</f>
        <v>7.44</v>
      </c>
      <c r="E2072" s="6">
        <f>_xlfn.MAXIFS(Levels!E:E,Levels!B:B,A2072)</f>
        <v>10.45</v>
      </c>
      <c r="F2072" s="6">
        <f>_xlfn.MAXIFS(Levels!F:F,Levels!B:B,A2072)</f>
        <v>7.44</v>
      </c>
    </row>
    <row r="2073" spans="1:6" x14ac:dyDescent="0.3">
      <c r="A2073" t="s">
        <v>9356</v>
      </c>
      <c r="B2073" s="9">
        <f>COUNTIF(Levels!B:B,A2073)</f>
        <v>1</v>
      </c>
      <c r="C2073" s="9">
        <f>IFERROR(AVERAGEIF(Levels!B:B,A2073,Levels!E:E),0)</f>
        <v>4.71</v>
      </c>
      <c r="D2073" s="9">
        <f>IFERROR(AVERAGEIF(Levels!B:B,A2073,Levels!F:F),0)</f>
        <v>5.6</v>
      </c>
      <c r="E2073" s="9">
        <f>_xlfn.MAXIFS(Levels!E:E,Levels!B:B,A2073)</f>
        <v>4.71</v>
      </c>
      <c r="F2073" s="9">
        <f>_xlfn.MAXIFS(Levels!F:F,Levels!B:B,A2073)</f>
        <v>5.6</v>
      </c>
    </row>
    <row r="2074" spans="1:6" x14ac:dyDescent="0.3">
      <c r="A2074" t="s">
        <v>9361</v>
      </c>
      <c r="B2074" s="6">
        <f>COUNTIF(Levels!B:B,A2074)</f>
        <v>5</v>
      </c>
      <c r="C2074" s="6">
        <f>IFERROR(AVERAGEIF(Levels!B:B,A2074,Levels!E:E),0)</f>
        <v>11.342000000000001</v>
      </c>
      <c r="D2074" s="6">
        <f>IFERROR(AVERAGEIF(Levels!B:B,A2074,Levels!F:F),0)</f>
        <v>7.1219999999999999</v>
      </c>
      <c r="E2074" s="6">
        <f>_xlfn.MAXIFS(Levels!E:E,Levels!B:B,A2074)</f>
        <v>17.07</v>
      </c>
      <c r="F2074" s="6">
        <f>_xlfn.MAXIFS(Levels!F:F,Levels!B:B,A2074)</f>
        <v>7.48</v>
      </c>
    </row>
    <row r="2075" spans="1:6" x14ac:dyDescent="0.3">
      <c r="A2075" t="s">
        <v>9367</v>
      </c>
      <c r="B2075" s="9">
        <f>COUNTIF(Levels!B:B,A2075)</f>
        <v>6</v>
      </c>
      <c r="C2075" s="9">
        <f>IFERROR(AVERAGEIF(Levels!B:B,A2075,Levels!E:E),0)</f>
        <v>2.35</v>
      </c>
      <c r="D2075" s="9">
        <f>IFERROR(AVERAGEIF(Levels!B:B,A2075,Levels!F:F),0)</f>
        <v>6.7350000000000003</v>
      </c>
      <c r="E2075" s="9">
        <f>_xlfn.MAXIFS(Levels!E:E,Levels!B:B,A2075)</f>
        <v>4.79</v>
      </c>
      <c r="F2075" s="9">
        <f>_xlfn.MAXIFS(Levels!F:F,Levels!B:B,A2075)</f>
        <v>7.56</v>
      </c>
    </row>
    <row r="2076" spans="1:6" x14ac:dyDescent="0.3">
      <c r="A2076" t="s">
        <v>9371</v>
      </c>
      <c r="B2076" s="6">
        <f>COUNTIF(Levels!B:B,A2076)</f>
        <v>1</v>
      </c>
      <c r="C2076" s="6">
        <f>IFERROR(AVERAGEIF(Levels!B:B,A2076,Levels!E:E),0)</f>
        <v>2.25</v>
      </c>
      <c r="D2076" s="6">
        <f>IFERROR(AVERAGEIF(Levels!B:B,A2076,Levels!F:F),0)</f>
        <v>7.06</v>
      </c>
      <c r="E2076" s="6">
        <f>_xlfn.MAXIFS(Levels!E:E,Levels!B:B,A2076)</f>
        <v>2.25</v>
      </c>
      <c r="F2076" s="6">
        <f>_xlfn.MAXIFS(Levels!F:F,Levels!B:B,A2076)</f>
        <v>7.06</v>
      </c>
    </row>
    <row r="2077" spans="1:6" x14ac:dyDescent="0.3">
      <c r="A2077" t="s">
        <v>9376</v>
      </c>
      <c r="B2077" s="9">
        <f>COUNTIF(Levels!B:B,A2077)</f>
        <v>2</v>
      </c>
      <c r="C2077" s="9">
        <f>IFERROR(AVERAGEIF(Levels!B:B,A2077,Levels!E:E),0)</f>
        <v>1.81</v>
      </c>
      <c r="D2077" s="9">
        <f>IFERROR(AVERAGEIF(Levels!B:B,A2077,Levels!F:F),0)</f>
        <v>6.75</v>
      </c>
      <c r="E2077" s="9">
        <f>_xlfn.MAXIFS(Levels!E:E,Levels!B:B,A2077)</f>
        <v>1.94</v>
      </c>
      <c r="F2077" s="9">
        <f>_xlfn.MAXIFS(Levels!F:F,Levels!B:B,A2077)</f>
        <v>6.93</v>
      </c>
    </row>
    <row r="2078" spans="1:6" x14ac:dyDescent="0.3">
      <c r="A2078" t="s">
        <v>9378</v>
      </c>
      <c r="B2078" s="6">
        <f>COUNTIF(Levels!B:B,A2078)</f>
        <v>1</v>
      </c>
      <c r="C2078" s="6">
        <f>IFERROR(AVERAGEIF(Levels!B:B,A2078,Levels!E:E),0)</f>
        <v>9.74</v>
      </c>
      <c r="D2078" s="6">
        <f>IFERROR(AVERAGEIF(Levels!B:B,A2078,Levels!F:F),0)</f>
        <v>6.58</v>
      </c>
      <c r="E2078" s="6">
        <f>_xlfn.MAXIFS(Levels!E:E,Levels!B:B,A2078)</f>
        <v>9.74</v>
      </c>
      <c r="F2078" s="6">
        <f>_xlfn.MAXIFS(Levels!F:F,Levels!B:B,A2078)</f>
        <v>6.58</v>
      </c>
    </row>
    <row r="2079" spans="1:6" x14ac:dyDescent="0.3">
      <c r="A2079" t="s">
        <v>9386</v>
      </c>
      <c r="B2079" s="9">
        <f>COUNTIF(Levels!B:B,A2079)</f>
        <v>3</v>
      </c>
      <c r="C2079" s="9">
        <f>IFERROR(AVERAGEIF(Levels!B:B,A2079,Levels!E:E),0)</f>
        <v>7.0466666666666669</v>
      </c>
      <c r="D2079" s="9">
        <f>IFERROR(AVERAGEIF(Levels!B:B,A2079,Levels!F:F),0)</f>
        <v>7.3133333333333326</v>
      </c>
      <c r="E2079" s="9">
        <f>_xlfn.MAXIFS(Levels!E:E,Levels!B:B,A2079)</f>
        <v>11.45</v>
      </c>
      <c r="F2079" s="9">
        <f>_xlfn.MAXIFS(Levels!F:F,Levels!B:B,A2079)</f>
        <v>7.58</v>
      </c>
    </row>
    <row r="2080" spans="1:6" x14ac:dyDescent="0.3">
      <c r="A2080" t="s">
        <v>9389</v>
      </c>
      <c r="B2080" s="6">
        <f>COUNTIF(Levels!B:B,A2080)</f>
        <v>1</v>
      </c>
      <c r="C2080" s="6">
        <f>IFERROR(AVERAGEIF(Levels!B:B,A2080,Levels!E:E),0)</f>
        <v>27.5</v>
      </c>
      <c r="D2080" s="6">
        <f>IFERROR(AVERAGEIF(Levels!B:B,A2080,Levels!F:F),0)</f>
        <v>1.5</v>
      </c>
      <c r="E2080" s="6">
        <f>_xlfn.MAXIFS(Levels!E:E,Levels!B:B,A2080)</f>
        <v>27.5</v>
      </c>
      <c r="F2080" s="6">
        <f>_xlfn.MAXIFS(Levels!F:F,Levels!B:B,A2080)</f>
        <v>1.5</v>
      </c>
    </row>
    <row r="2081" spans="1:6" x14ac:dyDescent="0.3">
      <c r="A2081" t="s">
        <v>9393</v>
      </c>
      <c r="B2081" s="9">
        <f>COUNTIF(Levels!B:B,A2081)</f>
        <v>3</v>
      </c>
      <c r="C2081" s="9">
        <f>IFERROR(AVERAGEIF(Levels!B:B,A2081,Levels!E:E),0)</f>
        <v>6.0766666666666671</v>
      </c>
      <c r="D2081" s="9">
        <f>IFERROR(AVERAGEIF(Levels!B:B,A2081,Levels!F:F),0)</f>
        <v>8.2166666666666668</v>
      </c>
      <c r="E2081" s="9">
        <f>_xlfn.MAXIFS(Levels!E:E,Levels!B:B,A2081)</f>
        <v>7.6</v>
      </c>
      <c r="F2081" s="9">
        <f>_xlfn.MAXIFS(Levels!F:F,Levels!B:B,A2081)</f>
        <v>8.6</v>
      </c>
    </row>
    <row r="2082" spans="1:6" x14ac:dyDescent="0.3">
      <c r="A2082" t="s">
        <v>9396</v>
      </c>
      <c r="B2082" s="6">
        <f>COUNTIF(Levels!B:B,A2082)</f>
        <v>1</v>
      </c>
      <c r="C2082" s="6">
        <f>IFERROR(AVERAGEIF(Levels!B:B,A2082,Levels!E:E),0)</f>
        <v>8.67</v>
      </c>
      <c r="D2082" s="6">
        <f>IFERROR(AVERAGEIF(Levels!B:B,A2082,Levels!F:F),0)</f>
        <v>6.67</v>
      </c>
      <c r="E2082" s="6">
        <f>_xlfn.MAXIFS(Levels!E:E,Levels!B:B,A2082)</f>
        <v>8.67</v>
      </c>
      <c r="F2082" s="6">
        <f>_xlfn.MAXIFS(Levels!F:F,Levels!B:B,A2082)</f>
        <v>6.67</v>
      </c>
    </row>
    <row r="2083" spans="1:6" x14ac:dyDescent="0.3">
      <c r="A2083" t="s">
        <v>9401</v>
      </c>
      <c r="B2083" s="9">
        <f>COUNTIF(Levels!B:B,A2083)</f>
        <v>1</v>
      </c>
      <c r="C2083" s="9">
        <f>IFERROR(AVERAGEIF(Levels!B:B,A2083,Levels!E:E),0)</f>
        <v>24</v>
      </c>
      <c r="D2083" s="9">
        <f>IFERROR(AVERAGEIF(Levels!B:B,A2083,Levels!F:F),0)</f>
        <v>7.22</v>
      </c>
      <c r="E2083" s="9">
        <f>_xlfn.MAXIFS(Levels!E:E,Levels!B:B,A2083)</f>
        <v>24</v>
      </c>
      <c r="F2083" s="9">
        <f>_xlfn.MAXIFS(Levels!F:F,Levels!B:B,A2083)</f>
        <v>7.22</v>
      </c>
    </row>
    <row r="2084" spans="1:6" x14ac:dyDescent="0.3">
      <c r="A2084" t="s">
        <v>9404</v>
      </c>
      <c r="B2084" s="6">
        <f>COUNTIF(Levels!B:B,A2084)</f>
        <v>3</v>
      </c>
      <c r="C2084" s="6">
        <f>IFERROR(AVERAGEIF(Levels!B:B,A2084,Levels!E:E),0)</f>
        <v>3.31</v>
      </c>
      <c r="D2084" s="6">
        <f>IFERROR(AVERAGEIF(Levels!B:B,A2084,Levels!F:F),0)</f>
        <v>6.8033333333333337</v>
      </c>
      <c r="E2084" s="6">
        <f>_xlfn.MAXIFS(Levels!E:E,Levels!B:B,A2084)</f>
        <v>4.1100000000000003</v>
      </c>
      <c r="F2084" s="6">
        <f>_xlfn.MAXIFS(Levels!F:F,Levels!B:B,A2084)</f>
        <v>7.14</v>
      </c>
    </row>
    <row r="2085" spans="1:6" x14ac:dyDescent="0.3">
      <c r="A2085" t="s">
        <v>9407</v>
      </c>
      <c r="B2085" s="9">
        <f>COUNTIF(Levels!B:B,A2085)</f>
        <v>2</v>
      </c>
      <c r="C2085" s="9">
        <f>IFERROR(AVERAGEIF(Levels!B:B,A2085,Levels!E:E),0)</f>
        <v>4.2349999999999994</v>
      </c>
      <c r="D2085" s="9">
        <f>IFERROR(AVERAGEIF(Levels!B:B,A2085,Levels!F:F),0)</f>
        <v>6.0750000000000002</v>
      </c>
      <c r="E2085" s="9">
        <f>_xlfn.MAXIFS(Levels!E:E,Levels!B:B,A2085)</f>
        <v>4.2699999999999996</v>
      </c>
      <c r="F2085" s="9">
        <f>_xlfn.MAXIFS(Levels!F:F,Levels!B:B,A2085)</f>
        <v>6.15</v>
      </c>
    </row>
    <row r="2086" spans="1:6" x14ac:dyDescent="0.3">
      <c r="A2086" t="s">
        <v>9409</v>
      </c>
      <c r="B2086" s="6">
        <f>COUNTIF(Levels!B:B,A2086)</f>
        <v>2</v>
      </c>
      <c r="C2086" s="6">
        <f>IFERROR(AVERAGEIF(Levels!B:B,A2086,Levels!E:E),0)</f>
        <v>21.29</v>
      </c>
      <c r="D2086" s="6">
        <f>IFERROR(AVERAGEIF(Levels!B:B,A2086,Levels!F:F),0)</f>
        <v>5.48</v>
      </c>
      <c r="E2086" s="6">
        <f>_xlfn.MAXIFS(Levels!E:E,Levels!B:B,A2086)</f>
        <v>24.08</v>
      </c>
      <c r="F2086" s="6">
        <f>_xlfn.MAXIFS(Levels!F:F,Levels!B:B,A2086)</f>
        <v>5.5</v>
      </c>
    </row>
    <row r="2087" spans="1:6" x14ac:dyDescent="0.3">
      <c r="A2087" t="s">
        <v>9411</v>
      </c>
      <c r="B2087" s="9">
        <f>COUNTIF(Levels!B:B,A2087)</f>
        <v>1</v>
      </c>
      <c r="C2087" s="9">
        <f>IFERROR(AVERAGEIF(Levels!B:B,A2087,Levels!E:E),0)</f>
        <v>3.7</v>
      </c>
      <c r="D2087" s="9">
        <f>IFERROR(AVERAGEIF(Levels!B:B,A2087,Levels!F:F),0)</f>
        <v>6.23</v>
      </c>
      <c r="E2087" s="9">
        <f>_xlfn.MAXIFS(Levels!E:E,Levels!B:B,A2087)</f>
        <v>3.7</v>
      </c>
      <c r="F2087" s="9">
        <f>_xlfn.MAXIFS(Levels!F:F,Levels!B:B,A2087)</f>
        <v>6.23</v>
      </c>
    </row>
    <row r="2088" spans="1:6" x14ac:dyDescent="0.3">
      <c r="A2088" t="s">
        <v>9419</v>
      </c>
      <c r="B2088" s="6">
        <f>COUNTIF(Levels!B:B,A2088)</f>
        <v>2</v>
      </c>
      <c r="C2088" s="6">
        <f>IFERROR(AVERAGEIF(Levels!B:B,A2088,Levels!E:E),0)</f>
        <v>3.0249999999999999</v>
      </c>
      <c r="D2088" s="6">
        <f>IFERROR(AVERAGEIF(Levels!B:B,A2088,Levels!F:F),0)</f>
        <v>6.99</v>
      </c>
      <c r="E2088" s="6">
        <f>_xlfn.MAXIFS(Levels!E:E,Levels!B:B,A2088)</f>
        <v>3.07</v>
      </c>
      <c r="F2088" s="6">
        <f>_xlfn.MAXIFS(Levels!F:F,Levels!B:B,A2088)</f>
        <v>7.72</v>
      </c>
    </row>
    <row r="2089" spans="1:6" x14ac:dyDescent="0.3">
      <c r="A2089" t="s">
        <v>9421</v>
      </c>
      <c r="B2089" s="9">
        <f>COUNTIF(Levels!B:B,A2089)</f>
        <v>1</v>
      </c>
      <c r="C2089" s="9">
        <f>IFERROR(AVERAGEIF(Levels!B:B,A2089,Levels!E:E),0)</f>
        <v>1.71</v>
      </c>
      <c r="D2089" s="9">
        <f>IFERROR(AVERAGEIF(Levels!B:B,A2089,Levels!F:F),0)</f>
        <v>8.41</v>
      </c>
      <c r="E2089" s="9">
        <f>_xlfn.MAXIFS(Levels!E:E,Levels!B:B,A2089)</f>
        <v>1.71</v>
      </c>
      <c r="F2089" s="9">
        <f>_xlfn.MAXIFS(Levels!F:F,Levels!B:B,A2089)</f>
        <v>8.41</v>
      </c>
    </row>
    <row r="2090" spans="1:6" x14ac:dyDescent="0.3">
      <c r="A2090" t="s">
        <v>9423</v>
      </c>
      <c r="B2090" s="6">
        <f>COUNTIF(Levels!B:B,A2090)</f>
        <v>10</v>
      </c>
      <c r="C2090" s="6">
        <f>IFERROR(AVERAGEIF(Levels!B:B,A2090,Levels!E:E),0)</f>
        <v>8.4022222222222229</v>
      </c>
      <c r="D2090" s="6">
        <f>IFERROR(AVERAGEIF(Levels!B:B,A2090,Levels!F:F),0)</f>
        <v>6.735555555555556</v>
      </c>
      <c r="E2090" s="6">
        <f>_xlfn.MAXIFS(Levels!E:E,Levels!B:B,A2090)</f>
        <v>22</v>
      </c>
      <c r="F2090" s="6">
        <f>_xlfn.MAXIFS(Levels!F:F,Levels!B:B,A2090)</f>
        <v>7.56</v>
      </c>
    </row>
    <row r="2091" spans="1:6" x14ac:dyDescent="0.3">
      <c r="A2091" t="s">
        <v>9430</v>
      </c>
      <c r="B2091" s="9">
        <f>COUNTIF(Levels!B:B,A2091)</f>
        <v>1</v>
      </c>
      <c r="C2091" s="9">
        <f>IFERROR(AVERAGEIF(Levels!B:B,A2091,Levels!E:E),0)</f>
        <v>15.23</v>
      </c>
      <c r="D2091" s="9">
        <f>IFERROR(AVERAGEIF(Levels!B:B,A2091,Levels!F:F),0)</f>
        <v>7.36</v>
      </c>
      <c r="E2091" s="9">
        <f>_xlfn.MAXIFS(Levels!E:E,Levels!B:B,A2091)</f>
        <v>15.23</v>
      </c>
      <c r="F2091" s="9">
        <f>_xlfn.MAXIFS(Levels!F:F,Levels!B:B,A2091)</f>
        <v>7.36</v>
      </c>
    </row>
    <row r="2092" spans="1:6" x14ac:dyDescent="0.3">
      <c r="A2092" t="s">
        <v>9435</v>
      </c>
      <c r="B2092" s="6">
        <f>COUNTIF(Levels!B:B,A2092)</f>
        <v>1</v>
      </c>
      <c r="C2092" s="6">
        <f>IFERROR(AVERAGEIF(Levels!B:B,A2092,Levels!E:E),0)</f>
        <v>5</v>
      </c>
      <c r="D2092" s="6">
        <f>IFERROR(AVERAGEIF(Levels!B:B,A2092,Levels!F:F),0)</f>
        <v>6.24</v>
      </c>
      <c r="E2092" s="6">
        <f>_xlfn.MAXIFS(Levels!E:E,Levels!B:B,A2092)</f>
        <v>5</v>
      </c>
      <c r="F2092" s="6">
        <f>_xlfn.MAXIFS(Levels!F:F,Levels!B:B,A2092)</f>
        <v>6.24</v>
      </c>
    </row>
    <row r="2093" spans="1:6" x14ac:dyDescent="0.3">
      <c r="A2093" t="s">
        <v>9446</v>
      </c>
      <c r="B2093" s="9">
        <f>COUNTIF(Levels!B:B,A2093)</f>
        <v>6</v>
      </c>
      <c r="C2093" s="9">
        <f>IFERROR(AVERAGEIF(Levels!B:B,A2093,Levels!E:E),0)</f>
        <v>11.191666666666665</v>
      </c>
      <c r="D2093" s="9">
        <f>IFERROR(AVERAGEIF(Levels!B:B,A2093,Levels!F:F),0)</f>
        <v>7.0049999999999999</v>
      </c>
      <c r="E2093" s="9">
        <f>_xlfn.MAXIFS(Levels!E:E,Levels!B:B,A2093)</f>
        <v>23.17</v>
      </c>
      <c r="F2093" s="9">
        <f>_xlfn.MAXIFS(Levels!F:F,Levels!B:B,A2093)</f>
        <v>7.61</v>
      </c>
    </row>
    <row r="2094" spans="1:6" x14ac:dyDescent="0.3">
      <c r="A2094" t="s">
        <v>9449</v>
      </c>
      <c r="B2094" s="6">
        <f>COUNTIF(Levels!B:B,A2094)</f>
        <v>2</v>
      </c>
      <c r="C2094" s="6">
        <f>IFERROR(AVERAGEIF(Levels!B:B,A2094,Levels!E:E),0)</f>
        <v>14.905000000000001</v>
      </c>
      <c r="D2094" s="6">
        <f>IFERROR(AVERAGEIF(Levels!B:B,A2094,Levels!F:F),0)</f>
        <v>5.6849999999999996</v>
      </c>
      <c r="E2094" s="6">
        <f>_xlfn.MAXIFS(Levels!E:E,Levels!B:B,A2094)</f>
        <v>17.8</v>
      </c>
      <c r="F2094" s="6">
        <f>_xlfn.MAXIFS(Levels!F:F,Levels!B:B,A2094)</f>
        <v>7.27</v>
      </c>
    </row>
    <row r="2095" spans="1:6" x14ac:dyDescent="0.3">
      <c r="A2095" t="s">
        <v>9455</v>
      </c>
      <c r="B2095" s="9">
        <f>COUNTIF(Levels!B:B,A2095)</f>
        <v>7</v>
      </c>
      <c r="C2095" s="9">
        <f>IFERROR(AVERAGEIF(Levels!B:B,A2095,Levels!E:E),0)</f>
        <v>8.3120000000000012</v>
      </c>
      <c r="D2095" s="9">
        <f>IFERROR(AVERAGEIF(Levels!B:B,A2095,Levels!F:F),0)</f>
        <v>7.0671428571428567</v>
      </c>
      <c r="E2095" s="9">
        <f>_xlfn.MAXIFS(Levels!E:E,Levels!B:B,A2095)</f>
        <v>17.5</v>
      </c>
      <c r="F2095" s="9">
        <f>_xlfn.MAXIFS(Levels!F:F,Levels!B:B,A2095)</f>
        <v>7.97</v>
      </c>
    </row>
    <row r="2096" spans="1:6" x14ac:dyDescent="0.3">
      <c r="A2096" t="s">
        <v>9457</v>
      </c>
      <c r="B2096" s="6">
        <f>COUNTIF(Levels!B:B,A2096)</f>
        <v>1</v>
      </c>
      <c r="C2096" s="6">
        <f>IFERROR(AVERAGEIF(Levels!B:B,A2096,Levels!E:E),0)</f>
        <v>5.38</v>
      </c>
      <c r="D2096" s="6">
        <f>IFERROR(AVERAGEIF(Levels!B:B,A2096,Levels!F:F),0)</f>
        <v>7.03</v>
      </c>
      <c r="E2096" s="6">
        <f>_xlfn.MAXIFS(Levels!E:E,Levels!B:B,A2096)</f>
        <v>5.38</v>
      </c>
      <c r="F2096" s="6">
        <f>_xlfn.MAXIFS(Levels!F:F,Levels!B:B,A2096)</f>
        <v>7.03</v>
      </c>
    </row>
    <row r="2097" spans="1:6" x14ac:dyDescent="0.3">
      <c r="A2097" t="s">
        <v>9465</v>
      </c>
      <c r="B2097" s="9">
        <f>COUNTIF(Levels!B:B,A2097)</f>
        <v>2</v>
      </c>
      <c r="C2097" s="9">
        <f>IFERROR(AVERAGEIF(Levels!B:B,A2097,Levels!E:E),0)</f>
        <v>5.04</v>
      </c>
      <c r="D2097" s="9">
        <f>IFERROR(AVERAGEIF(Levels!B:B,A2097,Levels!F:F),0)</f>
        <v>7.6899999999999995</v>
      </c>
      <c r="E2097" s="9">
        <f>_xlfn.MAXIFS(Levels!E:E,Levels!B:B,A2097)</f>
        <v>5.71</v>
      </c>
      <c r="F2097" s="9">
        <f>_xlfn.MAXIFS(Levels!F:F,Levels!B:B,A2097)</f>
        <v>7.71</v>
      </c>
    </row>
    <row r="2098" spans="1:6" x14ac:dyDescent="0.3">
      <c r="A2098" t="s">
        <v>9467</v>
      </c>
      <c r="B2098" s="6">
        <f>COUNTIF(Levels!B:B,A2098)</f>
        <v>2</v>
      </c>
      <c r="C2098" s="6">
        <f>IFERROR(AVERAGEIF(Levels!B:B,A2098,Levels!E:E),0)</f>
        <v>5.8450000000000006</v>
      </c>
      <c r="D2098" s="6">
        <f>IFERROR(AVERAGEIF(Levels!B:B,A2098,Levels!F:F),0)</f>
        <v>7.85</v>
      </c>
      <c r="E2098" s="6">
        <f>_xlfn.MAXIFS(Levels!E:E,Levels!B:B,A2098)</f>
        <v>7.21</v>
      </c>
      <c r="F2098" s="6">
        <f>_xlfn.MAXIFS(Levels!F:F,Levels!B:B,A2098)</f>
        <v>9.3699999999999992</v>
      </c>
    </row>
    <row r="2099" spans="1:6" x14ac:dyDescent="0.3">
      <c r="A2099" t="s">
        <v>9478</v>
      </c>
      <c r="B2099" s="9">
        <f>COUNTIF(Levels!B:B,A2099)</f>
        <v>1</v>
      </c>
      <c r="C2099" s="9">
        <f>IFERROR(AVERAGEIF(Levels!B:B,A2099,Levels!E:E),0)</f>
        <v>19.32</v>
      </c>
      <c r="D2099" s="9">
        <f>IFERROR(AVERAGEIF(Levels!B:B,A2099,Levels!F:F),0)</f>
        <v>6.5</v>
      </c>
      <c r="E2099" s="9">
        <f>_xlfn.MAXIFS(Levels!E:E,Levels!B:B,A2099)</f>
        <v>19.32</v>
      </c>
      <c r="F2099" s="9">
        <f>_xlfn.MAXIFS(Levels!F:F,Levels!B:B,A2099)</f>
        <v>6.5</v>
      </c>
    </row>
    <row r="2100" spans="1:6" x14ac:dyDescent="0.3">
      <c r="A2100" t="s">
        <v>9480</v>
      </c>
      <c r="B2100" s="6">
        <f>COUNTIF(Levels!B:B,A2100)</f>
        <v>1</v>
      </c>
      <c r="C2100" s="6">
        <f>IFERROR(AVERAGEIF(Levels!B:B,A2100,Levels!E:E),0)</f>
        <v>12.91</v>
      </c>
      <c r="D2100" s="6">
        <f>IFERROR(AVERAGEIF(Levels!B:B,A2100,Levels!F:F),0)</f>
        <v>6.78</v>
      </c>
      <c r="E2100" s="6">
        <f>_xlfn.MAXIFS(Levels!E:E,Levels!B:B,A2100)</f>
        <v>12.91</v>
      </c>
      <c r="F2100" s="6">
        <f>_xlfn.MAXIFS(Levels!F:F,Levels!B:B,A2100)</f>
        <v>6.78</v>
      </c>
    </row>
    <row r="2101" spans="1:6" x14ac:dyDescent="0.3">
      <c r="A2101" t="s">
        <v>9483</v>
      </c>
      <c r="B2101" s="9">
        <f>COUNTIF(Levels!B:B,A2101)</f>
        <v>5</v>
      </c>
      <c r="C2101" s="9">
        <f>IFERROR(AVERAGEIF(Levels!B:B,A2101,Levels!E:E),0)</f>
        <v>4.8379999999999992</v>
      </c>
      <c r="D2101" s="9">
        <f>IFERROR(AVERAGEIF(Levels!B:B,A2101,Levels!F:F),0)</f>
        <v>6.2879999999999994</v>
      </c>
      <c r="E2101" s="9">
        <f>_xlfn.MAXIFS(Levels!E:E,Levels!B:B,A2101)</f>
        <v>11.49</v>
      </c>
      <c r="F2101" s="9">
        <f>_xlfn.MAXIFS(Levels!F:F,Levels!B:B,A2101)</f>
        <v>7.04</v>
      </c>
    </row>
    <row r="2102" spans="1:6" x14ac:dyDescent="0.3">
      <c r="A2102" t="s">
        <v>9486</v>
      </c>
      <c r="B2102" s="6">
        <f>COUNTIF(Levels!B:B,A2102)</f>
        <v>1</v>
      </c>
      <c r="C2102" s="6">
        <f>IFERROR(AVERAGEIF(Levels!B:B,A2102,Levels!E:E),0)</f>
        <v>13.4</v>
      </c>
      <c r="D2102" s="6">
        <f>IFERROR(AVERAGEIF(Levels!B:B,A2102,Levels!F:F),0)</f>
        <v>8.25</v>
      </c>
      <c r="E2102" s="6">
        <f>_xlfn.MAXIFS(Levels!E:E,Levels!B:B,A2102)</f>
        <v>13.4</v>
      </c>
      <c r="F2102" s="6">
        <f>_xlfn.MAXIFS(Levels!F:F,Levels!B:B,A2102)</f>
        <v>8.25</v>
      </c>
    </row>
    <row r="2103" spans="1:6" x14ac:dyDescent="0.3">
      <c r="A2103" t="s">
        <v>9488</v>
      </c>
      <c r="B2103" s="9">
        <f>COUNTIF(Levels!B:B,A2103)</f>
        <v>1</v>
      </c>
      <c r="C2103" s="9">
        <f>IFERROR(AVERAGEIF(Levels!B:B,A2103,Levels!E:E),0)</f>
        <v>11.97</v>
      </c>
      <c r="D2103" s="9">
        <f>IFERROR(AVERAGEIF(Levels!B:B,A2103,Levels!F:F),0)</f>
        <v>7</v>
      </c>
      <c r="E2103" s="9">
        <f>_xlfn.MAXIFS(Levels!E:E,Levels!B:B,A2103)</f>
        <v>11.97</v>
      </c>
      <c r="F2103" s="9">
        <f>_xlfn.MAXIFS(Levels!F:F,Levels!B:B,A2103)</f>
        <v>7</v>
      </c>
    </row>
    <row r="2104" spans="1:6" x14ac:dyDescent="0.3">
      <c r="A2104" t="s">
        <v>9494</v>
      </c>
      <c r="B2104" s="6">
        <f>COUNTIF(Levels!B:B,A2104)</f>
        <v>2</v>
      </c>
      <c r="C2104" s="6">
        <f>IFERROR(AVERAGEIF(Levels!B:B,A2104,Levels!E:E),0)</f>
        <v>22.25</v>
      </c>
      <c r="D2104" s="6">
        <f>IFERROR(AVERAGEIF(Levels!B:B,A2104,Levels!F:F),0)</f>
        <v>7.5</v>
      </c>
      <c r="E2104" s="6">
        <f>_xlfn.MAXIFS(Levels!E:E,Levels!B:B,A2104)</f>
        <v>22.5</v>
      </c>
      <c r="F2104" s="6">
        <f>_xlfn.MAXIFS(Levels!F:F,Levels!B:B,A2104)</f>
        <v>10</v>
      </c>
    </row>
    <row r="2105" spans="1:6" x14ac:dyDescent="0.3">
      <c r="A2105" t="s">
        <v>9497</v>
      </c>
      <c r="B2105" s="9">
        <f>COUNTIF(Levels!B:B,A2105)</f>
        <v>1</v>
      </c>
      <c r="C2105" s="9">
        <f>IFERROR(AVERAGEIF(Levels!B:B,A2105,Levels!E:E),0)</f>
        <v>1.69</v>
      </c>
      <c r="D2105" s="9">
        <f>IFERROR(AVERAGEIF(Levels!B:B,A2105,Levels!F:F),0)</f>
        <v>7.88</v>
      </c>
      <c r="E2105" s="9">
        <f>_xlfn.MAXIFS(Levels!E:E,Levels!B:B,A2105)</f>
        <v>1.69</v>
      </c>
      <c r="F2105" s="9">
        <f>_xlfn.MAXIFS(Levels!F:F,Levels!B:B,A2105)</f>
        <v>7.88</v>
      </c>
    </row>
    <row r="2106" spans="1:6" x14ac:dyDescent="0.3">
      <c r="A2106" t="s">
        <v>9499</v>
      </c>
      <c r="B2106" s="6">
        <f>COUNTIF(Levels!B:B,A2106)</f>
        <v>1</v>
      </c>
      <c r="C2106" s="6">
        <f>IFERROR(AVERAGEIF(Levels!B:B,A2106,Levels!E:E),0)</f>
        <v>12</v>
      </c>
      <c r="D2106" s="6">
        <f>IFERROR(AVERAGEIF(Levels!B:B,A2106,Levels!F:F),0)</f>
        <v>0</v>
      </c>
      <c r="E2106" s="6">
        <f>_xlfn.MAXIFS(Levels!E:E,Levels!B:B,A2106)</f>
        <v>12</v>
      </c>
      <c r="F2106" s="6">
        <f>_xlfn.MAXIFS(Levels!F:F,Levels!B:B,A2106)</f>
        <v>0</v>
      </c>
    </row>
    <row r="2107" spans="1:6" x14ac:dyDescent="0.3">
      <c r="A2107" t="s">
        <v>9505</v>
      </c>
      <c r="B2107" s="9">
        <f>COUNTIF(Levels!B:B,A2107)</f>
        <v>1</v>
      </c>
      <c r="C2107" s="9">
        <f>IFERROR(AVERAGEIF(Levels!B:B,A2107,Levels!E:E),0)</f>
        <v>2.86</v>
      </c>
      <c r="D2107" s="9">
        <f>IFERROR(AVERAGEIF(Levels!B:B,A2107,Levels!F:F),0)</f>
        <v>6.56</v>
      </c>
      <c r="E2107" s="9">
        <f>_xlfn.MAXIFS(Levels!E:E,Levels!B:B,A2107)</f>
        <v>2.86</v>
      </c>
      <c r="F2107" s="9">
        <f>_xlfn.MAXIFS(Levels!F:F,Levels!B:B,A2107)</f>
        <v>6.56</v>
      </c>
    </row>
    <row r="2108" spans="1:6" x14ac:dyDescent="0.3">
      <c r="A2108" t="s">
        <v>9508</v>
      </c>
      <c r="B2108" s="6">
        <f>COUNTIF(Levels!B:B,A2108)</f>
        <v>1</v>
      </c>
      <c r="C2108" s="6">
        <f>IFERROR(AVERAGEIF(Levels!B:B,A2108,Levels!E:E),0)</f>
        <v>4</v>
      </c>
      <c r="D2108" s="6">
        <f>IFERROR(AVERAGEIF(Levels!B:B,A2108,Levels!F:F),0)</f>
        <v>6.29</v>
      </c>
      <c r="E2108" s="6">
        <f>_xlfn.MAXIFS(Levels!E:E,Levels!B:B,A2108)</f>
        <v>4</v>
      </c>
      <c r="F2108" s="6">
        <f>_xlfn.MAXIFS(Levels!F:F,Levels!B:B,A2108)</f>
        <v>6.29</v>
      </c>
    </row>
    <row r="2109" spans="1:6" x14ac:dyDescent="0.3">
      <c r="A2109" t="s">
        <v>9509</v>
      </c>
      <c r="B2109" s="9">
        <f>COUNTIF(Levels!B:B,A2109)</f>
        <v>5</v>
      </c>
      <c r="C2109" s="9">
        <f>IFERROR(AVERAGEIF(Levels!B:B,A2109,Levels!E:E),0)</f>
        <v>3.0019999999999998</v>
      </c>
      <c r="D2109" s="9">
        <f>IFERROR(AVERAGEIF(Levels!B:B,A2109,Levels!F:F),0)</f>
        <v>7.8860000000000001</v>
      </c>
      <c r="E2109" s="9">
        <f>_xlfn.MAXIFS(Levels!E:E,Levels!B:B,A2109)</f>
        <v>5.15</v>
      </c>
      <c r="F2109" s="9">
        <f>_xlfn.MAXIFS(Levels!F:F,Levels!B:B,A2109)</f>
        <v>8.7200000000000006</v>
      </c>
    </row>
    <row r="2110" spans="1:6" x14ac:dyDescent="0.3">
      <c r="A2110" t="s">
        <v>9512</v>
      </c>
      <c r="B2110" s="6">
        <f>COUNTIF(Levels!B:B,A2110)</f>
        <v>1</v>
      </c>
      <c r="C2110" s="6">
        <f>IFERROR(AVERAGEIF(Levels!B:B,A2110,Levels!E:E),0)</f>
        <v>4.43</v>
      </c>
      <c r="D2110" s="6">
        <f>IFERROR(AVERAGEIF(Levels!B:B,A2110,Levels!F:F),0)</f>
        <v>6.5</v>
      </c>
      <c r="E2110" s="6">
        <f>_xlfn.MAXIFS(Levels!E:E,Levels!B:B,A2110)</f>
        <v>4.43</v>
      </c>
      <c r="F2110" s="6">
        <f>_xlfn.MAXIFS(Levels!F:F,Levels!B:B,A2110)</f>
        <v>6.5</v>
      </c>
    </row>
    <row r="2111" spans="1:6" x14ac:dyDescent="0.3">
      <c r="A2111" t="s">
        <v>9517</v>
      </c>
      <c r="B2111" s="9">
        <f>COUNTIF(Levels!B:B,A2111)</f>
        <v>1</v>
      </c>
      <c r="C2111" s="9">
        <f>IFERROR(AVERAGEIF(Levels!B:B,A2111,Levels!E:E),0)</f>
        <v>19.600000000000001</v>
      </c>
      <c r="D2111" s="9">
        <f>IFERROR(AVERAGEIF(Levels!B:B,A2111,Levels!F:F),0)</f>
        <v>8</v>
      </c>
      <c r="E2111" s="9">
        <f>_xlfn.MAXIFS(Levels!E:E,Levels!B:B,A2111)</f>
        <v>19.600000000000001</v>
      </c>
      <c r="F2111" s="9">
        <f>_xlfn.MAXIFS(Levels!F:F,Levels!B:B,A2111)</f>
        <v>8</v>
      </c>
    </row>
    <row r="2112" spans="1:6" x14ac:dyDescent="0.3">
      <c r="A2112" t="s">
        <v>9520</v>
      </c>
      <c r="B2112" s="6">
        <f>COUNTIF(Levels!B:B,A2112)</f>
        <v>3</v>
      </c>
      <c r="C2112" s="6">
        <f>IFERROR(AVERAGEIF(Levels!B:B,A2112,Levels!E:E),0)</f>
        <v>18.503333333333334</v>
      </c>
      <c r="D2112" s="6">
        <f>IFERROR(AVERAGEIF(Levels!B:B,A2112,Levels!F:F),0)</f>
        <v>6.9666666666666659</v>
      </c>
      <c r="E2112" s="6">
        <f>_xlfn.MAXIFS(Levels!E:E,Levels!B:B,A2112)</f>
        <v>31.5</v>
      </c>
      <c r="F2112" s="6">
        <f>_xlfn.MAXIFS(Levels!F:F,Levels!B:B,A2112)</f>
        <v>8.5</v>
      </c>
    </row>
    <row r="2113" spans="1:6" x14ac:dyDescent="0.3">
      <c r="A2113" t="s">
        <v>9537</v>
      </c>
      <c r="B2113" s="9">
        <f>COUNTIF(Levels!B:B,A2113)</f>
        <v>1</v>
      </c>
      <c r="C2113" s="9">
        <f>IFERROR(AVERAGEIF(Levels!B:B,A2113,Levels!E:E),0)</f>
        <v>6.14</v>
      </c>
      <c r="D2113" s="9">
        <f>IFERROR(AVERAGEIF(Levels!B:B,A2113,Levels!F:F),0)</f>
        <v>6.83</v>
      </c>
      <c r="E2113" s="9">
        <f>_xlfn.MAXIFS(Levels!E:E,Levels!B:B,A2113)</f>
        <v>6.14</v>
      </c>
      <c r="F2113" s="9">
        <f>_xlfn.MAXIFS(Levels!F:F,Levels!B:B,A2113)</f>
        <v>6.83</v>
      </c>
    </row>
    <row r="2114" spans="1:6" x14ac:dyDescent="0.3">
      <c r="A2114" t="s">
        <v>9544</v>
      </c>
      <c r="B2114" s="6">
        <f>COUNTIF(Levels!B:B,A2114)</f>
        <v>2</v>
      </c>
      <c r="C2114" s="6">
        <f>IFERROR(AVERAGEIF(Levels!B:B,A2114,Levels!E:E),0)</f>
        <v>3.39</v>
      </c>
      <c r="D2114" s="6">
        <f>IFERROR(AVERAGEIF(Levels!B:B,A2114,Levels!F:F),0)</f>
        <v>6.34</v>
      </c>
      <c r="E2114" s="6">
        <f>_xlfn.MAXIFS(Levels!E:E,Levels!B:B,A2114)</f>
        <v>3.87</v>
      </c>
      <c r="F2114" s="6">
        <f>_xlfn.MAXIFS(Levels!F:F,Levels!B:B,A2114)</f>
        <v>6.62</v>
      </c>
    </row>
    <row r="2115" spans="1:6" x14ac:dyDescent="0.3">
      <c r="A2115" t="s">
        <v>9547</v>
      </c>
      <c r="B2115" s="9">
        <f>COUNTIF(Levels!B:B,A2115)</f>
        <v>3</v>
      </c>
      <c r="C2115" s="9">
        <f>IFERROR(AVERAGEIF(Levels!B:B,A2115,Levels!E:E),0)</f>
        <v>16.914999999999999</v>
      </c>
      <c r="D2115" s="9">
        <f>IFERROR(AVERAGEIF(Levels!B:B,A2115,Levels!F:F),0)</f>
        <v>7.9600000000000009</v>
      </c>
      <c r="E2115" s="9">
        <f>_xlfn.MAXIFS(Levels!E:E,Levels!B:B,A2115)</f>
        <v>17.63</v>
      </c>
      <c r="F2115" s="9">
        <f>_xlfn.MAXIFS(Levels!F:F,Levels!B:B,A2115)</f>
        <v>9.32</v>
      </c>
    </row>
    <row r="2116" spans="1:6" x14ac:dyDescent="0.3">
      <c r="A2116" t="s">
        <v>9550</v>
      </c>
      <c r="B2116" s="6">
        <f>COUNTIF(Levels!B:B,A2116)</f>
        <v>5</v>
      </c>
      <c r="C2116" s="6">
        <f>IFERROR(AVERAGEIF(Levels!B:B,A2116,Levels!E:E),0)</f>
        <v>6.5075000000000003</v>
      </c>
      <c r="D2116" s="6">
        <f>IFERROR(AVERAGEIF(Levels!B:B,A2116,Levels!F:F),0)</f>
        <v>6.8949999999999996</v>
      </c>
      <c r="E2116" s="6">
        <f>_xlfn.MAXIFS(Levels!E:E,Levels!B:B,A2116)</f>
        <v>10.86</v>
      </c>
      <c r="F2116" s="6">
        <f>_xlfn.MAXIFS(Levels!F:F,Levels!B:B,A2116)</f>
        <v>7.57</v>
      </c>
    </row>
    <row r="2117" spans="1:6" x14ac:dyDescent="0.3">
      <c r="A2117" t="s">
        <v>9554</v>
      </c>
      <c r="B2117" s="9">
        <f>COUNTIF(Levels!B:B,A2117)</f>
        <v>1</v>
      </c>
      <c r="C2117" s="9">
        <f>IFERROR(AVERAGEIF(Levels!B:B,A2117,Levels!E:E),0)</f>
        <v>4.2300000000000004</v>
      </c>
      <c r="D2117" s="9">
        <f>IFERROR(AVERAGEIF(Levels!B:B,A2117,Levels!F:F),0)</f>
        <v>7.38</v>
      </c>
      <c r="E2117" s="9">
        <f>_xlfn.MAXIFS(Levels!E:E,Levels!B:B,A2117)</f>
        <v>4.2300000000000004</v>
      </c>
      <c r="F2117" s="9">
        <f>_xlfn.MAXIFS(Levels!F:F,Levels!B:B,A2117)</f>
        <v>7.38</v>
      </c>
    </row>
    <row r="2118" spans="1:6" x14ac:dyDescent="0.3">
      <c r="A2118" t="s">
        <v>9562</v>
      </c>
      <c r="B2118" s="6">
        <f>COUNTIF(Levels!B:B,A2118)</f>
        <v>1</v>
      </c>
      <c r="C2118" s="6">
        <f>IFERROR(AVERAGEIF(Levels!B:B,A2118,Levels!E:E),0)</f>
        <v>11</v>
      </c>
      <c r="D2118" s="6">
        <f>IFERROR(AVERAGEIF(Levels!B:B,A2118,Levels!F:F),0)</f>
        <v>8</v>
      </c>
      <c r="E2118" s="6">
        <f>_xlfn.MAXIFS(Levels!E:E,Levels!B:B,A2118)</f>
        <v>11</v>
      </c>
      <c r="F2118" s="6">
        <f>_xlfn.MAXIFS(Levels!F:F,Levels!B:B,A2118)</f>
        <v>8</v>
      </c>
    </row>
    <row r="2119" spans="1:6" x14ac:dyDescent="0.3">
      <c r="A2119" t="s">
        <v>9565</v>
      </c>
      <c r="B2119" s="9">
        <f>COUNTIF(Levels!B:B,A2119)</f>
        <v>9</v>
      </c>
      <c r="C2119" s="9">
        <f>IFERROR(AVERAGEIF(Levels!B:B,A2119,Levels!E:E),0)</f>
        <v>11.421111111111111</v>
      </c>
      <c r="D2119" s="9">
        <f>IFERROR(AVERAGEIF(Levels!B:B,A2119,Levels!F:F),0)</f>
        <v>7.4744444444444458</v>
      </c>
      <c r="E2119" s="9">
        <f>_xlfn.MAXIFS(Levels!E:E,Levels!B:B,A2119)</f>
        <v>23.67</v>
      </c>
      <c r="F2119" s="9">
        <f>_xlfn.MAXIFS(Levels!F:F,Levels!B:B,A2119)</f>
        <v>8.5</v>
      </c>
    </row>
    <row r="2120" spans="1:6" x14ac:dyDescent="0.3">
      <c r="A2120" t="s">
        <v>9572</v>
      </c>
      <c r="B2120" s="6">
        <f>COUNTIF(Levels!B:B,A2120)</f>
        <v>1</v>
      </c>
      <c r="C2120" s="6">
        <f>IFERROR(AVERAGEIF(Levels!B:B,A2120,Levels!E:E),0)</f>
        <v>3.85</v>
      </c>
      <c r="D2120" s="6">
        <f>IFERROR(AVERAGEIF(Levels!B:B,A2120,Levels!F:F),0)</f>
        <v>7.04</v>
      </c>
      <c r="E2120" s="6">
        <f>_xlfn.MAXIFS(Levels!E:E,Levels!B:B,A2120)</f>
        <v>3.85</v>
      </c>
      <c r="F2120" s="6">
        <f>_xlfn.MAXIFS(Levels!F:F,Levels!B:B,A2120)</f>
        <v>7.04</v>
      </c>
    </row>
    <row r="2121" spans="1:6" x14ac:dyDescent="0.3">
      <c r="A2121" t="s">
        <v>9574</v>
      </c>
      <c r="B2121" s="9">
        <f>COUNTIF(Levels!B:B,A2121)</f>
        <v>2</v>
      </c>
      <c r="C2121" s="9">
        <f>IFERROR(AVERAGEIF(Levels!B:B,A2121,Levels!E:E),0)</f>
        <v>9.2349999999999994</v>
      </c>
      <c r="D2121" s="9">
        <f>IFERROR(AVERAGEIF(Levels!B:B,A2121,Levels!F:F),0)</f>
        <v>5.96</v>
      </c>
      <c r="E2121" s="9">
        <f>_xlfn.MAXIFS(Levels!E:E,Levels!B:B,A2121)</f>
        <v>15.09</v>
      </c>
      <c r="F2121" s="9">
        <f>_xlfn.MAXIFS(Levels!F:F,Levels!B:B,A2121)</f>
        <v>6.83</v>
      </c>
    </row>
    <row r="2122" spans="1:6" x14ac:dyDescent="0.3">
      <c r="A2122" t="s">
        <v>9578</v>
      </c>
      <c r="B2122" s="6">
        <f>COUNTIF(Levels!B:B,A2122)</f>
        <v>1</v>
      </c>
      <c r="C2122" s="6">
        <f>IFERROR(AVERAGEIF(Levels!B:B,A2122,Levels!E:E),0)</f>
        <v>6.04</v>
      </c>
      <c r="D2122" s="6">
        <f>IFERROR(AVERAGEIF(Levels!B:B,A2122,Levels!F:F),0)</f>
        <v>6.44</v>
      </c>
      <c r="E2122" s="6">
        <f>_xlfn.MAXIFS(Levels!E:E,Levels!B:B,A2122)</f>
        <v>6.04</v>
      </c>
      <c r="F2122" s="6">
        <f>_xlfn.MAXIFS(Levels!F:F,Levels!B:B,A2122)</f>
        <v>6.44</v>
      </c>
    </row>
    <row r="2123" spans="1:6" x14ac:dyDescent="0.3">
      <c r="A2123" t="s">
        <v>9580</v>
      </c>
      <c r="B2123" s="9">
        <f>COUNTIF(Levels!B:B,A2123)</f>
        <v>2</v>
      </c>
      <c r="C2123" s="9">
        <f>IFERROR(AVERAGEIF(Levels!B:B,A2123,Levels!E:E),0)</f>
        <v>10.039999999999999</v>
      </c>
      <c r="D2123" s="9">
        <f>IFERROR(AVERAGEIF(Levels!B:B,A2123,Levels!F:F),0)</f>
        <v>5.2850000000000001</v>
      </c>
      <c r="E2123" s="9">
        <f>_xlfn.MAXIFS(Levels!E:E,Levels!B:B,A2123)</f>
        <v>11.57</v>
      </c>
      <c r="F2123" s="9">
        <f>_xlfn.MAXIFS(Levels!F:F,Levels!B:B,A2123)</f>
        <v>5.32</v>
      </c>
    </row>
    <row r="2124" spans="1:6" x14ac:dyDescent="0.3">
      <c r="A2124" t="s">
        <v>9582</v>
      </c>
      <c r="B2124" s="6">
        <f>COUNTIF(Levels!B:B,A2124)</f>
        <v>1</v>
      </c>
      <c r="C2124" s="6">
        <f>IFERROR(AVERAGEIF(Levels!B:B,A2124,Levels!E:E),0)</f>
        <v>30.67</v>
      </c>
      <c r="D2124" s="6">
        <f>IFERROR(AVERAGEIF(Levels!B:B,A2124,Levels!F:F),0)</f>
        <v>7.67</v>
      </c>
      <c r="E2124" s="6">
        <f>_xlfn.MAXIFS(Levels!E:E,Levels!B:B,A2124)</f>
        <v>30.67</v>
      </c>
      <c r="F2124" s="6">
        <f>_xlfn.MAXIFS(Levels!F:F,Levels!B:B,A2124)</f>
        <v>7.67</v>
      </c>
    </row>
    <row r="2125" spans="1:6" x14ac:dyDescent="0.3">
      <c r="A2125" t="s">
        <v>9587</v>
      </c>
      <c r="B2125" s="9">
        <f>COUNTIF(Levels!B:B,A2125)</f>
        <v>1</v>
      </c>
      <c r="C2125" s="9">
        <f>IFERROR(AVERAGEIF(Levels!B:B,A2125,Levels!E:E),0)</f>
        <v>30.1</v>
      </c>
      <c r="D2125" s="9">
        <f>IFERROR(AVERAGEIF(Levels!B:B,A2125,Levels!F:F),0)</f>
        <v>7.67</v>
      </c>
      <c r="E2125" s="9">
        <f>_xlfn.MAXIFS(Levels!E:E,Levels!B:B,A2125)</f>
        <v>30.1</v>
      </c>
      <c r="F2125" s="9">
        <f>_xlfn.MAXIFS(Levels!F:F,Levels!B:B,A2125)</f>
        <v>7.67</v>
      </c>
    </row>
    <row r="2126" spans="1:6" x14ac:dyDescent="0.3">
      <c r="A2126" t="s">
        <v>9590</v>
      </c>
      <c r="B2126" s="6">
        <f>COUNTIF(Levels!B:B,A2126)</f>
        <v>2</v>
      </c>
      <c r="C2126" s="6">
        <f>IFERROR(AVERAGEIF(Levels!B:B,A2126,Levels!E:E),0)</f>
        <v>16.059999999999999</v>
      </c>
      <c r="D2126" s="6">
        <f>IFERROR(AVERAGEIF(Levels!B:B,A2126,Levels!F:F),0)</f>
        <v>5.5</v>
      </c>
      <c r="E2126" s="6">
        <f>_xlfn.MAXIFS(Levels!E:E,Levels!B:B,A2126)</f>
        <v>18.5</v>
      </c>
      <c r="F2126" s="6">
        <f>_xlfn.MAXIFS(Levels!F:F,Levels!B:B,A2126)</f>
        <v>6</v>
      </c>
    </row>
    <row r="2127" spans="1:6" x14ac:dyDescent="0.3">
      <c r="A2127" t="s">
        <v>9592</v>
      </c>
      <c r="B2127" s="9">
        <f>COUNTIF(Levels!B:B,A2127)</f>
        <v>1</v>
      </c>
      <c r="C2127" s="9">
        <f>IFERROR(AVERAGEIF(Levels!B:B,A2127,Levels!E:E),0)</f>
        <v>3.89</v>
      </c>
      <c r="D2127" s="9">
        <f>IFERROR(AVERAGEIF(Levels!B:B,A2127,Levels!F:F),0)</f>
        <v>6.4</v>
      </c>
      <c r="E2127" s="9">
        <f>_xlfn.MAXIFS(Levels!E:E,Levels!B:B,A2127)</f>
        <v>3.89</v>
      </c>
      <c r="F2127" s="9">
        <f>_xlfn.MAXIFS(Levels!F:F,Levels!B:B,A2127)</f>
        <v>6.4</v>
      </c>
    </row>
    <row r="2128" spans="1:6" x14ac:dyDescent="0.3">
      <c r="A2128" t="s">
        <v>9596</v>
      </c>
      <c r="B2128" s="6">
        <f>COUNTIF(Levels!B:B,A2128)</f>
        <v>2</v>
      </c>
      <c r="C2128" s="6">
        <f>IFERROR(AVERAGEIF(Levels!B:B,A2128,Levels!E:E),0)</f>
        <v>14.670000000000002</v>
      </c>
      <c r="D2128" s="6">
        <f>IFERROR(AVERAGEIF(Levels!B:B,A2128,Levels!F:F),0)</f>
        <v>8.08</v>
      </c>
      <c r="E2128" s="6">
        <f>_xlfn.MAXIFS(Levels!E:E,Levels!B:B,A2128)</f>
        <v>16.78</v>
      </c>
      <c r="F2128" s="6">
        <f>_xlfn.MAXIFS(Levels!F:F,Levels!B:B,A2128)</f>
        <v>8.6</v>
      </c>
    </row>
    <row r="2129" spans="1:6" x14ac:dyDescent="0.3">
      <c r="A2129" t="s">
        <v>9598</v>
      </c>
      <c r="B2129" s="9">
        <f>COUNTIF(Levels!B:B,A2129)</f>
        <v>1</v>
      </c>
      <c r="C2129" s="9">
        <f>IFERROR(AVERAGEIF(Levels!B:B,A2129,Levels!E:E),0)</f>
        <v>18.63</v>
      </c>
      <c r="D2129" s="9">
        <f>IFERROR(AVERAGEIF(Levels!B:B,A2129,Levels!F:F),0)</f>
        <v>6.57</v>
      </c>
      <c r="E2129" s="9">
        <f>_xlfn.MAXIFS(Levels!E:E,Levels!B:B,A2129)</f>
        <v>18.63</v>
      </c>
      <c r="F2129" s="9">
        <f>_xlfn.MAXIFS(Levels!F:F,Levels!B:B,A2129)</f>
        <v>6.57</v>
      </c>
    </row>
    <row r="2130" spans="1:6" x14ac:dyDescent="0.3">
      <c r="A2130" t="s">
        <v>9600</v>
      </c>
      <c r="B2130" s="6">
        <f>COUNTIF(Levels!B:B,A2130)</f>
        <v>2</v>
      </c>
      <c r="C2130" s="6">
        <f>IFERROR(AVERAGEIF(Levels!B:B,A2130,Levels!E:E),0)</f>
        <v>21.880000000000003</v>
      </c>
      <c r="D2130" s="6">
        <f>IFERROR(AVERAGEIF(Levels!B:B,A2130,Levels!F:F),0)</f>
        <v>8.32</v>
      </c>
      <c r="E2130" s="6">
        <f>_xlfn.MAXIFS(Levels!E:E,Levels!B:B,A2130)</f>
        <v>24.5</v>
      </c>
      <c r="F2130" s="6">
        <f>_xlfn.MAXIFS(Levels!F:F,Levels!B:B,A2130)</f>
        <v>10</v>
      </c>
    </row>
    <row r="2131" spans="1:6" x14ac:dyDescent="0.3">
      <c r="A2131" t="s">
        <v>9602</v>
      </c>
      <c r="B2131" s="9">
        <f>COUNTIF(Levels!B:B,A2131)</f>
        <v>3</v>
      </c>
      <c r="C2131" s="9">
        <f>IFERROR(AVERAGEIF(Levels!B:B,A2131,Levels!E:E),0)</f>
        <v>10.126666666666667</v>
      </c>
      <c r="D2131" s="9">
        <f>IFERROR(AVERAGEIF(Levels!B:B,A2131,Levels!F:F),0)</f>
        <v>8.2333333333333325</v>
      </c>
      <c r="E2131" s="9">
        <f>_xlfn.MAXIFS(Levels!E:E,Levels!B:B,A2131)</f>
        <v>13.06</v>
      </c>
      <c r="F2131" s="9">
        <f>_xlfn.MAXIFS(Levels!F:F,Levels!B:B,A2131)</f>
        <v>8.64</v>
      </c>
    </row>
    <row r="2132" spans="1:6" x14ac:dyDescent="0.3">
      <c r="A2132" t="s">
        <v>9604</v>
      </c>
      <c r="B2132" s="6">
        <f>COUNTIF(Levels!B:B,A2132)</f>
        <v>2</v>
      </c>
      <c r="C2132" s="6">
        <f>IFERROR(AVERAGEIF(Levels!B:B,A2132,Levels!E:E),0)</f>
        <v>16.490000000000002</v>
      </c>
      <c r="D2132" s="6">
        <f>IFERROR(AVERAGEIF(Levels!B:B,A2132,Levels!F:F),0)</f>
        <v>5.0649999999999995</v>
      </c>
      <c r="E2132" s="6">
        <f>_xlfn.MAXIFS(Levels!E:E,Levels!B:B,A2132)</f>
        <v>28.6</v>
      </c>
      <c r="F2132" s="6">
        <f>_xlfn.MAXIFS(Levels!F:F,Levels!B:B,A2132)</f>
        <v>6.33</v>
      </c>
    </row>
    <row r="2133" spans="1:6" x14ac:dyDescent="0.3">
      <c r="A2133" t="s">
        <v>9611</v>
      </c>
      <c r="B2133" s="9">
        <f>COUNTIF(Levels!B:B,A2133)</f>
        <v>6</v>
      </c>
      <c r="C2133" s="9">
        <f>IFERROR(AVERAGEIF(Levels!B:B,A2133,Levels!E:E),0)</f>
        <v>11.586666666666666</v>
      </c>
      <c r="D2133" s="9">
        <f>IFERROR(AVERAGEIF(Levels!B:B,A2133,Levels!F:F),0)</f>
        <v>5.919999999999999</v>
      </c>
      <c r="E2133" s="9">
        <f>_xlfn.MAXIFS(Levels!E:E,Levels!B:B,A2133)</f>
        <v>19</v>
      </c>
      <c r="F2133" s="9">
        <f>_xlfn.MAXIFS(Levels!F:F,Levels!B:B,A2133)</f>
        <v>8</v>
      </c>
    </row>
    <row r="2134" spans="1:6" x14ac:dyDescent="0.3">
      <c r="A2134" t="s">
        <v>9613</v>
      </c>
      <c r="B2134" s="6">
        <f>COUNTIF(Levels!B:B,A2134)</f>
        <v>1</v>
      </c>
      <c r="C2134" s="6">
        <f>IFERROR(AVERAGEIF(Levels!B:B,A2134,Levels!E:E),0)</f>
        <v>3.7</v>
      </c>
      <c r="D2134" s="6">
        <f>IFERROR(AVERAGEIF(Levels!B:B,A2134,Levels!F:F),0)</f>
        <v>6.16</v>
      </c>
      <c r="E2134" s="6">
        <f>_xlfn.MAXIFS(Levels!E:E,Levels!B:B,A2134)</f>
        <v>3.7</v>
      </c>
      <c r="F2134" s="6">
        <f>_xlfn.MAXIFS(Levels!F:F,Levels!B:B,A2134)</f>
        <v>6.16</v>
      </c>
    </row>
    <row r="2135" spans="1:6" x14ac:dyDescent="0.3">
      <c r="A2135" t="s">
        <v>9618</v>
      </c>
      <c r="B2135" s="9">
        <f>COUNTIF(Levels!B:B,A2135)</f>
        <v>1</v>
      </c>
      <c r="C2135" s="9">
        <f>IFERROR(AVERAGEIF(Levels!B:B,A2135,Levels!E:E),0)</f>
        <v>11.58</v>
      </c>
      <c r="D2135" s="9">
        <f>IFERROR(AVERAGEIF(Levels!B:B,A2135,Levels!F:F),0)</f>
        <v>8.6199999999999992</v>
      </c>
      <c r="E2135" s="9">
        <f>_xlfn.MAXIFS(Levels!E:E,Levels!B:B,A2135)</f>
        <v>11.58</v>
      </c>
      <c r="F2135" s="9">
        <f>_xlfn.MAXIFS(Levels!F:F,Levels!B:B,A2135)</f>
        <v>8.6199999999999992</v>
      </c>
    </row>
    <row r="2136" spans="1:6" x14ac:dyDescent="0.3">
      <c r="A2136" t="s">
        <v>9621</v>
      </c>
      <c r="B2136" s="6">
        <f>COUNTIF(Levels!B:B,A2136)</f>
        <v>11</v>
      </c>
      <c r="C2136" s="6">
        <f>IFERROR(AVERAGEIF(Levels!B:B,A2136,Levels!E:E),0)</f>
        <v>15.73</v>
      </c>
      <c r="D2136" s="6">
        <f>IFERROR(AVERAGEIF(Levels!B:B,A2136,Levels!F:F),0)</f>
        <v>6.5839999999999987</v>
      </c>
      <c r="E2136" s="6">
        <f>_xlfn.MAXIFS(Levels!E:E,Levels!B:B,A2136)</f>
        <v>15.73</v>
      </c>
      <c r="F2136" s="6">
        <f>_xlfn.MAXIFS(Levels!F:F,Levels!B:B,A2136)</f>
        <v>7.64</v>
      </c>
    </row>
    <row r="2137" spans="1:6" x14ac:dyDescent="0.3">
      <c r="A2137" t="s">
        <v>9623</v>
      </c>
      <c r="B2137" s="9">
        <f>COUNTIF(Levels!B:B,A2137)</f>
        <v>1</v>
      </c>
      <c r="C2137" s="9">
        <f>IFERROR(AVERAGEIF(Levels!B:B,A2137,Levels!E:E),0)</f>
        <v>9.8800000000000008</v>
      </c>
      <c r="D2137" s="9">
        <f>IFERROR(AVERAGEIF(Levels!B:B,A2137,Levels!F:F),0)</f>
        <v>6.4</v>
      </c>
      <c r="E2137" s="9">
        <f>_xlfn.MAXIFS(Levels!E:E,Levels!B:B,A2137)</f>
        <v>9.8800000000000008</v>
      </c>
      <c r="F2137" s="9">
        <f>_xlfn.MAXIFS(Levels!F:F,Levels!B:B,A2137)</f>
        <v>6.4</v>
      </c>
    </row>
    <row r="2138" spans="1:6" x14ac:dyDescent="0.3">
      <c r="A2138" t="s">
        <v>9626</v>
      </c>
      <c r="B2138" s="6">
        <f>COUNTIF(Levels!B:B,A2138)</f>
        <v>1</v>
      </c>
      <c r="C2138" s="6">
        <f>IFERROR(AVERAGEIF(Levels!B:B,A2138,Levels!E:E),0)</f>
        <v>23</v>
      </c>
      <c r="D2138" s="6">
        <f>IFERROR(AVERAGEIF(Levels!B:B,A2138,Levels!F:F),0)</f>
        <v>10</v>
      </c>
      <c r="E2138" s="6">
        <f>_xlfn.MAXIFS(Levels!E:E,Levels!B:B,A2138)</f>
        <v>23</v>
      </c>
      <c r="F2138" s="6">
        <f>_xlfn.MAXIFS(Levels!F:F,Levels!B:B,A2138)</f>
        <v>10</v>
      </c>
    </row>
    <row r="2139" spans="1:6" x14ac:dyDescent="0.3">
      <c r="A2139" t="s">
        <v>9637</v>
      </c>
      <c r="B2139" s="9">
        <f>COUNTIF(Levels!B:B,A2139)</f>
        <v>1</v>
      </c>
      <c r="C2139" s="9">
        <f>IFERROR(AVERAGEIF(Levels!B:B,A2139,Levels!E:E),0)</f>
        <v>16.16</v>
      </c>
      <c r="D2139" s="9">
        <f>IFERROR(AVERAGEIF(Levels!B:B,A2139,Levels!F:F),0)</f>
        <v>3.56</v>
      </c>
      <c r="E2139" s="9">
        <f>_xlfn.MAXIFS(Levels!E:E,Levels!B:B,A2139)</f>
        <v>16.16</v>
      </c>
      <c r="F2139" s="9">
        <f>_xlfn.MAXIFS(Levels!F:F,Levels!B:B,A2139)</f>
        <v>3.56</v>
      </c>
    </row>
    <row r="2140" spans="1:6" x14ac:dyDescent="0.3">
      <c r="A2140" t="s">
        <v>9639</v>
      </c>
      <c r="B2140" s="6">
        <f>COUNTIF(Levels!B:B,A2140)</f>
        <v>1</v>
      </c>
      <c r="C2140" s="6">
        <f>IFERROR(AVERAGEIF(Levels!B:B,A2140,Levels!E:E),0)</f>
        <v>7.27</v>
      </c>
      <c r="D2140" s="6">
        <f>IFERROR(AVERAGEIF(Levels!B:B,A2140,Levels!F:F),0)</f>
        <v>8.3800000000000008</v>
      </c>
      <c r="E2140" s="6">
        <f>_xlfn.MAXIFS(Levels!E:E,Levels!B:B,A2140)</f>
        <v>7.27</v>
      </c>
      <c r="F2140" s="6">
        <f>_xlfn.MAXIFS(Levels!F:F,Levels!B:B,A2140)</f>
        <v>8.3800000000000008</v>
      </c>
    </row>
    <row r="2141" spans="1:6" x14ac:dyDescent="0.3">
      <c r="A2141" t="s">
        <v>9643</v>
      </c>
      <c r="B2141" s="9">
        <f>COUNTIF(Levels!B:B,A2141)</f>
        <v>1</v>
      </c>
      <c r="C2141" s="9">
        <f>IFERROR(AVERAGEIF(Levels!B:B,A2141,Levels!E:E),0)</f>
        <v>0</v>
      </c>
      <c r="D2141" s="9">
        <f>IFERROR(AVERAGEIF(Levels!B:B,A2141,Levels!F:F),0)</f>
        <v>0</v>
      </c>
      <c r="E2141" s="9">
        <f>_xlfn.MAXIFS(Levels!E:E,Levels!B:B,A2141)</f>
        <v>0</v>
      </c>
      <c r="F2141" s="9">
        <f>_xlfn.MAXIFS(Levels!F:F,Levels!B:B,A2141)</f>
        <v>0</v>
      </c>
    </row>
    <row r="2142" spans="1:6" x14ac:dyDescent="0.3">
      <c r="A2142" t="s">
        <v>9645</v>
      </c>
      <c r="B2142" s="6">
        <f>COUNTIF(Levels!B:B,A2142)</f>
        <v>1</v>
      </c>
      <c r="C2142" s="6">
        <f>IFERROR(AVERAGEIF(Levels!B:B,A2142,Levels!E:E),0)</f>
        <v>3.45</v>
      </c>
      <c r="D2142" s="6">
        <f>IFERROR(AVERAGEIF(Levels!B:B,A2142,Levels!F:F),0)</f>
        <v>6.2</v>
      </c>
      <c r="E2142" s="6">
        <f>_xlfn.MAXIFS(Levels!E:E,Levels!B:B,A2142)</f>
        <v>3.45</v>
      </c>
      <c r="F2142" s="6">
        <f>_xlfn.MAXIFS(Levels!F:F,Levels!B:B,A2142)</f>
        <v>6.2</v>
      </c>
    </row>
    <row r="2143" spans="1:6" x14ac:dyDescent="0.3">
      <c r="A2143" t="s">
        <v>9651</v>
      </c>
      <c r="B2143" s="9">
        <f>COUNTIF(Levels!B:B,A2143)</f>
        <v>1</v>
      </c>
      <c r="C2143" s="9">
        <f>IFERROR(AVERAGEIF(Levels!B:B,A2143,Levels!E:E),0)</f>
        <v>5.73</v>
      </c>
      <c r="D2143" s="9">
        <f>IFERROR(AVERAGEIF(Levels!B:B,A2143,Levels!F:F),0)</f>
        <v>5</v>
      </c>
      <c r="E2143" s="9">
        <f>_xlfn.MAXIFS(Levels!E:E,Levels!B:B,A2143)</f>
        <v>5.73</v>
      </c>
      <c r="F2143" s="9">
        <f>_xlfn.MAXIFS(Levels!F:F,Levels!B:B,A2143)</f>
        <v>5</v>
      </c>
    </row>
    <row r="2144" spans="1:6" x14ac:dyDescent="0.3">
      <c r="A2144" t="s">
        <v>9653</v>
      </c>
      <c r="B2144" s="6">
        <f>COUNTIF(Levels!B:B,A2144)</f>
        <v>1</v>
      </c>
      <c r="C2144" s="6">
        <f>IFERROR(AVERAGEIF(Levels!B:B,A2144,Levels!E:E),0)</f>
        <v>7.4</v>
      </c>
      <c r="D2144" s="6">
        <f>IFERROR(AVERAGEIF(Levels!B:B,A2144,Levels!F:F),0)</f>
        <v>5</v>
      </c>
      <c r="E2144" s="6">
        <f>_xlfn.MAXIFS(Levels!E:E,Levels!B:B,A2144)</f>
        <v>7.4</v>
      </c>
      <c r="F2144" s="6">
        <f>_xlfn.MAXIFS(Levels!F:F,Levels!B:B,A2144)</f>
        <v>5</v>
      </c>
    </row>
    <row r="2145" spans="1:6" x14ac:dyDescent="0.3">
      <c r="A2145" t="s">
        <v>9655</v>
      </c>
      <c r="B2145" s="9">
        <f>COUNTIF(Levels!B:B,A2145)</f>
        <v>2</v>
      </c>
      <c r="C2145" s="9">
        <f>IFERROR(AVERAGEIF(Levels!B:B,A2145,Levels!E:E),0)</f>
        <v>14</v>
      </c>
      <c r="D2145" s="9">
        <f>IFERROR(AVERAGEIF(Levels!B:B,A2145,Levels!F:F),0)</f>
        <v>8.25</v>
      </c>
      <c r="E2145" s="9">
        <f>_xlfn.MAXIFS(Levels!E:E,Levels!B:B,A2145)</f>
        <v>15.5</v>
      </c>
      <c r="F2145" s="9">
        <f>_xlfn.MAXIFS(Levels!F:F,Levels!B:B,A2145)</f>
        <v>9</v>
      </c>
    </row>
    <row r="2146" spans="1:6" x14ac:dyDescent="0.3">
      <c r="A2146" t="s">
        <v>9659</v>
      </c>
      <c r="B2146" s="6">
        <f>COUNTIF(Levels!B:B,A2146)</f>
        <v>6</v>
      </c>
      <c r="C2146" s="6">
        <f>IFERROR(AVERAGEIF(Levels!B:B,A2146,Levels!E:E),0)</f>
        <v>11.86</v>
      </c>
      <c r="D2146" s="6">
        <f>IFERROR(AVERAGEIF(Levels!B:B,A2146,Levels!F:F),0)</f>
        <v>7.0733333333333333</v>
      </c>
      <c r="E2146" s="6">
        <f>_xlfn.MAXIFS(Levels!E:E,Levels!B:B,A2146)</f>
        <v>28.67</v>
      </c>
      <c r="F2146" s="6">
        <f>_xlfn.MAXIFS(Levels!F:F,Levels!B:B,A2146)</f>
        <v>7.69</v>
      </c>
    </row>
    <row r="2147" spans="1:6" x14ac:dyDescent="0.3">
      <c r="A2147" t="s">
        <v>9663</v>
      </c>
      <c r="B2147" s="9">
        <f>COUNTIF(Levels!B:B,A2147)</f>
        <v>12</v>
      </c>
      <c r="C2147" s="9">
        <f>IFERROR(AVERAGEIF(Levels!B:B,A2147,Levels!E:E),0)</f>
        <v>14.3775</v>
      </c>
      <c r="D2147" s="9">
        <f>IFERROR(AVERAGEIF(Levels!B:B,A2147,Levels!F:F),0)</f>
        <v>8.1449999999999978</v>
      </c>
      <c r="E2147" s="9">
        <f>_xlfn.MAXIFS(Levels!E:E,Levels!B:B,A2147)</f>
        <v>32.67</v>
      </c>
      <c r="F2147" s="9">
        <f>_xlfn.MAXIFS(Levels!F:F,Levels!B:B,A2147)</f>
        <v>10</v>
      </c>
    </row>
    <row r="2148" spans="1:6" x14ac:dyDescent="0.3">
      <c r="A2148" t="s">
        <v>9668</v>
      </c>
      <c r="B2148" s="6">
        <f>COUNTIF(Levels!B:B,A2148)</f>
        <v>7</v>
      </c>
      <c r="C2148" s="6">
        <f>IFERROR(AVERAGEIF(Levels!B:B,A2148,Levels!E:E),0)</f>
        <v>8.8228571428571438</v>
      </c>
      <c r="D2148" s="6">
        <f>IFERROR(AVERAGEIF(Levels!B:B,A2148,Levels!F:F),0)</f>
        <v>6.1800000000000006</v>
      </c>
      <c r="E2148" s="6">
        <f>_xlfn.MAXIFS(Levels!E:E,Levels!B:B,A2148)</f>
        <v>15.46</v>
      </c>
      <c r="F2148" s="6">
        <f>_xlfn.MAXIFS(Levels!F:F,Levels!B:B,A2148)</f>
        <v>8.2799999999999994</v>
      </c>
    </row>
    <row r="2149" spans="1:6" x14ac:dyDescent="0.3">
      <c r="A2149" t="s">
        <v>9671</v>
      </c>
      <c r="B2149" s="9">
        <f>COUNTIF(Levels!B:B,A2149)</f>
        <v>2</v>
      </c>
      <c r="C2149" s="9">
        <f>IFERROR(AVERAGEIF(Levels!B:B,A2149,Levels!E:E),0)</f>
        <v>5.75</v>
      </c>
      <c r="D2149" s="9">
        <f>IFERROR(AVERAGEIF(Levels!B:B,A2149,Levels!F:F),0)</f>
        <v>7.2799999999999994</v>
      </c>
      <c r="E2149" s="9">
        <f>_xlfn.MAXIFS(Levels!E:E,Levels!B:B,A2149)</f>
        <v>9.1999999999999993</v>
      </c>
      <c r="F2149" s="9">
        <f>_xlfn.MAXIFS(Levels!F:F,Levels!B:B,A2149)</f>
        <v>7.6</v>
      </c>
    </row>
    <row r="2150" spans="1:6" x14ac:dyDescent="0.3">
      <c r="A2150" t="s">
        <v>9673</v>
      </c>
      <c r="B2150" s="6">
        <f>COUNTIF(Levels!B:B,A2150)</f>
        <v>1</v>
      </c>
      <c r="C2150" s="6">
        <f>IFERROR(AVERAGEIF(Levels!B:B,A2150,Levels!E:E),0)</f>
        <v>7.25</v>
      </c>
      <c r="D2150" s="6">
        <f>IFERROR(AVERAGEIF(Levels!B:B,A2150,Levels!F:F),0)</f>
        <v>6.19</v>
      </c>
      <c r="E2150" s="6">
        <f>_xlfn.MAXIFS(Levels!E:E,Levels!B:B,A2150)</f>
        <v>7.25</v>
      </c>
      <c r="F2150" s="6">
        <f>_xlfn.MAXIFS(Levels!F:F,Levels!B:B,A2150)</f>
        <v>6.19</v>
      </c>
    </row>
    <row r="2151" spans="1:6" x14ac:dyDescent="0.3">
      <c r="A2151" t="s">
        <v>9676</v>
      </c>
      <c r="B2151" s="9">
        <f>COUNTIF(Levels!B:B,A2151)</f>
        <v>1</v>
      </c>
      <c r="C2151" s="9">
        <f>IFERROR(AVERAGEIF(Levels!B:B,A2151,Levels!E:E),0)</f>
        <v>21.3</v>
      </c>
      <c r="D2151" s="9">
        <f>IFERROR(AVERAGEIF(Levels!B:B,A2151,Levels!F:F),0)</f>
        <v>7.2</v>
      </c>
      <c r="E2151" s="9">
        <f>_xlfn.MAXIFS(Levels!E:E,Levels!B:B,A2151)</f>
        <v>21.3</v>
      </c>
      <c r="F2151" s="9">
        <f>_xlfn.MAXIFS(Levels!F:F,Levels!B:B,A2151)</f>
        <v>7.2</v>
      </c>
    </row>
    <row r="2152" spans="1:6" x14ac:dyDescent="0.3">
      <c r="A2152" t="s">
        <v>9678</v>
      </c>
      <c r="B2152" s="6">
        <f>COUNTIF(Levels!B:B,A2152)</f>
        <v>1</v>
      </c>
      <c r="C2152" s="6">
        <f>IFERROR(AVERAGEIF(Levels!B:B,A2152,Levels!E:E),0)</f>
        <v>21.43</v>
      </c>
      <c r="D2152" s="6">
        <f>IFERROR(AVERAGEIF(Levels!B:B,A2152,Levels!F:F),0)</f>
        <v>5.5</v>
      </c>
      <c r="E2152" s="6">
        <f>_xlfn.MAXIFS(Levels!E:E,Levels!B:B,A2152)</f>
        <v>21.43</v>
      </c>
      <c r="F2152" s="6">
        <f>_xlfn.MAXIFS(Levels!F:F,Levels!B:B,A2152)</f>
        <v>5.5</v>
      </c>
    </row>
    <row r="2153" spans="1:6" x14ac:dyDescent="0.3">
      <c r="A2153" t="s">
        <v>9684</v>
      </c>
      <c r="B2153" s="9">
        <f>COUNTIF(Levels!B:B,A2153)</f>
        <v>2</v>
      </c>
      <c r="C2153" s="9">
        <f>IFERROR(AVERAGEIF(Levels!B:B,A2153,Levels!E:E),0)</f>
        <v>21.43</v>
      </c>
      <c r="D2153" s="9">
        <f>IFERROR(AVERAGEIF(Levels!B:B,A2153,Levels!F:F),0)</f>
        <v>6.7349999999999994</v>
      </c>
      <c r="E2153" s="9">
        <f>_xlfn.MAXIFS(Levels!E:E,Levels!B:B,A2153)</f>
        <v>21.6</v>
      </c>
      <c r="F2153" s="9">
        <f>_xlfn.MAXIFS(Levels!F:F,Levels!B:B,A2153)</f>
        <v>7.6</v>
      </c>
    </row>
    <row r="2154" spans="1:6" x14ac:dyDescent="0.3">
      <c r="A2154" t="s">
        <v>9690</v>
      </c>
      <c r="B2154" s="6">
        <f>COUNTIF(Levels!B:B,A2154)</f>
        <v>1</v>
      </c>
      <c r="C2154" s="6">
        <f>IFERROR(AVERAGEIF(Levels!B:B,A2154,Levels!E:E),0)</f>
        <v>25.67</v>
      </c>
      <c r="D2154" s="6">
        <f>IFERROR(AVERAGEIF(Levels!B:B,A2154,Levels!F:F),0)</f>
        <v>5</v>
      </c>
      <c r="E2154" s="6">
        <f>_xlfn.MAXIFS(Levels!E:E,Levels!B:B,A2154)</f>
        <v>25.67</v>
      </c>
      <c r="F2154" s="6">
        <f>_xlfn.MAXIFS(Levels!F:F,Levels!B:B,A2154)</f>
        <v>5</v>
      </c>
    </row>
    <row r="2155" spans="1:6" x14ac:dyDescent="0.3">
      <c r="A2155" t="s">
        <v>9692</v>
      </c>
      <c r="B2155" s="9">
        <f>COUNTIF(Levels!B:B,A2155)</f>
        <v>4</v>
      </c>
      <c r="C2155" s="9">
        <f>IFERROR(AVERAGEIF(Levels!B:B,A2155,Levels!E:E),0)</f>
        <v>13.825000000000001</v>
      </c>
      <c r="D2155" s="9">
        <f>IFERROR(AVERAGEIF(Levels!B:B,A2155,Levels!F:F),0)</f>
        <v>7.5725000000000007</v>
      </c>
      <c r="E2155" s="9">
        <f>_xlfn.MAXIFS(Levels!E:E,Levels!B:B,A2155)</f>
        <v>17.399999999999999</v>
      </c>
      <c r="F2155" s="9">
        <f>_xlfn.MAXIFS(Levels!F:F,Levels!B:B,A2155)</f>
        <v>8.57</v>
      </c>
    </row>
    <row r="2156" spans="1:6" x14ac:dyDescent="0.3">
      <c r="A2156" t="s">
        <v>9696</v>
      </c>
      <c r="B2156" s="6">
        <f>COUNTIF(Levels!B:B,A2156)</f>
        <v>1</v>
      </c>
      <c r="C2156" s="6">
        <f>IFERROR(AVERAGEIF(Levels!B:B,A2156,Levels!E:E),0)</f>
        <v>9.1300000000000008</v>
      </c>
      <c r="D2156" s="6">
        <f>IFERROR(AVERAGEIF(Levels!B:B,A2156,Levels!F:F),0)</f>
        <v>7.17</v>
      </c>
      <c r="E2156" s="6">
        <f>_xlfn.MAXIFS(Levels!E:E,Levels!B:B,A2156)</f>
        <v>9.1300000000000008</v>
      </c>
      <c r="F2156" s="6">
        <f>_xlfn.MAXIFS(Levels!F:F,Levels!B:B,A2156)</f>
        <v>7.17</v>
      </c>
    </row>
    <row r="2157" spans="1:6" x14ac:dyDescent="0.3">
      <c r="A2157" t="s">
        <v>9706</v>
      </c>
      <c r="B2157" s="9">
        <f>COUNTIF(Levels!B:B,A2157)</f>
        <v>1</v>
      </c>
      <c r="C2157" s="9">
        <f>IFERROR(AVERAGEIF(Levels!B:B,A2157,Levels!E:E),0)</f>
        <v>11.67</v>
      </c>
      <c r="D2157" s="9">
        <f>IFERROR(AVERAGEIF(Levels!B:B,A2157,Levels!F:F),0)</f>
        <v>6.5</v>
      </c>
      <c r="E2157" s="9">
        <f>_xlfn.MAXIFS(Levels!E:E,Levels!B:B,A2157)</f>
        <v>11.67</v>
      </c>
      <c r="F2157" s="9">
        <f>_xlfn.MAXIFS(Levels!F:F,Levels!B:B,A2157)</f>
        <v>6.5</v>
      </c>
    </row>
    <row r="2158" spans="1:6" x14ac:dyDescent="0.3">
      <c r="A2158" t="s">
        <v>9708</v>
      </c>
      <c r="B2158" s="6">
        <f>COUNTIF(Levels!B:B,A2158)</f>
        <v>2</v>
      </c>
      <c r="C2158" s="6">
        <f>IFERROR(AVERAGEIF(Levels!B:B,A2158,Levels!E:E),0)</f>
        <v>10.09</v>
      </c>
      <c r="D2158" s="6">
        <f>IFERROR(AVERAGEIF(Levels!B:B,A2158,Levels!F:F),0)</f>
        <v>7.0250000000000004</v>
      </c>
      <c r="E2158" s="6">
        <f>_xlfn.MAXIFS(Levels!E:E,Levels!B:B,A2158)</f>
        <v>19.14</v>
      </c>
      <c r="F2158" s="6">
        <f>_xlfn.MAXIFS(Levels!F:F,Levels!B:B,A2158)</f>
        <v>7.62</v>
      </c>
    </row>
    <row r="2159" spans="1:6" x14ac:dyDescent="0.3">
      <c r="A2159" t="s">
        <v>9711</v>
      </c>
      <c r="B2159" s="9">
        <f>COUNTIF(Levels!B:B,A2159)</f>
        <v>1</v>
      </c>
      <c r="C2159" s="9">
        <f>IFERROR(AVERAGEIF(Levels!B:B,A2159,Levels!E:E),0)</f>
        <v>8.15</v>
      </c>
      <c r="D2159" s="9">
        <f>IFERROR(AVERAGEIF(Levels!B:B,A2159,Levels!F:F),0)</f>
        <v>7.5</v>
      </c>
      <c r="E2159" s="9">
        <f>_xlfn.MAXIFS(Levels!E:E,Levels!B:B,A2159)</f>
        <v>8.15</v>
      </c>
      <c r="F2159" s="9">
        <f>_xlfn.MAXIFS(Levels!F:F,Levels!B:B,A2159)</f>
        <v>7.5</v>
      </c>
    </row>
    <row r="2160" spans="1:6" x14ac:dyDescent="0.3">
      <c r="A2160" t="s">
        <v>9717</v>
      </c>
      <c r="B2160" s="6">
        <f>COUNTIF(Levels!B:B,A2160)</f>
        <v>5</v>
      </c>
      <c r="C2160" s="6">
        <f>IFERROR(AVERAGEIF(Levels!B:B,A2160,Levels!E:E),0)</f>
        <v>4.4359999999999999</v>
      </c>
      <c r="D2160" s="6">
        <f>IFERROR(AVERAGEIF(Levels!B:B,A2160,Levels!F:F),0)</f>
        <v>7.234</v>
      </c>
      <c r="E2160" s="6">
        <f>_xlfn.MAXIFS(Levels!E:E,Levels!B:B,A2160)</f>
        <v>7.66</v>
      </c>
      <c r="F2160" s="6">
        <f>_xlfn.MAXIFS(Levels!F:F,Levels!B:B,A2160)</f>
        <v>8.51</v>
      </c>
    </row>
    <row r="2161" spans="1:6" x14ac:dyDescent="0.3">
      <c r="A2161" t="s">
        <v>9721</v>
      </c>
      <c r="B2161" s="9">
        <f>COUNTIF(Levels!B:B,A2161)</f>
        <v>1</v>
      </c>
      <c r="C2161" s="9">
        <f>IFERROR(AVERAGEIF(Levels!B:B,A2161,Levels!E:E),0)</f>
        <v>2.91</v>
      </c>
      <c r="D2161" s="9">
        <f>IFERROR(AVERAGEIF(Levels!B:B,A2161,Levels!F:F),0)</f>
        <v>7.59</v>
      </c>
      <c r="E2161" s="9">
        <f>_xlfn.MAXIFS(Levels!E:E,Levels!B:B,A2161)</f>
        <v>2.91</v>
      </c>
      <c r="F2161" s="9">
        <f>_xlfn.MAXIFS(Levels!F:F,Levels!B:B,A2161)</f>
        <v>7.59</v>
      </c>
    </row>
    <row r="2162" spans="1:6" x14ac:dyDescent="0.3">
      <c r="A2162" t="s">
        <v>9728</v>
      </c>
      <c r="B2162" s="6">
        <f>COUNTIF(Levels!B:B,A2162)</f>
        <v>1</v>
      </c>
      <c r="C2162" s="6">
        <f>IFERROR(AVERAGEIF(Levels!B:B,A2162,Levels!E:E),0)</f>
        <v>19.77</v>
      </c>
      <c r="D2162" s="6">
        <f>IFERROR(AVERAGEIF(Levels!B:B,A2162,Levels!F:F),0)</f>
        <v>6</v>
      </c>
      <c r="E2162" s="6">
        <f>_xlfn.MAXIFS(Levels!E:E,Levels!B:B,A2162)</f>
        <v>19.77</v>
      </c>
      <c r="F2162" s="6">
        <f>_xlfn.MAXIFS(Levels!F:F,Levels!B:B,A2162)</f>
        <v>6</v>
      </c>
    </row>
    <row r="2163" spans="1:6" x14ac:dyDescent="0.3">
      <c r="A2163" t="s">
        <v>9732</v>
      </c>
      <c r="B2163" s="9">
        <f>COUNTIF(Levels!B:B,A2163)</f>
        <v>1</v>
      </c>
      <c r="C2163" s="9">
        <f>IFERROR(AVERAGEIF(Levels!B:B,A2163,Levels!E:E),0)</f>
        <v>15.42</v>
      </c>
      <c r="D2163" s="9">
        <f>IFERROR(AVERAGEIF(Levels!B:B,A2163,Levels!F:F),0)</f>
        <v>4.21</v>
      </c>
      <c r="E2163" s="9">
        <f>_xlfn.MAXIFS(Levels!E:E,Levels!B:B,A2163)</f>
        <v>15.42</v>
      </c>
      <c r="F2163" s="9">
        <f>_xlfn.MAXIFS(Levels!F:F,Levels!B:B,A2163)</f>
        <v>4.21</v>
      </c>
    </row>
    <row r="2164" spans="1:6" x14ac:dyDescent="0.3">
      <c r="A2164" t="s">
        <v>9735</v>
      </c>
      <c r="B2164" s="6">
        <f>COUNTIF(Levels!B:B,A2164)</f>
        <v>1</v>
      </c>
      <c r="C2164" s="6">
        <f>IFERROR(AVERAGEIF(Levels!B:B,A2164,Levels!E:E),0)</f>
        <v>14.29</v>
      </c>
      <c r="D2164" s="6">
        <f>IFERROR(AVERAGEIF(Levels!B:B,A2164,Levels!F:F),0)</f>
        <v>6.75</v>
      </c>
      <c r="E2164" s="6">
        <f>_xlfn.MAXIFS(Levels!E:E,Levels!B:B,A2164)</f>
        <v>14.29</v>
      </c>
      <c r="F2164" s="6">
        <f>_xlfn.MAXIFS(Levels!F:F,Levels!B:B,A2164)</f>
        <v>6.75</v>
      </c>
    </row>
    <row r="2165" spans="1:6" x14ac:dyDescent="0.3">
      <c r="A2165" t="s">
        <v>9742</v>
      </c>
      <c r="B2165" s="9">
        <f>COUNTIF(Levels!B:B,A2165)</f>
        <v>3</v>
      </c>
      <c r="C2165" s="9">
        <f>IFERROR(AVERAGEIF(Levels!B:B,A2165,Levels!E:E),0)</f>
        <v>10.26</v>
      </c>
      <c r="D2165" s="9">
        <f>IFERROR(AVERAGEIF(Levels!B:B,A2165,Levels!F:F),0)</f>
        <v>7.1333333333333329</v>
      </c>
      <c r="E2165" s="9">
        <f>_xlfn.MAXIFS(Levels!E:E,Levels!B:B,A2165)</f>
        <v>16.739999999999998</v>
      </c>
      <c r="F2165" s="9">
        <f>_xlfn.MAXIFS(Levels!F:F,Levels!B:B,A2165)</f>
        <v>7.89</v>
      </c>
    </row>
    <row r="2166" spans="1:6" x14ac:dyDescent="0.3">
      <c r="A2166" t="s">
        <v>9744</v>
      </c>
      <c r="B2166" s="6">
        <f>COUNTIF(Levels!B:B,A2166)</f>
        <v>1</v>
      </c>
      <c r="C2166" s="6">
        <f>IFERROR(AVERAGEIF(Levels!B:B,A2166,Levels!E:E),0)</f>
        <v>5.22</v>
      </c>
      <c r="D2166" s="6">
        <f>IFERROR(AVERAGEIF(Levels!B:B,A2166,Levels!F:F),0)</f>
        <v>6.57</v>
      </c>
      <c r="E2166" s="6">
        <f>_xlfn.MAXIFS(Levels!E:E,Levels!B:B,A2166)</f>
        <v>5.22</v>
      </c>
      <c r="F2166" s="6">
        <f>_xlfn.MAXIFS(Levels!F:F,Levels!B:B,A2166)</f>
        <v>6.57</v>
      </c>
    </row>
    <row r="2167" spans="1:6" x14ac:dyDescent="0.3">
      <c r="A2167" t="s">
        <v>9746</v>
      </c>
      <c r="B2167" s="9">
        <f>COUNTIF(Levels!B:B,A2167)</f>
        <v>1</v>
      </c>
      <c r="C2167" s="9">
        <f>IFERROR(AVERAGEIF(Levels!B:B,A2167,Levels!E:E),0)</f>
        <v>13.83</v>
      </c>
      <c r="D2167" s="9">
        <f>IFERROR(AVERAGEIF(Levels!B:B,A2167,Levels!F:F),0)</f>
        <v>8.07</v>
      </c>
      <c r="E2167" s="9">
        <f>_xlfn.MAXIFS(Levels!E:E,Levels!B:B,A2167)</f>
        <v>13.83</v>
      </c>
      <c r="F2167" s="9">
        <f>_xlfn.MAXIFS(Levels!F:F,Levels!B:B,A2167)</f>
        <v>8.07</v>
      </c>
    </row>
    <row r="2168" spans="1:6" x14ac:dyDescent="0.3">
      <c r="A2168" t="s">
        <v>9749</v>
      </c>
      <c r="B2168" s="6">
        <f>COUNTIF(Levels!B:B,A2168)</f>
        <v>1</v>
      </c>
      <c r="C2168" s="6">
        <f>IFERROR(AVERAGEIF(Levels!B:B,A2168,Levels!E:E),0)</f>
        <v>20.11</v>
      </c>
      <c r="D2168" s="6">
        <f>IFERROR(AVERAGEIF(Levels!B:B,A2168,Levels!F:F),0)</f>
        <v>7.91</v>
      </c>
      <c r="E2168" s="6">
        <f>_xlfn.MAXIFS(Levels!E:E,Levels!B:B,A2168)</f>
        <v>20.11</v>
      </c>
      <c r="F2168" s="6">
        <f>_xlfn.MAXIFS(Levels!F:F,Levels!B:B,A2168)</f>
        <v>7.91</v>
      </c>
    </row>
    <row r="2169" spans="1:6" x14ac:dyDescent="0.3">
      <c r="A2169" t="s">
        <v>9752</v>
      </c>
      <c r="B2169" s="9">
        <f>COUNTIF(Levels!B:B,A2169)</f>
        <v>7</v>
      </c>
      <c r="C2169" s="9">
        <f>IFERROR(AVERAGEIF(Levels!B:B,A2169,Levels!E:E),0)</f>
        <v>14.602857142857143</v>
      </c>
      <c r="D2169" s="9">
        <f>IFERROR(AVERAGEIF(Levels!B:B,A2169,Levels!F:F),0)</f>
        <v>7.5400000000000009</v>
      </c>
      <c r="E2169" s="9">
        <f>_xlfn.MAXIFS(Levels!E:E,Levels!B:B,A2169)</f>
        <v>19</v>
      </c>
      <c r="F2169" s="9">
        <f>_xlfn.MAXIFS(Levels!F:F,Levels!B:B,A2169)</f>
        <v>8.4700000000000006</v>
      </c>
    </row>
    <row r="2170" spans="1:6" x14ac:dyDescent="0.3">
      <c r="A2170" t="s">
        <v>9757</v>
      </c>
      <c r="B2170" s="6">
        <f>COUNTIF(Levels!B:B,A2170)</f>
        <v>1</v>
      </c>
      <c r="C2170" s="6">
        <f>IFERROR(AVERAGEIF(Levels!B:B,A2170,Levels!E:E),0)</f>
        <v>4.83</v>
      </c>
      <c r="D2170" s="6">
        <f>IFERROR(AVERAGEIF(Levels!B:B,A2170,Levels!F:F),0)</f>
        <v>6.5</v>
      </c>
      <c r="E2170" s="6">
        <f>_xlfn.MAXIFS(Levels!E:E,Levels!B:B,A2170)</f>
        <v>4.83</v>
      </c>
      <c r="F2170" s="6">
        <f>_xlfn.MAXIFS(Levels!F:F,Levels!B:B,A2170)</f>
        <v>6.5</v>
      </c>
    </row>
    <row r="2171" spans="1:6" x14ac:dyDescent="0.3">
      <c r="A2171" t="s">
        <v>9763</v>
      </c>
      <c r="B2171" s="9">
        <f>COUNTIF(Levels!B:B,A2171)</f>
        <v>2</v>
      </c>
      <c r="C2171" s="9">
        <f>IFERROR(AVERAGEIF(Levels!B:B,A2171,Levels!E:E),0)</f>
        <v>33.5</v>
      </c>
      <c r="D2171" s="9">
        <f>IFERROR(AVERAGEIF(Levels!B:B,A2171,Levels!F:F),0)</f>
        <v>7.085</v>
      </c>
      <c r="E2171" s="9">
        <f>_xlfn.MAXIFS(Levels!E:E,Levels!B:B,A2171)</f>
        <v>34</v>
      </c>
      <c r="F2171" s="9">
        <f>_xlfn.MAXIFS(Levels!F:F,Levels!B:B,A2171)</f>
        <v>7.5</v>
      </c>
    </row>
    <row r="2172" spans="1:6" x14ac:dyDescent="0.3">
      <c r="A2172" t="s">
        <v>9766</v>
      </c>
      <c r="B2172" s="6">
        <f>COUNTIF(Levels!B:B,A2172)</f>
        <v>2</v>
      </c>
      <c r="C2172" s="6">
        <f>IFERROR(AVERAGEIF(Levels!B:B,A2172,Levels!E:E),0)</f>
        <v>3.8200000000000003</v>
      </c>
      <c r="D2172" s="6">
        <f>IFERROR(AVERAGEIF(Levels!B:B,A2172,Levels!F:F),0)</f>
        <v>5.17</v>
      </c>
      <c r="E2172" s="6">
        <f>_xlfn.MAXIFS(Levels!E:E,Levels!B:B,A2172)</f>
        <v>4.37</v>
      </c>
      <c r="F2172" s="6">
        <f>_xlfn.MAXIFS(Levels!F:F,Levels!B:B,A2172)</f>
        <v>5.67</v>
      </c>
    </row>
    <row r="2173" spans="1:6" x14ac:dyDescent="0.3">
      <c r="A2173" t="s">
        <v>9772</v>
      </c>
      <c r="B2173" s="9">
        <f>COUNTIF(Levels!B:B,A2173)</f>
        <v>2</v>
      </c>
      <c r="C2173" s="9">
        <f>IFERROR(AVERAGEIF(Levels!B:B,A2173,Levels!E:E),0)</f>
        <v>29</v>
      </c>
      <c r="D2173" s="9">
        <f>IFERROR(AVERAGEIF(Levels!B:B,A2173,Levels!F:F),0)</f>
        <v>6.5</v>
      </c>
      <c r="E2173" s="9">
        <f>_xlfn.MAXIFS(Levels!E:E,Levels!B:B,A2173)</f>
        <v>29</v>
      </c>
      <c r="F2173" s="9">
        <f>_xlfn.MAXIFS(Levels!F:F,Levels!B:B,A2173)</f>
        <v>6.5</v>
      </c>
    </row>
    <row r="2174" spans="1:6" x14ac:dyDescent="0.3">
      <c r="A2174" t="s">
        <v>9776</v>
      </c>
      <c r="B2174" s="6">
        <f>COUNTIF(Levels!B:B,A2174)</f>
        <v>2</v>
      </c>
      <c r="C2174" s="6">
        <f>IFERROR(AVERAGEIF(Levels!B:B,A2174,Levels!E:E),0)</f>
        <v>10.75</v>
      </c>
      <c r="D2174" s="6">
        <f>IFERROR(AVERAGEIF(Levels!B:B,A2174,Levels!F:F),0)</f>
        <v>6.5600000000000005</v>
      </c>
      <c r="E2174" s="6">
        <f>_xlfn.MAXIFS(Levels!E:E,Levels!B:B,A2174)</f>
        <v>12.75</v>
      </c>
      <c r="F2174" s="6">
        <f>_xlfn.MAXIFS(Levels!F:F,Levels!B:B,A2174)</f>
        <v>7.22</v>
      </c>
    </row>
    <row r="2175" spans="1:6" x14ac:dyDescent="0.3">
      <c r="A2175" t="s">
        <v>9780</v>
      </c>
      <c r="B2175" s="9">
        <f>COUNTIF(Levels!B:B,A2175)</f>
        <v>8</v>
      </c>
      <c r="C2175" s="9">
        <f>IFERROR(AVERAGEIF(Levels!B:B,A2175,Levels!E:E),0)</f>
        <v>6.3224999999999998</v>
      </c>
      <c r="D2175" s="9">
        <f>IFERROR(AVERAGEIF(Levels!B:B,A2175,Levels!F:F),0)</f>
        <v>6.2949999999999999</v>
      </c>
      <c r="E2175" s="9">
        <f>_xlfn.MAXIFS(Levels!E:E,Levels!B:B,A2175)</f>
        <v>21.5</v>
      </c>
      <c r="F2175" s="9">
        <f>_xlfn.MAXIFS(Levels!F:F,Levels!B:B,A2175)</f>
        <v>7.55</v>
      </c>
    </row>
    <row r="2176" spans="1:6" x14ac:dyDescent="0.3">
      <c r="A2176" t="s">
        <v>9785</v>
      </c>
      <c r="B2176" s="6">
        <f>COUNTIF(Levels!B:B,A2176)</f>
        <v>1</v>
      </c>
      <c r="C2176" s="6">
        <f>IFERROR(AVERAGEIF(Levels!B:B,A2176,Levels!E:E),0)</f>
        <v>4.8</v>
      </c>
      <c r="D2176" s="6">
        <f>IFERROR(AVERAGEIF(Levels!B:B,A2176,Levels!F:F),0)</f>
        <v>2.75</v>
      </c>
      <c r="E2176" s="6">
        <f>_xlfn.MAXIFS(Levels!E:E,Levels!B:B,A2176)</f>
        <v>4.8</v>
      </c>
      <c r="F2176" s="6">
        <f>_xlfn.MAXIFS(Levels!F:F,Levels!B:B,A2176)</f>
        <v>2.75</v>
      </c>
    </row>
    <row r="2177" spans="1:6" x14ac:dyDescent="0.3">
      <c r="A2177" t="s">
        <v>9788</v>
      </c>
      <c r="B2177" s="9">
        <f>COUNTIF(Levels!B:B,A2177)</f>
        <v>9</v>
      </c>
      <c r="C2177" s="9">
        <f>IFERROR(AVERAGEIF(Levels!B:B,A2177,Levels!E:E),0)</f>
        <v>10.805555555555555</v>
      </c>
      <c r="D2177" s="9">
        <f>IFERROR(AVERAGEIF(Levels!B:B,A2177,Levels!F:F),0)</f>
        <v>7.2411111111111115</v>
      </c>
      <c r="E2177" s="9">
        <f>_xlfn.MAXIFS(Levels!E:E,Levels!B:B,A2177)</f>
        <v>23</v>
      </c>
      <c r="F2177" s="9">
        <f>_xlfn.MAXIFS(Levels!F:F,Levels!B:B,A2177)</f>
        <v>8.5</v>
      </c>
    </row>
    <row r="2178" spans="1:6" x14ac:dyDescent="0.3">
      <c r="A2178" t="s">
        <v>9790</v>
      </c>
      <c r="B2178" s="6">
        <f>COUNTIF(Levels!B:B,A2178)</f>
        <v>2</v>
      </c>
      <c r="C2178" s="6">
        <f>IFERROR(AVERAGEIF(Levels!B:B,A2178,Levels!E:E),0)</f>
        <v>2.355</v>
      </c>
      <c r="D2178" s="6">
        <f>IFERROR(AVERAGEIF(Levels!B:B,A2178,Levels!F:F),0)</f>
        <v>6.78</v>
      </c>
      <c r="E2178" s="6">
        <f>_xlfn.MAXIFS(Levels!E:E,Levels!B:B,A2178)</f>
        <v>2.59</v>
      </c>
      <c r="F2178" s="6">
        <f>_xlfn.MAXIFS(Levels!F:F,Levels!B:B,A2178)</f>
        <v>7.15</v>
      </c>
    </row>
    <row r="2179" spans="1:6" x14ac:dyDescent="0.3">
      <c r="A2179" t="s">
        <v>9792</v>
      </c>
      <c r="B2179" s="9">
        <f>COUNTIF(Levels!B:B,A2179)</f>
        <v>1</v>
      </c>
      <c r="C2179" s="9">
        <f>IFERROR(AVERAGEIF(Levels!B:B,A2179,Levels!E:E),0)</f>
        <v>15.96</v>
      </c>
      <c r="D2179" s="9">
        <f>IFERROR(AVERAGEIF(Levels!B:B,A2179,Levels!F:F),0)</f>
        <v>5.95</v>
      </c>
      <c r="E2179" s="9">
        <f>_xlfn.MAXIFS(Levels!E:E,Levels!B:B,A2179)</f>
        <v>15.96</v>
      </c>
      <c r="F2179" s="9">
        <f>_xlfn.MAXIFS(Levels!F:F,Levels!B:B,A2179)</f>
        <v>5.95</v>
      </c>
    </row>
    <row r="2180" spans="1:6" x14ac:dyDescent="0.3">
      <c r="A2180" t="s">
        <v>9794</v>
      </c>
      <c r="B2180" s="6">
        <f>COUNTIF(Levels!B:B,A2180)</f>
        <v>1</v>
      </c>
      <c r="C2180" s="6">
        <f>IFERROR(AVERAGEIF(Levels!B:B,A2180,Levels!E:E),0)</f>
        <v>23.67</v>
      </c>
      <c r="D2180" s="6">
        <f>IFERROR(AVERAGEIF(Levels!B:B,A2180,Levels!F:F),0)</f>
        <v>7.33</v>
      </c>
      <c r="E2180" s="6">
        <f>_xlfn.MAXIFS(Levels!E:E,Levels!B:B,A2180)</f>
        <v>23.67</v>
      </c>
      <c r="F2180" s="6">
        <f>_xlfn.MAXIFS(Levels!F:F,Levels!B:B,A2180)</f>
        <v>7.33</v>
      </c>
    </row>
    <row r="2181" spans="1:6" x14ac:dyDescent="0.3">
      <c r="A2181" t="s">
        <v>9798</v>
      </c>
      <c r="B2181" s="9">
        <f>COUNTIF(Levels!B:B,A2181)</f>
        <v>1</v>
      </c>
      <c r="C2181" s="9">
        <f>IFERROR(AVERAGEIF(Levels!B:B,A2181,Levels!E:E),0)</f>
        <v>12.2</v>
      </c>
      <c r="D2181" s="9">
        <f>IFERROR(AVERAGEIF(Levels!B:B,A2181,Levels!F:F),0)</f>
        <v>6</v>
      </c>
      <c r="E2181" s="9">
        <f>_xlfn.MAXIFS(Levels!E:E,Levels!B:B,A2181)</f>
        <v>12.2</v>
      </c>
      <c r="F2181" s="9">
        <f>_xlfn.MAXIFS(Levels!F:F,Levels!B:B,A2181)</f>
        <v>6</v>
      </c>
    </row>
    <row r="2182" spans="1:6" x14ac:dyDescent="0.3">
      <c r="A2182" t="s">
        <v>9811</v>
      </c>
      <c r="B2182" s="6">
        <f>COUNTIF(Levels!B:B,A2182)</f>
        <v>1</v>
      </c>
      <c r="C2182" s="6">
        <f>IFERROR(AVERAGEIF(Levels!B:B,A2182,Levels!E:E),0)</f>
        <v>3.97</v>
      </c>
      <c r="D2182" s="6">
        <f>IFERROR(AVERAGEIF(Levels!B:B,A2182,Levels!F:F),0)</f>
        <v>5.64</v>
      </c>
      <c r="E2182" s="6">
        <f>_xlfn.MAXIFS(Levels!E:E,Levels!B:B,A2182)</f>
        <v>3.97</v>
      </c>
      <c r="F2182" s="6">
        <f>_xlfn.MAXIFS(Levels!F:F,Levels!B:B,A2182)</f>
        <v>5.64</v>
      </c>
    </row>
    <row r="2183" spans="1:6" x14ac:dyDescent="0.3">
      <c r="A2183" t="s">
        <v>9817</v>
      </c>
      <c r="B2183" s="9">
        <f>COUNTIF(Levels!B:B,A2183)</f>
        <v>1</v>
      </c>
      <c r="C2183" s="9">
        <f>IFERROR(AVERAGEIF(Levels!B:B,A2183,Levels!E:E),0)</f>
        <v>3.64</v>
      </c>
      <c r="D2183" s="9">
        <f>IFERROR(AVERAGEIF(Levels!B:B,A2183,Levels!F:F),0)</f>
        <v>5.92</v>
      </c>
      <c r="E2183" s="9">
        <f>_xlfn.MAXIFS(Levels!E:E,Levels!B:B,A2183)</f>
        <v>3.64</v>
      </c>
      <c r="F2183" s="9">
        <f>_xlfn.MAXIFS(Levels!F:F,Levels!B:B,A2183)</f>
        <v>5.92</v>
      </c>
    </row>
    <row r="2184" spans="1:6" x14ac:dyDescent="0.3">
      <c r="A2184" t="s">
        <v>9820</v>
      </c>
      <c r="B2184" s="6">
        <f>COUNTIF(Levels!B:B,A2184)</f>
        <v>2</v>
      </c>
      <c r="C2184" s="6">
        <f>IFERROR(AVERAGEIF(Levels!B:B,A2184,Levels!E:E),0)</f>
        <v>15.535</v>
      </c>
      <c r="D2184" s="6">
        <f>IFERROR(AVERAGEIF(Levels!B:B,A2184,Levels!F:F),0)</f>
        <v>7</v>
      </c>
      <c r="E2184" s="6">
        <f>_xlfn.MAXIFS(Levels!E:E,Levels!B:B,A2184)</f>
        <v>15.96</v>
      </c>
      <c r="F2184" s="6">
        <f>_xlfn.MAXIFS(Levels!F:F,Levels!B:B,A2184)</f>
        <v>7</v>
      </c>
    </row>
    <row r="2185" spans="1:6" x14ac:dyDescent="0.3">
      <c r="A2185" t="s">
        <v>9823</v>
      </c>
      <c r="B2185" s="9">
        <f>COUNTIF(Levels!B:B,A2185)</f>
        <v>1</v>
      </c>
      <c r="C2185" s="9">
        <f>IFERROR(AVERAGEIF(Levels!B:B,A2185,Levels!E:E),0)</f>
        <v>3.25</v>
      </c>
      <c r="D2185" s="9">
        <f>IFERROR(AVERAGEIF(Levels!B:B,A2185,Levels!F:F),0)</f>
        <v>6.85</v>
      </c>
      <c r="E2185" s="9">
        <f>_xlfn.MAXIFS(Levels!E:E,Levels!B:B,A2185)</f>
        <v>3.25</v>
      </c>
      <c r="F2185" s="9">
        <f>_xlfn.MAXIFS(Levels!F:F,Levels!B:B,A2185)</f>
        <v>6.85</v>
      </c>
    </row>
    <row r="2186" spans="1:6" x14ac:dyDescent="0.3">
      <c r="A2186" t="s">
        <v>9826</v>
      </c>
      <c r="B2186" s="6">
        <f>COUNTIF(Levels!B:B,A2186)</f>
        <v>1</v>
      </c>
      <c r="C2186" s="6">
        <f>IFERROR(AVERAGEIF(Levels!B:B,A2186,Levels!E:E),0)</f>
        <v>0</v>
      </c>
      <c r="D2186" s="6">
        <f>IFERROR(AVERAGEIF(Levels!B:B,A2186,Levels!F:F),0)</f>
        <v>0</v>
      </c>
      <c r="E2186" s="6">
        <f>_xlfn.MAXIFS(Levels!E:E,Levels!B:B,A2186)</f>
        <v>0</v>
      </c>
      <c r="F2186" s="6">
        <f>_xlfn.MAXIFS(Levels!F:F,Levels!B:B,A2186)</f>
        <v>0</v>
      </c>
    </row>
    <row r="2187" spans="1:6" x14ac:dyDescent="0.3">
      <c r="A2187" t="s">
        <v>9830</v>
      </c>
      <c r="B2187" s="9">
        <f>COUNTIF(Levels!B:B,A2187)</f>
        <v>1</v>
      </c>
      <c r="C2187" s="9">
        <f>IFERROR(AVERAGEIF(Levels!B:B,A2187,Levels!E:E),0)</f>
        <v>2.54</v>
      </c>
      <c r="D2187" s="9">
        <f>IFERROR(AVERAGEIF(Levels!B:B,A2187,Levels!F:F),0)</f>
        <v>5.89</v>
      </c>
      <c r="E2187" s="9">
        <f>_xlfn.MAXIFS(Levels!E:E,Levels!B:B,A2187)</f>
        <v>2.54</v>
      </c>
      <c r="F2187" s="9">
        <f>_xlfn.MAXIFS(Levels!F:F,Levels!B:B,A2187)</f>
        <v>5.89</v>
      </c>
    </row>
    <row r="2188" spans="1:6" x14ac:dyDescent="0.3">
      <c r="A2188" t="s">
        <v>9832</v>
      </c>
      <c r="B2188" s="6">
        <f>COUNTIF(Levels!B:B,A2188)</f>
        <v>2</v>
      </c>
      <c r="C2188" s="6">
        <f>IFERROR(AVERAGEIF(Levels!B:B,A2188,Levels!E:E),0)</f>
        <v>17.240000000000002</v>
      </c>
      <c r="D2188" s="6">
        <f>IFERROR(AVERAGEIF(Levels!B:B,A2188,Levels!F:F),0)</f>
        <v>7.1150000000000002</v>
      </c>
      <c r="E2188" s="6">
        <f>_xlfn.MAXIFS(Levels!E:E,Levels!B:B,A2188)</f>
        <v>18.57</v>
      </c>
      <c r="F2188" s="6">
        <f>_xlfn.MAXIFS(Levels!F:F,Levels!B:B,A2188)</f>
        <v>9.4</v>
      </c>
    </row>
    <row r="2189" spans="1:6" x14ac:dyDescent="0.3">
      <c r="A2189" t="s">
        <v>9834</v>
      </c>
      <c r="B2189" s="9">
        <f>COUNTIF(Levels!B:B,A2189)</f>
        <v>1</v>
      </c>
      <c r="C2189" s="9">
        <f>IFERROR(AVERAGEIF(Levels!B:B,A2189,Levels!E:E),0)</f>
        <v>9.51</v>
      </c>
      <c r="D2189" s="9">
        <f>IFERROR(AVERAGEIF(Levels!B:B,A2189,Levels!F:F),0)</f>
        <v>7.5</v>
      </c>
      <c r="E2189" s="9">
        <f>_xlfn.MAXIFS(Levels!E:E,Levels!B:B,A2189)</f>
        <v>9.51</v>
      </c>
      <c r="F2189" s="9">
        <f>_xlfn.MAXIFS(Levels!F:F,Levels!B:B,A2189)</f>
        <v>7.5</v>
      </c>
    </row>
    <row r="2190" spans="1:6" x14ac:dyDescent="0.3">
      <c r="A2190" t="s">
        <v>9837</v>
      </c>
      <c r="B2190" s="6">
        <f>COUNTIF(Levels!B:B,A2190)</f>
        <v>2</v>
      </c>
      <c r="C2190" s="6">
        <f>IFERROR(AVERAGEIF(Levels!B:B,A2190,Levels!E:E),0)</f>
        <v>4.42</v>
      </c>
      <c r="D2190" s="6">
        <f>IFERROR(AVERAGEIF(Levels!B:B,A2190,Levels!F:F),0)</f>
        <v>6.7050000000000001</v>
      </c>
      <c r="E2190" s="6">
        <f>_xlfn.MAXIFS(Levels!E:E,Levels!B:B,A2190)</f>
        <v>5.0599999999999996</v>
      </c>
      <c r="F2190" s="6">
        <f>_xlfn.MAXIFS(Levels!F:F,Levels!B:B,A2190)</f>
        <v>6.88</v>
      </c>
    </row>
    <row r="2191" spans="1:6" x14ac:dyDescent="0.3">
      <c r="A2191" t="s">
        <v>9839</v>
      </c>
      <c r="B2191" s="9">
        <f>COUNTIF(Levels!B:B,A2191)</f>
        <v>2</v>
      </c>
      <c r="C2191" s="9">
        <f>IFERROR(AVERAGEIF(Levels!B:B,A2191,Levels!E:E),0)</f>
        <v>7.6050000000000004</v>
      </c>
      <c r="D2191" s="9">
        <f>IFERROR(AVERAGEIF(Levels!B:B,A2191,Levels!F:F),0)</f>
        <v>8.6850000000000005</v>
      </c>
      <c r="E2191" s="9">
        <f>_xlfn.MAXIFS(Levels!E:E,Levels!B:B,A2191)</f>
        <v>8.52</v>
      </c>
      <c r="F2191" s="9">
        <f>_xlfn.MAXIFS(Levels!F:F,Levels!B:B,A2191)</f>
        <v>8.8000000000000007</v>
      </c>
    </row>
    <row r="2192" spans="1:6" x14ac:dyDescent="0.3">
      <c r="A2192" t="s">
        <v>9841</v>
      </c>
      <c r="B2192" s="6">
        <f>COUNTIF(Levels!B:B,A2192)</f>
        <v>2</v>
      </c>
      <c r="C2192" s="6">
        <f>IFERROR(AVERAGEIF(Levels!B:B,A2192,Levels!E:E),0)</f>
        <v>13.57</v>
      </c>
      <c r="D2192" s="6">
        <f>IFERROR(AVERAGEIF(Levels!B:B,A2192,Levels!F:F),0)</f>
        <v>6.0950000000000006</v>
      </c>
      <c r="E2192" s="6">
        <f>_xlfn.MAXIFS(Levels!E:E,Levels!B:B,A2192)</f>
        <v>18</v>
      </c>
      <c r="F2192" s="6">
        <f>_xlfn.MAXIFS(Levels!F:F,Levels!B:B,A2192)</f>
        <v>6.33</v>
      </c>
    </row>
    <row r="2193" spans="1:6" x14ac:dyDescent="0.3">
      <c r="A2193" t="s">
        <v>9844</v>
      </c>
      <c r="B2193" s="9">
        <f>COUNTIF(Levels!B:B,A2193)</f>
        <v>3</v>
      </c>
      <c r="C2193" s="9">
        <f>IFERROR(AVERAGEIF(Levels!B:B,A2193,Levels!E:E),0)</f>
        <v>12.856666666666667</v>
      </c>
      <c r="D2193" s="9">
        <f>IFERROR(AVERAGEIF(Levels!B:B,A2193,Levels!F:F),0)</f>
        <v>8.08</v>
      </c>
      <c r="E2193" s="9">
        <f>_xlfn.MAXIFS(Levels!E:E,Levels!B:B,A2193)</f>
        <v>17.71</v>
      </c>
      <c r="F2193" s="9">
        <f>_xlfn.MAXIFS(Levels!F:F,Levels!B:B,A2193)</f>
        <v>8.69</v>
      </c>
    </row>
    <row r="2194" spans="1:6" x14ac:dyDescent="0.3">
      <c r="A2194" t="s">
        <v>9847</v>
      </c>
      <c r="B2194" s="6">
        <f>COUNTIF(Levels!B:B,A2194)</f>
        <v>1</v>
      </c>
      <c r="C2194" s="6">
        <f>IFERROR(AVERAGEIF(Levels!B:B,A2194,Levels!E:E),0)</f>
        <v>21.28</v>
      </c>
      <c r="D2194" s="6">
        <f>IFERROR(AVERAGEIF(Levels!B:B,A2194,Levels!F:F),0)</f>
        <v>7.54</v>
      </c>
      <c r="E2194" s="6">
        <f>_xlfn.MAXIFS(Levels!E:E,Levels!B:B,A2194)</f>
        <v>21.28</v>
      </c>
      <c r="F2194" s="6">
        <f>_xlfn.MAXIFS(Levels!F:F,Levels!B:B,A2194)</f>
        <v>7.54</v>
      </c>
    </row>
    <row r="2195" spans="1:6" x14ac:dyDescent="0.3">
      <c r="A2195" t="s">
        <v>9849</v>
      </c>
      <c r="B2195" s="9">
        <f>COUNTIF(Levels!B:B,A2195)</f>
        <v>2</v>
      </c>
      <c r="C2195" s="9">
        <f>IFERROR(AVERAGEIF(Levels!B:B,A2195,Levels!E:E),0)</f>
        <v>12.434999999999999</v>
      </c>
      <c r="D2195" s="9">
        <f>IFERROR(AVERAGEIF(Levels!B:B,A2195,Levels!F:F),0)</f>
        <v>7.3699999999999992</v>
      </c>
      <c r="E2195" s="9">
        <f>_xlfn.MAXIFS(Levels!E:E,Levels!B:B,A2195)</f>
        <v>17.38</v>
      </c>
      <c r="F2195" s="9">
        <f>_xlfn.MAXIFS(Levels!F:F,Levels!B:B,A2195)</f>
        <v>7.43</v>
      </c>
    </row>
    <row r="2196" spans="1:6" x14ac:dyDescent="0.3">
      <c r="A2196" t="s">
        <v>9855</v>
      </c>
      <c r="B2196" s="6">
        <f>COUNTIF(Levels!B:B,A2196)</f>
        <v>1</v>
      </c>
      <c r="C2196" s="6">
        <f>IFERROR(AVERAGEIF(Levels!B:B,A2196,Levels!E:E),0)</f>
        <v>5.36</v>
      </c>
      <c r="D2196" s="6">
        <f>IFERROR(AVERAGEIF(Levels!B:B,A2196,Levels!F:F),0)</f>
        <v>7.14</v>
      </c>
      <c r="E2196" s="6">
        <f>_xlfn.MAXIFS(Levels!E:E,Levels!B:B,A2196)</f>
        <v>5.36</v>
      </c>
      <c r="F2196" s="6">
        <f>_xlfn.MAXIFS(Levels!F:F,Levels!B:B,A2196)</f>
        <v>7.14</v>
      </c>
    </row>
    <row r="2197" spans="1:6" x14ac:dyDescent="0.3">
      <c r="A2197" t="s">
        <v>9858</v>
      </c>
      <c r="B2197" s="9">
        <f>COUNTIF(Levels!B:B,A2197)</f>
        <v>3</v>
      </c>
      <c r="C2197" s="9">
        <f>IFERROR(AVERAGEIF(Levels!B:B,A2197,Levels!E:E),0)</f>
        <v>8.85</v>
      </c>
      <c r="D2197" s="9">
        <f>IFERROR(AVERAGEIF(Levels!B:B,A2197,Levels!F:F),0)</f>
        <v>6.18</v>
      </c>
      <c r="E2197" s="9">
        <f>_xlfn.MAXIFS(Levels!E:E,Levels!B:B,A2197)</f>
        <v>18.5</v>
      </c>
      <c r="F2197" s="9">
        <f>_xlfn.MAXIFS(Levels!F:F,Levels!B:B,A2197)</f>
        <v>7.89</v>
      </c>
    </row>
    <row r="2198" spans="1:6" x14ac:dyDescent="0.3">
      <c r="A2198" t="s">
        <v>9863</v>
      </c>
      <c r="B2198" s="6">
        <f>COUNTIF(Levels!B:B,A2198)</f>
        <v>1</v>
      </c>
      <c r="C2198" s="6">
        <f>IFERROR(AVERAGEIF(Levels!B:B,A2198,Levels!E:E),0)</f>
        <v>12.6</v>
      </c>
      <c r="D2198" s="6">
        <f>IFERROR(AVERAGEIF(Levels!B:B,A2198,Levels!F:F),0)</f>
        <v>7.78</v>
      </c>
      <c r="E2198" s="6">
        <f>_xlfn.MAXIFS(Levels!E:E,Levels!B:B,A2198)</f>
        <v>12.6</v>
      </c>
      <c r="F2198" s="6">
        <f>_xlfn.MAXIFS(Levels!F:F,Levels!B:B,A2198)</f>
        <v>7.78</v>
      </c>
    </row>
    <row r="2199" spans="1:6" x14ac:dyDescent="0.3">
      <c r="A2199" t="s">
        <v>9866</v>
      </c>
      <c r="B2199" s="9">
        <f>COUNTIF(Levels!B:B,A2199)</f>
        <v>2</v>
      </c>
      <c r="C2199" s="9">
        <f>IFERROR(AVERAGEIF(Levels!B:B,A2199,Levels!E:E),0)</f>
        <v>9.4499999999999993</v>
      </c>
      <c r="D2199" s="9">
        <f>IFERROR(AVERAGEIF(Levels!B:B,A2199,Levels!F:F),0)</f>
        <v>6.8149999999999995</v>
      </c>
      <c r="E2199" s="9">
        <f>_xlfn.MAXIFS(Levels!E:E,Levels!B:B,A2199)</f>
        <v>13</v>
      </c>
      <c r="F2199" s="9">
        <f>_xlfn.MAXIFS(Levels!F:F,Levels!B:B,A2199)</f>
        <v>7.3</v>
      </c>
    </row>
    <row r="2200" spans="1:6" x14ac:dyDescent="0.3">
      <c r="A2200" t="s">
        <v>9870</v>
      </c>
      <c r="B2200" s="6">
        <f>COUNTIF(Levels!B:B,A2200)</f>
        <v>1</v>
      </c>
      <c r="C2200" s="6">
        <f>IFERROR(AVERAGEIF(Levels!B:B,A2200,Levels!E:E),0)</f>
        <v>6</v>
      </c>
      <c r="D2200" s="6">
        <f>IFERROR(AVERAGEIF(Levels!B:B,A2200,Levels!F:F),0)</f>
        <v>3.54</v>
      </c>
      <c r="E2200" s="6">
        <f>_xlfn.MAXIFS(Levels!E:E,Levels!B:B,A2200)</f>
        <v>6</v>
      </c>
      <c r="F2200" s="6">
        <f>_xlfn.MAXIFS(Levels!F:F,Levels!B:B,A2200)</f>
        <v>3.54</v>
      </c>
    </row>
    <row r="2201" spans="1:6" x14ac:dyDescent="0.3">
      <c r="A2201" t="s">
        <v>9873</v>
      </c>
      <c r="B2201" s="9">
        <f>COUNTIF(Levels!B:B,A2201)</f>
        <v>2</v>
      </c>
      <c r="C2201" s="9">
        <f>IFERROR(AVERAGEIF(Levels!B:B,A2201,Levels!E:E),0)</f>
        <v>4.5049999999999999</v>
      </c>
      <c r="D2201" s="9">
        <f>IFERROR(AVERAGEIF(Levels!B:B,A2201,Levels!F:F),0)</f>
        <v>7.165</v>
      </c>
      <c r="E2201" s="9">
        <f>_xlfn.MAXIFS(Levels!E:E,Levels!B:B,A2201)</f>
        <v>7.01</v>
      </c>
      <c r="F2201" s="9">
        <f>_xlfn.MAXIFS(Levels!F:F,Levels!B:B,A2201)</f>
        <v>7.43</v>
      </c>
    </row>
    <row r="2202" spans="1:6" x14ac:dyDescent="0.3">
      <c r="A2202" t="s">
        <v>9884</v>
      </c>
      <c r="B2202" s="6">
        <f>COUNTIF(Levels!B:B,A2202)</f>
        <v>4</v>
      </c>
      <c r="C2202" s="6">
        <f>IFERROR(AVERAGEIF(Levels!B:B,A2202,Levels!E:E),0)</f>
        <v>10.865000000000002</v>
      </c>
      <c r="D2202" s="6">
        <f>IFERROR(AVERAGEIF(Levels!B:B,A2202,Levels!F:F),0)</f>
        <v>6</v>
      </c>
      <c r="E2202" s="6">
        <f>_xlfn.MAXIFS(Levels!E:E,Levels!B:B,A2202)</f>
        <v>18.63</v>
      </c>
      <c r="F2202" s="6">
        <f>_xlfn.MAXIFS(Levels!F:F,Levels!B:B,A2202)</f>
        <v>7.7</v>
      </c>
    </row>
    <row r="2203" spans="1:6" x14ac:dyDescent="0.3">
      <c r="A2203" t="s">
        <v>9887</v>
      </c>
      <c r="B2203" s="9">
        <f>COUNTIF(Levels!B:B,A2203)</f>
        <v>2</v>
      </c>
      <c r="C2203" s="9">
        <f>IFERROR(AVERAGEIF(Levels!B:B,A2203,Levels!E:E),0)</f>
        <v>7.8449999999999998</v>
      </c>
      <c r="D2203" s="9">
        <f>IFERROR(AVERAGEIF(Levels!B:B,A2203,Levels!F:F),0)</f>
        <v>6.4050000000000002</v>
      </c>
      <c r="E2203" s="9">
        <f>_xlfn.MAXIFS(Levels!E:E,Levels!B:B,A2203)</f>
        <v>11.51</v>
      </c>
      <c r="F2203" s="9">
        <f>_xlfn.MAXIFS(Levels!F:F,Levels!B:B,A2203)</f>
        <v>7.45</v>
      </c>
    </row>
    <row r="2204" spans="1:6" x14ac:dyDescent="0.3">
      <c r="A2204" t="s">
        <v>9890</v>
      </c>
      <c r="B2204" s="6">
        <f>COUNTIF(Levels!B:B,A2204)</f>
        <v>2</v>
      </c>
      <c r="C2204" s="6">
        <f>IFERROR(AVERAGEIF(Levels!B:B,A2204,Levels!E:E),0)</f>
        <v>29.25</v>
      </c>
      <c r="D2204" s="6">
        <f>IFERROR(AVERAGEIF(Levels!B:B,A2204,Levels!F:F),0)</f>
        <v>7.25</v>
      </c>
      <c r="E2204" s="6">
        <f>_xlfn.MAXIFS(Levels!E:E,Levels!B:B,A2204)</f>
        <v>29.25</v>
      </c>
      <c r="F2204" s="6">
        <f>_xlfn.MAXIFS(Levels!F:F,Levels!B:B,A2204)</f>
        <v>7.25</v>
      </c>
    </row>
    <row r="2205" spans="1:6" x14ac:dyDescent="0.3">
      <c r="A2205" t="s">
        <v>9892</v>
      </c>
      <c r="B2205" s="9">
        <f>COUNTIF(Levels!B:B,A2205)</f>
        <v>1</v>
      </c>
      <c r="C2205" s="9">
        <f>IFERROR(AVERAGEIF(Levels!B:B,A2205,Levels!E:E),0)</f>
        <v>18</v>
      </c>
      <c r="D2205" s="9">
        <f>IFERROR(AVERAGEIF(Levels!B:B,A2205,Levels!F:F),0)</f>
        <v>4.5</v>
      </c>
      <c r="E2205" s="9">
        <f>_xlfn.MAXIFS(Levels!E:E,Levels!B:B,A2205)</f>
        <v>18</v>
      </c>
      <c r="F2205" s="9">
        <f>_xlfn.MAXIFS(Levels!F:F,Levels!B:B,A2205)</f>
        <v>4.5</v>
      </c>
    </row>
    <row r="2206" spans="1:6" x14ac:dyDescent="0.3">
      <c r="A2206" t="s">
        <v>9894</v>
      </c>
      <c r="B2206" s="6">
        <f>COUNTIF(Levels!B:B,A2206)</f>
        <v>1</v>
      </c>
      <c r="C2206" s="6">
        <f>IFERROR(AVERAGEIF(Levels!B:B,A2206,Levels!E:E),0)</f>
        <v>5.67</v>
      </c>
      <c r="D2206" s="6">
        <f>IFERROR(AVERAGEIF(Levels!B:B,A2206,Levels!F:F),0)</f>
        <v>7.67</v>
      </c>
      <c r="E2206" s="6">
        <f>_xlfn.MAXIFS(Levels!E:E,Levels!B:B,A2206)</f>
        <v>5.67</v>
      </c>
      <c r="F2206" s="6">
        <f>_xlfn.MAXIFS(Levels!F:F,Levels!B:B,A2206)</f>
        <v>7.67</v>
      </c>
    </row>
    <row r="2207" spans="1:6" x14ac:dyDescent="0.3">
      <c r="A2207" t="s">
        <v>9898</v>
      </c>
      <c r="B2207" s="9">
        <f>COUNTIF(Levels!B:B,A2207)</f>
        <v>1</v>
      </c>
      <c r="C2207" s="9">
        <f>IFERROR(AVERAGEIF(Levels!B:B,A2207,Levels!E:E),0)</f>
        <v>2.95</v>
      </c>
      <c r="D2207" s="9">
        <f>IFERROR(AVERAGEIF(Levels!B:B,A2207,Levels!F:F),0)</f>
        <v>6.68</v>
      </c>
      <c r="E2207" s="9">
        <f>_xlfn.MAXIFS(Levels!E:E,Levels!B:B,A2207)</f>
        <v>2.95</v>
      </c>
      <c r="F2207" s="9">
        <f>_xlfn.MAXIFS(Levels!F:F,Levels!B:B,A2207)</f>
        <v>6.68</v>
      </c>
    </row>
    <row r="2208" spans="1:6" x14ac:dyDescent="0.3">
      <c r="A2208" t="s">
        <v>9902</v>
      </c>
      <c r="B2208" s="6">
        <f>COUNTIF(Levels!B:B,A2208)</f>
        <v>1</v>
      </c>
      <c r="C2208" s="6">
        <f>IFERROR(AVERAGEIF(Levels!B:B,A2208,Levels!E:E),0)</f>
        <v>17.309999999999999</v>
      </c>
      <c r="D2208" s="6">
        <f>IFERROR(AVERAGEIF(Levels!B:B,A2208,Levels!F:F),0)</f>
        <v>6.88</v>
      </c>
      <c r="E2208" s="6">
        <f>_xlfn.MAXIFS(Levels!E:E,Levels!B:B,A2208)</f>
        <v>17.309999999999999</v>
      </c>
      <c r="F2208" s="6">
        <f>_xlfn.MAXIFS(Levels!F:F,Levels!B:B,A2208)</f>
        <v>6.88</v>
      </c>
    </row>
    <row r="2209" spans="1:6" x14ac:dyDescent="0.3">
      <c r="A2209" t="s">
        <v>9907</v>
      </c>
      <c r="B2209" s="9">
        <f>COUNTIF(Levels!B:B,A2209)</f>
        <v>2</v>
      </c>
      <c r="C2209" s="9">
        <f>IFERROR(AVERAGEIF(Levels!B:B,A2209,Levels!E:E),0)</f>
        <v>7.1</v>
      </c>
      <c r="D2209" s="9">
        <f>IFERROR(AVERAGEIF(Levels!B:B,A2209,Levels!F:F),0)</f>
        <v>7.3250000000000002</v>
      </c>
      <c r="E2209" s="9">
        <f>_xlfn.MAXIFS(Levels!E:E,Levels!B:B,A2209)</f>
        <v>11.15</v>
      </c>
      <c r="F2209" s="9">
        <f>_xlfn.MAXIFS(Levels!F:F,Levels!B:B,A2209)</f>
        <v>7.5</v>
      </c>
    </row>
    <row r="2210" spans="1:6" x14ac:dyDescent="0.3">
      <c r="A2210" t="s">
        <v>9908</v>
      </c>
      <c r="B2210" s="6">
        <f>COUNTIF(Levels!B:B,A2210)</f>
        <v>1</v>
      </c>
      <c r="C2210" s="6">
        <f>IFERROR(AVERAGEIF(Levels!B:B,A2210,Levels!E:E),0)</f>
        <v>3.89</v>
      </c>
      <c r="D2210" s="6">
        <f>IFERROR(AVERAGEIF(Levels!B:B,A2210,Levels!F:F),0)</f>
        <v>6.33</v>
      </c>
      <c r="E2210" s="6">
        <f>_xlfn.MAXIFS(Levels!E:E,Levels!B:B,A2210)</f>
        <v>3.89</v>
      </c>
      <c r="F2210" s="6">
        <f>_xlfn.MAXIFS(Levels!F:F,Levels!B:B,A2210)</f>
        <v>6.33</v>
      </c>
    </row>
    <row r="2211" spans="1:6" x14ac:dyDescent="0.3">
      <c r="A2211" t="s">
        <v>9911</v>
      </c>
      <c r="B2211" s="9">
        <f>COUNTIF(Levels!B:B,A2211)</f>
        <v>1</v>
      </c>
      <c r="C2211" s="9">
        <f>IFERROR(AVERAGEIF(Levels!B:B,A2211,Levels!E:E),0)</f>
        <v>16.61</v>
      </c>
      <c r="D2211" s="9">
        <f>IFERROR(AVERAGEIF(Levels!B:B,A2211,Levels!F:F),0)</f>
        <v>7.29</v>
      </c>
      <c r="E2211" s="9">
        <f>_xlfn.MAXIFS(Levels!E:E,Levels!B:B,A2211)</f>
        <v>16.61</v>
      </c>
      <c r="F2211" s="9">
        <f>_xlfn.MAXIFS(Levels!F:F,Levels!B:B,A2211)</f>
        <v>7.29</v>
      </c>
    </row>
    <row r="2212" spans="1:6" x14ac:dyDescent="0.3">
      <c r="A2212" t="s">
        <v>9917</v>
      </c>
      <c r="B2212" s="6">
        <f>COUNTIF(Levels!B:B,A2212)</f>
        <v>3</v>
      </c>
      <c r="C2212" s="6">
        <f>IFERROR(AVERAGEIF(Levels!B:B,A2212,Levels!E:E),0)</f>
        <v>15.246666666666668</v>
      </c>
      <c r="D2212" s="6">
        <f>IFERROR(AVERAGEIF(Levels!B:B,A2212,Levels!F:F),0)</f>
        <v>7.5733333333333333</v>
      </c>
      <c r="E2212" s="6">
        <f>_xlfn.MAXIFS(Levels!E:E,Levels!B:B,A2212)</f>
        <v>19.600000000000001</v>
      </c>
      <c r="F2212" s="6">
        <f>_xlfn.MAXIFS(Levels!F:F,Levels!B:B,A2212)</f>
        <v>8.1199999999999992</v>
      </c>
    </row>
    <row r="2213" spans="1:6" x14ac:dyDescent="0.3">
      <c r="A2213" t="s">
        <v>9928</v>
      </c>
      <c r="B2213" s="9">
        <f>COUNTIF(Levels!B:B,A2213)</f>
        <v>1</v>
      </c>
      <c r="C2213" s="9">
        <f>IFERROR(AVERAGEIF(Levels!B:B,A2213,Levels!E:E),0)</f>
        <v>7.36</v>
      </c>
      <c r="D2213" s="9">
        <f>IFERROR(AVERAGEIF(Levels!B:B,A2213,Levels!F:F),0)</f>
        <v>7.11</v>
      </c>
      <c r="E2213" s="9">
        <f>_xlfn.MAXIFS(Levels!E:E,Levels!B:B,A2213)</f>
        <v>7.36</v>
      </c>
      <c r="F2213" s="9">
        <f>_xlfn.MAXIFS(Levels!F:F,Levels!B:B,A2213)</f>
        <v>7.11</v>
      </c>
    </row>
    <row r="2214" spans="1:6" x14ac:dyDescent="0.3">
      <c r="A2214" t="s">
        <v>9930</v>
      </c>
      <c r="B2214" s="6">
        <f>COUNTIF(Levels!B:B,A2214)</f>
        <v>1</v>
      </c>
      <c r="C2214" s="6">
        <f>IFERROR(AVERAGEIF(Levels!B:B,A2214,Levels!E:E),0)</f>
        <v>3.07</v>
      </c>
      <c r="D2214" s="6">
        <f>IFERROR(AVERAGEIF(Levels!B:B,A2214,Levels!F:F),0)</f>
        <v>6.92</v>
      </c>
      <c r="E2214" s="6">
        <f>_xlfn.MAXIFS(Levels!E:E,Levels!B:B,A2214)</f>
        <v>3.07</v>
      </c>
      <c r="F2214" s="6">
        <f>_xlfn.MAXIFS(Levels!F:F,Levels!B:B,A2214)</f>
        <v>6.92</v>
      </c>
    </row>
    <row r="2215" spans="1:6" x14ac:dyDescent="0.3">
      <c r="A2215" t="s">
        <v>9932</v>
      </c>
      <c r="B2215" s="9">
        <f>COUNTIF(Levels!B:B,A2215)</f>
        <v>1</v>
      </c>
      <c r="C2215" s="9">
        <f>IFERROR(AVERAGEIF(Levels!B:B,A2215,Levels!E:E),0)</f>
        <v>5.61</v>
      </c>
      <c r="D2215" s="9">
        <f>IFERROR(AVERAGEIF(Levels!B:B,A2215,Levels!F:F),0)</f>
        <v>8.15</v>
      </c>
      <c r="E2215" s="9">
        <f>_xlfn.MAXIFS(Levels!E:E,Levels!B:B,A2215)</f>
        <v>5.61</v>
      </c>
      <c r="F2215" s="9">
        <f>_xlfn.MAXIFS(Levels!F:F,Levels!B:B,A2215)</f>
        <v>8.15</v>
      </c>
    </row>
    <row r="2216" spans="1:6" x14ac:dyDescent="0.3">
      <c r="A2216" t="s">
        <v>9935</v>
      </c>
      <c r="B2216" s="6">
        <f>COUNTIF(Levels!B:B,A2216)</f>
        <v>1</v>
      </c>
      <c r="C2216" s="6">
        <f>IFERROR(AVERAGEIF(Levels!B:B,A2216,Levels!E:E),0)</f>
        <v>4.8600000000000003</v>
      </c>
      <c r="D2216" s="6">
        <f>IFERROR(AVERAGEIF(Levels!B:B,A2216,Levels!F:F),0)</f>
        <v>6.21</v>
      </c>
      <c r="E2216" s="6">
        <f>_xlfn.MAXIFS(Levels!E:E,Levels!B:B,A2216)</f>
        <v>4.8600000000000003</v>
      </c>
      <c r="F2216" s="6">
        <f>_xlfn.MAXIFS(Levels!F:F,Levels!B:B,A2216)</f>
        <v>6.21</v>
      </c>
    </row>
    <row r="2217" spans="1:6" x14ac:dyDescent="0.3">
      <c r="A2217" t="s">
        <v>9942</v>
      </c>
      <c r="B2217" s="9">
        <f>COUNTIF(Levels!B:B,A2217)</f>
        <v>1</v>
      </c>
      <c r="C2217" s="9">
        <f>IFERROR(AVERAGEIF(Levels!B:B,A2217,Levels!E:E),0)</f>
        <v>2.79</v>
      </c>
      <c r="D2217" s="9">
        <f>IFERROR(AVERAGEIF(Levels!B:B,A2217,Levels!F:F),0)</f>
        <v>6.65</v>
      </c>
      <c r="E2217" s="9">
        <f>_xlfn.MAXIFS(Levels!E:E,Levels!B:B,A2217)</f>
        <v>2.79</v>
      </c>
      <c r="F2217" s="9">
        <f>_xlfn.MAXIFS(Levels!F:F,Levels!B:B,A2217)</f>
        <v>6.65</v>
      </c>
    </row>
    <row r="2218" spans="1:6" x14ac:dyDescent="0.3">
      <c r="A2218" t="s">
        <v>9953</v>
      </c>
      <c r="B2218" s="6">
        <f>COUNTIF(Levels!B:B,A2218)</f>
        <v>1</v>
      </c>
      <c r="C2218" s="6">
        <f>IFERROR(AVERAGEIF(Levels!B:B,A2218,Levels!E:E),0)</f>
        <v>4.66</v>
      </c>
      <c r="D2218" s="6">
        <f>IFERROR(AVERAGEIF(Levels!B:B,A2218,Levels!F:F),0)</f>
        <v>8.0399999999999991</v>
      </c>
      <c r="E2218" s="6">
        <f>_xlfn.MAXIFS(Levels!E:E,Levels!B:B,A2218)</f>
        <v>4.66</v>
      </c>
      <c r="F2218" s="6">
        <f>_xlfn.MAXIFS(Levels!F:F,Levels!B:B,A2218)</f>
        <v>8.0399999999999991</v>
      </c>
    </row>
    <row r="2219" spans="1:6" x14ac:dyDescent="0.3">
      <c r="A2219" t="s">
        <v>9956</v>
      </c>
      <c r="B2219" s="9">
        <f>COUNTIF(Levels!B:B,A2219)</f>
        <v>5</v>
      </c>
      <c r="C2219" s="9">
        <f>IFERROR(AVERAGEIF(Levels!B:B,A2219,Levels!E:E),0)</f>
        <v>6.1680000000000001</v>
      </c>
      <c r="D2219" s="9">
        <f>IFERROR(AVERAGEIF(Levels!B:B,A2219,Levels!F:F),0)</f>
        <v>7.0439999999999996</v>
      </c>
      <c r="E2219" s="9">
        <f>_xlfn.MAXIFS(Levels!E:E,Levels!B:B,A2219)</f>
        <v>11</v>
      </c>
      <c r="F2219" s="9">
        <f>_xlfn.MAXIFS(Levels!F:F,Levels!B:B,A2219)</f>
        <v>8</v>
      </c>
    </row>
    <row r="2220" spans="1:6" x14ac:dyDescent="0.3">
      <c r="A2220" t="s">
        <v>9960</v>
      </c>
      <c r="B2220" s="6">
        <f>COUNTIF(Levels!B:B,A2220)</f>
        <v>1</v>
      </c>
      <c r="C2220" s="6">
        <f>IFERROR(AVERAGEIF(Levels!B:B,A2220,Levels!E:E),0)</f>
        <v>2.0099999999999998</v>
      </c>
      <c r="D2220" s="6">
        <f>IFERROR(AVERAGEIF(Levels!B:B,A2220,Levels!F:F),0)</f>
        <v>6.68</v>
      </c>
      <c r="E2220" s="6">
        <f>_xlfn.MAXIFS(Levels!E:E,Levels!B:B,A2220)</f>
        <v>2.0099999999999998</v>
      </c>
      <c r="F2220" s="6">
        <f>_xlfn.MAXIFS(Levels!F:F,Levels!B:B,A2220)</f>
        <v>6.68</v>
      </c>
    </row>
    <row r="2221" spans="1:6" x14ac:dyDescent="0.3">
      <c r="A2221" t="s">
        <v>9965</v>
      </c>
      <c r="B2221" s="9">
        <f>COUNTIF(Levels!B:B,A2221)</f>
        <v>1</v>
      </c>
      <c r="C2221" s="9">
        <f>IFERROR(AVERAGEIF(Levels!B:B,A2221,Levels!E:E),0)</f>
        <v>3.37</v>
      </c>
      <c r="D2221" s="9">
        <f>IFERROR(AVERAGEIF(Levels!B:B,A2221,Levels!F:F),0)</f>
        <v>7.18</v>
      </c>
      <c r="E2221" s="9">
        <f>_xlfn.MAXIFS(Levels!E:E,Levels!B:B,A2221)</f>
        <v>3.37</v>
      </c>
      <c r="F2221" s="9">
        <f>_xlfn.MAXIFS(Levels!F:F,Levels!B:B,A2221)</f>
        <v>7.18</v>
      </c>
    </row>
    <row r="2222" spans="1:6" x14ac:dyDescent="0.3">
      <c r="A2222" t="s">
        <v>9971</v>
      </c>
      <c r="B2222" s="6">
        <f>COUNTIF(Levels!B:B,A2222)</f>
        <v>2</v>
      </c>
      <c r="C2222" s="6">
        <f>IFERROR(AVERAGEIF(Levels!B:B,A2222,Levels!E:E),0)</f>
        <v>22.895000000000003</v>
      </c>
      <c r="D2222" s="6">
        <f>IFERROR(AVERAGEIF(Levels!B:B,A2222,Levels!F:F),0)</f>
        <v>6.9249999999999998</v>
      </c>
      <c r="E2222" s="6">
        <f>_xlfn.MAXIFS(Levels!E:E,Levels!B:B,A2222)</f>
        <v>24.67</v>
      </c>
      <c r="F2222" s="6">
        <f>_xlfn.MAXIFS(Levels!F:F,Levels!B:B,A2222)</f>
        <v>7.33</v>
      </c>
    </row>
    <row r="2223" spans="1:6" x14ac:dyDescent="0.3">
      <c r="A2223" t="s">
        <v>9976</v>
      </c>
      <c r="B2223" s="9">
        <f>COUNTIF(Levels!B:B,A2223)</f>
        <v>1</v>
      </c>
      <c r="C2223" s="9">
        <f>IFERROR(AVERAGEIF(Levels!B:B,A2223,Levels!E:E),0)</f>
        <v>7.29</v>
      </c>
      <c r="D2223" s="9">
        <f>IFERROR(AVERAGEIF(Levels!B:B,A2223,Levels!F:F),0)</f>
        <v>3</v>
      </c>
      <c r="E2223" s="9">
        <f>_xlfn.MAXIFS(Levels!E:E,Levels!B:B,A2223)</f>
        <v>7.29</v>
      </c>
      <c r="F2223" s="9">
        <f>_xlfn.MAXIFS(Levels!F:F,Levels!B:B,A2223)</f>
        <v>3</v>
      </c>
    </row>
    <row r="2224" spans="1:6" x14ac:dyDescent="0.3">
      <c r="A2224" t="s">
        <v>9982</v>
      </c>
      <c r="B2224" s="6">
        <f>COUNTIF(Levels!B:B,A2224)</f>
        <v>3</v>
      </c>
      <c r="C2224" s="6">
        <f>IFERROR(AVERAGEIF(Levels!B:B,A2224,Levels!E:E),0)</f>
        <v>4.2399999999999993</v>
      </c>
      <c r="D2224" s="6">
        <f>IFERROR(AVERAGEIF(Levels!B:B,A2224,Levels!F:F),0)</f>
        <v>7.34</v>
      </c>
      <c r="E2224" s="6">
        <f>_xlfn.MAXIFS(Levels!E:E,Levels!B:B,A2224)</f>
        <v>5.87</v>
      </c>
      <c r="F2224" s="6">
        <f>_xlfn.MAXIFS(Levels!F:F,Levels!B:B,A2224)</f>
        <v>7.61</v>
      </c>
    </row>
    <row r="2225" spans="1:6" x14ac:dyDescent="0.3">
      <c r="A2225" t="s">
        <v>9991</v>
      </c>
      <c r="B2225" s="9">
        <f>COUNTIF(Levels!B:B,A2225)</f>
        <v>6</v>
      </c>
      <c r="C2225" s="9">
        <f>IFERROR(AVERAGEIF(Levels!B:B,A2225,Levels!E:E),0)</f>
        <v>9.1599999999999984</v>
      </c>
      <c r="D2225" s="9">
        <f>IFERROR(AVERAGEIF(Levels!B:B,A2225,Levels!F:F),0)</f>
        <v>7.5116666666666667</v>
      </c>
      <c r="E2225" s="9">
        <f>_xlfn.MAXIFS(Levels!E:E,Levels!B:B,A2225)</f>
        <v>21.98</v>
      </c>
      <c r="F2225" s="9">
        <f>_xlfn.MAXIFS(Levels!F:F,Levels!B:B,A2225)</f>
        <v>8.35</v>
      </c>
    </row>
    <row r="2226" spans="1:6" x14ac:dyDescent="0.3">
      <c r="A2226" t="s">
        <v>9993</v>
      </c>
      <c r="B2226" s="6">
        <f>COUNTIF(Levels!B:B,A2226)</f>
        <v>2</v>
      </c>
      <c r="C2226" s="6">
        <f>IFERROR(AVERAGEIF(Levels!B:B,A2226,Levels!E:E),0)</f>
        <v>4.4050000000000002</v>
      </c>
      <c r="D2226" s="6">
        <f>IFERROR(AVERAGEIF(Levels!B:B,A2226,Levels!F:F),0)</f>
        <v>6.625</v>
      </c>
      <c r="E2226" s="6">
        <f>_xlfn.MAXIFS(Levels!E:E,Levels!B:B,A2226)</f>
        <v>6</v>
      </c>
      <c r="F2226" s="6">
        <f>_xlfn.MAXIFS(Levels!F:F,Levels!B:B,A2226)</f>
        <v>7.5</v>
      </c>
    </row>
    <row r="2227" spans="1:6" x14ac:dyDescent="0.3">
      <c r="A2227" t="s">
        <v>10005</v>
      </c>
      <c r="B2227" s="9">
        <f>COUNTIF(Levels!B:B,A2227)</f>
        <v>2</v>
      </c>
      <c r="C2227" s="9">
        <f>IFERROR(AVERAGEIF(Levels!B:B,A2227,Levels!E:E),0)</f>
        <v>18.215</v>
      </c>
      <c r="D2227" s="9">
        <f>IFERROR(AVERAGEIF(Levels!B:B,A2227,Levels!F:F),0)</f>
        <v>8.0250000000000004</v>
      </c>
      <c r="E2227" s="9">
        <f>_xlfn.MAXIFS(Levels!E:E,Levels!B:B,A2227)</f>
        <v>18.25</v>
      </c>
      <c r="F2227" s="9">
        <f>_xlfn.MAXIFS(Levels!F:F,Levels!B:B,A2227)</f>
        <v>8.27</v>
      </c>
    </row>
    <row r="2228" spans="1:6" x14ac:dyDescent="0.3">
      <c r="A2228" t="s">
        <v>10007</v>
      </c>
      <c r="B2228" s="6">
        <f>COUNTIF(Levels!B:B,A2228)</f>
        <v>2</v>
      </c>
      <c r="C2228" s="6">
        <f>IFERROR(AVERAGEIF(Levels!B:B,A2228,Levels!E:E),0)</f>
        <v>11.975000000000001</v>
      </c>
      <c r="D2228" s="6">
        <f>IFERROR(AVERAGEIF(Levels!B:B,A2228,Levels!F:F),0)</f>
        <v>7.54</v>
      </c>
      <c r="E2228" s="6">
        <f>_xlfn.MAXIFS(Levels!E:E,Levels!B:B,A2228)</f>
        <v>16.12</v>
      </c>
      <c r="F2228" s="6">
        <f>_xlfn.MAXIFS(Levels!F:F,Levels!B:B,A2228)</f>
        <v>7.79</v>
      </c>
    </row>
    <row r="2229" spans="1:6" x14ac:dyDescent="0.3">
      <c r="A2229" t="s">
        <v>10009</v>
      </c>
      <c r="B2229" s="9">
        <f>COUNTIF(Levels!B:B,A2229)</f>
        <v>3</v>
      </c>
      <c r="C2229" s="9">
        <f>IFERROR(AVERAGEIF(Levels!B:B,A2229,Levels!E:E),0)</f>
        <v>4.876666666666666</v>
      </c>
      <c r="D2229" s="9">
        <f>IFERROR(AVERAGEIF(Levels!B:B,A2229,Levels!F:F),0)</f>
        <v>7.6866666666666665</v>
      </c>
      <c r="E2229" s="9">
        <f>_xlfn.MAXIFS(Levels!E:E,Levels!B:B,A2229)</f>
        <v>7.78</v>
      </c>
      <c r="F2229" s="9">
        <f>_xlfn.MAXIFS(Levels!F:F,Levels!B:B,A2229)</f>
        <v>8.3699999999999992</v>
      </c>
    </row>
    <row r="2230" spans="1:6" x14ac:dyDescent="0.3">
      <c r="A2230" t="s">
        <v>10021</v>
      </c>
      <c r="B2230" s="6">
        <f>COUNTIF(Levels!B:B,A2230)</f>
        <v>1</v>
      </c>
      <c r="C2230" s="6">
        <f>IFERROR(AVERAGEIF(Levels!B:B,A2230,Levels!E:E),0)</f>
        <v>10.33</v>
      </c>
      <c r="D2230" s="6">
        <f>IFERROR(AVERAGEIF(Levels!B:B,A2230,Levels!F:F),0)</f>
        <v>5</v>
      </c>
      <c r="E2230" s="6">
        <f>_xlfn.MAXIFS(Levels!E:E,Levels!B:B,A2230)</f>
        <v>10.33</v>
      </c>
      <c r="F2230" s="6">
        <f>_xlfn.MAXIFS(Levels!F:F,Levels!B:B,A2230)</f>
        <v>5</v>
      </c>
    </row>
    <row r="2231" spans="1:6" x14ac:dyDescent="0.3">
      <c r="A2231" t="s">
        <v>10038</v>
      </c>
      <c r="B2231" s="9">
        <f>COUNTIF(Levels!B:B,A2231)</f>
        <v>2</v>
      </c>
      <c r="C2231" s="9">
        <f>IFERROR(AVERAGEIF(Levels!B:B,A2231,Levels!E:E),0)</f>
        <v>4.5999999999999996</v>
      </c>
      <c r="D2231" s="9">
        <f>IFERROR(AVERAGEIF(Levels!B:B,A2231,Levels!F:F),0)</f>
        <v>6.38</v>
      </c>
      <c r="E2231" s="9">
        <f>_xlfn.MAXIFS(Levels!E:E,Levels!B:B,A2231)</f>
        <v>6.63</v>
      </c>
      <c r="F2231" s="9">
        <f>_xlfn.MAXIFS(Levels!F:F,Levels!B:B,A2231)</f>
        <v>6.93</v>
      </c>
    </row>
    <row r="2232" spans="1:6" x14ac:dyDescent="0.3">
      <c r="A2232" t="s">
        <v>10041</v>
      </c>
      <c r="B2232" s="6">
        <f>COUNTIF(Levels!B:B,A2232)</f>
        <v>2</v>
      </c>
      <c r="C2232" s="6">
        <f>IFERROR(AVERAGEIF(Levels!B:B,A2232,Levels!E:E),0)</f>
        <v>8.4249999999999989</v>
      </c>
      <c r="D2232" s="6">
        <f>IFERROR(AVERAGEIF(Levels!B:B,A2232,Levels!F:F),0)</f>
        <v>6.8250000000000002</v>
      </c>
      <c r="E2232" s="6">
        <f>_xlfn.MAXIFS(Levels!E:E,Levels!B:B,A2232)</f>
        <v>13.53</v>
      </c>
      <c r="F2232" s="6">
        <f>_xlfn.MAXIFS(Levels!F:F,Levels!B:B,A2232)</f>
        <v>7.12</v>
      </c>
    </row>
    <row r="2233" spans="1:6" x14ac:dyDescent="0.3">
      <c r="A2233" t="s">
        <v>10061</v>
      </c>
      <c r="B2233" s="9">
        <f>COUNTIF(Levels!B:B,A2233)</f>
        <v>2</v>
      </c>
      <c r="C2233" s="9">
        <f>IFERROR(AVERAGEIF(Levels!B:B,A2233,Levels!E:E),0)</f>
        <v>10.739999999999998</v>
      </c>
      <c r="D2233" s="9">
        <f>IFERROR(AVERAGEIF(Levels!B:B,A2233,Levels!F:F),0)</f>
        <v>5.665</v>
      </c>
      <c r="E2233" s="9">
        <f>_xlfn.MAXIFS(Levels!E:E,Levels!B:B,A2233)</f>
        <v>17.649999999999999</v>
      </c>
      <c r="F2233" s="9">
        <f>_xlfn.MAXIFS(Levels!F:F,Levels!B:B,A2233)</f>
        <v>7.76</v>
      </c>
    </row>
    <row r="2234" spans="1:6" x14ac:dyDescent="0.3">
      <c r="A2234" t="s">
        <v>10065</v>
      </c>
      <c r="B2234" s="6">
        <f>COUNTIF(Levels!B:B,A2234)</f>
        <v>2</v>
      </c>
      <c r="C2234" s="6">
        <f>IFERROR(AVERAGEIF(Levels!B:B,A2234,Levels!E:E),0)</f>
        <v>20.41</v>
      </c>
      <c r="D2234" s="6">
        <f>IFERROR(AVERAGEIF(Levels!B:B,A2234,Levels!F:F),0)</f>
        <v>6.835</v>
      </c>
      <c r="E2234" s="6">
        <f>_xlfn.MAXIFS(Levels!E:E,Levels!B:B,A2234)</f>
        <v>24.67</v>
      </c>
      <c r="F2234" s="6">
        <f>_xlfn.MAXIFS(Levels!F:F,Levels!B:B,A2234)</f>
        <v>9.67</v>
      </c>
    </row>
    <row r="2235" spans="1:6" x14ac:dyDescent="0.3">
      <c r="A2235" t="s">
        <v>10073</v>
      </c>
      <c r="B2235" s="9">
        <f>COUNTIF(Levels!B:B,A2235)</f>
        <v>5</v>
      </c>
      <c r="C2235" s="9">
        <f>IFERROR(AVERAGEIF(Levels!B:B,A2235,Levels!E:E),0)</f>
        <v>26.0425</v>
      </c>
      <c r="D2235" s="9">
        <f>IFERROR(AVERAGEIF(Levels!B:B,A2235,Levels!F:F),0)</f>
        <v>8.6875</v>
      </c>
      <c r="E2235" s="9">
        <f>_xlfn.MAXIFS(Levels!E:E,Levels!B:B,A2235)</f>
        <v>31.17</v>
      </c>
      <c r="F2235" s="9">
        <f>_xlfn.MAXIFS(Levels!F:F,Levels!B:B,A2235)</f>
        <v>9.33</v>
      </c>
    </row>
    <row r="2236" spans="1:6" x14ac:dyDescent="0.3">
      <c r="A2236" t="s">
        <v>10075</v>
      </c>
      <c r="B2236" s="6">
        <f>COUNTIF(Levels!B:B,A2236)</f>
        <v>1</v>
      </c>
      <c r="C2236" s="6">
        <f>IFERROR(AVERAGEIF(Levels!B:B,A2236,Levels!E:E),0)</f>
        <v>25</v>
      </c>
      <c r="D2236" s="6">
        <f>IFERROR(AVERAGEIF(Levels!B:B,A2236,Levels!F:F),0)</f>
        <v>1</v>
      </c>
      <c r="E2236" s="6">
        <f>_xlfn.MAXIFS(Levels!E:E,Levels!B:B,A2236)</f>
        <v>25</v>
      </c>
      <c r="F2236" s="6">
        <f>_xlfn.MAXIFS(Levels!F:F,Levels!B:B,A2236)</f>
        <v>1</v>
      </c>
    </row>
    <row r="2237" spans="1:6" x14ac:dyDescent="0.3">
      <c r="A2237" t="s">
        <v>10079</v>
      </c>
      <c r="B2237" s="9">
        <f>COUNTIF(Levels!B:B,A2237)</f>
        <v>1</v>
      </c>
      <c r="C2237" s="9">
        <f>IFERROR(AVERAGEIF(Levels!B:B,A2237,Levels!E:E),0)</f>
        <v>11.76</v>
      </c>
      <c r="D2237" s="9">
        <f>IFERROR(AVERAGEIF(Levels!B:B,A2237,Levels!F:F),0)</f>
        <v>7.91</v>
      </c>
      <c r="E2237" s="9">
        <f>_xlfn.MAXIFS(Levels!E:E,Levels!B:B,A2237)</f>
        <v>11.76</v>
      </c>
      <c r="F2237" s="9">
        <f>_xlfn.MAXIFS(Levels!F:F,Levels!B:B,A2237)</f>
        <v>7.91</v>
      </c>
    </row>
    <row r="2238" spans="1:6" x14ac:dyDescent="0.3">
      <c r="A2238" t="s">
        <v>10084</v>
      </c>
      <c r="B2238" s="6">
        <f>COUNTIF(Levels!B:B,A2238)</f>
        <v>6</v>
      </c>
      <c r="C2238" s="6">
        <f>IFERROR(AVERAGEIF(Levels!B:B,A2238,Levels!E:E),0)</f>
        <v>24.137499999999999</v>
      </c>
      <c r="D2238" s="6">
        <f>IFERROR(AVERAGEIF(Levels!B:B,A2238,Levels!F:F),0)</f>
        <v>7.5350000000000001</v>
      </c>
      <c r="E2238" s="6">
        <f>_xlfn.MAXIFS(Levels!E:E,Levels!B:B,A2238)</f>
        <v>32</v>
      </c>
      <c r="F2238" s="6">
        <f>_xlfn.MAXIFS(Levels!F:F,Levels!B:B,A2238)</f>
        <v>9</v>
      </c>
    </row>
    <row r="2239" spans="1:6" x14ac:dyDescent="0.3">
      <c r="A2239" t="s">
        <v>10087</v>
      </c>
      <c r="B2239" s="9">
        <f>COUNTIF(Levels!B:B,A2239)</f>
        <v>1</v>
      </c>
      <c r="C2239" s="9">
        <f>IFERROR(AVERAGEIF(Levels!B:B,A2239,Levels!E:E),0)</f>
        <v>4.88</v>
      </c>
      <c r="D2239" s="9">
        <f>IFERROR(AVERAGEIF(Levels!B:B,A2239,Levels!F:F),0)</f>
        <v>4.5999999999999996</v>
      </c>
      <c r="E2239" s="9">
        <f>_xlfn.MAXIFS(Levels!E:E,Levels!B:B,A2239)</f>
        <v>4.88</v>
      </c>
      <c r="F2239" s="9">
        <f>_xlfn.MAXIFS(Levels!F:F,Levels!B:B,A2239)</f>
        <v>4.5999999999999996</v>
      </c>
    </row>
    <row r="2240" spans="1:6" x14ac:dyDescent="0.3">
      <c r="A2240" t="s">
        <v>10091</v>
      </c>
      <c r="B2240" s="6">
        <f>COUNTIF(Levels!B:B,A2240)</f>
        <v>1</v>
      </c>
      <c r="C2240" s="6">
        <f>IFERROR(AVERAGEIF(Levels!B:B,A2240,Levels!E:E),0)</f>
        <v>13.55</v>
      </c>
      <c r="D2240" s="6">
        <f>IFERROR(AVERAGEIF(Levels!B:B,A2240,Levels!F:F),0)</f>
        <v>7.55</v>
      </c>
      <c r="E2240" s="6">
        <f>_xlfn.MAXIFS(Levels!E:E,Levels!B:B,A2240)</f>
        <v>13.55</v>
      </c>
      <c r="F2240" s="6">
        <f>_xlfn.MAXIFS(Levels!F:F,Levels!B:B,A2240)</f>
        <v>7.55</v>
      </c>
    </row>
    <row r="2241" spans="1:6" x14ac:dyDescent="0.3">
      <c r="A2241" t="s">
        <v>10093</v>
      </c>
      <c r="B2241" s="9">
        <f>COUNTIF(Levels!B:B,A2241)</f>
        <v>1</v>
      </c>
      <c r="C2241" s="9">
        <f>IFERROR(AVERAGEIF(Levels!B:B,A2241,Levels!E:E),0)</f>
        <v>16.25</v>
      </c>
      <c r="D2241" s="9">
        <f>IFERROR(AVERAGEIF(Levels!B:B,A2241,Levels!F:F),0)</f>
        <v>7.25</v>
      </c>
      <c r="E2241" s="9">
        <f>_xlfn.MAXIFS(Levels!E:E,Levels!B:B,A2241)</f>
        <v>16.25</v>
      </c>
      <c r="F2241" s="9">
        <f>_xlfn.MAXIFS(Levels!F:F,Levels!B:B,A2241)</f>
        <v>7.25</v>
      </c>
    </row>
    <row r="2242" spans="1:6" x14ac:dyDescent="0.3">
      <c r="A2242" t="s">
        <v>10102</v>
      </c>
      <c r="B2242" s="6">
        <f>COUNTIF(Levels!B:B,A2242)</f>
        <v>1</v>
      </c>
      <c r="C2242" s="6">
        <f>IFERROR(AVERAGEIF(Levels!B:B,A2242,Levels!E:E),0)</f>
        <v>20.83</v>
      </c>
      <c r="D2242" s="6">
        <f>IFERROR(AVERAGEIF(Levels!B:B,A2242,Levels!F:F),0)</f>
        <v>4.83</v>
      </c>
      <c r="E2242" s="6">
        <f>_xlfn.MAXIFS(Levels!E:E,Levels!B:B,A2242)</f>
        <v>20.83</v>
      </c>
      <c r="F2242" s="6">
        <f>_xlfn.MAXIFS(Levels!F:F,Levels!B:B,A2242)</f>
        <v>4.83</v>
      </c>
    </row>
    <row r="2243" spans="1:6" x14ac:dyDescent="0.3">
      <c r="A2243" t="s">
        <v>10105</v>
      </c>
      <c r="B2243" s="9">
        <f>COUNTIF(Levels!B:B,A2243)</f>
        <v>3</v>
      </c>
      <c r="C2243" s="9">
        <f>IFERROR(AVERAGEIF(Levels!B:B,A2243,Levels!E:E),0)</f>
        <v>15.12</v>
      </c>
      <c r="D2243" s="9">
        <f>IFERROR(AVERAGEIF(Levels!B:B,A2243,Levels!F:F),0)</f>
        <v>6.2566666666666668</v>
      </c>
      <c r="E2243" s="9">
        <f>_xlfn.MAXIFS(Levels!E:E,Levels!B:B,A2243)</f>
        <v>20.18</v>
      </c>
      <c r="F2243" s="9">
        <f>_xlfn.MAXIFS(Levels!F:F,Levels!B:B,A2243)</f>
        <v>7.2</v>
      </c>
    </row>
    <row r="2244" spans="1:6" x14ac:dyDescent="0.3">
      <c r="A2244" t="s">
        <v>10113</v>
      </c>
      <c r="B2244" s="6">
        <f>COUNTIF(Levels!B:B,A2244)</f>
        <v>1</v>
      </c>
      <c r="C2244" s="6">
        <f>IFERROR(AVERAGEIF(Levels!B:B,A2244,Levels!E:E),0)</f>
        <v>1.87</v>
      </c>
      <c r="D2244" s="6">
        <f>IFERROR(AVERAGEIF(Levels!B:B,A2244,Levels!F:F),0)</f>
        <v>6.27</v>
      </c>
      <c r="E2244" s="6">
        <f>_xlfn.MAXIFS(Levels!E:E,Levels!B:B,A2244)</f>
        <v>1.87</v>
      </c>
      <c r="F2244" s="6">
        <f>_xlfn.MAXIFS(Levels!F:F,Levels!B:B,A2244)</f>
        <v>6.27</v>
      </c>
    </row>
    <row r="2245" spans="1:6" x14ac:dyDescent="0.3">
      <c r="A2245" t="s">
        <v>10116</v>
      </c>
      <c r="B2245" s="9">
        <f>COUNTIF(Levels!B:B,A2245)</f>
        <v>7</v>
      </c>
      <c r="C2245" s="9">
        <f>IFERROR(AVERAGEIF(Levels!B:B,A2245,Levels!E:E),0)</f>
        <v>18.008571428571429</v>
      </c>
      <c r="D2245" s="9">
        <f>IFERROR(AVERAGEIF(Levels!B:B,A2245,Levels!F:F),0)</f>
        <v>7.1214285714285719</v>
      </c>
      <c r="E2245" s="9">
        <f>_xlfn.MAXIFS(Levels!E:E,Levels!B:B,A2245)</f>
        <v>34</v>
      </c>
      <c r="F2245" s="9">
        <f>_xlfn.MAXIFS(Levels!F:F,Levels!B:B,A2245)</f>
        <v>10</v>
      </c>
    </row>
    <row r="2246" spans="1:6" x14ac:dyDescent="0.3">
      <c r="A2246" t="s">
        <v>10118</v>
      </c>
      <c r="B2246" s="6">
        <f>COUNTIF(Levels!B:B,A2246)</f>
        <v>1</v>
      </c>
      <c r="C2246" s="6">
        <f>IFERROR(AVERAGEIF(Levels!B:B,A2246,Levels!E:E),0)</f>
        <v>26.5</v>
      </c>
      <c r="D2246" s="6">
        <f>IFERROR(AVERAGEIF(Levels!B:B,A2246,Levels!F:F),0)</f>
        <v>8</v>
      </c>
      <c r="E2246" s="6">
        <f>_xlfn.MAXIFS(Levels!E:E,Levels!B:B,A2246)</f>
        <v>26.5</v>
      </c>
      <c r="F2246" s="6">
        <f>_xlfn.MAXIFS(Levels!F:F,Levels!B:B,A2246)</f>
        <v>8</v>
      </c>
    </row>
    <row r="2247" spans="1:6" x14ac:dyDescent="0.3">
      <c r="A2247" t="s">
        <v>10121</v>
      </c>
      <c r="B2247" s="9">
        <f>COUNTIF(Levels!B:B,A2247)</f>
        <v>1</v>
      </c>
      <c r="C2247" s="9">
        <f>IFERROR(AVERAGEIF(Levels!B:B,A2247,Levels!E:E),0)</f>
        <v>11.5</v>
      </c>
      <c r="D2247" s="9">
        <f>IFERROR(AVERAGEIF(Levels!B:B,A2247,Levels!F:F),0)</f>
        <v>7</v>
      </c>
      <c r="E2247" s="9">
        <f>_xlfn.MAXIFS(Levels!E:E,Levels!B:B,A2247)</f>
        <v>11.5</v>
      </c>
      <c r="F2247" s="9">
        <f>_xlfn.MAXIFS(Levels!F:F,Levels!B:B,A2247)</f>
        <v>7</v>
      </c>
    </row>
    <row r="2248" spans="1:6" x14ac:dyDescent="0.3">
      <c r="A2248" t="s">
        <v>10124</v>
      </c>
      <c r="B2248" s="6">
        <f>COUNTIF(Levels!B:B,A2248)</f>
        <v>1</v>
      </c>
      <c r="C2248" s="6">
        <f>IFERROR(AVERAGEIF(Levels!B:B,A2248,Levels!E:E),0)</f>
        <v>1.92</v>
      </c>
      <c r="D2248" s="6">
        <f>IFERROR(AVERAGEIF(Levels!B:B,A2248,Levels!F:F),0)</f>
        <v>6.45</v>
      </c>
      <c r="E2248" s="6">
        <f>_xlfn.MAXIFS(Levels!E:E,Levels!B:B,A2248)</f>
        <v>1.92</v>
      </c>
      <c r="F2248" s="6">
        <f>_xlfn.MAXIFS(Levels!F:F,Levels!B:B,A2248)</f>
        <v>6.45</v>
      </c>
    </row>
    <row r="2249" spans="1:6" x14ac:dyDescent="0.3">
      <c r="A2249" t="s">
        <v>10126</v>
      </c>
      <c r="B2249" s="9">
        <f>COUNTIF(Levels!B:B,A2249)</f>
        <v>2</v>
      </c>
      <c r="C2249" s="9">
        <f>IFERROR(AVERAGEIF(Levels!B:B,A2249,Levels!E:E),0)</f>
        <v>12.435</v>
      </c>
      <c r="D2249" s="9">
        <f>IFERROR(AVERAGEIF(Levels!B:B,A2249,Levels!F:F),0)</f>
        <v>5.25</v>
      </c>
      <c r="E2249" s="9">
        <f>_xlfn.MAXIFS(Levels!E:E,Levels!B:B,A2249)</f>
        <v>15.49</v>
      </c>
      <c r="F2249" s="9">
        <f>_xlfn.MAXIFS(Levels!F:F,Levels!B:B,A2249)</f>
        <v>6</v>
      </c>
    </row>
    <row r="2250" spans="1:6" x14ac:dyDescent="0.3">
      <c r="A2250" t="s">
        <v>10136</v>
      </c>
      <c r="B2250" s="6">
        <f>COUNTIF(Levels!B:B,A2250)</f>
        <v>1</v>
      </c>
      <c r="C2250" s="6">
        <f>IFERROR(AVERAGEIF(Levels!B:B,A2250,Levels!E:E),0)</f>
        <v>21.84</v>
      </c>
      <c r="D2250" s="6">
        <f>IFERROR(AVERAGEIF(Levels!B:B,A2250,Levels!F:F),0)</f>
        <v>8.35</v>
      </c>
      <c r="E2250" s="6">
        <f>_xlfn.MAXIFS(Levels!E:E,Levels!B:B,A2250)</f>
        <v>21.84</v>
      </c>
      <c r="F2250" s="6">
        <f>_xlfn.MAXIFS(Levels!F:F,Levels!B:B,A2250)</f>
        <v>8.35</v>
      </c>
    </row>
    <row r="2251" spans="1:6" x14ac:dyDescent="0.3">
      <c r="A2251" t="s">
        <v>10145</v>
      </c>
      <c r="B2251" s="9">
        <f>COUNTIF(Levels!B:B,A2251)</f>
        <v>4</v>
      </c>
      <c r="C2251" s="9">
        <f>IFERROR(AVERAGEIF(Levels!B:B,A2251,Levels!E:E),0)</f>
        <v>6.75</v>
      </c>
      <c r="D2251" s="9">
        <f>IFERROR(AVERAGEIF(Levels!B:B,A2251,Levels!F:F),0)</f>
        <v>7.4466666666666663</v>
      </c>
      <c r="E2251" s="9">
        <f>_xlfn.MAXIFS(Levels!E:E,Levels!B:B,A2251)</f>
        <v>9.24</v>
      </c>
      <c r="F2251" s="9">
        <f>_xlfn.MAXIFS(Levels!F:F,Levels!B:B,A2251)</f>
        <v>7.92</v>
      </c>
    </row>
    <row r="2252" spans="1:6" x14ac:dyDescent="0.3">
      <c r="A2252" t="s">
        <v>10150</v>
      </c>
      <c r="B2252" s="6">
        <f>COUNTIF(Levels!B:B,A2252)</f>
        <v>1</v>
      </c>
      <c r="C2252" s="6">
        <f>IFERROR(AVERAGEIF(Levels!B:B,A2252,Levels!E:E),0)</f>
        <v>9</v>
      </c>
      <c r="D2252" s="6">
        <f>IFERROR(AVERAGEIF(Levels!B:B,A2252,Levels!F:F),0)</f>
        <v>4.2</v>
      </c>
      <c r="E2252" s="6">
        <f>_xlfn.MAXIFS(Levels!E:E,Levels!B:B,A2252)</f>
        <v>9</v>
      </c>
      <c r="F2252" s="6">
        <f>_xlfn.MAXIFS(Levels!F:F,Levels!B:B,A2252)</f>
        <v>4.2</v>
      </c>
    </row>
    <row r="2253" spans="1:6" x14ac:dyDescent="0.3">
      <c r="A2253" t="s">
        <v>10160</v>
      </c>
      <c r="B2253" s="9">
        <f>COUNTIF(Levels!B:B,A2253)</f>
        <v>3</v>
      </c>
      <c r="C2253" s="9">
        <f>IFERROR(AVERAGEIF(Levels!B:B,A2253,Levels!E:E),0)</f>
        <v>18.013333333333332</v>
      </c>
      <c r="D2253" s="9">
        <f>IFERROR(AVERAGEIF(Levels!B:B,A2253,Levels!F:F),0)</f>
        <v>6.63</v>
      </c>
      <c r="E2253" s="9">
        <f>_xlfn.MAXIFS(Levels!E:E,Levels!B:B,A2253)</f>
        <v>22.4</v>
      </c>
      <c r="F2253" s="9">
        <f>_xlfn.MAXIFS(Levels!F:F,Levels!B:B,A2253)</f>
        <v>8.25</v>
      </c>
    </row>
    <row r="2254" spans="1:6" x14ac:dyDescent="0.3">
      <c r="A2254" t="s">
        <v>10167</v>
      </c>
      <c r="B2254" s="6">
        <f>COUNTIF(Levels!B:B,A2254)</f>
        <v>5</v>
      </c>
      <c r="C2254" s="6">
        <f>IFERROR(AVERAGEIF(Levels!B:B,A2254,Levels!E:E),0)</f>
        <v>10.254000000000001</v>
      </c>
      <c r="D2254" s="6">
        <f>IFERROR(AVERAGEIF(Levels!B:B,A2254,Levels!F:F),0)</f>
        <v>7.5640000000000001</v>
      </c>
      <c r="E2254" s="6">
        <f>_xlfn.MAXIFS(Levels!E:E,Levels!B:B,A2254)</f>
        <v>20.71</v>
      </c>
      <c r="F2254" s="6">
        <f>_xlfn.MAXIFS(Levels!F:F,Levels!B:B,A2254)</f>
        <v>8.7100000000000009</v>
      </c>
    </row>
    <row r="2255" spans="1:6" x14ac:dyDescent="0.3">
      <c r="A2255" t="s">
        <v>10170</v>
      </c>
      <c r="B2255" s="9">
        <f>COUNTIF(Levels!B:B,A2255)</f>
        <v>2</v>
      </c>
      <c r="C2255" s="9">
        <f>IFERROR(AVERAGEIF(Levels!B:B,A2255,Levels!E:E),0)</f>
        <v>28.414999999999999</v>
      </c>
      <c r="D2255" s="9">
        <f>IFERROR(AVERAGEIF(Levels!B:B,A2255,Levels!F:F),0)</f>
        <v>4.75</v>
      </c>
      <c r="E2255" s="9">
        <f>_xlfn.MAXIFS(Levels!E:E,Levels!B:B,A2255)</f>
        <v>32.33</v>
      </c>
      <c r="F2255" s="9">
        <f>_xlfn.MAXIFS(Levels!F:F,Levels!B:B,A2255)</f>
        <v>6</v>
      </c>
    </row>
    <row r="2256" spans="1:6" x14ac:dyDescent="0.3">
      <c r="A2256" t="s">
        <v>10173</v>
      </c>
      <c r="B2256" s="6">
        <f>COUNTIF(Levels!B:B,A2256)</f>
        <v>1</v>
      </c>
      <c r="C2256" s="6">
        <f>IFERROR(AVERAGEIF(Levels!B:B,A2256,Levels!E:E),0)</f>
        <v>3.33</v>
      </c>
      <c r="D2256" s="6">
        <f>IFERROR(AVERAGEIF(Levels!B:B,A2256,Levels!F:F),0)</f>
        <v>7.75</v>
      </c>
      <c r="E2256" s="6">
        <f>_xlfn.MAXIFS(Levels!E:E,Levels!B:B,A2256)</f>
        <v>3.33</v>
      </c>
      <c r="F2256" s="6">
        <f>_xlfn.MAXIFS(Levels!F:F,Levels!B:B,A2256)</f>
        <v>7.75</v>
      </c>
    </row>
    <row r="2257" spans="1:6" x14ac:dyDescent="0.3">
      <c r="A2257" t="s">
        <v>10176</v>
      </c>
      <c r="B2257" s="9">
        <f>COUNTIF(Levels!B:B,A2257)</f>
        <v>1</v>
      </c>
      <c r="C2257" s="9">
        <f>IFERROR(AVERAGEIF(Levels!B:B,A2257,Levels!E:E),0)</f>
        <v>18</v>
      </c>
      <c r="D2257" s="9">
        <f>IFERROR(AVERAGEIF(Levels!B:B,A2257,Levels!F:F),0)</f>
        <v>7.5</v>
      </c>
      <c r="E2257" s="9">
        <f>_xlfn.MAXIFS(Levels!E:E,Levels!B:B,A2257)</f>
        <v>18</v>
      </c>
      <c r="F2257" s="9">
        <f>_xlfn.MAXIFS(Levels!F:F,Levels!B:B,A2257)</f>
        <v>7.5</v>
      </c>
    </row>
    <row r="2258" spans="1:6" x14ac:dyDescent="0.3">
      <c r="A2258" t="s">
        <v>10178</v>
      </c>
      <c r="B2258" s="6">
        <f>COUNTIF(Levels!B:B,A2258)</f>
        <v>1</v>
      </c>
      <c r="C2258" s="6">
        <f>IFERROR(AVERAGEIF(Levels!B:B,A2258,Levels!E:E),0)</f>
        <v>14.15</v>
      </c>
      <c r="D2258" s="6">
        <f>IFERROR(AVERAGEIF(Levels!B:B,A2258,Levels!F:F),0)</f>
        <v>6.15</v>
      </c>
      <c r="E2258" s="6">
        <f>_xlfn.MAXIFS(Levels!E:E,Levels!B:B,A2258)</f>
        <v>14.15</v>
      </c>
      <c r="F2258" s="6">
        <f>_xlfn.MAXIFS(Levels!F:F,Levels!B:B,A2258)</f>
        <v>6.15</v>
      </c>
    </row>
    <row r="2259" spans="1:6" x14ac:dyDescent="0.3">
      <c r="A2259" t="s">
        <v>10181</v>
      </c>
      <c r="B2259" s="9">
        <f>COUNTIF(Levels!B:B,A2259)</f>
        <v>2</v>
      </c>
      <c r="C2259" s="9">
        <f>IFERROR(AVERAGEIF(Levels!B:B,A2259,Levels!E:E),0)</f>
        <v>3.46</v>
      </c>
      <c r="D2259" s="9">
        <f>IFERROR(AVERAGEIF(Levels!B:B,A2259,Levels!F:F),0)</f>
        <v>7.4849999999999994</v>
      </c>
      <c r="E2259" s="9">
        <f>_xlfn.MAXIFS(Levels!E:E,Levels!B:B,A2259)</f>
        <v>5.08</v>
      </c>
      <c r="F2259" s="9">
        <f>_xlfn.MAXIFS(Levels!F:F,Levels!B:B,A2259)</f>
        <v>7.84</v>
      </c>
    </row>
    <row r="2260" spans="1:6" x14ac:dyDescent="0.3">
      <c r="A2260" t="s">
        <v>10186</v>
      </c>
      <c r="B2260" s="6">
        <f>COUNTIF(Levels!B:B,A2260)</f>
        <v>1</v>
      </c>
      <c r="C2260" s="6">
        <f>IFERROR(AVERAGEIF(Levels!B:B,A2260,Levels!E:E),0)</f>
        <v>12.33</v>
      </c>
      <c r="D2260" s="6">
        <f>IFERROR(AVERAGEIF(Levels!B:B,A2260,Levels!F:F),0)</f>
        <v>6</v>
      </c>
      <c r="E2260" s="6">
        <f>_xlfn.MAXIFS(Levels!E:E,Levels!B:B,A2260)</f>
        <v>12.33</v>
      </c>
      <c r="F2260" s="6">
        <f>_xlfn.MAXIFS(Levels!F:F,Levels!B:B,A2260)</f>
        <v>6</v>
      </c>
    </row>
    <row r="2261" spans="1:6" x14ac:dyDescent="0.3">
      <c r="A2261" t="s">
        <v>10189</v>
      </c>
      <c r="B2261" s="9">
        <f>COUNTIF(Levels!B:B,A2261)</f>
        <v>6</v>
      </c>
      <c r="C2261" s="9">
        <f>IFERROR(AVERAGEIF(Levels!B:B,A2261,Levels!E:E),0)</f>
        <v>2.194</v>
      </c>
      <c r="D2261" s="9">
        <f>IFERROR(AVERAGEIF(Levels!B:B,A2261,Levels!F:F),0)</f>
        <v>7.7566666666666668</v>
      </c>
      <c r="E2261" s="9">
        <f>_xlfn.MAXIFS(Levels!E:E,Levels!B:B,A2261)</f>
        <v>4.3899999999999997</v>
      </c>
      <c r="F2261" s="9">
        <f>_xlfn.MAXIFS(Levels!F:F,Levels!B:B,A2261)</f>
        <v>8.59</v>
      </c>
    </row>
    <row r="2262" spans="1:6" x14ac:dyDescent="0.3">
      <c r="A2262" t="s">
        <v>10197</v>
      </c>
      <c r="B2262" s="6">
        <f>COUNTIF(Levels!B:B,A2262)</f>
        <v>2</v>
      </c>
      <c r="C2262" s="6">
        <f>IFERROR(AVERAGEIF(Levels!B:B,A2262,Levels!E:E),0)</f>
        <v>13.47</v>
      </c>
      <c r="D2262" s="6">
        <f>IFERROR(AVERAGEIF(Levels!B:B,A2262,Levels!F:F),0)</f>
        <v>7.7200000000000006</v>
      </c>
      <c r="E2262" s="6">
        <f>_xlfn.MAXIFS(Levels!E:E,Levels!B:B,A2262)</f>
        <v>15.06</v>
      </c>
      <c r="F2262" s="6">
        <f>_xlfn.MAXIFS(Levels!F:F,Levels!B:B,A2262)</f>
        <v>8.14</v>
      </c>
    </row>
    <row r="2263" spans="1:6" x14ac:dyDescent="0.3">
      <c r="A2263" t="s">
        <v>10201</v>
      </c>
      <c r="B2263" s="9">
        <f>COUNTIF(Levels!B:B,A2263)</f>
        <v>1</v>
      </c>
      <c r="C2263" s="9">
        <f>IFERROR(AVERAGEIF(Levels!B:B,A2263,Levels!E:E),0)</f>
        <v>18.5</v>
      </c>
      <c r="D2263" s="9">
        <f>IFERROR(AVERAGEIF(Levels!B:B,A2263,Levels!F:F),0)</f>
        <v>3.75</v>
      </c>
      <c r="E2263" s="9">
        <f>_xlfn.MAXIFS(Levels!E:E,Levels!B:B,A2263)</f>
        <v>18.5</v>
      </c>
      <c r="F2263" s="9">
        <f>_xlfn.MAXIFS(Levels!F:F,Levels!B:B,A2263)</f>
        <v>3.75</v>
      </c>
    </row>
    <row r="2264" spans="1:6" x14ac:dyDescent="0.3">
      <c r="A2264" t="s">
        <v>10210</v>
      </c>
      <c r="B2264" s="6">
        <f>COUNTIF(Levels!B:B,A2264)</f>
        <v>4</v>
      </c>
      <c r="C2264" s="6">
        <f>IFERROR(AVERAGEIF(Levels!B:B,A2264,Levels!E:E),0)</f>
        <v>14.802499999999998</v>
      </c>
      <c r="D2264" s="6">
        <f>IFERROR(AVERAGEIF(Levels!B:B,A2264,Levels!F:F),0)</f>
        <v>8.0425000000000004</v>
      </c>
      <c r="E2264" s="6">
        <f>_xlfn.MAXIFS(Levels!E:E,Levels!B:B,A2264)</f>
        <v>22.52</v>
      </c>
      <c r="F2264" s="6">
        <f>_xlfn.MAXIFS(Levels!F:F,Levels!B:B,A2264)</f>
        <v>8.6199999999999992</v>
      </c>
    </row>
    <row r="2265" spans="1:6" x14ac:dyDescent="0.3">
      <c r="A2265" t="s">
        <v>10213</v>
      </c>
      <c r="B2265" s="9">
        <f>COUNTIF(Levels!B:B,A2265)</f>
        <v>1</v>
      </c>
      <c r="C2265" s="9">
        <f>IFERROR(AVERAGEIF(Levels!B:B,A2265,Levels!E:E),0)</f>
        <v>19.25</v>
      </c>
      <c r="D2265" s="9">
        <f>IFERROR(AVERAGEIF(Levels!B:B,A2265,Levels!F:F),0)</f>
        <v>5</v>
      </c>
      <c r="E2265" s="9">
        <f>_xlfn.MAXIFS(Levels!E:E,Levels!B:B,A2265)</f>
        <v>19.25</v>
      </c>
      <c r="F2265" s="9">
        <f>_xlfn.MAXIFS(Levels!F:F,Levels!B:B,A2265)</f>
        <v>5</v>
      </c>
    </row>
    <row r="2266" spans="1:6" x14ac:dyDescent="0.3">
      <c r="A2266" t="s">
        <v>10215</v>
      </c>
      <c r="B2266" s="6">
        <f>COUNTIF(Levels!B:B,A2266)</f>
        <v>3</v>
      </c>
      <c r="C2266" s="6">
        <f>IFERROR(AVERAGEIF(Levels!B:B,A2266,Levels!E:E),0)</f>
        <v>2.7666666666666671</v>
      </c>
      <c r="D2266" s="6">
        <f>IFERROR(AVERAGEIF(Levels!B:B,A2266,Levels!F:F),0)</f>
        <v>6.1099999999999994</v>
      </c>
      <c r="E2266" s="6">
        <f>_xlfn.MAXIFS(Levels!E:E,Levels!B:B,A2266)</f>
        <v>3.67</v>
      </c>
      <c r="F2266" s="6">
        <f>_xlfn.MAXIFS(Levels!F:F,Levels!B:B,A2266)</f>
        <v>7.36</v>
      </c>
    </row>
    <row r="2267" spans="1:6" x14ac:dyDescent="0.3">
      <c r="A2267" t="s">
        <v>10219</v>
      </c>
      <c r="B2267" s="9">
        <f>COUNTIF(Levels!B:B,A2267)</f>
        <v>3</v>
      </c>
      <c r="C2267" s="9">
        <f>IFERROR(AVERAGEIF(Levels!B:B,A2267,Levels!E:E),0)</f>
        <v>1.8166666666666667</v>
      </c>
      <c r="D2267" s="9">
        <f>IFERROR(AVERAGEIF(Levels!B:B,A2267,Levels!F:F),0)</f>
        <v>7.169999999999999</v>
      </c>
      <c r="E2267" s="9">
        <f>_xlfn.MAXIFS(Levels!E:E,Levels!B:B,A2267)</f>
        <v>2.74</v>
      </c>
      <c r="F2267" s="9">
        <f>_xlfn.MAXIFS(Levels!F:F,Levels!B:B,A2267)</f>
        <v>7.56</v>
      </c>
    </row>
    <row r="2268" spans="1:6" x14ac:dyDescent="0.3">
      <c r="A2268" t="s">
        <v>10222</v>
      </c>
      <c r="B2268" s="6">
        <f>COUNTIF(Levels!B:B,A2268)</f>
        <v>3</v>
      </c>
      <c r="C2268" s="6">
        <f>IFERROR(AVERAGEIF(Levels!B:B,A2268,Levels!E:E),0)</f>
        <v>7.2833333333333341</v>
      </c>
      <c r="D2268" s="6">
        <f>IFERROR(AVERAGEIF(Levels!B:B,A2268,Levels!F:F),0)</f>
        <v>6.8533333333333326</v>
      </c>
      <c r="E2268" s="6">
        <f>_xlfn.MAXIFS(Levels!E:E,Levels!B:B,A2268)</f>
        <v>15.8</v>
      </c>
      <c r="F2268" s="6">
        <f>_xlfn.MAXIFS(Levels!F:F,Levels!B:B,A2268)</f>
        <v>7.22</v>
      </c>
    </row>
    <row r="2269" spans="1:6" x14ac:dyDescent="0.3">
      <c r="A2269" t="s">
        <v>10224</v>
      </c>
      <c r="B2269" s="9">
        <f>COUNTIF(Levels!B:B,A2269)</f>
        <v>2</v>
      </c>
      <c r="C2269" s="9">
        <f>IFERROR(AVERAGEIF(Levels!B:B,A2269,Levels!E:E),0)</f>
        <v>19.2</v>
      </c>
      <c r="D2269" s="9">
        <f>IFERROR(AVERAGEIF(Levels!B:B,A2269,Levels!F:F),0)</f>
        <v>7.8</v>
      </c>
      <c r="E2269" s="9">
        <f>_xlfn.MAXIFS(Levels!E:E,Levels!B:B,A2269)</f>
        <v>19.2</v>
      </c>
      <c r="F2269" s="9">
        <f>_xlfn.MAXIFS(Levels!F:F,Levels!B:B,A2269)</f>
        <v>7.8</v>
      </c>
    </row>
    <row r="2270" spans="1:6" x14ac:dyDescent="0.3">
      <c r="A2270" t="s">
        <v>10226</v>
      </c>
      <c r="B2270" s="6">
        <f>COUNTIF(Levels!B:B,A2270)</f>
        <v>2</v>
      </c>
      <c r="C2270" s="6">
        <f>IFERROR(AVERAGEIF(Levels!B:B,A2270,Levels!E:E),0)</f>
        <v>17.36</v>
      </c>
      <c r="D2270" s="6">
        <f>IFERROR(AVERAGEIF(Levels!B:B,A2270,Levels!F:F),0)</f>
        <v>8.8650000000000002</v>
      </c>
      <c r="E2270" s="6">
        <f>_xlfn.MAXIFS(Levels!E:E,Levels!B:B,A2270)</f>
        <v>19.22</v>
      </c>
      <c r="F2270" s="6">
        <f>_xlfn.MAXIFS(Levels!F:F,Levels!B:B,A2270)</f>
        <v>9.17</v>
      </c>
    </row>
    <row r="2271" spans="1:6" x14ac:dyDescent="0.3">
      <c r="A2271" t="s">
        <v>10228</v>
      </c>
      <c r="B2271" s="9">
        <f>COUNTIF(Levels!B:B,A2271)</f>
        <v>1</v>
      </c>
      <c r="C2271" s="9">
        <f>IFERROR(AVERAGEIF(Levels!B:B,A2271,Levels!E:E),0)</f>
        <v>23</v>
      </c>
      <c r="D2271" s="9">
        <f>IFERROR(AVERAGEIF(Levels!B:B,A2271,Levels!F:F),0)</f>
        <v>5</v>
      </c>
      <c r="E2271" s="9">
        <f>_xlfn.MAXIFS(Levels!E:E,Levels!B:B,A2271)</f>
        <v>23</v>
      </c>
      <c r="F2271" s="9">
        <f>_xlfn.MAXIFS(Levels!F:F,Levels!B:B,A2271)</f>
        <v>5</v>
      </c>
    </row>
    <row r="2272" spans="1:6" x14ac:dyDescent="0.3">
      <c r="A2272" t="s">
        <v>10232</v>
      </c>
      <c r="B2272" s="6">
        <f>COUNTIF(Levels!B:B,A2272)</f>
        <v>2</v>
      </c>
      <c r="C2272" s="6">
        <f>IFERROR(AVERAGEIF(Levels!B:B,A2272,Levels!E:E),0)</f>
        <v>7.9649999999999999</v>
      </c>
      <c r="D2272" s="6">
        <f>IFERROR(AVERAGEIF(Levels!B:B,A2272,Levels!F:F),0)</f>
        <v>7.26</v>
      </c>
      <c r="E2272" s="6">
        <f>_xlfn.MAXIFS(Levels!E:E,Levels!B:B,A2272)</f>
        <v>14</v>
      </c>
      <c r="F2272" s="6">
        <f>_xlfn.MAXIFS(Levels!F:F,Levels!B:B,A2272)</f>
        <v>7.67</v>
      </c>
    </row>
    <row r="2273" spans="1:6" x14ac:dyDescent="0.3">
      <c r="A2273" t="s">
        <v>10240</v>
      </c>
      <c r="B2273" s="9">
        <f>COUNTIF(Levels!B:B,A2273)</f>
        <v>7</v>
      </c>
      <c r="C2273" s="9">
        <f>IFERROR(AVERAGEIF(Levels!B:B,A2273,Levels!E:E),0)</f>
        <v>25.536666666666665</v>
      </c>
      <c r="D2273" s="9">
        <f>IFERROR(AVERAGEIF(Levels!B:B,A2273,Levels!F:F),0)</f>
        <v>7.3550000000000004</v>
      </c>
      <c r="E2273" s="9">
        <f>_xlfn.MAXIFS(Levels!E:E,Levels!B:B,A2273)</f>
        <v>33</v>
      </c>
      <c r="F2273" s="9">
        <f>_xlfn.MAXIFS(Levels!F:F,Levels!B:B,A2273)</f>
        <v>9</v>
      </c>
    </row>
    <row r="2274" spans="1:6" x14ac:dyDescent="0.3">
      <c r="A2274" t="s">
        <v>10242</v>
      </c>
      <c r="B2274" s="6">
        <f>COUNTIF(Levels!B:B,A2274)</f>
        <v>2</v>
      </c>
      <c r="C2274" s="6">
        <f>IFERROR(AVERAGEIF(Levels!B:B,A2274,Levels!E:E),0)</f>
        <v>10.815000000000001</v>
      </c>
      <c r="D2274" s="6">
        <f>IFERROR(AVERAGEIF(Levels!B:B,A2274,Levels!F:F),0)</f>
        <v>7.625</v>
      </c>
      <c r="E2274" s="6">
        <f>_xlfn.MAXIFS(Levels!E:E,Levels!B:B,A2274)</f>
        <v>11.75</v>
      </c>
      <c r="F2274" s="6">
        <f>_xlfn.MAXIFS(Levels!F:F,Levels!B:B,A2274)</f>
        <v>8.25</v>
      </c>
    </row>
    <row r="2275" spans="1:6" x14ac:dyDescent="0.3">
      <c r="A2275" t="s">
        <v>10244</v>
      </c>
      <c r="B2275" s="9">
        <f>COUNTIF(Levels!B:B,A2275)</f>
        <v>1</v>
      </c>
      <c r="C2275" s="9">
        <f>IFERROR(AVERAGEIF(Levels!B:B,A2275,Levels!E:E),0)</f>
        <v>15.36</v>
      </c>
      <c r="D2275" s="9">
        <f>IFERROR(AVERAGEIF(Levels!B:B,A2275,Levels!F:F),0)</f>
        <v>6.36</v>
      </c>
      <c r="E2275" s="9">
        <f>_xlfn.MAXIFS(Levels!E:E,Levels!B:B,A2275)</f>
        <v>15.36</v>
      </c>
      <c r="F2275" s="9">
        <f>_xlfn.MAXIFS(Levels!F:F,Levels!B:B,A2275)</f>
        <v>6.36</v>
      </c>
    </row>
    <row r="2276" spans="1:6" x14ac:dyDescent="0.3">
      <c r="A2276" t="s">
        <v>10245</v>
      </c>
      <c r="B2276" s="6">
        <f>COUNTIF(Levels!B:B,A2276)</f>
        <v>1</v>
      </c>
      <c r="C2276" s="6">
        <f>IFERROR(AVERAGEIF(Levels!B:B,A2276,Levels!E:E),0)</f>
        <v>23</v>
      </c>
      <c r="D2276" s="6">
        <f>IFERROR(AVERAGEIF(Levels!B:B,A2276,Levels!F:F),0)</f>
        <v>7</v>
      </c>
      <c r="E2276" s="6">
        <f>_xlfn.MAXIFS(Levels!E:E,Levels!B:B,A2276)</f>
        <v>23</v>
      </c>
      <c r="F2276" s="6">
        <f>_xlfn.MAXIFS(Levels!F:F,Levels!B:B,A2276)</f>
        <v>7</v>
      </c>
    </row>
    <row r="2277" spans="1:6" x14ac:dyDescent="0.3">
      <c r="A2277" t="s">
        <v>10247</v>
      </c>
      <c r="B2277" s="9">
        <f>COUNTIF(Levels!B:B,A2277)</f>
        <v>2</v>
      </c>
      <c r="C2277" s="9">
        <f>IFERROR(AVERAGEIF(Levels!B:B,A2277,Levels!E:E),0)</f>
        <v>0</v>
      </c>
      <c r="D2277" s="9">
        <f>IFERROR(AVERAGEIF(Levels!B:B,A2277,Levels!F:F),0)</f>
        <v>0</v>
      </c>
      <c r="E2277" s="9">
        <f>_xlfn.MAXIFS(Levels!E:E,Levels!B:B,A2277)</f>
        <v>0</v>
      </c>
      <c r="F2277" s="9">
        <f>_xlfn.MAXIFS(Levels!F:F,Levels!B:B,A2277)</f>
        <v>0</v>
      </c>
    </row>
    <row r="2278" spans="1:6" x14ac:dyDescent="0.3">
      <c r="A2278" t="s">
        <v>10257</v>
      </c>
      <c r="B2278" s="6">
        <f>COUNTIF(Levels!B:B,A2278)</f>
        <v>1</v>
      </c>
      <c r="C2278" s="6">
        <f>IFERROR(AVERAGEIF(Levels!B:B,A2278,Levels!E:E),0)</f>
        <v>14.78</v>
      </c>
      <c r="D2278" s="6">
        <f>IFERROR(AVERAGEIF(Levels!B:B,A2278,Levels!F:F),0)</f>
        <v>4.8899999999999997</v>
      </c>
      <c r="E2278" s="6">
        <f>_xlfn.MAXIFS(Levels!E:E,Levels!B:B,A2278)</f>
        <v>14.78</v>
      </c>
      <c r="F2278" s="6">
        <f>_xlfn.MAXIFS(Levels!F:F,Levels!B:B,A2278)</f>
        <v>4.8899999999999997</v>
      </c>
    </row>
    <row r="2279" spans="1:6" x14ac:dyDescent="0.3">
      <c r="A2279" t="s">
        <v>10260</v>
      </c>
      <c r="B2279" s="9">
        <f>COUNTIF(Levels!B:B,A2279)</f>
        <v>1</v>
      </c>
      <c r="C2279" s="9">
        <f>IFERROR(AVERAGEIF(Levels!B:B,A2279,Levels!E:E),0)</f>
        <v>16.57</v>
      </c>
      <c r="D2279" s="9">
        <f>IFERROR(AVERAGEIF(Levels!B:B,A2279,Levels!F:F),0)</f>
        <v>5.86</v>
      </c>
      <c r="E2279" s="9">
        <f>_xlfn.MAXIFS(Levels!E:E,Levels!B:B,A2279)</f>
        <v>16.57</v>
      </c>
      <c r="F2279" s="9">
        <f>_xlfn.MAXIFS(Levels!F:F,Levels!B:B,A2279)</f>
        <v>5.86</v>
      </c>
    </row>
    <row r="2280" spans="1:6" x14ac:dyDescent="0.3">
      <c r="A2280" t="s">
        <v>10265</v>
      </c>
      <c r="B2280" s="6">
        <f>COUNTIF(Levels!B:B,A2280)</f>
        <v>1</v>
      </c>
      <c r="C2280" s="6">
        <f>IFERROR(AVERAGEIF(Levels!B:B,A2280,Levels!E:E),0)</f>
        <v>14.9</v>
      </c>
      <c r="D2280" s="6">
        <f>IFERROR(AVERAGEIF(Levels!B:B,A2280,Levels!F:F),0)</f>
        <v>6.17</v>
      </c>
      <c r="E2280" s="6">
        <f>_xlfn.MAXIFS(Levels!E:E,Levels!B:B,A2280)</f>
        <v>14.9</v>
      </c>
      <c r="F2280" s="6">
        <f>_xlfn.MAXIFS(Levels!F:F,Levels!B:B,A2280)</f>
        <v>6.17</v>
      </c>
    </row>
    <row r="2281" spans="1:6" x14ac:dyDescent="0.3">
      <c r="A2281" t="s">
        <v>10269</v>
      </c>
      <c r="B2281" s="9">
        <f>COUNTIF(Levels!B:B,A2281)</f>
        <v>1</v>
      </c>
      <c r="C2281" s="9">
        <f>IFERROR(AVERAGEIF(Levels!B:B,A2281,Levels!E:E),0)</f>
        <v>3.83</v>
      </c>
      <c r="D2281" s="9">
        <f>IFERROR(AVERAGEIF(Levels!B:B,A2281,Levels!F:F),0)</f>
        <v>6.97</v>
      </c>
      <c r="E2281" s="9">
        <f>_xlfn.MAXIFS(Levels!E:E,Levels!B:B,A2281)</f>
        <v>3.83</v>
      </c>
      <c r="F2281" s="9">
        <f>_xlfn.MAXIFS(Levels!F:F,Levels!B:B,A2281)</f>
        <v>6.97</v>
      </c>
    </row>
    <row r="2282" spans="1:6" x14ac:dyDescent="0.3">
      <c r="A2282" t="s">
        <v>10271</v>
      </c>
      <c r="B2282" s="6">
        <f>COUNTIF(Levels!B:B,A2282)</f>
        <v>2</v>
      </c>
      <c r="C2282" s="6">
        <f>IFERROR(AVERAGEIF(Levels!B:B,A2282,Levels!E:E),0)</f>
        <v>5.71</v>
      </c>
      <c r="D2282" s="6">
        <f>IFERROR(AVERAGEIF(Levels!B:B,A2282,Levels!F:F),0)</f>
        <v>7.62</v>
      </c>
      <c r="E2282" s="6">
        <f>_xlfn.MAXIFS(Levels!E:E,Levels!B:B,A2282)</f>
        <v>5.71</v>
      </c>
      <c r="F2282" s="6">
        <f>_xlfn.MAXIFS(Levels!F:F,Levels!B:B,A2282)</f>
        <v>7.95</v>
      </c>
    </row>
    <row r="2283" spans="1:6" x14ac:dyDescent="0.3">
      <c r="A2283" t="s">
        <v>10273</v>
      </c>
      <c r="B2283" s="9">
        <f>COUNTIF(Levels!B:B,A2283)</f>
        <v>2</v>
      </c>
      <c r="C2283" s="9">
        <f>IFERROR(AVERAGEIF(Levels!B:B,A2283,Levels!E:E),0)</f>
        <v>25.67</v>
      </c>
      <c r="D2283" s="9">
        <f>IFERROR(AVERAGEIF(Levels!B:B,A2283,Levels!F:F),0)</f>
        <v>6.415</v>
      </c>
      <c r="E2283" s="9">
        <f>_xlfn.MAXIFS(Levels!E:E,Levels!B:B,A2283)</f>
        <v>31</v>
      </c>
      <c r="F2283" s="9">
        <f>_xlfn.MAXIFS(Levels!F:F,Levels!B:B,A2283)</f>
        <v>7</v>
      </c>
    </row>
    <row r="2284" spans="1:6" x14ac:dyDescent="0.3">
      <c r="A2284" t="s">
        <v>10280</v>
      </c>
      <c r="B2284" s="6">
        <f>COUNTIF(Levels!B:B,A2284)</f>
        <v>1</v>
      </c>
      <c r="C2284" s="6">
        <f>IFERROR(AVERAGEIF(Levels!B:B,A2284,Levels!E:E),0)</f>
        <v>9.4</v>
      </c>
      <c r="D2284" s="6">
        <f>IFERROR(AVERAGEIF(Levels!B:B,A2284,Levels!F:F),0)</f>
        <v>5.67</v>
      </c>
      <c r="E2284" s="6">
        <f>_xlfn.MAXIFS(Levels!E:E,Levels!B:B,A2284)</f>
        <v>9.4</v>
      </c>
      <c r="F2284" s="6">
        <f>_xlfn.MAXIFS(Levels!F:F,Levels!B:B,A2284)</f>
        <v>5.67</v>
      </c>
    </row>
    <row r="2285" spans="1:6" x14ac:dyDescent="0.3">
      <c r="A2285" t="s">
        <v>10282</v>
      </c>
      <c r="B2285" s="9">
        <f>COUNTIF(Levels!B:B,A2285)</f>
        <v>1</v>
      </c>
      <c r="C2285" s="9">
        <f>IFERROR(AVERAGEIF(Levels!B:B,A2285,Levels!E:E),0)</f>
        <v>23.67</v>
      </c>
      <c r="D2285" s="9">
        <f>IFERROR(AVERAGEIF(Levels!B:B,A2285,Levels!F:F),0)</f>
        <v>4</v>
      </c>
      <c r="E2285" s="9">
        <f>_xlfn.MAXIFS(Levels!E:E,Levels!B:B,A2285)</f>
        <v>23.67</v>
      </c>
      <c r="F2285" s="9">
        <f>_xlfn.MAXIFS(Levels!F:F,Levels!B:B,A2285)</f>
        <v>4</v>
      </c>
    </row>
    <row r="2286" spans="1:6" x14ac:dyDescent="0.3">
      <c r="A2286" t="s">
        <v>10285</v>
      </c>
      <c r="B2286" s="6">
        <f>COUNTIF(Levels!B:B,A2286)</f>
        <v>1</v>
      </c>
      <c r="C2286" s="6">
        <f>IFERROR(AVERAGEIF(Levels!B:B,A2286,Levels!E:E),0)</f>
        <v>8.48</v>
      </c>
      <c r="D2286" s="6">
        <f>IFERROR(AVERAGEIF(Levels!B:B,A2286,Levels!F:F),0)</f>
        <v>6.81</v>
      </c>
      <c r="E2286" s="6">
        <f>_xlfn.MAXIFS(Levels!E:E,Levels!B:B,A2286)</f>
        <v>8.48</v>
      </c>
      <c r="F2286" s="6">
        <f>_xlfn.MAXIFS(Levels!F:F,Levels!B:B,A2286)</f>
        <v>6.81</v>
      </c>
    </row>
    <row r="2287" spans="1:6" x14ac:dyDescent="0.3">
      <c r="A2287" t="s">
        <v>10289</v>
      </c>
      <c r="B2287" s="9">
        <f>COUNTIF(Levels!B:B,A2287)</f>
        <v>6</v>
      </c>
      <c r="C2287" s="9">
        <f>IFERROR(AVERAGEIF(Levels!B:B,A2287,Levels!E:E),0)</f>
        <v>17.345000000000002</v>
      </c>
      <c r="D2287" s="9">
        <f>IFERROR(AVERAGEIF(Levels!B:B,A2287,Levels!F:F),0)</f>
        <v>7.253333333333333</v>
      </c>
      <c r="E2287" s="9">
        <f>_xlfn.MAXIFS(Levels!E:E,Levels!B:B,A2287)</f>
        <v>32</v>
      </c>
      <c r="F2287" s="9">
        <f>_xlfn.MAXIFS(Levels!F:F,Levels!B:B,A2287)</f>
        <v>9</v>
      </c>
    </row>
    <row r="2288" spans="1:6" x14ac:dyDescent="0.3">
      <c r="A2288" t="s">
        <v>10295</v>
      </c>
      <c r="B2288" s="6">
        <f>COUNTIF(Levels!B:B,A2288)</f>
        <v>3</v>
      </c>
      <c r="C2288" s="6">
        <f>IFERROR(AVERAGEIF(Levels!B:B,A2288,Levels!E:E),0)</f>
        <v>17.816666666666666</v>
      </c>
      <c r="D2288" s="6">
        <f>IFERROR(AVERAGEIF(Levels!B:B,A2288,Levels!F:F),0)</f>
        <v>6.0166666666666666</v>
      </c>
      <c r="E2288" s="6">
        <f>_xlfn.MAXIFS(Levels!E:E,Levels!B:B,A2288)</f>
        <v>27.5</v>
      </c>
      <c r="F2288" s="6">
        <f>_xlfn.MAXIFS(Levels!F:F,Levels!B:B,A2288)</f>
        <v>6.69</v>
      </c>
    </row>
    <row r="2289" spans="1:6" x14ac:dyDescent="0.3">
      <c r="A2289" t="s">
        <v>10299</v>
      </c>
      <c r="B2289" s="9">
        <f>COUNTIF(Levels!B:B,A2289)</f>
        <v>1</v>
      </c>
      <c r="C2289" s="9">
        <f>IFERROR(AVERAGEIF(Levels!B:B,A2289,Levels!E:E),0)</f>
        <v>4.68</v>
      </c>
      <c r="D2289" s="9">
        <f>IFERROR(AVERAGEIF(Levels!B:B,A2289,Levels!F:F),0)</f>
        <v>6.59</v>
      </c>
      <c r="E2289" s="9">
        <f>_xlfn.MAXIFS(Levels!E:E,Levels!B:B,A2289)</f>
        <v>4.68</v>
      </c>
      <c r="F2289" s="9">
        <f>_xlfn.MAXIFS(Levels!F:F,Levels!B:B,A2289)</f>
        <v>6.59</v>
      </c>
    </row>
    <row r="2290" spans="1:6" x14ac:dyDescent="0.3">
      <c r="A2290" t="s">
        <v>10301</v>
      </c>
      <c r="B2290" s="6">
        <f>COUNTIF(Levels!B:B,A2290)</f>
        <v>2</v>
      </c>
      <c r="C2290" s="6">
        <f>IFERROR(AVERAGEIF(Levels!B:B,A2290,Levels!E:E),0)</f>
        <v>7.4749999999999996</v>
      </c>
      <c r="D2290" s="6">
        <f>IFERROR(AVERAGEIF(Levels!B:B,A2290,Levels!F:F),0)</f>
        <v>7.1099999999999994</v>
      </c>
      <c r="E2290" s="6">
        <f>_xlfn.MAXIFS(Levels!E:E,Levels!B:B,A2290)</f>
        <v>13.75</v>
      </c>
      <c r="F2290" s="6">
        <f>_xlfn.MAXIFS(Levels!F:F,Levels!B:B,A2290)</f>
        <v>7.33</v>
      </c>
    </row>
    <row r="2291" spans="1:6" x14ac:dyDescent="0.3">
      <c r="A2291" t="s">
        <v>10303</v>
      </c>
      <c r="B2291" s="9">
        <f>COUNTIF(Levels!B:B,A2291)</f>
        <v>1</v>
      </c>
      <c r="C2291" s="9">
        <f>IFERROR(AVERAGEIF(Levels!B:B,A2291,Levels!E:E),0)</f>
        <v>19.75</v>
      </c>
      <c r="D2291" s="9">
        <f>IFERROR(AVERAGEIF(Levels!B:B,A2291,Levels!F:F),0)</f>
        <v>8.25</v>
      </c>
      <c r="E2291" s="9">
        <f>_xlfn.MAXIFS(Levels!E:E,Levels!B:B,A2291)</f>
        <v>19.75</v>
      </c>
      <c r="F2291" s="9">
        <f>_xlfn.MAXIFS(Levels!F:F,Levels!B:B,A2291)</f>
        <v>8.25</v>
      </c>
    </row>
    <row r="2292" spans="1:6" x14ac:dyDescent="0.3">
      <c r="A2292" t="s">
        <v>10309</v>
      </c>
      <c r="B2292" s="6">
        <f>COUNTIF(Levels!B:B,A2292)</f>
        <v>1</v>
      </c>
      <c r="C2292" s="6">
        <f>IFERROR(AVERAGEIF(Levels!B:B,A2292,Levels!E:E),0)</f>
        <v>1.73</v>
      </c>
      <c r="D2292" s="6">
        <f>IFERROR(AVERAGEIF(Levels!B:B,A2292,Levels!F:F),0)</f>
        <v>7.03</v>
      </c>
      <c r="E2292" s="6">
        <f>_xlfn.MAXIFS(Levels!E:E,Levels!B:B,A2292)</f>
        <v>1.73</v>
      </c>
      <c r="F2292" s="6">
        <f>_xlfn.MAXIFS(Levels!F:F,Levels!B:B,A2292)</f>
        <v>7.03</v>
      </c>
    </row>
    <row r="2293" spans="1:6" x14ac:dyDescent="0.3">
      <c r="A2293" t="s">
        <v>10311</v>
      </c>
      <c r="B2293" s="9">
        <f>COUNTIF(Levels!B:B,A2293)</f>
        <v>1</v>
      </c>
      <c r="C2293" s="9">
        <f>IFERROR(AVERAGEIF(Levels!B:B,A2293,Levels!E:E),0)</f>
        <v>2.09</v>
      </c>
      <c r="D2293" s="9">
        <f>IFERROR(AVERAGEIF(Levels!B:B,A2293,Levels!F:F),0)</f>
        <v>6</v>
      </c>
      <c r="E2293" s="9">
        <f>_xlfn.MAXIFS(Levels!E:E,Levels!B:B,A2293)</f>
        <v>2.09</v>
      </c>
      <c r="F2293" s="9">
        <f>_xlfn.MAXIFS(Levels!F:F,Levels!B:B,A2293)</f>
        <v>6</v>
      </c>
    </row>
    <row r="2294" spans="1:6" x14ac:dyDescent="0.3">
      <c r="A2294" t="s">
        <v>10314</v>
      </c>
      <c r="B2294" s="6">
        <f>COUNTIF(Levels!B:B,A2294)</f>
        <v>1</v>
      </c>
      <c r="C2294" s="6">
        <f>IFERROR(AVERAGEIF(Levels!B:B,A2294,Levels!E:E),0)</f>
        <v>16</v>
      </c>
      <c r="D2294" s="6">
        <f>IFERROR(AVERAGEIF(Levels!B:B,A2294,Levels!F:F),0)</f>
        <v>6</v>
      </c>
      <c r="E2294" s="6">
        <f>_xlfn.MAXIFS(Levels!E:E,Levels!B:B,A2294)</f>
        <v>16</v>
      </c>
      <c r="F2294" s="6">
        <f>_xlfn.MAXIFS(Levels!F:F,Levels!B:B,A2294)</f>
        <v>6</v>
      </c>
    </row>
    <row r="2295" spans="1:6" x14ac:dyDescent="0.3">
      <c r="A2295" t="s">
        <v>10323</v>
      </c>
      <c r="B2295" s="9">
        <f>COUNTIF(Levels!B:B,A2295)</f>
        <v>3</v>
      </c>
      <c r="C2295" s="9">
        <f>IFERROR(AVERAGEIF(Levels!B:B,A2295,Levels!E:E),0)</f>
        <v>18.450000000000003</v>
      </c>
      <c r="D2295" s="9">
        <f>IFERROR(AVERAGEIF(Levels!B:B,A2295,Levels!F:F),0)</f>
        <v>7.1000000000000005</v>
      </c>
      <c r="E2295" s="9">
        <f>_xlfn.MAXIFS(Levels!E:E,Levels!B:B,A2295)</f>
        <v>20.100000000000001</v>
      </c>
      <c r="F2295" s="9">
        <f>_xlfn.MAXIFS(Levels!F:F,Levels!B:B,A2295)</f>
        <v>7.35</v>
      </c>
    </row>
    <row r="2296" spans="1:6" x14ac:dyDescent="0.3">
      <c r="A2296" t="s">
        <v>10325</v>
      </c>
      <c r="B2296" s="6">
        <f>COUNTIF(Levels!B:B,A2296)</f>
        <v>3</v>
      </c>
      <c r="C2296" s="6">
        <f>IFERROR(AVERAGEIF(Levels!B:B,A2296,Levels!E:E),0)</f>
        <v>3.4833333333333338</v>
      </c>
      <c r="D2296" s="6">
        <f>IFERROR(AVERAGEIF(Levels!B:B,A2296,Levels!F:F),0)</f>
        <v>7.0733333333333333</v>
      </c>
      <c r="E2296" s="6">
        <f>_xlfn.MAXIFS(Levels!E:E,Levels!B:B,A2296)</f>
        <v>7.44</v>
      </c>
      <c r="F2296" s="6">
        <f>_xlfn.MAXIFS(Levels!F:F,Levels!B:B,A2296)</f>
        <v>7.83</v>
      </c>
    </row>
    <row r="2297" spans="1:6" x14ac:dyDescent="0.3">
      <c r="A2297" t="s">
        <v>10327</v>
      </c>
      <c r="B2297" s="9">
        <f>COUNTIF(Levels!B:B,A2297)</f>
        <v>2</v>
      </c>
      <c r="C2297" s="9">
        <f>IFERROR(AVERAGEIF(Levels!B:B,A2297,Levels!E:E),0)</f>
        <v>9.92</v>
      </c>
      <c r="D2297" s="9">
        <f>IFERROR(AVERAGEIF(Levels!B:B,A2297,Levels!F:F),0)</f>
        <v>8.51</v>
      </c>
      <c r="E2297" s="9">
        <f>_xlfn.MAXIFS(Levels!E:E,Levels!B:B,A2297)</f>
        <v>16.489999999999998</v>
      </c>
      <c r="F2297" s="9">
        <f>_xlfn.MAXIFS(Levels!F:F,Levels!B:B,A2297)</f>
        <v>9.67</v>
      </c>
    </row>
    <row r="2298" spans="1:6" x14ac:dyDescent="0.3">
      <c r="A2298" t="s">
        <v>10330</v>
      </c>
      <c r="B2298" s="6">
        <f>COUNTIF(Levels!B:B,A2298)</f>
        <v>2</v>
      </c>
      <c r="C2298" s="6">
        <f>IFERROR(AVERAGEIF(Levels!B:B,A2298,Levels!E:E),0)</f>
        <v>20</v>
      </c>
      <c r="D2298" s="6">
        <f>IFERROR(AVERAGEIF(Levels!B:B,A2298,Levels!F:F),0)</f>
        <v>6.5</v>
      </c>
      <c r="E2298" s="6">
        <f>_xlfn.MAXIFS(Levels!E:E,Levels!B:B,A2298)</f>
        <v>32</v>
      </c>
      <c r="F2298" s="6">
        <f>_xlfn.MAXIFS(Levels!F:F,Levels!B:B,A2298)</f>
        <v>8</v>
      </c>
    </row>
    <row r="2299" spans="1:6" x14ac:dyDescent="0.3">
      <c r="A2299" t="s">
        <v>10333</v>
      </c>
      <c r="B2299" s="9">
        <f>COUNTIF(Levels!B:B,A2299)</f>
        <v>1</v>
      </c>
      <c r="C2299" s="9">
        <f>IFERROR(AVERAGEIF(Levels!B:B,A2299,Levels!E:E),0)</f>
        <v>8.1300000000000008</v>
      </c>
      <c r="D2299" s="9">
        <f>IFERROR(AVERAGEIF(Levels!B:B,A2299,Levels!F:F),0)</f>
        <v>8</v>
      </c>
      <c r="E2299" s="9">
        <f>_xlfn.MAXIFS(Levels!E:E,Levels!B:B,A2299)</f>
        <v>8.1300000000000008</v>
      </c>
      <c r="F2299" s="9">
        <f>_xlfn.MAXIFS(Levels!F:F,Levels!B:B,A2299)</f>
        <v>8</v>
      </c>
    </row>
    <row r="2300" spans="1:6" x14ac:dyDescent="0.3">
      <c r="A2300" t="s">
        <v>10336</v>
      </c>
      <c r="B2300" s="6">
        <f>COUNTIF(Levels!B:B,A2300)</f>
        <v>1</v>
      </c>
      <c r="C2300" s="6">
        <f>IFERROR(AVERAGEIF(Levels!B:B,A2300,Levels!E:E),0)</f>
        <v>9.5</v>
      </c>
      <c r="D2300" s="6">
        <f>IFERROR(AVERAGEIF(Levels!B:B,A2300,Levels!F:F),0)</f>
        <v>5.5</v>
      </c>
      <c r="E2300" s="6">
        <f>_xlfn.MAXIFS(Levels!E:E,Levels!B:B,A2300)</f>
        <v>9.5</v>
      </c>
      <c r="F2300" s="6">
        <f>_xlfn.MAXIFS(Levels!F:F,Levels!B:B,A2300)</f>
        <v>5.5</v>
      </c>
    </row>
    <row r="2301" spans="1:6" x14ac:dyDescent="0.3">
      <c r="A2301" t="s">
        <v>10338</v>
      </c>
      <c r="B2301" s="9">
        <f>COUNTIF(Levels!B:B,A2301)</f>
        <v>1</v>
      </c>
      <c r="C2301" s="9">
        <f>IFERROR(AVERAGEIF(Levels!B:B,A2301,Levels!E:E),0)</f>
        <v>4.74</v>
      </c>
      <c r="D2301" s="9">
        <f>IFERROR(AVERAGEIF(Levels!B:B,A2301,Levels!F:F),0)</f>
        <v>7.08</v>
      </c>
      <c r="E2301" s="9">
        <f>_xlfn.MAXIFS(Levels!E:E,Levels!B:B,A2301)</f>
        <v>4.74</v>
      </c>
      <c r="F2301" s="9">
        <f>_xlfn.MAXIFS(Levels!F:F,Levels!B:B,A2301)</f>
        <v>7.08</v>
      </c>
    </row>
    <row r="2302" spans="1:6" x14ac:dyDescent="0.3">
      <c r="A2302" t="s">
        <v>10341</v>
      </c>
      <c r="B2302" s="6">
        <f>COUNTIF(Levels!B:B,A2302)</f>
        <v>2</v>
      </c>
      <c r="C2302" s="6">
        <f>IFERROR(AVERAGEIF(Levels!B:B,A2302,Levels!E:E),0)</f>
        <v>19.829999999999998</v>
      </c>
      <c r="D2302" s="6">
        <f>IFERROR(AVERAGEIF(Levels!B:B,A2302,Levels!F:F),0)</f>
        <v>6.4499999999999993</v>
      </c>
      <c r="E2302" s="6">
        <f>_xlfn.MAXIFS(Levels!E:E,Levels!B:B,A2302)</f>
        <v>20.059999999999999</v>
      </c>
      <c r="F2302" s="6">
        <f>_xlfn.MAXIFS(Levels!F:F,Levels!B:B,A2302)</f>
        <v>6.8</v>
      </c>
    </row>
    <row r="2303" spans="1:6" x14ac:dyDescent="0.3">
      <c r="A2303" t="s">
        <v>10343</v>
      </c>
      <c r="B2303" s="9">
        <f>COUNTIF(Levels!B:B,A2303)</f>
        <v>1</v>
      </c>
      <c r="C2303" s="9">
        <f>IFERROR(AVERAGEIF(Levels!B:B,A2303,Levels!E:E),0)</f>
        <v>18</v>
      </c>
      <c r="D2303" s="9">
        <f>IFERROR(AVERAGEIF(Levels!B:B,A2303,Levels!F:F),0)</f>
        <v>7.33</v>
      </c>
      <c r="E2303" s="9">
        <f>_xlfn.MAXIFS(Levels!E:E,Levels!B:B,A2303)</f>
        <v>18</v>
      </c>
      <c r="F2303" s="9">
        <f>_xlfn.MAXIFS(Levels!F:F,Levels!B:B,A2303)</f>
        <v>7.33</v>
      </c>
    </row>
    <row r="2304" spans="1:6" x14ac:dyDescent="0.3">
      <c r="A2304" t="s">
        <v>10346</v>
      </c>
      <c r="B2304" s="6">
        <f>COUNTIF(Levels!B:B,A2304)</f>
        <v>1</v>
      </c>
      <c r="C2304" s="6">
        <f>IFERROR(AVERAGEIF(Levels!B:B,A2304,Levels!E:E),0)</f>
        <v>9.08</v>
      </c>
      <c r="D2304" s="6">
        <f>IFERROR(AVERAGEIF(Levels!B:B,A2304,Levels!F:F),0)</f>
        <v>7.8</v>
      </c>
      <c r="E2304" s="6">
        <f>_xlfn.MAXIFS(Levels!E:E,Levels!B:B,A2304)</f>
        <v>9.08</v>
      </c>
      <c r="F2304" s="6">
        <f>_xlfn.MAXIFS(Levels!F:F,Levels!B:B,A2304)</f>
        <v>7.8</v>
      </c>
    </row>
    <row r="2305" spans="1:6" x14ac:dyDescent="0.3">
      <c r="A2305" t="s">
        <v>10351</v>
      </c>
      <c r="B2305" s="9">
        <f>COUNTIF(Levels!B:B,A2305)</f>
        <v>3</v>
      </c>
      <c r="C2305" s="9">
        <f>IFERROR(AVERAGEIF(Levels!B:B,A2305,Levels!E:E),0)</f>
        <v>12.153333333333334</v>
      </c>
      <c r="D2305" s="9">
        <f>IFERROR(AVERAGEIF(Levels!B:B,A2305,Levels!F:F),0)</f>
        <v>5.28</v>
      </c>
      <c r="E2305" s="9">
        <f>_xlfn.MAXIFS(Levels!E:E,Levels!B:B,A2305)</f>
        <v>18.670000000000002</v>
      </c>
      <c r="F2305" s="9">
        <f>_xlfn.MAXIFS(Levels!F:F,Levels!B:B,A2305)</f>
        <v>7.09</v>
      </c>
    </row>
    <row r="2306" spans="1:6" x14ac:dyDescent="0.3">
      <c r="A2306" t="s">
        <v>10357</v>
      </c>
      <c r="B2306" s="6">
        <f>COUNTIF(Levels!B:B,A2306)</f>
        <v>1</v>
      </c>
      <c r="C2306" s="6">
        <f>IFERROR(AVERAGEIF(Levels!B:B,A2306,Levels!E:E),0)</f>
        <v>19.22</v>
      </c>
      <c r="D2306" s="6">
        <f>IFERROR(AVERAGEIF(Levels!B:B,A2306,Levels!F:F),0)</f>
        <v>5.56</v>
      </c>
      <c r="E2306" s="6">
        <f>_xlfn.MAXIFS(Levels!E:E,Levels!B:B,A2306)</f>
        <v>19.22</v>
      </c>
      <c r="F2306" s="6">
        <f>_xlfn.MAXIFS(Levels!F:F,Levels!B:B,A2306)</f>
        <v>5.56</v>
      </c>
    </row>
    <row r="2307" spans="1:6" x14ac:dyDescent="0.3">
      <c r="A2307" t="s">
        <v>10373</v>
      </c>
      <c r="B2307" s="9">
        <f>COUNTIF(Levels!B:B,A2307)</f>
        <v>1</v>
      </c>
      <c r="C2307" s="9">
        <f>IFERROR(AVERAGEIF(Levels!B:B,A2307,Levels!E:E),0)</f>
        <v>13.73</v>
      </c>
      <c r="D2307" s="9">
        <f>IFERROR(AVERAGEIF(Levels!B:B,A2307,Levels!F:F),0)</f>
        <v>7.63</v>
      </c>
      <c r="E2307" s="9">
        <f>_xlfn.MAXIFS(Levels!E:E,Levels!B:B,A2307)</f>
        <v>13.73</v>
      </c>
      <c r="F2307" s="9">
        <f>_xlfn.MAXIFS(Levels!F:F,Levels!B:B,A2307)</f>
        <v>7.63</v>
      </c>
    </row>
    <row r="2308" spans="1:6" x14ac:dyDescent="0.3">
      <c r="A2308" t="s">
        <v>10376</v>
      </c>
      <c r="B2308" s="6">
        <f>COUNTIF(Levels!B:B,A2308)</f>
        <v>1</v>
      </c>
      <c r="C2308" s="6">
        <f>IFERROR(AVERAGEIF(Levels!B:B,A2308,Levels!E:E),0)</f>
        <v>3.01</v>
      </c>
      <c r="D2308" s="6">
        <f>IFERROR(AVERAGEIF(Levels!B:B,A2308,Levels!F:F),0)</f>
        <v>6.67</v>
      </c>
      <c r="E2308" s="6">
        <f>_xlfn.MAXIFS(Levels!E:E,Levels!B:B,A2308)</f>
        <v>3.01</v>
      </c>
      <c r="F2308" s="6">
        <f>_xlfn.MAXIFS(Levels!F:F,Levels!B:B,A2308)</f>
        <v>6.67</v>
      </c>
    </row>
    <row r="2309" spans="1:6" x14ac:dyDescent="0.3">
      <c r="A2309" t="s">
        <v>10380</v>
      </c>
      <c r="B2309" s="9">
        <f>COUNTIF(Levels!B:B,A2309)</f>
        <v>1</v>
      </c>
      <c r="C2309" s="9">
        <f>IFERROR(AVERAGEIF(Levels!B:B,A2309,Levels!E:E),0)</f>
        <v>5.98</v>
      </c>
      <c r="D2309" s="9">
        <f>IFERROR(AVERAGEIF(Levels!B:B,A2309,Levels!F:F),0)</f>
        <v>8</v>
      </c>
      <c r="E2309" s="9">
        <f>_xlfn.MAXIFS(Levels!E:E,Levels!B:B,A2309)</f>
        <v>5.98</v>
      </c>
      <c r="F2309" s="9">
        <f>_xlfn.MAXIFS(Levels!F:F,Levels!B:B,A2309)</f>
        <v>8</v>
      </c>
    </row>
    <row r="2310" spans="1:6" x14ac:dyDescent="0.3">
      <c r="A2310" t="s">
        <v>10390</v>
      </c>
      <c r="B2310" s="6">
        <f>COUNTIF(Levels!B:B,A2310)</f>
        <v>1</v>
      </c>
      <c r="C2310" s="6">
        <f>IFERROR(AVERAGEIF(Levels!B:B,A2310,Levels!E:E),0)</f>
        <v>8.8800000000000008</v>
      </c>
      <c r="D2310" s="6">
        <f>IFERROR(AVERAGEIF(Levels!B:B,A2310,Levels!F:F),0)</f>
        <v>7.06</v>
      </c>
      <c r="E2310" s="6">
        <f>_xlfn.MAXIFS(Levels!E:E,Levels!B:B,A2310)</f>
        <v>8.8800000000000008</v>
      </c>
      <c r="F2310" s="6">
        <f>_xlfn.MAXIFS(Levels!F:F,Levels!B:B,A2310)</f>
        <v>7.06</v>
      </c>
    </row>
    <row r="2311" spans="1:6" x14ac:dyDescent="0.3">
      <c r="A2311" t="s">
        <v>10395</v>
      </c>
      <c r="B2311" s="9">
        <f>COUNTIF(Levels!B:B,A2311)</f>
        <v>2</v>
      </c>
      <c r="C2311" s="9">
        <f>IFERROR(AVERAGEIF(Levels!B:B,A2311,Levels!E:E),0)</f>
        <v>3</v>
      </c>
      <c r="D2311" s="9">
        <f>IFERROR(AVERAGEIF(Levels!B:B,A2311,Levels!F:F),0)</f>
        <v>6.8250000000000002</v>
      </c>
      <c r="E2311" s="9">
        <f>_xlfn.MAXIFS(Levels!E:E,Levels!B:B,A2311)</f>
        <v>3.15</v>
      </c>
      <c r="F2311" s="9">
        <f>_xlfn.MAXIFS(Levels!F:F,Levels!B:B,A2311)</f>
        <v>8</v>
      </c>
    </row>
    <row r="2312" spans="1:6" x14ac:dyDescent="0.3">
      <c r="A2312" t="s">
        <v>10398</v>
      </c>
      <c r="B2312" s="6">
        <f>COUNTIF(Levels!B:B,A2312)</f>
        <v>1</v>
      </c>
      <c r="C2312" s="6">
        <f>IFERROR(AVERAGEIF(Levels!B:B,A2312,Levels!E:E),0)</f>
        <v>30</v>
      </c>
      <c r="D2312" s="6">
        <f>IFERROR(AVERAGEIF(Levels!B:B,A2312,Levels!F:F),0)</f>
        <v>10</v>
      </c>
      <c r="E2312" s="6">
        <f>_xlfn.MAXIFS(Levels!E:E,Levels!B:B,A2312)</f>
        <v>30</v>
      </c>
      <c r="F2312" s="6">
        <f>_xlfn.MAXIFS(Levels!F:F,Levels!B:B,A2312)</f>
        <v>10</v>
      </c>
    </row>
    <row r="2313" spans="1:6" x14ac:dyDescent="0.3">
      <c r="A2313" t="s">
        <v>10414</v>
      </c>
      <c r="B2313" s="9">
        <f>COUNTIF(Levels!B:B,A2313)</f>
        <v>1</v>
      </c>
      <c r="C2313" s="9">
        <f>IFERROR(AVERAGEIF(Levels!B:B,A2313,Levels!E:E),0)</f>
        <v>7.19</v>
      </c>
      <c r="D2313" s="9">
        <f>IFERROR(AVERAGEIF(Levels!B:B,A2313,Levels!F:F),0)</f>
        <v>8.43</v>
      </c>
      <c r="E2313" s="9">
        <f>_xlfn.MAXIFS(Levels!E:E,Levels!B:B,A2313)</f>
        <v>7.19</v>
      </c>
      <c r="F2313" s="9">
        <f>_xlfn.MAXIFS(Levels!F:F,Levels!B:B,A2313)</f>
        <v>8.43</v>
      </c>
    </row>
    <row r="2314" spans="1:6" x14ac:dyDescent="0.3">
      <c r="A2314" t="s">
        <v>10424</v>
      </c>
      <c r="B2314" s="6">
        <f>COUNTIF(Levels!B:B,A2314)</f>
        <v>1</v>
      </c>
      <c r="C2314" s="6">
        <f>IFERROR(AVERAGEIF(Levels!B:B,A2314,Levels!E:E),0)</f>
        <v>4.76</v>
      </c>
      <c r="D2314" s="6">
        <f>IFERROR(AVERAGEIF(Levels!B:B,A2314,Levels!F:F),0)</f>
        <v>5.93</v>
      </c>
      <c r="E2314" s="6">
        <f>_xlfn.MAXIFS(Levels!E:E,Levels!B:B,A2314)</f>
        <v>4.76</v>
      </c>
      <c r="F2314" s="6">
        <f>_xlfn.MAXIFS(Levels!F:F,Levels!B:B,A2314)</f>
        <v>5.93</v>
      </c>
    </row>
    <row r="2315" spans="1:6" x14ac:dyDescent="0.3">
      <c r="A2315" t="s">
        <v>10429</v>
      </c>
      <c r="B2315" s="9">
        <f>COUNTIF(Levels!B:B,A2315)</f>
        <v>1</v>
      </c>
      <c r="C2315" s="9">
        <f>IFERROR(AVERAGEIF(Levels!B:B,A2315,Levels!E:E),0)</f>
        <v>0</v>
      </c>
      <c r="D2315" s="9">
        <f>IFERROR(AVERAGEIF(Levels!B:B,A2315,Levels!F:F),0)</f>
        <v>0</v>
      </c>
      <c r="E2315" s="9">
        <f>_xlfn.MAXIFS(Levels!E:E,Levels!B:B,A2315)</f>
        <v>0</v>
      </c>
      <c r="F2315" s="9">
        <f>_xlfn.MAXIFS(Levels!F:F,Levels!B:B,A2315)</f>
        <v>0</v>
      </c>
    </row>
    <row r="2316" spans="1:6" x14ac:dyDescent="0.3">
      <c r="A2316" t="s">
        <v>10433</v>
      </c>
      <c r="B2316" s="6">
        <f>COUNTIF(Levels!B:B,A2316)</f>
        <v>2</v>
      </c>
      <c r="C2316" s="6">
        <f>IFERROR(AVERAGEIF(Levels!B:B,A2316,Levels!E:E),0)</f>
        <v>32</v>
      </c>
      <c r="D2316" s="6">
        <f>IFERROR(AVERAGEIF(Levels!B:B,A2316,Levels!F:F),0)</f>
        <v>8.6550000000000011</v>
      </c>
      <c r="E2316" s="6">
        <f>_xlfn.MAXIFS(Levels!E:E,Levels!B:B,A2316)</f>
        <v>32</v>
      </c>
      <c r="F2316" s="6">
        <f>_xlfn.MAXIFS(Levels!F:F,Levels!B:B,A2316)</f>
        <v>9</v>
      </c>
    </row>
    <row r="2317" spans="1:6" x14ac:dyDescent="0.3">
      <c r="A2317" t="s">
        <v>10441</v>
      </c>
      <c r="B2317" s="9">
        <f>COUNTIF(Levels!B:B,A2317)</f>
        <v>2</v>
      </c>
      <c r="C2317" s="9">
        <f>IFERROR(AVERAGEIF(Levels!B:B,A2317,Levels!E:E),0)</f>
        <v>1.5649999999999999</v>
      </c>
      <c r="D2317" s="9">
        <f>IFERROR(AVERAGEIF(Levels!B:B,A2317,Levels!F:F),0)</f>
        <v>7.4450000000000003</v>
      </c>
      <c r="E2317" s="9">
        <f>_xlfn.MAXIFS(Levels!E:E,Levels!B:B,A2317)</f>
        <v>1.73</v>
      </c>
      <c r="F2317" s="9">
        <f>_xlfn.MAXIFS(Levels!F:F,Levels!B:B,A2317)</f>
        <v>7.88</v>
      </c>
    </row>
    <row r="2318" spans="1:6" x14ac:dyDescent="0.3">
      <c r="A2318" t="s">
        <v>10449</v>
      </c>
      <c r="B2318" s="6">
        <f>COUNTIF(Levels!B:B,A2318)</f>
        <v>1</v>
      </c>
      <c r="C2318" s="6">
        <f>IFERROR(AVERAGEIF(Levels!B:B,A2318,Levels!E:E),0)</f>
        <v>2.3199999999999998</v>
      </c>
      <c r="D2318" s="6">
        <f>IFERROR(AVERAGEIF(Levels!B:B,A2318,Levels!F:F),0)</f>
        <v>6.67</v>
      </c>
      <c r="E2318" s="6">
        <f>_xlfn.MAXIFS(Levels!E:E,Levels!B:B,A2318)</f>
        <v>2.3199999999999998</v>
      </c>
      <c r="F2318" s="6">
        <f>_xlfn.MAXIFS(Levels!F:F,Levels!B:B,A2318)</f>
        <v>6.67</v>
      </c>
    </row>
    <row r="2319" spans="1:6" x14ac:dyDescent="0.3">
      <c r="A2319" t="s">
        <v>10451</v>
      </c>
      <c r="B2319" s="9">
        <f>COUNTIF(Levels!B:B,A2319)</f>
        <v>2</v>
      </c>
      <c r="C2319" s="9">
        <f>IFERROR(AVERAGEIF(Levels!B:B,A2319,Levels!E:E),0)</f>
        <v>16.115000000000002</v>
      </c>
      <c r="D2319" s="9">
        <f>IFERROR(AVERAGEIF(Levels!B:B,A2319,Levels!F:F),0)</f>
        <v>6.9649999999999999</v>
      </c>
      <c r="E2319" s="9">
        <f>_xlfn.MAXIFS(Levels!E:E,Levels!B:B,A2319)</f>
        <v>16.23</v>
      </c>
      <c r="F2319" s="9">
        <f>_xlfn.MAXIFS(Levels!F:F,Levels!B:B,A2319)</f>
        <v>7.04</v>
      </c>
    </row>
    <row r="2320" spans="1:6" x14ac:dyDescent="0.3">
      <c r="A2320" t="s">
        <v>10459</v>
      </c>
      <c r="B2320" s="6">
        <f>COUNTIF(Levels!B:B,A2320)</f>
        <v>2</v>
      </c>
      <c r="C2320" s="6">
        <f>IFERROR(AVERAGEIF(Levels!B:B,A2320,Levels!E:E),0)</f>
        <v>2.62</v>
      </c>
      <c r="D2320" s="6">
        <f>IFERROR(AVERAGEIF(Levels!B:B,A2320,Levels!F:F),0)</f>
        <v>7.5250000000000004</v>
      </c>
      <c r="E2320" s="6">
        <f>_xlfn.MAXIFS(Levels!E:E,Levels!B:B,A2320)</f>
        <v>3.09</v>
      </c>
      <c r="F2320" s="6">
        <f>_xlfn.MAXIFS(Levels!F:F,Levels!B:B,A2320)</f>
        <v>7.94</v>
      </c>
    </row>
    <row r="2321" spans="1:6" x14ac:dyDescent="0.3">
      <c r="A2321" t="s">
        <v>10465</v>
      </c>
      <c r="B2321" s="9">
        <f>COUNTIF(Levels!B:B,A2321)</f>
        <v>1</v>
      </c>
      <c r="C2321" s="9">
        <f>IFERROR(AVERAGEIF(Levels!B:B,A2321,Levels!E:E),0)</f>
        <v>18.670000000000002</v>
      </c>
      <c r="D2321" s="9">
        <f>IFERROR(AVERAGEIF(Levels!B:B,A2321,Levels!F:F),0)</f>
        <v>6</v>
      </c>
      <c r="E2321" s="9">
        <f>_xlfn.MAXIFS(Levels!E:E,Levels!B:B,A2321)</f>
        <v>18.670000000000002</v>
      </c>
      <c r="F2321" s="9">
        <f>_xlfn.MAXIFS(Levels!F:F,Levels!B:B,A2321)</f>
        <v>6</v>
      </c>
    </row>
    <row r="2322" spans="1:6" x14ac:dyDescent="0.3">
      <c r="A2322" t="s">
        <v>10468</v>
      </c>
      <c r="B2322" s="6">
        <f>COUNTIF(Levels!B:B,A2322)</f>
        <v>1</v>
      </c>
      <c r="C2322" s="6">
        <f>IFERROR(AVERAGEIF(Levels!B:B,A2322,Levels!E:E),0)</f>
        <v>2.12</v>
      </c>
      <c r="D2322" s="6">
        <f>IFERROR(AVERAGEIF(Levels!B:B,A2322,Levels!F:F),0)</f>
        <v>5.94</v>
      </c>
      <c r="E2322" s="6">
        <f>_xlfn.MAXIFS(Levels!E:E,Levels!B:B,A2322)</f>
        <v>2.12</v>
      </c>
      <c r="F2322" s="6">
        <f>_xlfn.MAXIFS(Levels!F:F,Levels!B:B,A2322)</f>
        <v>5.94</v>
      </c>
    </row>
    <row r="2323" spans="1:6" x14ac:dyDescent="0.3">
      <c r="A2323" t="s">
        <v>10470</v>
      </c>
      <c r="B2323" s="9">
        <f>COUNTIF(Levels!B:B,A2323)</f>
        <v>1</v>
      </c>
      <c r="C2323" s="9">
        <f>IFERROR(AVERAGEIF(Levels!B:B,A2323,Levels!E:E),0)</f>
        <v>6.44</v>
      </c>
      <c r="D2323" s="9">
        <f>IFERROR(AVERAGEIF(Levels!B:B,A2323,Levels!F:F),0)</f>
        <v>8.6</v>
      </c>
      <c r="E2323" s="9">
        <f>_xlfn.MAXIFS(Levels!E:E,Levels!B:B,A2323)</f>
        <v>6.44</v>
      </c>
      <c r="F2323" s="9">
        <f>_xlfn.MAXIFS(Levels!F:F,Levels!B:B,A2323)</f>
        <v>8.6</v>
      </c>
    </row>
    <row r="2324" spans="1:6" x14ac:dyDescent="0.3">
      <c r="A2324" t="s">
        <v>10479</v>
      </c>
      <c r="B2324" s="6">
        <f>COUNTIF(Levels!B:B,A2324)</f>
        <v>2</v>
      </c>
      <c r="C2324" s="6">
        <f>IFERROR(AVERAGEIF(Levels!B:B,A2324,Levels!E:E),0)</f>
        <v>9.1849999999999987</v>
      </c>
      <c r="D2324" s="6">
        <f>IFERROR(AVERAGEIF(Levels!B:B,A2324,Levels!F:F),0)</f>
        <v>6.835</v>
      </c>
      <c r="E2324" s="6">
        <f>_xlfn.MAXIFS(Levels!E:E,Levels!B:B,A2324)</f>
        <v>9.5399999999999991</v>
      </c>
      <c r="F2324" s="6">
        <f>_xlfn.MAXIFS(Levels!F:F,Levels!B:B,A2324)</f>
        <v>7</v>
      </c>
    </row>
    <row r="2325" spans="1:6" x14ac:dyDescent="0.3">
      <c r="A2325" t="s">
        <v>10487</v>
      </c>
      <c r="B2325" s="9">
        <f>COUNTIF(Levels!B:B,A2325)</f>
        <v>2</v>
      </c>
      <c r="C2325" s="9">
        <f>IFERROR(AVERAGEIF(Levels!B:B,A2325,Levels!E:E),0)</f>
        <v>3.7249999999999996</v>
      </c>
      <c r="D2325" s="9">
        <f>IFERROR(AVERAGEIF(Levels!B:B,A2325,Levels!F:F),0)</f>
        <v>5.8800000000000008</v>
      </c>
      <c r="E2325" s="9">
        <f>_xlfn.MAXIFS(Levels!E:E,Levels!B:B,A2325)</f>
        <v>3.78</v>
      </c>
      <c r="F2325" s="9">
        <f>_xlfn.MAXIFS(Levels!F:F,Levels!B:B,A2325)</f>
        <v>5.94</v>
      </c>
    </row>
    <row r="2326" spans="1:6" x14ac:dyDescent="0.3">
      <c r="A2326" t="s">
        <v>10489</v>
      </c>
      <c r="B2326" s="6">
        <f>COUNTIF(Levels!B:B,A2326)</f>
        <v>2</v>
      </c>
      <c r="C2326" s="6">
        <f>IFERROR(AVERAGEIF(Levels!B:B,A2326,Levels!E:E),0)</f>
        <v>1.07</v>
      </c>
      <c r="D2326" s="6">
        <f>IFERROR(AVERAGEIF(Levels!B:B,A2326,Levels!F:F),0)</f>
        <v>7.24</v>
      </c>
      <c r="E2326" s="6">
        <f>_xlfn.MAXIFS(Levels!E:E,Levels!B:B,A2326)</f>
        <v>1.08</v>
      </c>
      <c r="F2326" s="6">
        <f>_xlfn.MAXIFS(Levels!F:F,Levels!B:B,A2326)</f>
        <v>7.28</v>
      </c>
    </row>
    <row r="2327" spans="1:6" x14ac:dyDescent="0.3">
      <c r="A2327" t="s">
        <v>10492</v>
      </c>
      <c r="B2327" s="9">
        <f>COUNTIF(Levels!B:B,A2327)</f>
        <v>2</v>
      </c>
      <c r="C2327" s="9">
        <f>IFERROR(AVERAGEIF(Levels!B:B,A2327,Levels!E:E),0)</f>
        <v>8.5</v>
      </c>
      <c r="D2327" s="9">
        <f>IFERROR(AVERAGEIF(Levels!B:B,A2327,Levels!F:F),0)</f>
        <v>6.73</v>
      </c>
      <c r="E2327" s="9">
        <f>_xlfn.MAXIFS(Levels!E:E,Levels!B:B,A2327)</f>
        <v>8.8000000000000007</v>
      </c>
      <c r="F2327" s="9">
        <f>_xlfn.MAXIFS(Levels!F:F,Levels!B:B,A2327)</f>
        <v>6.78</v>
      </c>
    </row>
    <row r="2328" spans="1:6" x14ac:dyDescent="0.3">
      <c r="A2328" t="s">
        <v>10494</v>
      </c>
      <c r="B2328" s="6">
        <f>COUNTIF(Levels!B:B,A2328)</f>
        <v>2</v>
      </c>
      <c r="C2328" s="6">
        <f>IFERROR(AVERAGEIF(Levels!B:B,A2328,Levels!E:E),0)</f>
        <v>5.48</v>
      </c>
      <c r="D2328" s="6">
        <f>IFERROR(AVERAGEIF(Levels!B:B,A2328,Levels!F:F),0)</f>
        <v>7.585</v>
      </c>
      <c r="E2328" s="6">
        <f>_xlfn.MAXIFS(Levels!E:E,Levels!B:B,A2328)</f>
        <v>9.0500000000000007</v>
      </c>
      <c r="F2328" s="6">
        <f>_xlfn.MAXIFS(Levels!F:F,Levels!B:B,A2328)</f>
        <v>8</v>
      </c>
    </row>
    <row r="2329" spans="1:6" x14ac:dyDescent="0.3">
      <c r="A2329" t="s">
        <v>10501</v>
      </c>
      <c r="B2329" s="9">
        <f>COUNTIF(Levels!B:B,A2329)</f>
        <v>1</v>
      </c>
      <c r="C2329" s="9">
        <f>IFERROR(AVERAGEIF(Levels!B:B,A2329,Levels!E:E),0)</f>
        <v>2.88</v>
      </c>
      <c r="D2329" s="9">
        <f>IFERROR(AVERAGEIF(Levels!B:B,A2329,Levels!F:F),0)</f>
        <v>7.31</v>
      </c>
      <c r="E2329" s="9">
        <f>_xlfn.MAXIFS(Levels!E:E,Levels!B:B,A2329)</f>
        <v>2.88</v>
      </c>
      <c r="F2329" s="9">
        <f>_xlfn.MAXIFS(Levels!F:F,Levels!B:B,A2329)</f>
        <v>7.31</v>
      </c>
    </row>
    <row r="2330" spans="1:6" x14ac:dyDescent="0.3">
      <c r="A2330" t="s">
        <v>10506</v>
      </c>
      <c r="B2330" s="6">
        <f>COUNTIF(Levels!B:B,A2330)</f>
        <v>1</v>
      </c>
      <c r="C2330" s="6">
        <f>IFERROR(AVERAGEIF(Levels!B:B,A2330,Levels!E:E),0)</f>
        <v>16.3</v>
      </c>
      <c r="D2330" s="6">
        <f>IFERROR(AVERAGEIF(Levels!B:B,A2330,Levels!F:F),0)</f>
        <v>5.83</v>
      </c>
      <c r="E2330" s="6">
        <f>_xlfn.MAXIFS(Levels!E:E,Levels!B:B,A2330)</f>
        <v>16.3</v>
      </c>
      <c r="F2330" s="6">
        <f>_xlfn.MAXIFS(Levels!F:F,Levels!B:B,A2330)</f>
        <v>5.83</v>
      </c>
    </row>
    <row r="2331" spans="1:6" x14ac:dyDescent="0.3">
      <c r="A2331" t="s">
        <v>10509</v>
      </c>
      <c r="B2331" s="9">
        <f>COUNTIF(Levels!B:B,A2331)</f>
        <v>3</v>
      </c>
      <c r="C2331" s="9">
        <f>IFERROR(AVERAGEIF(Levels!B:B,A2331,Levels!E:E),0)</f>
        <v>7.2166666666666677</v>
      </c>
      <c r="D2331" s="9">
        <f>IFERROR(AVERAGEIF(Levels!B:B,A2331,Levels!F:F),0)</f>
        <v>8.3766666666666669</v>
      </c>
      <c r="E2331" s="9">
        <f>_xlfn.MAXIFS(Levels!E:E,Levels!B:B,A2331)</f>
        <v>13.31</v>
      </c>
      <c r="F2331" s="9">
        <f>_xlfn.MAXIFS(Levels!F:F,Levels!B:B,A2331)</f>
        <v>8.91</v>
      </c>
    </row>
    <row r="2332" spans="1:6" x14ac:dyDescent="0.3">
      <c r="A2332" t="s">
        <v>10511</v>
      </c>
      <c r="B2332" s="6">
        <f>COUNTIF(Levels!B:B,A2332)</f>
        <v>1</v>
      </c>
      <c r="C2332" s="6">
        <f>IFERROR(AVERAGEIF(Levels!B:B,A2332,Levels!E:E),0)</f>
        <v>17.079999999999998</v>
      </c>
      <c r="D2332" s="6">
        <f>IFERROR(AVERAGEIF(Levels!B:B,A2332,Levels!F:F),0)</f>
        <v>8.92</v>
      </c>
      <c r="E2332" s="6">
        <f>_xlfn.MAXIFS(Levels!E:E,Levels!B:B,A2332)</f>
        <v>17.079999999999998</v>
      </c>
      <c r="F2332" s="6">
        <f>_xlfn.MAXIFS(Levels!F:F,Levels!B:B,A2332)</f>
        <v>8.92</v>
      </c>
    </row>
    <row r="2333" spans="1:6" x14ac:dyDescent="0.3">
      <c r="A2333" t="s">
        <v>10514</v>
      </c>
      <c r="B2333" s="9">
        <f>COUNTIF(Levels!B:B,A2333)</f>
        <v>4</v>
      </c>
      <c r="C2333" s="9">
        <f>IFERROR(AVERAGEIF(Levels!B:B,A2333,Levels!E:E),0)</f>
        <v>5.1899999999999995</v>
      </c>
      <c r="D2333" s="9">
        <f>IFERROR(AVERAGEIF(Levels!B:B,A2333,Levels!F:F),0)</f>
        <v>7.9649999999999999</v>
      </c>
      <c r="E2333" s="9">
        <f>_xlfn.MAXIFS(Levels!E:E,Levels!B:B,A2333)</f>
        <v>5.81</v>
      </c>
      <c r="F2333" s="9">
        <f>_xlfn.MAXIFS(Levels!F:F,Levels!B:B,A2333)</f>
        <v>8.75</v>
      </c>
    </row>
    <row r="2334" spans="1:6" x14ac:dyDescent="0.3">
      <c r="A2334" t="s">
        <v>10519</v>
      </c>
      <c r="B2334" s="6">
        <f>COUNTIF(Levels!B:B,A2334)</f>
        <v>1</v>
      </c>
      <c r="C2334" s="6">
        <f>IFERROR(AVERAGEIF(Levels!B:B,A2334,Levels!E:E),0)</f>
        <v>1.21</v>
      </c>
      <c r="D2334" s="6">
        <f>IFERROR(AVERAGEIF(Levels!B:B,A2334,Levels!F:F),0)</f>
        <v>7.8</v>
      </c>
      <c r="E2334" s="6">
        <f>_xlfn.MAXIFS(Levels!E:E,Levels!B:B,A2334)</f>
        <v>1.21</v>
      </c>
      <c r="F2334" s="6">
        <f>_xlfn.MAXIFS(Levels!F:F,Levels!B:B,A2334)</f>
        <v>7.8</v>
      </c>
    </row>
    <row r="2335" spans="1:6" x14ac:dyDescent="0.3">
      <c r="A2335" t="s">
        <v>10522</v>
      </c>
      <c r="B2335" s="9">
        <f>COUNTIF(Levels!B:B,A2335)</f>
        <v>1</v>
      </c>
      <c r="C2335" s="9">
        <f>IFERROR(AVERAGEIF(Levels!B:B,A2335,Levels!E:E),0)</f>
        <v>16.64</v>
      </c>
      <c r="D2335" s="9">
        <f>IFERROR(AVERAGEIF(Levels!B:B,A2335,Levels!F:F),0)</f>
        <v>6.73</v>
      </c>
      <c r="E2335" s="9">
        <f>_xlfn.MAXIFS(Levels!E:E,Levels!B:B,A2335)</f>
        <v>16.64</v>
      </c>
      <c r="F2335" s="9">
        <f>_xlfn.MAXIFS(Levels!F:F,Levels!B:B,A2335)</f>
        <v>6.73</v>
      </c>
    </row>
    <row r="2336" spans="1:6" x14ac:dyDescent="0.3">
      <c r="A2336" t="s">
        <v>10526</v>
      </c>
      <c r="B2336" s="6">
        <f>COUNTIF(Levels!B:B,A2336)</f>
        <v>1</v>
      </c>
      <c r="C2336" s="6">
        <f>IFERROR(AVERAGEIF(Levels!B:B,A2336,Levels!E:E),0)</f>
        <v>3.96</v>
      </c>
      <c r="D2336" s="6">
        <f>IFERROR(AVERAGEIF(Levels!B:B,A2336,Levels!F:F),0)</f>
        <v>6.59</v>
      </c>
      <c r="E2336" s="6">
        <f>_xlfn.MAXIFS(Levels!E:E,Levels!B:B,A2336)</f>
        <v>3.96</v>
      </c>
      <c r="F2336" s="6">
        <f>_xlfn.MAXIFS(Levels!F:F,Levels!B:B,A2336)</f>
        <v>6.59</v>
      </c>
    </row>
    <row r="2337" spans="1:6" x14ac:dyDescent="0.3">
      <c r="A2337" t="s">
        <v>10532</v>
      </c>
      <c r="B2337" s="9">
        <f>COUNTIF(Levels!B:B,A2337)</f>
        <v>3</v>
      </c>
      <c r="C2337" s="9">
        <f>IFERROR(AVERAGEIF(Levels!B:B,A2337,Levels!E:E),0)</f>
        <v>25.270000000000003</v>
      </c>
      <c r="D2337" s="9">
        <f>IFERROR(AVERAGEIF(Levels!B:B,A2337,Levels!F:F),0)</f>
        <v>7.3849999999999998</v>
      </c>
      <c r="E2337" s="9">
        <f>_xlfn.MAXIFS(Levels!E:E,Levels!B:B,A2337)</f>
        <v>29.67</v>
      </c>
      <c r="F2337" s="9">
        <f>_xlfn.MAXIFS(Levels!F:F,Levels!B:B,A2337)</f>
        <v>7.44</v>
      </c>
    </row>
    <row r="2338" spans="1:6" x14ac:dyDescent="0.3">
      <c r="A2338" t="s">
        <v>10535</v>
      </c>
      <c r="B2338" s="6">
        <f>COUNTIF(Levels!B:B,A2338)</f>
        <v>2</v>
      </c>
      <c r="C2338" s="6">
        <f>IFERROR(AVERAGEIF(Levels!B:B,A2338,Levels!E:E),0)</f>
        <v>19.984999999999999</v>
      </c>
      <c r="D2338" s="6">
        <f>IFERROR(AVERAGEIF(Levels!B:B,A2338,Levels!F:F),0)</f>
        <v>5.7799999999999994</v>
      </c>
      <c r="E2338" s="6">
        <f>_xlfn.MAXIFS(Levels!E:E,Levels!B:B,A2338)</f>
        <v>20.57</v>
      </c>
      <c r="F2338" s="6">
        <f>_xlfn.MAXIFS(Levels!F:F,Levels!B:B,A2338)</f>
        <v>6.31</v>
      </c>
    </row>
    <row r="2339" spans="1:6" x14ac:dyDescent="0.3">
      <c r="A2339" t="s">
        <v>10542</v>
      </c>
      <c r="B2339" s="9">
        <f>COUNTIF(Levels!B:B,A2339)</f>
        <v>3</v>
      </c>
      <c r="C2339" s="9">
        <f>IFERROR(AVERAGEIF(Levels!B:B,A2339,Levels!E:E),0)</f>
        <v>3.7366666666666668</v>
      </c>
      <c r="D2339" s="9">
        <f>IFERROR(AVERAGEIF(Levels!B:B,A2339,Levels!F:F),0)</f>
        <v>7.4433333333333325</v>
      </c>
      <c r="E2339" s="9">
        <f>_xlfn.MAXIFS(Levels!E:E,Levels!B:B,A2339)</f>
        <v>6.01</v>
      </c>
      <c r="F2339" s="9">
        <f>_xlfn.MAXIFS(Levels!F:F,Levels!B:B,A2339)</f>
        <v>7.76</v>
      </c>
    </row>
    <row r="2340" spans="1:6" x14ac:dyDescent="0.3">
      <c r="A2340" t="s">
        <v>10552</v>
      </c>
      <c r="B2340" s="6">
        <f>COUNTIF(Levels!B:B,A2340)</f>
        <v>2</v>
      </c>
      <c r="C2340" s="6">
        <f>IFERROR(AVERAGEIF(Levels!B:B,A2340,Levels!E:E),0)</f>
        <v>10.205</v>
      </c>
      <c r="D2340" s="6">
        <f>IFERROR(AVERAGEIF(Levels!B:B,A2340,Levels!F:F),0)</f>
        <v>7.49</v>
      </c>
      <c r="E2340" s="6">
        <f>_xlfn.MAXIFS(Levels!E:E,Levels!B:B,A2340)</f>
        <v>15.65</v>
      </c>
      <c r="F2340" s="6">
        <f>_xlfn.MAXIFS(Levels!F:F,Levels!B:B,A2340)</f>
        <v>7.85</v>
      </c>
    </row>
    <row r="2341" spans="1:6" x14ac:dyDescent="0.3">
      <c r="A2341" t="s">
        <v>10562</v>
      </c>
      <c r="B2341" s="9">
        <f>COUNTIF(Levels!B:B,A2341)</f>
        <v>2</v>
      </c>
      <c r="C2341" s="9">
        <f>IFERROR(AVERAGEIF(Levels!B:B,A2341,Levels!E:E),0)</f>
        <v>12.265000000000001</v>
      </c>
      <c r="D2341" s="9">
        <f>IFERROR(AVERAGEIF(Levels!B:B,A2341,Levels!F:F),0)</f>
        <v>7.78</v>
      </c>
      <c r="E2341" s="9">
        <f>_xlfn.MAXIFS(Levels!E:E,Levels!B:B,A2341)</f>
        <v>13.37</v>
      </c>
      <c r="F2341" s="9">
        <f>_xlfn.MAXIFS(Levels!F:F,Levels!B:B,A2341)</f>
        <v>8.39</v>
      </c>
    </row>
    <row r="2342" spans="1:6" x14ac:dyDescent="0.3">
      <c r="A2342" t="s">
        <v>10564</v>
      </c>
      <c r="B2342" s="6">
        <f>COUNTIF(Levels!B:B,A2342)</f>
        <v>1</v>
      </c>
      <c r="C2342" s="6">
        <f>IFERROR(AVERAGEIF(Levels!B:B,A2342,Levels!E:E),0)</f>
        <v>9.36</v>
      </c>
      <c r="D2342" s="6">
        <f>IFERROR(AVERAGEIF(Levels!B:B,A2342,Levels!F:F),0)</f>
        <v>6.71</v>
      </c>
      <c r="E2342" s="6">
        <f>_xlfn.MAXIFS(Levels!E:E,Levels!B:B,A2342)</f>
        <v>9.36</v>
      </c>
      <c r="F2342" s="6">
        <f>_xlfn.MAXIFS(Levels!F:F,Levels!B:B,A2342)</f>
        <v>6.71</v>
      </c>
    </row>
    <row r="2343" spans="1:6" x14ac:dyDescent="0.3">
      <c r="A2343" t="s">
        <v>10566</v>
      </c>
      <c r="B2343" s="9">
        <f>COUNTIF(Levels!B:B,A2343)</f>
        <v>1</v>
      </c>
      <c r="C2343" s="9">
        <f>IFERROR(AVERAGEIF(Levels!B:B,A2343,Levels!E:E),0)</f>
        <v>1.17</v>
      </c>
      <c r="D2343" s="9">
        <f>IFERROR(AVERAGEIF(Levels!B:B,A2343,Levels!F:F),0)</f>
        <v>7.02</v>
      </c>
      <c r="E2343" s="9">
        <f>_xlfn.MAXIFS(Levels!E:E,Levels!B:B,A2343)</f>
        <v>1.17</v>
      </c>
      <c r="F2343" s="9">
        <f>_xlfn.MAXIFS(Levels!F:F,Levels!B:B,A2343)</f>
        <v>7.02</v>
      </c>
    </row>
    <row r="2344" spans="1:6" x14ac:dyDescent="0.3">
      <c r="A2344" t="s">
        <v>10568</v>
      </c>
      <c r="B2344" s="6">
        <f>COUNTIF(Levels!B:B,A2344)</f>
        <v>2</v>
      </c>
      <c r="C2344" s="6">
        <f>IFERROR(AVERAGEIF(Levels!B:B,A2344,Levels!E:E),0)</f>
        <v>8.75</v>
      </c>
      <c r="D2344" s="6">
        <f>IFERROR(AVERAGEIF(Levels!B:B,A2344,Levels!F:F),0)</f>
        <v>7.2949999999999999</v>
      </c>
      <c r="E2344" s="6">
        <f>_xlfn.MAXIFS(Levels!E:E,Levels!B:B,A2344)</f>
        <v>15.08</v>
      </c>
      <c r="F2344" s="6">
        <f>_xlfn.MAXIFS(Levels!F:F,Levels!B:B,A2344)</f>
        <v>8.5399999999999991</v>
      </c>
    </row>
    <row r="2345" spans="1:6" x14ac:dyDescent="0.3">
      <c r="A2345" t="s">
        <v>10570</v>
      </c>
      <c r="B2345" s="9">
        <f>COUNTIF(Levels!B:B,A2345)</f>
        <v>1</v>
      </c>
      <c r="C2345" s="9">
        <f>IFERROR(AVERAGEIF(Levels!B:B,A2345,Levels!E:E),0)</f>
        <v>13</v>
      </c>
      <c r="D2345" s="9">
        <f>IFERROR(AVERAGEIF(Levels!B:B,A2345,Levels!F:F),0)</f>
        <v>5.5</v>
      </c>
      <c r="E2345" s="9">
        <f>_xlfn.MAXIFS(Levels!E:E,Levels!B:B,A2345)</f>
        <v>13</v>
      </c>
      <c r="F2345" s="9">
        <f>_xlfn.MAXIFS(Levels!F:F,Levels!B:B,A2345)</f>
        <v>5.5</v>
      </c>
    </row>
    <row r="2346" spans="1:6" x14ac:dyDescent="0.3">
      <c r="A2346" t="s">
        <v>10576</v>
      </c>
      <c r="B2346" s="6">
        <f>COUNTIF(Levels!B:B,A2346)</f>
        <v>1</v>
      </c>
      <c r="C2346" s="6">
        <f>IFERROR(AVERAGEIF(Levels!B:B,A2346,Levels!E:E),0)</f>
        <v>1.71</v>
      </c>
      <c r="D2346" s="6">
        <f>IFERROR(AVERAGEIF(Levels!B:B,A2346,Levels!F:F),0)</f>
        <v>6.79</v>
      </c>
      <c r="E2346" s="6">
        <f>_xlfn.MAXIFS(Levels!E:E,Levels!B:B,A2346)</f>
        <v>1.71</v>
      </c>
      <c r="F2346" s="6">
        <f>_xlfn.MAXIFS(Levels!F:F,Levels!B:B,A2346)</f>
        <v>6.79</v>
      </c>
    </row>
    <row r="2347" spans="1:6" x14ac:dyDescent="0.3">
      <c r="A2347" t="s">
        <v>10578</v>
      </c>
      <c r="B2347" s="9">
        <f>COUNTIF(Levels!B:B,A2347)</f>
        <v>1</v>
      </c>
      <c r="C2347" s="9">
        <f>IFERROR(AVERAGEIF(Levels!B:B,A2347,Levels!E:E),0)</f>
        <v>1.1399999999999999</v>
      </c>
      <c r="D2347" s="9">
        <f>IFERROR(AVERAGEIF(Levels!B:B,A2347,Levels!F:F),0)</f>
        <v>7.27</v>
      </c>
      <c r="E2347" s="9">
        <f>_xlfn.MAXIFS(Levels!E:E,Levels!B:B,A2347)</f>
        <v>1.1399999999999999</v>
      </c>
      <c r="F2347" s="9">
        <f>_xlfn.MAXIFS(Levels!F:F,Levels!B:B,A2347)</f>
        <v>7.27</v>
      </c>
    </row>
    <row r="2348" spans="1:6" x14ac:dyDescent="0.3">
      <c r="A2348" t="s">
        <v>10582</v>
      </c>
      <c r="B2348" s="6">
        <f>COUNTIF(Levels!B:B,A2348)</f>
        <v>1</v>
      </c>
      <c r="C2348" s="6">
        <f>IFERROR(AVERAGEIF(Levels!B:B,A2348,Levels!E:E),0)</f>
        <v>17</v>
      </c>
      <c r="D2348" s="6">
        <f>IFERROR(AVERAGEIF(Levels!B:B,A2348,Levels!F:F),0)</f>
        <v>5.14</v>
      </c>
      <c r="E2348" s="6">
        <f>_xlfn.MAXIFS(Levels!E:E,Levels!B:B,A2348)</f>
        <v>17</v>
      </c>
      <c r="F2348" s="6">
        <f>_xlfn.MAXIFS(Levels!F:F,Levels!B:B,A2348)</f>
        <v>5.14</v>
      </c>
    </row>
    <row r="2349" spans="1:6" x14ac:dyDescent="0.3">
      <c r="A2349" t="s">
        <v>10586</v>
      </c>
      <c r="B2349" s="9">
        <f>COUNTIF(Levels!B:B,A2349)</f>
        <v>3</v>
      </c>
      <c r="C2349" s="9">
        <f>IFERROR(AVERAGEIF(Levels!B:B,A2349,Levels!E:E),0)</f>
        <v>11.323333333333332</v>
      </c>
      <c r="D2349" s="9">
        <f>IFERROR(AVERAGEIF(Levels!B:B,A2349,Levels!F:F),0)</f>
        <v>8.4966666666666661</v>
      </c>
      <c r="E2349" s="9">
        <f>_xlfn.MAXIFS(Levels!E:E,Levels!B:B,A2349)</f>
        <v>15.17</v>
      </c>
      <c r="F2349" s="9">
        <f>_xlfn.MAXIFS(Levels!F:F,Levels!B:B,A2349)</f>
        <v>9.1999999999999993</v>
      </c>
    </row>
    <row r="2350" spans="1:6" x14ac:dyDescent="0.3">
      <c r="A2350" t="s">
        <v>10592</v>
      </c>
      <c r="B2350" s="6">
        <f>COUNTIF(Levels!B:B,A2350)</f>
        <v>1</v>
      </c>
      <c r="C2350" s="6">
        <f>IFERROR(AVERAGEIF(Levels!B:B,A2350,Levels!E:E),0)</f>
        <v>14.4</v>
      </c>
      <c r="D2350" s="6">
        <f>IFERROR(AVERAGEIF(Levels!B:B,A2350,Levels!F:F),0)</f>
        <v>7.4</v>
      </c>
      <c r="E2350" s="6">
        <f>_xlfn.MAXIFS(Levels!E:E,Levels!B:B,A2350)</f>
        <v>14.4</v>
      </c>
      <c r="F2350" s="6">
        <f>_xlfn.MAXIFS(Levels!F:F,Levels!B:B,A2350)</f>
        <v>7.4</v>
      </c>
    </row>
    <row r="2351" spans="1:6" x14ac:dyDescent="0.3">
      <c r="A2351" t="s">
        <v>10594</v>
      </c>
      <c r="B2351" s="9">
        <f>COUNTIF(Levels!B:B,A2351)</f>
        <v>3</v>
      </c>
      <c r="C2351" s="9">
        <f>IFERROR(AVERAGEIF(Levels!B:B,A2351,Levels!E:E),0)</f>
        <v>6.8466666666666667</v>
      </c>
      <c r="D2351" s="9">
        <f>IFERROR(AVERAGEIF(Levels!B:B,A2351,Levels!F:F),0)</f>
        <v>6.5966666666666667</v>
      </c>
      <c r="E2351" s="9">
        <f>_xlfn.MAXIFS(Levels!E:E,Levels!B:B,A2351)</f>
        <v>15.69</v>
      </c>
      <c r="F2351" s="9">
        <f>_xlfn.MAXIFS(Levels!F:F,Levels!B:B,A2351)</f>
        <v>7.8</v>
      </c>
    </row>
    <row r="2352" spans="1:6" x14ac:dyDescent="0.3">
      <c r="A2352" t="s">
        <v>10596</v>
      </c>
      <c r="B2352" s="6">
        <f>COUNTIF(Levels!B:B,A2352)</f>
        <v>1</v>
      </c>
      <c r="C2352" s="6">
        <f>IFERROR(AVERAGEIF(Levels!B:B,A2352,Levels!E:E),0)</f>
        <v>21.55</v>
      </c>
      <c r="D2352" s="6">
        <f>IFERROR(AVERAGEIF(Levels!B:B,A2352,Levels!F:F),0)</f>
        <v>7.6</v>
      </c>
      <c r="E2352" s="6">
        <f>_xlfn.MAXIFS(Levels!E:E,Levels!B:B,A2352)</f>
        <v>21.55</v>
      </c>
      <c r="F2352" s="6">
        <f>_xlfn.MAXIFS(Levels!F:F,Levels!B:B,A2352)</f>
        <v>7.6</v>
      </c>
    </row>
    <row r="2353" spans="1:6" x14ac:dyDescent="0.3">
      <c r="A2353" t="s">
        <v>10603</v>
      </c>
      <c r="B2353" s="9">
        <f>COUNTIF(Levels!B:B,A2353)</f>
        <v>1</v>
      </c>
      <c r="C2353" s="9">
        <f>IFERROR(AVERAGEIF(Levels!B:B,A2353,Levels!E:E),0)</f>
        <v>26</v>
      </c>
      <c r="D2353" s="9">
        <f>IFERROR(AVERAGEIF(Levels!B:B,A2353,Levels!F:F),0)</f>
        <v>4.5</v>
      </c>
      <c r="E2353" s="9">
        <f>_xlfn.MAXIFS(Levels!E:E,Levels!B:B,A2353)</f>
        <v>26</v>
      </c>
      <c r="F2353" s="9">
        <f>_xlfn.MAXIFS(Levels!F:F,Levels!B:B,A2353)</f>
        <v>4.5</v>
      </c>
    </row>
    <row r="2354" spans="1:6" x14ac:dyDescent="0.3">
      <c r="A2354" t="s">
        <v>10607</v>
      </c>
      <c r="B2354" s="6">
        <f>COUNTIF(Levels!B:B,A2354)</f>
        <v>4</v>
      </c>
      <c r="C2354" s="6">
        <f>IFERROR(AVERAGEIF(Levels!B:B,A2354,Levels!E:E),0)</f>
        <v>13.5</v>
      </c>
      <c r="D2354" s="6">
        <f>IFERROR(AVERAGEIF(Levels!B:B,A2354,Levels!F:F),0)</f>
        <v>5.1174999999999997</v>
      </c>
      <c r="E2354" s="6">
        <f>_xlfn.MAXIFS(Levels!E:E,Levels!B:B,A2354)</f>
        <v>22</v>
      </c>
      <c r="F2354" s="6">
        <f>_xlfn.MAXIFS(Levels!F:F,Levels!B:B,A2354)</f>
        <v>7.17</v>
      </c>
    </row>
    <row r="2355" spans="1:6" x14ac:dyDescent="0.3">
      <c r="A2355" t="s">
        <v>10615</v>
      </c>
      <c r="B2355" s="9">
        <f>COUNTIF(Levels!B:B,A2355)</f>
        <v>1</v>
      </c>
      <c r="C2355" s="9">
        <f>IFERROR(AVERAGEIF(Levels!B:B,A2355,Levels!E:E),0)</f>
        <v>5.25</v>
      </c>
      <c r="D2355" s="9">
        <f>IFERROR(AVERAGEIF(Levels!B:B,A2355,Levels!F:F),0)</f>
        <v>7.15</v>
      </c>
      <c r="E2355" s="9">
        <f>_xlfn.MAXIFS(Levels!E:E,Levels!B:B,A2355)</f>
        <v>5.25</v>
      </c>
      <c r="F2355" s="9">
        <f>_xlfn.MAXIFS(Levels!F:F,Levels!B:B,A2355)</f>
        <v>7.15</v>
      </c>
    </row>
    <row r="2356" spans="1:6" x14ac:dyDescent="0.3">
      <c r="A2356" t="s">
        <v>10625</v>
      </c>
      <c r="B2356" s="6">
        <f>COUNTIF(Levels!B:B,A2356)</f>
        <v>1</v>
      </c>
      <c r="C2356" s="6">
        <f>IFERROR(AVERAGEIF(Levels!B:B,A2356,Levels!E:E),0)</f>
        <v>7.02</v>
      </c>
      <c r="D2356" s="6">
        <f>IFERROR(AVERAGEIF(Levels!B:B,A2356,Levels!F:F),0)</f>
        <v>5.13</v>
      </c>
      <c r="E2356" s="6">
        <f>_xlfn.MAXIFS(Levels!E:E,Levels!B:B,A2356)</f>
        <v>7.02</v>
      </c>
      <c r="F2356" s="6">
        <f>_xlfn.MAXIFS(Levels!F:F,Levels!B:B,A2356)</f>
        <v>5.13</v>
      </c>
    </row>
    <row r="2357" spans="1:6" x14ac:dyDescent="0.3">
      <c r="A2357" t="s">
        <v>10631</v>
      </c>
      <c r="B2357" s="9">
        <f>COUNTIF(Levels!B:B,A2357)</f>
        <v>1</v>
      </c>
      <c r="C2357" s="9">
        <f>IFERROR(AVERAGEIF(Levels!B:B,A2357,Levels!E:E),0)</f>
        <v>24.71</v>
      </c>
      <c r="D2357" s="9">
        <f>IFERROR(AVERAGEIF(Levels!B:B,A2357,Levels!F:F),0)</f>
        <v>8.14</v>
      </c>
      <c r="E2357" s="9">
        <f>_xlfn.MAXIFS(Levels!E:E,Levels!B:B,A2357)</f>
        <v>24.71</v>
      </c>
      <c r="F2357" s="9">
        <f>_xlfn.MAXIFS(Levels!F:F,Levels!B:B,A2357)</f>
        <v>8.14</v>
      </c>
    </row>
    <row r="2358" spans="1:6" x14ac:dyDescent="0.3">
      <c r="A2358" t="s">
        <v>10637</v>
      </c>
      <c r="B2358" s="6">
        <f>COUNTIF(Levels!B:B,A2358)</f>
        <v>1</v>
      </c>
      <c r="C2358" s="6">
        <f>IFERROR(AVERAGEIF(Levels!B:B,A2358,Levels!E:E),0)</f>
        <v>29</v>
      </c>
      <c r="D2358" s="6">
        <f>IFERROR(AVERAGEIF(Levels!B:B,A2358,Levels!F:F),0)</f>
        <v>5</v>
      </c>
      <c r="E2358" s="6">
        <f>_xlfn.MAXIFS(Levels!E:E,Levels!B:B,A2358)</f>
        <v>29</v>
      </c>
      <c r="F2358" s="6">
        <f>_xlfn.MAXIFS(Levels!F:F,Levels!B:B,A2358)</f>
        <v>5</v>
      </c>
    </row>
    <row r="2359" spans="1:6" x14ac:dyDescent="0.3">
      <c r="A2359" t="s">
        <v>10641</v>
      </c>
      <c r="B2359" s="9">
        <f>COUNTIF(Levels!B:B,A2359)</f>
        <v>2</v>
      </c>
      <c r="C2359" s="9">
        <f>IFERROR(AVERAGEIF(Levels!B:B,A2359,Levels!E:E),0)</f>
        <v>12.030000000000001</v>
      </c>
      <c r="D2359" s="9">
        <f>IFERROR(AVERAGEIF(Levels!B:B,A2359,Levels!F:F),0)</f>
        <v>6.2850000000000001</v>
      </c>
      <c r="E2359" s="9">
        <f>_xlfn.MAXIFS(Levels!E:E,Levels!B:B,A2359)</f>
        <v>21.12</v>
      </c>
      <c r="F2359" s="9">
        <f>_xlfn.MAXIFS(Levels!F:F,Levels!B:B,A2359)</f>
        <v>6.46</v>
      </c>
    </row>
    <row r="2360" spans="1:6" x14ac:dyDescent="0.3">
      <c r="A2360" t="s">
        <v>10646</v>
      </c>
      <c r="B2360" s="6">
        <f>COUNTIF(Levels!B:B,A2360)</f>
        <v>1</v>
      </c>
      <c r="C2360" s="6">
        <f>IFERROR(AVERAGEIF(Levels!B:B,A2360,Levels!E:E),0)</f>
        <v>2.95</v>
      </c>
      <c r="D2360" s="6">
        <f>IFERROR(AVERAGEIF(Levels!B:B,A2360,Levels!F:F),0)</f>
        <v>6.05</v>
      </c>
      <c r="E2360" s="6">
        <f>_xlfn.MAXIFS(Levels!E:E,Levels!B:B,A2360)</f>
        <v>2.95</v>
      </c>
      <c r="F2360" s="6">
        <f>_xlfn.MAXIFS(Levels!F:F,Levels!B:B,A2360)</f>
        <v>6.05</v>
      </c>
    </row>
    <row r="2361" spans="1:6" x14ac:dyDescent="0.3">
      <c r="A2361" t="s">
        <v>10649</v>
      </c>
      <c r="B2361" s="9">
        <f>COUNTIF(Levels!B:B,A2361)</f>
        <v>3</v>
      </c>
      <c r="C2361" s="9">
        <f>IFERROR(AVERAGEIF(Levels!B:B,A2361,Levels!E:E),0)</f>
        <v>2.9266666666666672</v>
      </c>
      <c r="D2361" s="9">
        <f>IFERROR(AVERAGEIF(Levels!B:B,A2361,Levels!F:F),0)</f>
        <v>6.7299999999999995</v>
      </c>
      <c r="E2361" s="9">
        <f>_xlfn.MAXIFS(Levels!E:E,Levels!B:B,A2361)</f>
        <v>3.12</v>
      </c>
      <c r="F2361" s="9">
        <f>_xlfn.MAXIFS(Levels!F:F,Levels!B:B,A2361)</f>
        <v>6.88</v>
      </c>
    </row>
    <row r="2362" spans="1:6" x14ac:dyDescent="0.3">
      <c r="A2362" t="s">
        <v>10651</v>
      </c>
      <c r="B2362" s="6">
        <f>COUNTIF(Levels!B:B,A2362)</f>
        <v>2</v>
      </c>
      <c r="C2362" s="6">
        <f>IFERROR(AVERAGEIF(Levels!B:B,A2362,Levels!E:E),0)</f>
        <v>3.915</v>
      </c>
      <c r="D2362" s="6">
        <f>IFERROR(AVERAGEIF(Levels!B:B,A2362,Levels!F:F),0)</f>
        <v>7.1449999999999996</v>
      </c>
      <c r="E2362" s="6">
        <f>_xlfn.MAXIFS(Levels!E:E,Levels!B:B,A2362)</f>
        <v>4.8099999999999996</v>
      </c>
      <c r="F2362" s="6">
        <f>_xlfn.MAXIFS(Levels!F:F,Levels!B:B,A2362)</f>
        <v>7.21</v>
      </c>
    </row>
    <row r="2363" spans="1:6" x14ac:dyDescent="0.3">
      <c r="A2363" t="s">
        <v>10653</v>
      </c>
      <c r="B2363" s="9">
        <f>COUNTIF(Levels!B:B,A2363)</f>
        <v>1</v>
      </c>
      <c r="C2363" s="9">
        <f>IFERROR(AVERAGEIF(Levels!B:B,A2363,Levels!E:E),0)</f>
        <v>3.28</v>
      </c>
      <c r="D2363" s="9">
        <f>IFERROR(AVERAGEIF(Levels!B:B,A2363,Levels!F:F),0)</f>
        <v>5.87</v>
      </c>
      <c r="E2363" s="9">
        <f>_xlfn.MAXIFS(Levels!E:E,Levels!B:B,A2363)</f>
        <v>3.28</v>
      </c>
      <c r="F2363" s="9">
        <f>_xlfn.MAXIFS(Levels!F:F,Levels!B:B,A2363)</f>
        <v>5.87</v>
      </c>
    </row>
    <row r="2364" spans="1:6" x14ac:dyDescent="0.3">
      <c r="A2364" t="s">
        <v>10656</v>
      </c>
      <c r="B2364" s="6">
        <f>COUNTIF(Levels!B:B,A2364)</f>
        <v>6</v>
      </c>
      <c r="C2364" s="6">
        <f>IFERROR(AVERAGEIF(Levels!B:B,A2364,Levels!E:E),0)</f>
        <v>23.378</v>
      </c>
      <c r="D2364" s="6">
        <f>IFERROR(AVERAGEIF(Levels!B:B,A2364,Levels!F:F),0)</f>
        <v>7.7919999999999998</v>
      </c>
      <c r="E2364" s="6">
        <f>_xlfn.MAXIFS(Levels!E:E,Levels!B:B,A2364)</f>
        <v>26</v>
      </c>
      <c r="F2364" s="6">
        <f>_xlfn.MAXIFS(Levels!F:F,Levels!B:B,A2364)</f>
        <v>9</v>
      </c>
    </row>
    <row r="2365" spans="1:6" x14ac:dyDescent="0.3">
      <c r="A2365" t="s">
        <v>10659</v>
      </c>
      <c r="B2365" s="9">
        <f>COUNTIF(Levels!B:B,A2365)</f>
        <v>1</v>
      </c>
      <c r="C2365" s="9">
        <f>IFERROR(AVERAGEIF(Levels!B:B,A2365,Levels!E:E),0)</f>
        <v>2.36</v>
      </c>
      <c r="D2365" s="9">
        <f>IFERROR(AVERAGEIF(Levels!B:B,A2365,Levels!F:F),0)</f>
        <v>6.53</v>
      </c>
      <c r="E2365" s="9">
        <f>_xlfn.MAXIFS(Levels!E:E,Levels!B:B,A2365)</f>
        <v>2.36</v>
      </c>
      <c r="F2365" s="9">
        <f>_xlfn.MAXIFS(Levels!F:F,Levels!B:B,A2365)</f>
        <v>6.53</v>
      </c>
    </row>
    <row r="2366" spans="1:6" x14ac:dyDescent="0.3">
      <c r="A2366" t="s">
        <v>10661</v>
      </c>
      <c r="B2366" s="6">
        <f>COUNTIF(Levels!B:B,A2366)</f>
        <v>1</v>
      </c>
      <c r="C2366" s="6">
        <f>IFERROR(AVERAGEIF(Levels!B:B,A2366,Levels!E:E),0)</f>
        <v>25</v>
      </c>
      <c r="D2366" s="6">
        <f>IFERROR(AVERAGEIF(Levels!B:B,A2366,Levels!F:F),0)</f>
        <v>9.5</v>
      </c>
      <c r="E2366" s="6">
        <f>_xlfn.MAXIFS(Levels!E:E,Levels!B:B,A2366)</f>
        <v>25</v>
      </c>
      <c r="F2366" s="6">
        <f>_xlfn.MAXIFS(Levels!F:F,Levels!B:B,A2366)</f>
        <v>9.5</v>
      </c>
    </row>
    <row r="2367" spans="1:6" x14ac:dyDescent="0.3">
      <c r="A2367" t="s">
        <v>10671</v>
      </c>
      <c r="B2367" s="9">
        <f>COUNTIF(Levels!B:B,A2367)</f>
        <v>1</v>
      </c>
      <c r="C2367" s="9">
        <f>IFERROR(AVERAGEIF(Levels!B:B,A2367,Levels!E:E),0)</f>
        <v>12.88</v>
      </c>
      <c r="D2367" s="9">
        <f>IFERROR(AVERAGEIF(Levels!B:B,A2367,Levels!F:F),0)</f>
        <v>5</v>
      </c>
      <c r="E2367" s="9">
        <f>_xlfn.MAXIFS(Levels!E:E,Levels!B:B,A2367)</f>
        <v>12.88</v>
      </c>
      <c r="F2367" s="9">
        <f>_xlfn.MAXIFS(Levels!F:F,Levels!B:B,A2367)</f>
        <v>5</v>
      </c>
    </row>
    <row r="2368" spans="1:6" x14ac:dyDescent="0.3">
      <c r="A2368" t="s">
        <v>10688</v>
      </c>
      <c r="B2368" s="6">
        <f>COUNTIF(Levels!B:B,A2368)</f>
        <v>1</v>
      </c>
      <c r="C2368" s="6">
        <f>IFERROR(AVERAGEIF(Levels!B:B,A2368,Levels!E:E),0)</f>
        <v>21.14</v>
      </c>
      <c r="D2368" s="6">
        <f>IFERROR(AVERAGEIF(Levels!B:B,A2368,Levels!F:F),0)</f>
        <v>5.57</v>
      </c>
      <c r="E2368" s="6">
        <f>_xlfn.MAXIFS(Levels!E:E,Levels!B:B,A2368)</f>
        <v>21.14</v>
      </c>
      <c r="F2368" s="6">
        <f>_xlfn.MAXIFS(Levels!F:F,Levels!B:B,A2368)</f>
        <v>5.57</v>
      </c>
    </row>
    <row r="2369" spans="1:6" x14ac:dyDescent="0.3">
      <c r="A2369" t="s">
        <v>10691</v>
      </c>
      <c r="B2369" s="9">
        <f>COUNTIF(Levels!B:B,A2369)</f>
        <v>1</v>
      </c>
      <c r="C2369" s="9">
        <f>IFERROR(AVERAGEIF(Levels!B:B,A2369,Levels!E:E),0)</f>
        <v>2.7</v>
      </c>
      <c r="D2369" s="9">
        <f>IFERROR(AVERAGEIF(Levels!B:B,A2369,Levels!F:F),0)</f>
        <v>6.65</v>
      </c>
      <c r="E2369" s="9">
        <f>_xlfn.MAXIFS(Levels!E:E,Levels!B:B,A2369)</f>
        <v>2.7</v>
      </c>
      <c r="F2369" s="9">
        <f>_xlfn.MAXIFS(Levels!F:F,Levels!B:B,A2369)</f>
        <v>6.65</v>
      </c>
    </row>
    <row r="2370" spans="1:6" x14ac:dyDescent="0.3">
      <c r="A2370" t="s">
        <v>10693</v>
      </c>
      <c r="B2370" s="6">
        <f>COUNTIF(Levels!B:B,A2370)</f>
        <v>1</v>
      </c>
      <c r="C2370" s="6">
        <f>IFERROR(AVERAGEIF(Levels!B:B,A2370,Levels!E:E),0)</f>
        <v>6.14</v>
      </c>
      <c r="D2370" s="6">
        <f>IFERROR(AVERAGEIF(Levels!B:B,A2370,Levels!F:F),0)</f>
        <v>6.5</v>
      </c>
      <c r="E2370" s="6">
        <f>_xlfn.MAXIFS(Levels!E:E,Levels!B:B,A2370)</f>
        <v>6.14</v>
      </c>
      <c r="F2370" s="6">
        <f>_xlfn.MAXIFS(Levels!F:F,Levels!B:B,A2370)</f>
        <v>6.5</v>
      </c>
    </row>
    <row r="2371" spans="1:6" x14ac:dyDescent="0.3">
      <c r="A2371" t="s">
        <v>10704</v>
      </c>
      <c r="B2371" s="9">
        <f>COUNTIF(Levels!B:B,A2371)</f>
        <v>1</v>
      </c>
      <c r="C2371" s="9">
        <f>IFERROR(AVERAGEIF(Levels!B:B,A2371,Levels!E:E),0)</f>
        <v>17.14</v>
      </c>
      <c r="D2371" s="9">
        <f>IFERROR(AVERAGEIF(Levels!B:B,A2371,Levels!F:F),0)</f>
        <v>7.57</v>
      </c>
      <c r="E2371" s="9">
        <f>_xlfn.MAXIFS(Levels!E:E,Levels!B:B,A2371)</f>
        <v>17.14</v>
      </c>
      <c r="F2371" s="9">
        <f>_xlfn.MAXIFS(Levels!F:F,Levels!B:B,A2371)</f>
        <v>7.57</v>
      </c>
    </row>
    <row r="2372" spans="1:6" x14ac:dyDescent="0.3">
      <c r="A2372" t="s">
        <v>10709</v>
      </c>
      <c r="B2372" s="6">
        <f>COUNTIF(Levels!B:B,A2372)</f>
        <v>1</v>
      </c>
      <c r="C2372" s="6">
        <f>IFERROR(AVERAGEIF(Levels!B:B,A2372,Levels!E:E),0)</f>
        <v>15.23</v>
      </c>
      <c r="D2372" s="6">
        <f>IFERROR(AVERAGEIF(Levels!B:B,A2372,Levels!F:F),0)</f>
        <v>7.25</v>
      </c>
      <c r="E2372" s="6">
        <f>_xlfn.MAXIFS(Levels!E:E,Levels!B:B,A2372)</f>
        <v>15.23</v>
      </c>
      <c r="F2372" s="6">
        <f>_xlfn.MAXIFS(Levels!F:F,Levels!B:B,A2372)</f>
        <v>7.25</v>
      </c>
    </row>
    <row r="2373" spans="1:6" x14ac:dyDescent="0.3">
      <c r="A2373" t="s">
        <v>10713</v>
      </c>
      <c r="B2373" s="9">
        <f>COUNTIF(Levels!B:B,A2373)</f>
        <v>1</v>
      </c>
      <c r="C2373" s="9">
        <f>IFERROR(AVERAGEIF(Levels!B:B,A2373,Levels!E:E),0)</f>
        <v>32.67</v>
      </c>
      <c r="D2373" s="9">
        <f>IFERROR(AVERAGEIF(Levels!B:B,A2373,Levels!F:F),0)</f>
        <v>9</v>
      </c>
      <c r="E2373" s="9">
        <f>_xlfn.MAXIFS(Levels!E:E,Levels!B:B,A2373)</f>
        <v>32.67</v>
      </c>
      <c r="F2373" s="9">
        <f>_xlfn.MAXIFS(Levels!F:F,Levels!B:B,A2373)</f>
        <v>9</v>
      </c>
    </row>
    <row r="2374" spans="1:6" x14ac:dyDescent="0.3">
      <c r="A2374" t="s">
        <v>10715</v>
      </c>
      <c r="B2374" s="6">
        <f>COUNTIF(Levels!B:B,A2374)</f>
        <v>1</v>
      </c>
      <c r="C2374" s="6">
        <f>IFERROR(AVERAGEIF(Levels!B:B,A2374,Levels!E:E),0)</f>
        <v>3.11</v>
      </c>
      <c r="D2374" s="6">
        <f>IFERROR(AVERAGEIF(Levels!B:B,A2374,Levels!F:F),0)</f>
        <v>7.11</v>
      </c>
      <c r="E2374" s="6">
        <f>_xlfn.MAXIFS(Levels!E:E,Levels!B:B,A2374)</f>
        <v>3.11</v>
      </c>
      <c r="F2374" s="6">
        <f>_xlfn.MAXIFS(Levels!F:F,Levels!B:B,A2374)</f>
        <v>7.11</v>
      </c>
    </row>
    <row r="2375" spans="1:6" x14ac:dyDescent="0.3">
      <c r="A2375" t="s">
        <v>10718</v>
      </c>
      <c r="B2375" s="9">
        <f>COUNTIF(Levels!B:B,A2375)</f>
        <v>1</v>
      </c>
      <c r="C2375" s="9">
        <f>IFERROR(AVERAGEIF(Levels!B:B,A2375,Levels!E:E),0)</f>
        <v>21.39</v>
      </c>
      <c r="D2375" s="9">
        <f>IFERROR(AVERAGEIF(Levels!B:B,A2375,Levels!F:F),0)</f>
        <v>6.49</v>
      </c>
      <c r="E2375" s="9">
        <f>_xlfn.MAXIFS(Levels!E:E,Levels!B:B,A2375)</f>
        <v>21.39</v>
      </c>
      <c r="F2375" s="9">
        <f>_xlfn.MAXIFS(Levels!F:F,Levels!B:B,A2375)</f>
        <v>6.49</v>
      </c>
    </row>
    <row r="2376" spans="1:6" x14ac:dyDescent="0.3">
      <c r="A2376" t="s">
        <v>10725</v>
      </c>
      <c r="B2376" s="6">
        <f>COUNTIF(Levels!B:B,A2376)</f>
        <v>1</v>
      </c>
      <c r="C2376" s="6">
        <f>IFERROR(AVERAGEIF(Levels!B:B,A2376,Levels!E:E),0)</f>
        <v>19.13</v>
      </c>
      <c r="D2376" s="6">
        <f>IFERROR(AVERAGEIF(Levels!B:B,A2376,Levels!F:F),0)</f>
        <v>8</v>
      </c>
      <c r="E2376" s="6">
        <f>_xlfn.MAXIFS(Levels!E:E,Levels!B:B,A2376)</f>
        <v>19.13</v>
      </c>
      <c r="F2376" s="6">
        <f>_xlfn.MAXIFS(Levels!F:F,Levels!B:B,A2376)</f>
        <v>8</v>
      </c>
    </row>
    <row r="2377" spans="1:6" x14ac:dyDescent="0.3">
      <c r="A2377" t="s">
        <v>10728</v>
      </c>
      <c r="B2377" s="9">
        <f>COUNTIF(Levels!B:B,A2377)</f>
        <v>1</v>
      </c>
      <c r="C2377" s="9">
        <f>IFERROR(AVERAGEIF(Levels!B:B,A2377,Levels!E:E),0)</f>
        <v>32</v>
      </c>
      <c r="D2377" s="9">
        <f>IFERROR(AVERAGEIF(Levels!B:B,A2377,Levels!F:F),0)</f>
        <v>6</v>
      </c>
      <c r="E2377" s="9">
        <f>_xlfn.MAXIFS(Levels!E:E,Levels!B:B,A2377)</f>
        <v>32</v>
      </c>
      <c r="F2377" s="9">
        <f>_xlfn.MAXIFS(Levels!F:F,Levels!B:B,A2377)</f>
        <v>6</v>
      </c>
    </row>
    <row r="2378" spans="1:6" x14ac:dyDescent="0.3">
      <c r="A2378" t="s">
        <v>10739</v>
      </c>
      <c r="B2378" s="6">
        <f>COUNTIF(Levels!B:B,A2378)</f>
        <v>1</v>
      </c>
      <c r="C2378" s="6">
        <f>IFERROR(AVERAGEIF(Levels!B:B,A2378,Levels!E:E),0)</f>
        <v>8.52</v>
      </c>
      <c r="D2378" s="6">
        <f>IFERROR(AVERAGEIF(Levels!B:B,A2378,Levels!F:F),0)</f>
        <v>3.83</v>
      </c>
      <c r="E2378" s="6">
        <f>_xlfn.MAXIFS(Levels!E:E,Levels!B:B,A2378)</f>
        <v>8.52</v>
      </c>
      <c r="F2378" s="6">
        <f>_xlfn.MAXIFS(Levels!F:F,Levels!B:B,A2378)</f>
        <v>3.83</v>
      </c>
    </row>
    <row r="2379" spans="1:6" x14ac:dyDescent="0.3">
      <c r="A2379" t="s">
        <v>10741</v>
      </c>
      <c r="B2379" s="9">
        <f>COUNTIF(Levels!B:B,A2379)</f>
        <v>1</v>
      </c>
      <c r="C2379" s="9">
        <f>IFERROR(AVERAGEIF(Levels!B:B,A2379,Levels!E:E),0)</f>
        <v>5.27</v>
      </c>
      <c r="D2379" s="9">
        <f>IFERROR(AVERAGEIF(Levels!B:B,A2379,Levels!F:F),0)</f>
        <v>5.67</v>
      </c>
      <c r="E2379" s="9">
        <f>_xlfn.MAXIFS(Levels!E:E,Levels!B:B,A2379)</f>
        <v>5.27</v>
      </c>
      <c r="F2379" s="9">
        <f>_xlfn.MAXIFS(Levels!F:F,Levels!B:B,A2379)</f>
        <v>5.67</v>
      </c>
    </row>
    <row r="2380" spans="1:6" x14ac:dyDescent="0.3">
      <c r="A2380" t="s">
        <v>10745</v>
      </c>
      <c r="B2380" s="6">
        <f>COUNTIF(Levels!B:B,A2380)</f>
        <v>2</v>
      </c>
      <c r="C2380" s="6">
        <f>IFERROR(AVERAGEIF(Levels!B:B,A2380,Levels!E:E),0)</f>
        <v>7.7550000000000008</v>
      </c>
      <c r="D2380" s="6">
        <f>IFERROR(AVERAGEIF(Levels!B:B,A2380,Levels!F:F),0)</f>
        <v>7.49</v>
      </c>
      <c r="E2380" s="6">
        <f>_xlfn.MAXIFS(Levels!E:E,Levels!B:B,A2380)</f>
        <v>9.15</v>
      </c>
      <c r="F2380" s="6">
        <f>_xlfn.MAXIFS(Levels!F:F,Levels!B:B,A2380)</f>
        <v>8.0500000000000007</v>
      </c>
    </row>
    <row r="2381" spans="1:6" x14ac:dyDescent="0.3">
      <c r="A2381" t="s">
        <v>10749</v>
      </c>
      <c r="B2381" s="9">
        <f>COUNTIF(Levels!B:B,A2381)</f>
        <v>1</v>
      </c>
      <c r="C2381" s="9">
        <f>IFERROR(AVERAGEIF(Levels!B:B,A2381,Levels!E:E),0)</f>
        <v>24</v>
      </c>
      <c r="D2381" s="9">
        <f>IFERROR(AVERAGEIF(Levels!B:B,A2381,Levels!F:F),0)</f>
        <v>5</v>
      </c>
      <c r="E2381" s="9">
        <f>_xlfn.MAXIFS(Levels!E:E,Levels!B:B,A2381)</f>
        <v>24</v>
      </c>
      <c r="F2381" s="9">
        <f>_xlfn.MAXIFS(Levels!F:F,Levels!B:B,A2381)</f>
        <v>5</v>
      </c>
    </row>
    <row r="2382" spans="1:6" x14ac:dyDescent="0.3">
      <c r="A2382" t="s">
        <v>10751</v>
      </c>
      <c r="B2382" s="6">
        <f>COUNTIF(Levels!B:B,A2382)</f>
        <v>1</v>
      </c>
      <c r="C2382" s="6">
        <f>IFERROR(AVERAGEIF(Levels!B:B,A2382,Levels!E:E),0)</f>
        <v>23.5</v>
      </c>
      <c r="D2382" s="6">
        <f>IFERROR(AVERAGEIF(Levels!B:B,A2382,Levels!F:F),0)</f>
        <v>5.5</v>
      </c>
      <c r="E2382" s="6">
        <f>_xlfn.MAXIFS(Levels!E:E,Levels!B:B,A2382)</f>
        <v>23.5</v>
      </c>
      <c r="F2382" s="6">
        <f>_xlfn.MAXIFS(Levels!F:F,Levels!B:B,A2382)</f>
        <v>5.5</v>
      </c>
    </row>
    <row r="2383" spans="1:6" x14ac:dyDescent="0.3">
      <c r="A2383" t="s">
        <v>10754</v>
      </c>
      <c r="B2383" s="9">
        <f>COUNTIF(Levels!B:B,A2383)</f>
        <v>1</v>
      </c>
      <c r="C2383" s="9">
        <f>IFERROR(AVERAGEIF(Levels!B:B,A2383,Levels!E:E),0)</f>
        <v>7.2</v>
      </c>
      <c r="D2383" s="9">
        <f>IFERROR(AVERAGEIF(Levels!B:B,A2383,Levels!F:F),0)</f>
        <v>8.8000000000000007</v>
      </c>
      <c r="E2383" s="9">
        <f>_xlfn.MAXIFS(Levels!E:E,Levels!B:B,A2383)</f>
        <v>7.2</v>
      </c>
      <c r="F2383" s="9">
        <f>_xlfn.MAXIFS(Levels!F:F,Levels!B:B,A2383)</f>
        <v>8.8000000000000007</v>
      </c>
    </row>
    <row r="2384" spans="1:6" x14ac:dyDescent="0.3">
      <c r="A2384" t="s">
        <v>10757</v>
      </c>
      <c r="B2384" s="6">
        <f>COUNTIF(Levels!B:B,A2384)</f>
        <v>1</v>
      </c>
      <c r="C2384" s="6">
        <f>IFERROR(AVERAGEIF(Levels!B:B,A2384,Levels!E:E),0)</f>
        <v>4.5199999999999996</v>
      </c>
      <c r="D2384" s="6">
        <f>IFERROR(AVERAGEIF(Levels!B:B,A2384,Levels!F:F),0)</f>
        <v>6.09</v>
      </c>
      <c r="E2384" s="6">
        <f>_xlfn.MAXIFS(Levels!E:E,Levels!B:B,A2384)</f>
        <v>4.5199999999999996</v>
      </c>
      <c r="F2384" s="6">
        <f>_xlfn.MAXIFS(Levels!F:F,Levels!B:B,A2384)</f>
        <v>6.09</v>
      </c>
    </row>
    <row r="2385" spans="1:6" x14ac:dyDescent="0.3">
      <c r="A2385" t="s">
        <v>10760</v>
      </c>
      <c r="B2385" s="9">
        <f>COUNTIF(Levels!B:B,A2385)</f>
        <v>1</v>
      </c>
      <c r="C2385" s="9">
        <f>IFERROR(AVERAGEIF(Levels!B:B,A2385,Levels!E:E),0)</f>
        <v>0</v>
      </c>
      <c r="D2385" s="9">
        <f>IFERROR(AVERAGEIF(Levels!B:B,A2385,Levels!F:F),0)</f>
        <v>0</v>
      </c>
      <c r="E2385" s="9">
        <f>_xlfn.MAXIFS(Levels!E:E,Levels!B:B,A2385)</f>
        <v>0</v>
      </c>
      <c r="F2385" s="9">
        <f>_xlfn.MAXIFS(Levels!F:F,Levels!B:B,A2385)</f>
        <v>0</v>
      </c>
    </row>
    <row r="2386" spans="1:6" x14ac:dyDescent="0.3">
      <c r="A2386" t="s">
        <v>10764</v>
      </c>
      <c r="B2386" s="6">
        <f>COUNTIF(Levels!B:B,A2386)</f>
        <v>3</v>
      </c>
      <c r="C2386" s="6">
        <f>IFERROR(AVERAGEIF(Levels!B:B,A2386,Levels!E:E),0)</f>
        <v>3.72</v>
      </c>
      <c r="D2386" s="6">
        <f>IFERROR(AVERAGEIF(Levels!B:B,A2386,Levels!F:F),0)</f>
        <v>7.1033333333333326</v>
      </c>
      <c r="E2386" s="6">
        <f>_xlfn.MAXIFS(Levels!E:E,Levels!B:B,A2386)</f>
        <v>5.51</v>
      </c>
      <c r="F2386" s="6">
        <f>_xlfn.MAXIFS(Levels!F:F,Levels!B:B,A2386)</f>
        <v>7.27</v>
      </c>
    </row>
    <row r="2387" spans="1:6" x14ac:dyDescent="0.3">
      <c r="A2387" t="s">
        <v>10766</v>
      </c>
      <c r="B2387" s="9">
        <f>COUNTIF(Levels!B:B,A2387)</f>
        <v>1</v>
      </c>
      <c r="C2387" s="9">
        <f>IFERROR(AVERAGEIF(Levels!B:B,A2387,Levels!E:E),0)</f>
        <v>2.81</v>
      </c>
      <c r="D2387" s="9">
        <f>IFERROR(AVERAGEIF(Levels!B:B,A2387,Levels!F:F),0)</f>
        <v>6.17</v>
      </c>
      <c r="E2387" s="9">
        <f>_xlfn.MAXIFS(Levels!E:E,Levels!B:B,A2387)</f>
        <v>2.81</v>
      </c>
      <c r="F2387" s="9">
        <f>_xlfn.MAXIFS(Levels!F:F,Levels!B:B,A2387)</f>
        <v>6.17</v>
      </c>
    </row>
    <row r="2388" spans="1:6" x14ac:dyDescent="0.3">
      <c r="A2388" t="s">
        <v>10776</v>
      </c>
      <c r="B2388" s="6">
        <f>COUNTIF(Levels!B:B,A2388)</f>
        <v>1</v>
      </c>
      <c r="C2388" s="6">
        <f>IFERROR(AVERAGEIF(Levels!B:B,A2388,Levels!E:E),0)</f>
        <v>2.27</v>
      </c>
      <c r="D2388" s="6">
        <f>IFERROR(AVERAGEIF(Levels!B:B,A2388,Levels!F:F),0)</f>
        <v>6.04</v>
      </c>
      <c r="E2388" s="6">
        <f>_xlfn.MAXIFS(Levels!E:E,Levels!B:B,A2388)</f>
        <v>2.27</v>
      </c>
      <c r="F2388" s="6">
        <f>_xlfn.MAXIFS(Levels!F:F,Levels!B:B,A2388)</f>
        <v>6.04</v>
      </c>
    </row>
    <row r="2389" spans="1:6" x14ac:dyDescent="0.3">
      <c r="A2389" t="s">
        <v>10780</v>
      </c>
      <c r="B2389" s="9">
        <f>COUNTIF(Levels!B:B,A2389)</f>
        <v>1</v>
      </c>
      <c r="C2389" s="9">
        <f>IFERROR(AVERAGEIF(Levels!B:B,A2389,Levels!E:E),0)</f>
        <v>9.2100000000000009</v>
      </c>
      <c r="D2389" s="9">
        <f>IFERROR(AVERAGEIF(Levels!B:B,A2389,Levels!F:F),0)</f>
        <v>8.3800000000000008</v>
      </c>
      <c r="E2389" s="9">
        <f>_xlfn.MAXIFS(Levels!E:E,Levels!B:B,A2389)</f>
        <v>9.2100000000000009</v>
      </c>
      <c r="F2389" s="9">
        <f>_xlfn.MAXIFS(Levels!F:F,Levels!B:B,A2389)</f>
        <v>8.3800000000000008</v>
      </c>
    </row>
    <row r="2390" spans="1:6" x14ac:dyDescent="0.3">
      <c r="A2390" t="s">
        <v>10783</v>
      </c>
      <c r="B2390" s="6">
        <f>COUNTIF(Levels!B:B,A2390)</f>
        <v>1</v>
      </c>
      <c r="C2390" s="6">
        <f>IFERROR(AVERAGEIF(Levels!B:B,A2390,Levels!E:E),0)</f>
        <v>22</v>
      </c>
      <c r="D2390" s="6">
        <f>IFERROR(AVERAGEIF(Levels!B:B,A2390,Levels!F:F),0)</f>
        <v>5.2</v>
      </c>
      <c r="E2390" s="6">
        <f>_xlfn.MAXIFS(Levels!E:E,Levels!B:B,A2390)</f>
        <v>22</v>
      </c>
      <c r="F2390" s="6">
        <f>_xlfn.MAXIFS(Levels!F:F,Levels!B:B,A2390)</f>
        <v>5.2</v>
      </c>
    </row>
    <row r="2391" spans="1:6" x14ac:dyDescent="0.3">
      <c r="A2391" t="s">
        <v>10785</v>
      </c>
      <c r="B2391" s="9">
        <f>COUNTIF(Levels!B:B,A2391)</f>
        <v>1</v>
      </c>
      <c r="C2391" s="9">
        <f>IFERROR(AVERAGEIF(Levels!B:B,A2391,Levels!E:E),0)</f>
        <v>16</v>
      </c>
      <c r="D2391" s="9">
        <f>IFERROR(AVERAGEIF(Levels!B:B,A2391,Levels!F:F),0)</f>
        <v>7</v>
      </c>
      <c r="E2391" s="9">
        <f>_xlfn.MAXIFS(Levels!E:E,Levels!B:B,A2391)</f>
        <v>16</v>
      </c>
      <c r="F2391" s="9">
        <f>_xlfn.MAXIFS(Levels!F:F,Levels!B:B,A2391)</f>
        <v>7</v>
      </c>
    </row>
    <row r="2392" spans="1:6" x14ac:dyDescent="0.3">
      <c r="A2392" t="s">
        <v>10794</v>
      </c>
      <c r="B2392" s="6">
        <f>COUNTIF(Levels!B:B,A2392)</f>
        <v>1</v>
      </c>
      <c r="C2392" s="6">
        <f>IFERROR(AVERAGEIF(Levels!B:B,A2392,Levels!E:E),0)</f>
        <v>11.78</v>
      </c>
      <c r="D2392" s="6">
        <f>IFERROR(AVERAGEIF(Levels!B:B,A2392,Levels!F:F),0)</f>
        <v>7.71</v>
      </c>
      <c r="E2392" s="6">
        <f>_xlfn.MAXIFS(Levels!E:E,Levels!B:B,A2392)</f>
        <v>11.78</v>
      </c>
      <c r="F2392" s="6">
        <f>_xlfn.MAXIFS(Levels!F:F,Levels!B:B,A2392)</f>
        <v>7.71</v>
      </c>
    </row>
    <row r="2393" spans="1:6" x14ac:dyDescent="0.3">
      <c r="A2393" t="s">
        <v>10799</v>
      </c>
      <c r="B2393" s="9">
        <f>COUNTIF(Levels!B:B,A2393)</f>
        <v>1</v>
      </c>
      <c r="C2393" s="9">
        <f>IFERROR(AVERAGEIF(Levels!B:B,A2393,Levels!E:E),0)</f>
        <v>17.5</v>
      </c>
      <c r="D2393" s="9">
        <f>IFERROR(AVERAGEIF(Levels!B:B,A2393,Levels!F:F),0)</f>
        <v>5.5</v>
      </c>
      <c r="E2393" s="9">
        <f>_xlfn.MAXIFS(Levels!E:E,Levels!B:B,A2393)</f>
        <v>17.5</v>
      </c>
      <c r="F2393" s="9">
        <f>_xlfn.MAXIFS(Levels!F:F,Levels!B:B,A2393)</f>
        <v>5.5</v>
      </c>
    </row>
    <row r="2394" spans="1:6" x14ac:dyDescent="0.3">
      <c r="A2394" t="s">
        <v>10802</v>
      </c>
      <c r="B2394" s="6">
        <f>COUNTIF(Levels!B:B,A2394)</f>
        <v>6</v>
      </c>
      <c r="C2394" s="6">
        <f>IFERROR(AVERAGEIF(Levels!B:B,A2394,Levels!E:E),0)</f>
        <v>3.8349999999999995</v>
      </c>
      <c r="D2394" s="6">
        <f>IFERROR(AVERAGEIF(Levels!B:B,A2394,Levels!F:F),0)</f>
        <v>8.2233333333333345</v>
      </c>
      <c r="E2394" s="6">
        <f>_xlfn.MAXIFS(Levels!E:E,Levels!B:B,A2394)</f>
        <v>8.35</v>
      </c>
      <c r="F2394" s="6">
        <f>_xlfn.MAXIFS(Levels!F:F,Levels!B:B,A2394)</f>
        <v>8.9</v>
      </c>
    </row>
    <row r="2395" spans="1:6" x14ac:dyDescent="0.3">
      <c r="A2395" t="s">
        <v>10804</v>
      </c>
      <c r="B2395" s="9">
        <f>COUNTIF(Levels!B:B,A2395)</f>
        <v>1</v>
      </c>
      <c r="C2395" s="9">
        <f>IFERROR(AVERAGEIF(Levels!B:B,A2395,Levels!E:E),0)</f>
        <v>2.95</v>
      </c>
      <c r="D2395" s="9">
        <f>IFERROR(AVERAGEIF(Levels!B:B,A2395,Levels!F:F),0)</f>
        <v>7.46</v>
      </c>
      <c r="E2395" s="9">
        <f>_xlfn.MAXIFS(Levels!E:E,Levels!B:B,A2395)</f>
        <v>2.95</v>
      </c>
      <c r="F2395" s="9">
        <f>_xlfn.MAXIFS(Levels!F:F,Levels!B:B,A2395)</f>
        <v>7.46</v>
      </c>
    </row>
    <row r="2396" spans="1:6" x14ac:dyDescent="0.3">
      <c r="A2396" t="s">
        <v>10813</v>
      </c>
      <c r="B2396" s="6">
        <f>COUNTIF(Levels!B:B,A2396)</f>
        <v>1</v>
      </c>
      <c r="C2396" s="6">
        <f>IFERROR(AVERAGEIF(Levels!B:B,A2396,Levels!E:E),0)</f>
        <v>18</v>
      </c>
      <c r="D2396" s="6">
        <f>IFERROR(AVERAGEIF(Levels!B:B,A2396,Levels!F:F),0)</f>
        <v>7</v>
      </c>
      <c r="E2396" s="6">
        <f>_xlfn.MAXIFS(Levels!E:E,Levels!B:B,A2396)</f>
        <v>18</v>
      </c>
      <c r="F2396" s="6">
        <f>_xlfn.MAXIFS(Levels!F:F,Levels!B:B,A2396)</f>
        <v>7</v>
      </c>
    </row>
    <row r="2397" spans="1:6" x14ac:dyDescent="0.3">
      <c r="A2397" t="s">
        <v>10820</v>
      </c>
      <c r="B2397" s="9">
        <f>COUNTIF(Levels!B:B,A2397)</f>
        <v>1</v>
      </c>
      <c r="C2397" s="9">
        <f>IFERROR(AVERAGEIF(Levels!B:B,A2397,Levels!E:E),0)</f>
        <v>21</v>
      </c>
      <c r="D2397" s="9">
        <f>IFERROR(AVERAGEIF(Levels!B:B,A2397,Levels!F:F),0)</f>
        <v>4.5</v>
      </c>
      <c r="E2397" s="9">
        <f>_xlfn.MAXIFS(Levels!E:E,Levels!B:B,A2397)</f>
        <v>21</v>
      </c>
      <c r="F2397" s="9">
        <f>_xlfn.MAXIFS(Levels!F:F,Levels!B:B,A2397)</f>
        <v>4.5</v>
      </c>
    </row>
    <row r="2398" spans="1:6" x14ac:dyDescent="0.3">
      <c r="A2398" t="s">
        <v>10823</v>
      </c>
      <c r="B2398" s="6">
        <f>COUNTIF(Levels!B:B,A2398)</f>
        <v>4</v>
      </c>
      <c r="C2398" s="6">
        <f>IFERROR(AVERAGEIF(Levels!B:B,A2398,Levels!E:E),0)</f>
        <v>1.6425000000000001</v>
      </c>
      <c r="D2398" s="6">
        <f>IFERROR(AVERAGEIF(Levels!B:B,A2398,Levels!F:F),0)</f>
        <v>7.2525000000000004</v>
      </c>
      <c r="E2398" s="6">
        <f>_xlfn.MAXIFS(Levels!E:E,Levels!B:B,A2398)</f>
        <v>2.1</v>
      </c>
      <c r="F2398" s="6">
        <f>_xlfn.MAXIFS(Levels!F:F,Levels!B:B,A2398)</f>
        <v>7.45</v>
      </c>
    </row>
    <row r="2399" spans="1:6" x14ac:dyDescent="0.3">
      <c r="A2399" t="s">
        <v>10825</v>
      </c>
      <c r="B2399" s="9">
        <f>COUNTIF(Levels!B:B,A2399)</f>
        <v>1</v>
      </c>
      <c r="C2399" s="9">
        <f>IFERROR(AVERAGEIF(Levels!B:B,A2399,Levels!E:E),0)</f>
        <v>27.33</v>
      </c>
      <c r="D2399" s="9">
        <f>IFERROR(AVERAGEIF(Levels!B:B,A2399,Levels!F:F),0)</f>
        <v>5</v>
      </c>
      <c r="E2399" s="9">
        <f>_xlfn.MAXIFS(Levels!E:E,Levels!B:B,A2399)</f>
        <v>27.33</v>
      </c>
      <c r="F2399" s="9">
        <f>_xlfn.MAXIFS(Levels!F:F,Levels!B:B,A2399)</f>
        <v>5</v>
      </c>
    </row>
    <row r="2400" spans="1:6" x14ac:dyDescent="0.3">
      <c r="A2400" t="s">
        <v>10828</v>
      </c>
      <c r="B2400" s="6">
        <f>COUNTIF(Levels!B:B,A2400)</f>
        <v>1</v>
      </c>
      <c r="C2400" s="6">
        <f>IFERROR(AVERAGEIF(Levels!B:B,A2400,Levels!E:E),0)</f>
        <v>12.75</v>
      </c>
      <c r="D2400" s="6">
        <f>IFERROR(AVERAGEIF(Levels!B:B,A2400,Levels!F:F),0)</f>
        <v>8.25</v>
      </c>
      <c r="E2400" s="6">
        <f>_xlfn.MAXIFS(Levels!E:E,Levels!B:B,A2400)</f>
        <v>12.75</v>
      </c>
      <c r="F2400" s="6">
        <f>_xlfn.MAXIFS(Levels!F:F,Levels!B:B,A2400)</f>
        <v>8.25</v>
      </c>
    </row>
    <row r="2401" spans="1:6" x14ac:dyDescent="0.3">
      <c r="A2401" t="s">
        <v>10834</v>
      </c>
      <c r="B2401" s="9">
        <f>COUNTIF(Levels!B:B,A2401)</f>
        <v>1</v>
      </c>
      <c r="C2401" s="9">
        <f>IFERROR(AVERAGEIF(Levels!B:B,A2401,Levels!E:E),0)</f>
        <v>12.1</v>
      </c>
      <c r="D2401" s="9">
        <f>IFERROR(AVERAGEIF(Levels!B:B,A2401,Levels!F:F),0)</f>
        <v>6.91</v>
      </c>
      <c r="E2401" s="9">
        <f>_xlfn.MAXIFS(Levels!E:E,Levels!B:B,A2401)</f>
        <v>12.1</v>
      </c>
      <c r="F2401" s="9">
        <f>_xlfn.MAXIFS(Levels!F:F,Levels!B:B,A2401)</f>
        <v>6.91</v>
      </c>
    </row>
    <row r="2402" spans="1:6" x14ac:dyDescent="0.3">
      <c r="A2402" t="s">
        <v>10837</v>
      </c>
      <c r="B2402" s="6">
        <f>COUNTIF(Levels!B:B,A2402)</f>
        <v>1</v>
      </c>
      <c r="C2402" s="6">
        <f>IFERROR(AVERAGEIF(Levels!B:B,A2402,Levels!E:E),0)</f>
        <v>0</v>
      </c>
      <c r="D2402" s="6">
        <f>IFERROR(AVERAGEIF(Levels!B:B,A2402,Levels!F:F),0)</f>
        <v>0</v>
      </c>
      <c r="E2402" s="6">
        <f>_xlfn.MAXIFS(Levels!E:E,Levels!B:B,A2402)</f>
        <v>0</v>
      </c>
      <c r="F2402" s="6">
        <f>_xlfn.MAXIFS(Levels!F:F,Levels!B:B,A2402)</f>
        <v>0</v>
      </c>
    </row>
    <row r="2403" spans="1:6" x14ac:dyDescent="0.3">
      <c r="A2403" t="s">
        <v>10839</v>
      </c>
      <c r="B2403" s="9">
        <f>COUNTIF(Levels!B:B,A2403)</f>
        <v>4</v>
      </c>
      <c r="C2403" s="9">
        <f>IFERROR(AVERAGEIF(Levels!B:B,A2403,Levels!E:E),0)</f>
        <v>2.0324999999999998</v>
      </c>
      <c r="D2403" s="9">
        <f>IFERROR(AVERAGEIF(Levels!B:B,A2403,Levels!F:F),0)</f>
        <v>7.7225000000000001</v>
      </c>
      <c r="E2403" s="9">
        <f>_xlfn.MAXIFS(Levels!E:E,Levels!B:B,A2403)</f>
        <v>2.86</v>
      </c>
      <c r="F2403" s="9">
        <f>_xlfn.MAXIFS(Levels!F:F,Levels!B:B,A2403)</f>
        <v>7.98</v>
      </c>
    </row>
    <row r="2404" spans="1:6" x14ac:dyDescent="0.3">
      <c r="A2404" t="s">
        <v>10841</v>
      </c>
      <c r="B2404" s="6">
        <f>COUNTIF(Levels!B:B,A2404)</f>
        <v>1</v>
      </c>
      <c r="C2404" s="6">
        <f>IFERROR(AVERAGEIF(Levels!B:B,A2404,Levels!E:E),0)</f>
        <v>16.670000000000002</v>
      </c>
      <c r="D2404" s="6">
        <f>IFERROR(AVERAGEIF(Levels!B:B,A2404,Levels!F:F),0)</f>
        <v>6.2</v>
      </c>
      <c r="E2404" s="6">
        <f>_xlfn.MAXIFS(Levels!E:E,Levels!B:B,A2404)</f>
        <v>16.670000000000002</v>
      </c>
      <c r="F2404" s="6">
        <f>_xlfn.MAXIFS(Levels!F:F,Levels!B:B,A2404)</f>
        <v>6.2</v>
      </c>
    </row>
    <row r="2405" spans="1:6" x14ac:dyDescent="0.3">
      <c r="A2405" t="s">
        <v>10850</v>
      </c>
      <c r="B2405" s="9">
        <f>COUNTIF(Levels!B:B,A2405)</f>
        <v>5</v>
      </c>
      <c r="C2405" s="9">
        <f>IFERROR(AVERAGEIF(Levels!B:B,A2405,Levels!E:E),0)</f>
        <v>11.376000000000001</v>
      </c>
      <c r="D2405" s="9">
        <f>IFERROR(AVERAGEIF(Levels!B:B,A2405,Levels!F:F),0)</f>
        <v>8.4940000000000015</v>
      </c>
      <c r="E2405" s="9">
        <f>_xlfn.MAXIFS(Levels!E:E,Levels!B:B,A2405)</f>
        <v>19.39</v>
      </c>
      <c r="F2405" s="9">
        <f>_xlfn.MAXIFS(Levels!F:F,Levels!B:B,A2405)</f>
        <v>9.1</v>
      </c>
    </row>
    <row r="2406" spans="1:6" x14ac:dyDescent="0.3">
      <c r="A2406" t="s">
        <v>10855</v>
      </c>
      <c r="B2406" s="6">
        <f>COUNTIF(Levels!B:B,A2406)</f>
        <v>1</v>
      </c>
      <c r="C2406" s="6">
        <f>IFERROR(AVERAGEIF(Levels!B:B,A2406,Levels!E:E),0)</f>
        <v>20.73</v>
      </c>
      <c r="D2406" s="6">
        <f>IFERROR(AVERAGEIF(Levels!B:B,A2406,Levels!F:F),0)</f>
        <v>8.4499999999999993</v>
      </c>
      <c r="E2406" s="6">
        <f>_xlfn.MAXIFS(Levels!E:E,Levels!B:B,A2406)</f>
        <v>20.73</v>
      </c>
      <c r="F2406" s="6">
        <f>_xlfn.MAXIFS(Levels!F:F,Levels!B:B,A2406)</f>
        <v>8.4499999999999993</v>
      </c>
    </row>
    <row r="2407" spans="1:6" x14ac:dyDescent="0.3">
      <c r="A2407" t="s">
        <v>10858</v>
      </c>
      <c r="B2407" s="9">
        <f>COUNTIF(Levels!B:B,A2407)</f>
        <v>1</v>
      </c>
      <c r="C2407" s="9">
        <f>IFERROR(AVERAGEIF(Levels!B:B,A2407,Levels!E:E),0)</f>
        <v>27.67</v>
      </c>
      <c r="D2407" s="9">
        <f>IFERROR(AVERAGEIF(Levels!B:B,A2407,Levels!F:F),0)</f>
        <v>8.33</v>
      </c>
      <c r="E2407" s="9">
        <f>_xlfn.MAXIFS(Levels!E:E,Levels!B:B,A2407)</f>
        <v>27.67</v>
      </c>
      <c r="F2407" s="9">
        <f>_xlfn.MAXIFS(Levels!F:F,Levels!B:B,A2407)</f>
        <v>8.33</v>
      </c>
    </row>
    <row r="2408" spans="1:6" x14ac:dyDescent="0.3">
      <c r="A2408" t="s">
        <v>10861</v>
      </c>
      <c r="B2408" s="6">
        <f>COUNTIF(Levels!B:B,A2408)</f>
        <v>2</v>
      </c>
      <c r="C2408" s="6">
        <f>IFERROR(AVERAGEIF(Levels!B:B,A2408,Levels!E:E),0)</f>
        <v>4.7799999999999994</v>
      </c>
      <c r="D2408" s="6">
        <f>IFERROR(AVERAGEIF(Levels!B:B,A2408,Levels!F:F),0)</f>
        <v>6.6349999999999998</v>
      </c>
      <c r="E2408" s="6">
        <f>_xlfn.MAXIFS(Levels!E:E,Levels!B:B,A2408)</f>
        <v>6.64</v>
      </c>
      <c r="F2408" s="6">
        <f>_xlfn.MAXIFS(Levels!F:F,Levels!B:B,A2408)</f>
        <v>6.82</v>
      </c>
    </row>
    <row r="2409" spans="1:6" x14ac:dyDescent="0.3">
      <c r="A2409" t="s">
        <v>10862</v>
      </c>
      <c r="B2409" s="9">
        <f>COUNTIF(Levels!B:B,A2409)</f>
        <v>1</v>
      </c>
      <c r="C2409" s="9">
        <f>IFERROR(AVERAGEIF(Levels!B:B,A2409,Levels!E:E),0)</f>
        <v>2.14</v>
      </c>
      <c r="D2409" s="9">
        <f>IFERROR(AVERAGEIF(Levels!B:B,A2409,Levels!F:F),0)</f>
        <v>6.95</v>
      </c>
      <c r="E2409" s="9">
        <f>_xlfn.MAXIFS(Levels!E:E,Levels!B:B,A2409)</f>
        <v>2.14</v>
      </c>
      <c r="F2409" s="9">
        <f>_xlfn.MAXIFS(Levels!F:F,Levels!B:B,A2409)</f>
        <v>6.95</v>
      </c>
    </row>
    <row r="2410" spans="1:6" x14ac:dyDescent="0.3">
      <c r="A2410" t="s">
        <v>10866</v>
      </c>
      <c r="B2410" s="6">
        <f>COUNTIF(Levels!B:B,A2410)</f>
        <v>1</v>
      </c>
      <c r="C2410" s="6">
        <f>IFERROR(AVERAGEIF(Levels!B:B,A2410,Levels!E:E),0)</f>
        <v>20.56</v>
      </c>
      <c r="D2410" s="6">
        <f>IFERROR(AVERAGEIF(Levels!B:B,A2410,Levels!F:F),0)</f>
        <v>5.63</v>
      </c>
      <c r="E2410" s="6">
        <f>_xlfn.MAXIFS(Levels!E:E,Levels!B:B,A2410)</f>
        <v>20.56</v>
      </c>
      <c r="F2410" s="6">
        <f>_xlfn.MAXIFS(Levels!F:F,Levels!B:B,A2410)</f>
        <v>5.63</v>
      </c>
    </row>
    <row r="2411" spans="1:6" x14ac:dyDescent="0.3">
      <c r="A2411" t="s">
        <v>10869</v>
      </c>
      <c r="B2411" s="9">
        <f>COUNTIF(Levels!B:B,A2411)</f>
        <v>3</v>
      </c>
      <c r="C2411" s="9">
        <f>IFERROR(AVERAGEIF(Levels!B:B,A2411,Levels!E:E),0)</f>
        <v>6.1133333333333333</v>
      </c>
      <c r="D2411" s="9">
        <f>IFERROR(AVERAGEIF(Levels!B:B,A2411,Levels!F:F),0)</f>
        <v>6.4833333333333343</v>
      </c>
      <c r="E2411" s="9">
        <f>_xlfn.MAXIFS(Levels!E:E,Levels!B:B,A2411)</f>
        <v>12.4</v>
      </c>
      <c r="F2411" s="9">
        <f>_xlfn.MAXIFS(Levels!F:F,Levels!B:B,A2411)</f>
        <v>6.87</v>
      </c>
    </row>
    <row r="2412" spans="1:6" x14ac:dyDescent="0.3">
      <c r="A2412" t="s">
        <v>10871</v>
      </c>
      <c r="B2412" s="6">
        <f>COUNTIF(Levels!B:B,A2412)</f>
        <v>1</v>
      </c>
      <c r="C2412" s="6">
        <f>IFERROR(AVERAGEIF(Levels!B:B,A2412,Levels!E:E),0)</f>
        <v>25</v>
      </c>
      <c r="D2412" s="6">
        <f>IFERROR(AVERAGEIF(Levels!B:B,A2412,Levels!F:F),0)</f>
        <v>9</v>
      </c>
      <c r="E2412" s="6">
        <f>_xlfn.MAXIFS(Levels!E:E,Levels!B:B,A2412)</f>
        <v>25</v>
      </c>
      <c r="F2412" s="6">
        <f>_xlfn.MAXIFS(Levels!F:F,Levels!B:B,A2412)</f>
        <v>9</v>
      </c>
    </row>
    <row r="2413" spans="1:6" x14ac:dyDescent="0.3">
      <c r="A2413" t="s">
        <v>10873</v>
      </c>
      <c r="B2413" s="9">
        <f>COUNTIF(Levels!B:B,A2413)</f>
        <v>1</v>
      </c>
      <c r="C2413" s="9">
        <f>IFERROR(AVERAGEIF(Levels!B:B,A2413,Levels!E:E),0)</f>
        <v>10.18</v>
      </c>
      <c r="D2413" s="9">
        <f>IFERROR(AVERAGEIF(Levels!B:B,A2413,Levels!F:F),0)</f>
        <v>8.4</v>
      </c>
      <c r="E2413" s="9">
        <f>_xlfn.MAXIFS(Levels!E:E,Levels!B:B,A2413)</f>
        <v>10.18</v>
      </c>
      <c r="F2413" s="9">
        <f>_xlfn.MAXIFS(Levels!F:F,Levels!B:B,A2413)</f>
        <v>8.4</v>
      </c>
    </row>
    <row r="2414" spans="1:6" x14ac:dyDescent="0.3">
      <c r="A2414" t="s">
        <v>10877</v>
      </c>
      <c r="B2414" s="6">
        <f>COUNTIF(Levels!B:B,A2414)</f>
        <v>1</v>
      </c>
      <c r="C2414" s="6">
        <f>IFERROR(AVERAGEIF(Levels!B:B,A2414,Levels!E:E),0)</f>
        <v>7</v>
      </c>
      <c r="D2414" s="6">
        <f>IFERROR(AVERAGEIF(Levels!B:B,A2414,Levels!F:F),0)</f>
        <v>8.18</v>
      </c>
      <c r="E2414" s="6">
        <f>_xlfn.MAXIFS(Levels!E:E,Levels!B:B,A2414)</f>
        <v>7</v>
      </c>
      <c r="F2414" s="6">
        <f>_xlfn.MAXIFS(Levels!F:F,Levels!B:B,A2414)</f>
        <v>8.18</v>
      </c>
    </row>
    <row r="2415" spans="1:6" x14ac:dyDescent="0.3">
      <c r="A2415" t="s">
        <v>10885</v>
      </c>
      <c r="B2415" s="9">
        <f>COUNTIF(Levels!B:B,A2415)</f>
        <v>5</v>
      </c>
      <c r="C2415" s="9">
        <f>IFERROR(AVERAGEIF(Levels!B:B,A2415,Levels!E:E),0)</f>
        <v>2.76</v>
      </c>
      <c r="D2415" s="9">
        <f>IFERROR(AVERAGEIF(Levels!B:B,A2415,Levels!F:F),0)</f>
        <v>6.2279999999999998</v>
      </c>
      <c r="E2415" s="9">
        <f>_xlfn.MAXIFS(Levels!E:E,Levels!B:B,A2415)</f>
        <v>2.76</v>
      </c>
      <c r="F2415" s="9">
        <f>_xlfn.MAXIFS(Levels!F:F,Levels!B:B,A2415)</f>
        <v>7.48</v>
      </c>
    </row>
    <row r="2416" spans="1:6" x14ac:dyDescent="0.3">
      <c r="A2416" t="s">
        <v>10888</v>
      </c>
      <c r="B2416" s="6">
        <f>COUNTIF(Levels!B:B,A2416)</f>
        <v>2</v>
      </c>
      <c r="C2416" s="6">
        <f>IFERROR(AVERAGEIF(Levels!B:B,A2416,Levels!E:E),0)</f>
        <v>5.4249999999999998</v>
      </c>
      <c r="D2416" s="6">
        <f>IFERROR(AVERAGEIF(Levels!B:B,A2416,Levels!F:F),0)</f>
        <v>7.1300000000000008</v>
      </c>
      <c r="E2416" s="6">
        <f>_xlfn.MAXIFS(Levels!E:E,Levels!B:B,A2416)</f>
        <v>7.1</v>
      </c>
      <c r="F2416" s="6">
        <f>_xlfn.MAXIFS(Levels!F:F,Levels!B:B,A2416)</f>
        <v>7.36</v>
      </c>
    </row>
    <row r="2417" spans="1:6" x14ac:dyDescent="0.3">
      <c r="A2417" t="s">
        <v>10890</v>
      </c>
      <c r="B2417" s="9">
        <f>COUNTIF(Levels!B:B,A2417)</f>
        <v>1</v>
      </c>
      <c r="C2417" s="9">
        <f>IFERROR(AVERAGEIF(Levels!B:B,A2417,Levels!E:E),0)</f>
        <v>2.11</v>
      </c>
      <c r="D2417" s="9">
        <f>IFERROR(AVERAGEIF(Levels!B:B,A2417,Levels!F:F),0)</f>
        <v>6.46</v>
      </c>
      <c r="E2417" s="9">
        <f>_xlfn.MAXIFS(Levels!E:E,Levels!B:B,A2417)</f>
        <v>2.11</v>
      </c>
      <c r="F2417" s="9">
        <f>_xlfn.MAXIFS(Levels!F:F,Levels!B:B,A2417)</f>
        <v>6.46</v>
      </c>
    </row>
    <row r="2418" spans="1:6" x14ac:dyDescent="0.3">
      <c r="A2418" t="s">
        <v>10893</v>
      </c>
      <c r="B2418" s="6">
        <f>COUNTIF(Levels!B:B,A2418)</f>
        <v>1</v>
      </c>
      <c r="C2418" s="6">
        <f>IFERROR(AVERAGEIF(Levels!B:B,A2418,Levels!E:E),0)</f>
        <v>21.5</v>
      </c>
      <c r="D2418" s="6">
        <f>IFERROR(AVERAGEIF(Levels!B:B,A2418,Levels!F:F),0)</f>
        <v>10</v>
      </c>
      <c r="E2418" s="6">
        <f>_xlfn.MAXIFS(Levels!E:E,Levels!B:B,A2418)</f>
        <v>21.5</v>
      </c>
      <c r="F2418" s="6">
        <f>_xlfn.MAXIFS(Levels!F:F,Levels!B:B,A2418)</f>
        <v>10</v>
      </c>
    </row>
    <row r="2419" spans="1:6" x14ac:dyDescent="0.3">
      <c r="A2419" t="s">
        <v>10899</v>
      </c>
      <c r="B2419" s="9">
        <f>COUNTIF(Levels!B:B,A2419)</f>
        <v>1</v>
      </c>
      <c r="C2419" s="9">
        <f>IFERROR(AVERAGEIF(Levels!B:B,A2419,Levels!E:E),0)</f>
        <v>21.82</v>
      </c>
      <c r="D2419" s="9">
        <f>IFERROR(AVERAGEIF(Levels!B:B,A2419,Levels!F:F),0)</f>
        <v>7.57</v>
      </c>
      <c r="E2419" s="9">
        <f>_xlfn.MAXIFS(Levels!E:E,Levels!B:B,A2419)</f>
        <v>21.82</v>
      </c>
      <c r="F2419" s="9">
        <f>_xlfn.MAXIFS(Levels!F:F,Levels!B:B,A2419)</f>
        <v>7.57</v>
      </c>
    </row>
    <row r="2420" spans="1:6" x14ac:dyDescent="0.3">
      <c r="A2420" t="s">
        <v>10904</v>
      </c>
      <c r="B2420" s="6">
        <f>COUNTIF(Levels!B:B,A2420)</f>
        <v>1</v>
      </c>
      <c r="C2420" s="6">
        <f>IFERROR(AVERAGEIF(Levels!B:B,A2420,Levels!E:E),0)</f>
        <v>2.5299999999999998</v>
      </c>
      <c r="D2420" s="6">
        <f>IFERROR(AVERAGEIF(Levels!B:B,A2420,Levels!F:F),0)</f>
        <v>5.79</v>
      </c>
      <c r="E2420" s="6">
        <f>_xlfn.MAXIFS(Levels!E:E,Levels!B:B,A2420)</f>
        <v>2.5299999999999998</v>
      </c>
      <c r="F2420" s="6">
        <f>_xlfn.MAXIFS(Levels!F:F,Levels!B:B,A2420)</f>
        <v>5.79</v>
      </c>
    </row>
    <row r="2421" spans="1:6" x14ac:dyDescent="0.3">
      <c r="A2421" t="s">
        <v>10906</v>
      </c>
      <c r="B2421" s="9">
        <f>COUNTIF(Levels!B:B,A2421)</f>
        <v>4</v>
      </c>
      <c r="C2421" s="9">
        <f>IFERROR(AVERAGEIF(Levels!B:B,A2421,Levels!E:E),0)</f>
        <v>4.1575000000000006</v>
      </c>
      <c r="D2421" s="9">
        <f>IFERROR(AVERAGEIF(Levels!B:B,A2421,Levels!F:F),0)</f>
        <v>7.4124999999999996</v>
      </c>
      <c r="E2421" s="9">
        <f>_xlfn.MAXIFS(Levels!E:E,Levels!B:B,A2421)</f>
        <v>6.62</v>
      </c>
      <c r="F2421" s="9">
        <f>_xlfn.MAXIFS(Levels!F:F,Levels!B:B,A2421)</f>
        <v>8.36</v>
      </c>
    </row>
    <row r="2422" spans="1:6" x14ac:dyDescent="0.3">
      <c r="A2422" t="s">
        <v>10908</v>
      </c>
      <c r="B2422" s="6">
        <f>COUNTIF(Levels!B:B,A2422)</f>
        <v>1</v>
      </c>
      <c r="C2422" s="6">
        <f>IFERROR(AVERAGEIF(Levels!B:B,A2422,Levels!E:E),0)</f>
        <v>6.89</v>
      </c>
      <c r="D2422" s="6">
        <f>IFERROR(AVERAGEIF(Levels!B:B,A2422,Levels!F:F),0)</f>
        <v>7.56</v>
      </c>
      <c r="E2422" s="6">
        <f>_xlfn.MAXIFS(Levels!E:E,Levels!B:B,A2422)</f>
        <v>6.89</v>
      </c>
      <c r="F2422" s="6">
        <f>_xlfn.MAXIFS(Levels!F:F,Levels!B:B,A2422)</f>
        <v>7.56</v>
      </c>
    </row>
    <row r="2423" spans="1:6" x14ac:dyDescent="0.3">
      <c r="A2423" t="s">
        <v>10911</v>
      </c>
      <c r="B2423" s="9">
        <f>COUNTIF(Levels!B:B,A2423)</f>
        <v>3</v>
      </c>
      <c r="C2423" s="9">
        <f>IFERROR(AVERAGEIF(Levels!B:B,A2423,Levels!E:E),0)</f>
        <v>22.06</v>
      </c>
      <c r="D2423" s="9">
        <f>IFERROR(AVERAGEIF(Levels!B:B,A2423,Levels!F:F),0)</f>
        <v>8.8149999999999995</v>
      </c>
      <c r="E2423" s="9">
        <f>_xlfn.MAXIFS(Levels!E:E,Levels!B:B,A2423)</f>
        <v>34</v>
      </c>
      <c r="F2423" s="9">
        <f>_xlfn.MAXIFS(Levels!F:F,Levels!B:B,A2423)</f>
        <v>10</v>
      </c>
    </row>
    <row r="2424" spans="1:6" x14ac:dyDescent="0.3">
      <c r="A2424" t="s">
        <v>10913</v>
      </c>
      <c r="B2424" s="6">
        <f>COUNTIF(Levels!B:B,A2424)</f>
        <v>1</v>
      </c>
      <c r="C2424" s="6">
        <f>IFERROR(AVERAGEIF(Levels!B:B,A2424,Levels!E:E),0)</f>
        <v>21.61</v>
      </c>
      <c r="D2424" s="6">
        <f>IFERROR(AVERAGEIF(Levels!B:B,A2424,Levels!F:F),0)</f>
        <v>6.1</v>
      </c>
      <c r="E2424" s="6">
        <f>_xlfn.MAXIFS(Levels!E:E,Levels!B:B,A2424)</f>
        <v>21.61</v>
      </c>
      <c r="F2424" s="6">
        <f>_xlfn.MAXIFS(Levels!F:F,Levels!B:B,A2424)</f>
        <v>6.1</v>
      </c>
    </row>
    <row r="2425" spans="1:6" x14ac:dyDescent="0.3">
      <c r="A2425" t="s">
        <v>10916</v>
      </c>
      <c r="B2425" s="9">
        <f>COUNTIF(Levels!B:B,A2425)</f>
        <v>1</v>
      </c>
      <c r="C2425" s="9">
        <f>IFERROR(AVERAGEIF(Levels!B:B,A2425,Levels!E:E),0)</f>
        <v>21.04</v>
      </c>
      <c r="D2425" s="9">
        <f>IFERROR(AVERAGEIF(Levels!B:B,A2425,Levels!F:F),0)</f>
        <v>7.5</v>
      </c>
      <c r="E2425" s="9">
        <f>_xlfn.MAXIFS(Levels!E:E,Levels!B:B,A2425)</f>
        <v>21.04</v>
      </c>
      <c r="F2425" s="9">
        <f>_xlfn.MAXIFS(Levels!F:F,Levels!B:B,A2425)</f>
        <v>7.5</v>
      </c>
    </row>
    <row r="2426" spans="1:6" x14ac:dyDescent="0.3">
      <c r="A2426" t="s">
        <v>10918</v>
      </c>
      <c r="B2426" s="6">
        <f>COUNTIF(Levels!B:B,A2426)</f>
        <v>2</v>
      </c>
      <c r="C2426" s="6">
        <f>IFERROR(AVERAGEIF(Levels!B:B,A2426,Levels!E:E),0)</f>
        <v>21.04</v>
      </c>
      <c r="D2426" s="6">
        <f>IFERROR(AVERAGEIF(Levels!B:B,A2426,Levels!F:F),0)</f>
        <v>7.5</v>
      </c>
      <c r="E2426" s="6">
        <f>_xlfn.MAXIFS(Levels!E:E,Levels!B:B,A2426)</f>
        <v>21.04</v>
      </c>
      <c r="F2426" s="6">
        <f>_xlfn.MAXIFS(Levels!F:F,Levels!B:B,A2426)</f>
        <v>7.5</v>
      </c>
    </row>
    <row r="2427" spans="1:6" x14ac:dyDescent="0.3">
      <c r="A2427" t="s">
        <v>10921</v>
      </c>
      <c r="B2427" s="9">
        <f>COUNTIF(Levels!B:B,A2427)</f>
        <v>3</v>
      </c>
      <c r="C2427" s="9">
        <f>IFERROR(AVERAGEIF(Levels!B:B,A2427,Levels!E:E),0)</f>
        <v>2.96</v>
      </c>
      <c r="D2427" s="9">
        <f>IFERROR(AVERAGEIF(Levels!B:B,A2427,Levels!F:F),0)</f>
        <v>6.7566666666666668</v>
      </c>
      <c r="E2427" s="9">
        <f>_xlfn.MAXIFS(Levels!E:E,Levels!B:B,A2427)</f>
        <v>3.85</v>
      </c>
      <c r="F2427" s="9">
        <f>_xlfn.MAXIFS(Levels!F:F,Levels!B:B,A2427)</f>
        <v>7.84</v>
      </c>
    </row>
    <row r="2428" spans="1:6" x14ac:dyDescent="0.3">
      <c r="A2428" t="s">
        <v>10927</v>
      </c>
      <c r="B2428" s="6">
        <f>COUNTIF(Levels!B:B,A2428)</f>
        <v>1</v>
      </c>
      <c r="C2428" s="6">
        <f>IFERROR(AVERAGEIF(Levels!B:B,A2428,Levels!E:E),0)</f>
        <v>15.99</v>
      </c>
      <c r="D2428" s="6">
        <f>IFERROR(AVERAGEIF(Levels!B:B,A2428,Levels!F:F),0)</f>
        <v>5.6</v>
      </c>
      <c r="E2428" s="6">
        <f>_xlfn.MAXIFS(Levels!E:E,Levels!B:B,A2428)</f>
        <v>15.99</v>
      </c>
      <c r="F2428" s="6">
        <f>_xlfn.MAXIFS(Levels!F:F,Levels!B:B,A2428)</f>
        <v>5.6</v>
      </c>
    </row>
    <row r="2429" spans="1:6" x14ac:dyDescent="0.3">
      <c r="A2429" t="s">
        <v>10939</v>
      </c>
      <c r="B2429" s="9">
        <f>COUNTIF(Levels!B:B,A2429)</f>
        <v>1</v>
      </c>
      <c r="C2429" s="9">
        <f>IFERROR(AVERAGEIF(Levels!B:B,A2429,Levels!E:E),0)</f>
        <v>2.8</v>
      </c>
      <c r="D2429" s="9">
        <f>IFERROR(AVERAGEIF(Levels!B:B,A2429,Levels!F:F),0)</f>
        <v>7.34</v>
      </c>
      <c r="E2429" s="9">
        <f>_xlfn.MAXIFS(Levels!E:E,Levels!B:B,A2429)</f>
        <v>2.8</v>
      </c>
      <c r="F2429" s="9">
        <f>_xlfn.MAXIFS(Levels!F:F,Levels!B:B,A2429)</f>
        <v>7.34</v>
      </c>
    </row>
    <row r="2430" spans="1:6" x14ac:dyDescent="0.3">
      <c r="A2430" t="s">
        <v>10941</v>
      </c>
      <c r="B2430" s="6">
        <f>COUNTIF(Levels!B:B,A2430)</f>
        <v>4</v>
      </c>
      <c r="C2430" s="6">
        <f>IFERROR(AVERAGEIF(Levels!B:B,A2430,Levels!E:E),0)</f>
        <v>21.416666666666668</v>
      </c>
      <c r="D2430" s="6">
        <f>IFERROR(AVERAGEIF(Levels!B:B,A2430,Levels!F:F),0)</f>
        <v>4.9333333333333336</v>
      </c>
      <c r="E2430" s="6">
        <f>_xlfn.MAXIFS(Levels!E:E,Levels!B:B,A2430)</f>
        <v>25.5</v>
      </c>
      <c r="F2430" s="6">
        <f>_xlfn.MAXIFS(Levels!F:F,Levels!B:B,A2430)</f>
        <v>6.25</v>
      </c>
    </row>
    <row r="2431" spans="1:6" x14ac:dyDescent="0.3">
      <c r="A2431" t="s">
        <v>10943</v>
      </c>
      <c r="B2431" s="9">
        <f>COUNTIF(Levels!B:B,A2431)</f>
        <v>1</v>
      </c>
      <c r="C2431" s="9">
        <f>IFERROR(AVERAGEIF(Levels!B:B,A2431,Levels!E:E),0)</f>
        <v>16.2</v>
      </c>
      <c r="D2431" s="9">
        <f>IFERROR(AVERAGEIF(Levels!B:B,A2431,Levels!F:F),0)</f>
        <v>7</v>
      </c>
      <c r="E2431" s="9">
        <f>_xlfn.MAXIFS(Levels!E:E,Levels!B:B,A2431)</f>
        <v>16.2</v>
      </c>
      <c r="F2431" s="9">
        <f>_xlfn.MAXIFS(Levels!F:F,Levels!B:B,A2431)</f>
        <v>7</v>
      </c>
    </row>
    <row r="2432" spans="1:6" x14ac:dyDescent="0.3">
      <c r="A2432" t="s">
        <v>10948</v>
      </c>
      <c r="B2432" s="6">
        <f>COUNTIF(Levels!B:B,A2432)</f>
        <v>1</v>
      </c>
      <c r="C2432" s="6">
        <f>IFERROR(AVERAGEIF(Levels!B:B,A2432,Levels!E:E),0)</f>
        <v>10.5</v>
      </c>
      <c r="D2432" s="6">
        <f>IFERROR(AVERAGEIF(Levels!B:B,A2432,Levels!F:F),0)</f>
        <v>5.25</v>
      </c>
      <c r="E2432" s="6">
        <f>_xlfn.MAXIFS(Levels!E:E,Levels!B:B,A2432)</f>
        <v>10.5</v>
      </c>
      <c r="F2432" s="6">
        <f>_xlfn.MAXIFS(Levels!F:F,Levels!B:B,A2432)</f>
        <v>5.25</v>
      </c>
    </row>
    <row r="2433" spans="1:6" x14ac:dyDescent="0.3">
      <c r="A2433" t="s">
        <v>10951</v>
      </c>
      <c r="B2433" s="9">
        <f>COUNTIF(Levels!B:B,A2433)</f>
        <v>3</v>
      </c>
      <c r="C2433" s="9">
        <f>IFERROR(AVERAGEIF(Levels!B:B,A2433,Levels!E:E),0)</f>
        <v>8.2966666666666669</v>
      </c>
      <c r="D2433" s="9">
        <f>IFERROR(AVERAGEIF(Levels!B:B,A2433,Levels!F:F),0)</f>
        <v>7.7733333333333334</v>
      </c>
      <c r="E2433" s="9">
        <f>_xlfn.MAXIFS(Levels!E:E,Levels!B:B,A2433)</f>
        <v>13.09</v>
      </c>
      <c r="F2433" s="9">
        <f>_xlfn.MAXIFS(Levels!F:F,Levels!B:B,A2433)</f>
        <v>9.5500000000000007</v>
      </c>
    </row>
    <row r="2434" spans="1:6" x14ac:dyDescent="0.3">
      <c r="A2434" t="s">
        <v>10954</v>
      </c>
      <c r="B2434" s="6">
        <f>COUNTIF(Levels!B:B,A2434)</f>
        <v>3</v>
      </c>
      <c r="C2434" s="6">
        <f>IFERROR(AVERAGEIF(Levels!B:B,A2434,Levels!E:E),0)</f>
        <v>2.74</v>
      </c>
      <c r="D2434" s="6">
        <f>IFERROR(AVERAGEIF(Levels!B:B,A2434,Levels!F:F),0)</f>
        <v>7.5566666666666675</v>
      </c>
      <c r="E2434" s="6">
        <f>_xlfn.MAXIFS(Levels!E:E,Levels!B:B,A2434)</f>
        <v>3.63</v>
      </c>
      <c r="F2434" s="6">
        <f>_xlfn.MAXIFS(Levels!F:F,Levels!B:B,A2434)</f>
        <v>8.24</v>
      </c>
    </row>
    <row r="2435" spans="1:6" x14ac:dyDescent="0.3">
      <c r="A2435" t="s">
        <v>10958</v>
      </c>
      <c r="B2435" s="9">
        <f>COUNTIF(Levels!B:B,A2435)</f>
        <v>1</v>
      </c>
      <c r="C2435" s="9">
        <f>IFERROR(AVERAGEIF(Levels!B:B,A2435,Levels!E:E),0)</f>
        <v>16.829999999999998</v>
      </c>
      <c r="D2435" s="9">
        <f>IFERROR(AVERAGEIF(Levels!B:B,A2435,Levels!F:F),0)</f>
        <v>8.5</v>
      </c>
      <c r="E2435" s="9">
        <f>_xlfn.MAXIFS(Levels!E:E,Levels!B:B,A2435)</f>
        <v>16.829999999999998</v>
      </c>
      <c r="F2435" s="9">
        <f>_xlfn.MAXIFS(Levels!F:F,Levels!B:B,A2435)</f>
        <v>8.5</v>
      </c>
    </row>
    <row r="2436" spans="1:6" x14ac:dyDescent="0.3">
      <c r="A2436" t="s">
        <v>10961</v>
      </c>
      <c r="B2436" s="6">
        <f>COUNTIF(Levels!B:B,A2436)</f>
        <v>1</v>
      </c>
      <c r="C2436" s="6">
        <f>IFERROR(AVERAGEIF(Levels!B:B,A2436,Levels!E:E),0)</f>
        <v>13.4</v>
      </c>
      <c r="D2436" s="6">
        <f>IFERROR(AVERAGEIF(Levels!B:B,A2436,Levels!F:F),0)</f>
        <v>6.2</v>
      </c>
      <c r="E2436" s="6">
        <f>_xlfn.MAXIFS(Levels!E:E,Levels!B:B,A2436)</f>
        <v>13.4</v>
      </c>
      <c r="F2436" s="6">
        <f>_xlfn.MAXIFS(Levels!F:F,Levels!B:B,A2436)</f>
        <v>6.2</v>
      </c>
    </row>
    <row r="2437" spans="1:6" x14ac:dyDescent="0.3">
      <c r="A2437" t="s">
        <v>10965</v>
      </c>
      <c r="B2437" s="9">
        <f>COUNTIF(Levels!B:B,A2437)</f>
        <v>2</v>
      </c>
      <c r="C2437" s="9">
        <f>IFERROR(AVERAGEIF(Levels!B:B,A2437,Levels!E:E),0)</f>
        <v>3.46</v>
      </c>
      <c r="D2437" s="9">
        <f>IFERROR(AVERAGEIF(Levels!B:B,A2437,Levels!F:F),0)</f>
        <v>6.625</v>
      </c>
      <c r="E2437" s="9">
        <f>_xlfn.MAXIFS(Levels!E:E,Levels!B:B,A2437)</f>
        <v>4.78</v>
      </c>
      <c r="F2437" s="9">
        <f>_xlfn.MAXIFS(Levels!F:F,Levels!B:B,A2437)</f>
        <v>7.75</v>
      </c>
    </row>
    <row r="2438" spans="1:6" x14ac:dyDescent="0.3">
      <c r="A2438" t="s">
        <v>10975</v>
      </c>
      <c r="B2438" s="6">
        <f>COUNTIF(Levels!B:B,A2438)</f>
        <v>1</v>
      </c>
      <c r="C2438" s="6">
        <f>IFERROR(AVERAGEIF(Levels!B:B,A2438,Levels!E:E),0)</f>
        <v>22.25</v>
      </c>
      <c r="D2438" s="6">
        <f>IFERROR(AVERAGEIF(Levels!B:B,A2438,Levels!F:F),0)</f>
        <v>5.67</v>
      </c>
      <c r="E2438" s="6">
        <f>_xlfn.MAXIFS(Levels!E:E,Levels!B:B,A2438)</f>
        <v>22.25</v>
      </c>
      <c r="F2438" s="6">
        <f>_xlfn.MAXIFS(Levels!F:F,Levels!B:B,A2438)</f>
        <v>5.67</v>
      </c>
    </row>
    <row r="2439" spans="1:6" x14ac:dyDescent="0.3">
      <c r="A2439" t="s">
        <v>10985</v>
      </c>
      <c r="B2439" s="9">
        <f>COUNTIF(Levels!B:B,A2439)</f>
        <v>1</v>
      </c>
      <c r="C2439" s="9">
        <f>IFERROR(AVERAGEIF(Levels!B:B,A2439,Levels!E:E),0)</f>
        <v>26</v>
      </c>
      <c r="D2439" s="9">
        <f>IFERROR(AVERAGEIF(Levels!B:B,A2439,Levels!F:F),0)</f>
        <v>8</v>
      </c>
      <c r="E2439" s="9">
        <f>_xlfn.MAXIFS(Levels!E:E,Levels!B:B,A2439)</f>
        <v>26</v>
      </c>
      <c r="F2439" s="9">
        <f>_xlfn.MAXIFS(Levels!F:F,Levels!B:B,A2439)</f>
        <v>8</v>
      </c>
    </row>
    <row r="2440" spans="1:6" x14ac:dyDescent="0.3">
      <c r="A2440" t="s">
        <v>10988</v>
      </c>
      <c r="B2440" s="6">
        <f>COUNTIF(Levels!B:B,A2440)</f>
        <v>2</v>
      </c>
      <c r="C2440" s="6">
        <f>IFERROR(AVERAGEIF(Levels!B:B,A2440,Levels!E:E),0)</f>
        <v>30.36</v>
      </c>
      <c r="D2440" s="6">
        <f>IFERROR(AVERAGEIF(Levels!B:B,A2440,Levels!F:F),0)</f>
        <v>7</v>
      </c>
      <c r="E2440" s="6">
        <f>_xlfn.MAXIFS(Levels!E:E,Levels!B:B,A2440)</f>
        <v>30.36</v>
      </c>
      <c r="F2440" s="6">
        <f>_xlfn.MAXIFS(Levels!F:F,Levels!B:B,A2440)</f>
        <v>7</v>
      </c>
    </row>
    <row r="2441" spans="1:6" x14ac:dyDescent="0.3">
      <c r="A2441" t="s">
        <v>10992</v>
      </c>
      <c r="B2441" s="9">
        <f>COUNTIF(Levels!B:B,A2441)</f>
        <v>1</v>
      </c>
      <c r="C2441" s="9">
        <f>IFERROR(AVERAGEIF(Levels!B:B,A2441,Levels!E:E),0)</f>
        <v>0</v>
      </c>
      <c r="D2441" s="9">
        <f>IFERROR(AVERAGEIF(Levels!B:B,A2441,Levels!F:F),0)</f>
        <v>0</v>
      </c>
      <c r="E2441" s="9">
        <f>_xlfn.MAXIFS(Levels!E:E,Levels!B:B,A2441)</f>
        <v>0</v>
      </c>
      <c r="F2441" s="9">
        <f>_xlfn.MAXIFS(Levels!F:F,Levels!B:B,A2441)</f>
        <v>0</v>
      </c>
    </row>
    <row r="2442" spans="1:6" x14ac:dyDescent="0.3">
      <c r="A2442" t="s">
        <v>10994</v>
      </c>
      <c r="B2442" s="6">
        <f>COUNTIF(Levels!B:B,A2442)</f>
        <v>2</v>
      </c>
      <c r="C2442" s="6">
        <f>IFERROR(AVERAGEIF(Levels!B:B,A2442,Levels!E:E),0)</f>
        <v>7.335</v>
      </c>
      <c r="D2442" s="6">
        <f>IFERROR(AVERAGEIF(Levels!B:B,A2442,Levels!F:F),0)</f>
        <v>7.1050000000000004</v>
      </c>
      <c r="E2442" s="6">
        <f>_xlfn.MAXIFS(Levels!E:E,Levels!B:B,A2442)</f>
        <v>7.53</v>
      </c>
      <c r="F2442" s="6">
        <f>_xlfn.MAXIFS(Levels!F:F,Levels!B:B,A2442)</f>
        <v>7.5</v>
      </c>
    </row>
    <row r="2443" spans="1:6" x14ac:dyDescent="0.3">
      <c r="A2443" t="s">
        <v>11000</v>
      </c>
      <c r="B2443" s="9">
        <f>COUNTIF(Levels!B:B,A2443)</f>
        <v>2</v>
      </c>
      <c r="C2443" s="9">
        <f>IFERROR(AVERAGEIF(Levels!B:B,A2443,Levels!E:E),0)</f>
        <v>19.935000000000002</v>
      </c>
      <c r="D2443" s="9">
        <f>IFERROR(AVERAGEIF(Levels!B:B,A2443,Levels!F:F),0)</f>
        <v>7.4849999999999994</v>
      </c>
      <c r="E2443" s="9">
        <f>_xlfn.MAXIFS(Levels!E:E,Levels!B:B,A2443)</f>
        <v>21.12</v>
      </c>
      <c r="F2443" s="9">
        <f>_xlfn.MAXIFS(Levels!F:F,Levels!B:B,A2443)</f>
        <v>8</v>
      </c>
    </row>
    <row r="2444" spans="1:6" x14ac:dyDescent="0.3">
      <c r="A2444" t="s">
        <v>11007</v>
      </c>
      <c r="B2444" s="6">
        <f>COUNTIF(Levels!B:B,A2444)</f>
        <v>2</v>
      </c>
      <c r="C2444" s="6">
        <f>IFERROR(AVERAGEIF(Levels!B:B,A2444,Levels!E:E),0)</f>
        <v>7.3000000000000007</v>
      </c>
      <c r="D2444" s="6">
        <f>IFERROR(AVERAGEIF(Levels!B:B,A2444,Levels!F:F),0)</f>
        <v>7.98</v>
      </c>
      <c r="E2444" s="6">
        <f>_xlfn.MAXIFS(Levels!E:E,Levels!B:B,A2444)</f>
        <v>10.49</v>
      </c>
      <c r="F2444" s="6">
        <f>_xlfn.MAXIFS(Levels!F:F,Levels!B:B,A2444)</f>
        <v>8.33</v>
      </c>
    </row>
    <row r="2445" spans="1:6" x14ac:dyDescent="0.3">
      <c r="A2445" t="s">
        <v>11011</v>
      </c>
      <c r="B2445" s="9">
        <f>COUNTIF(Levels!B:B,A2445)</f>
        <v>1</v>
      </c>
      <c r="C2445" s="9">
        <f>IFERROR(AVERAGEIF(Levels!B:B,A2445,Levels!E:E),0)</f>
        <v>1.95</v>
      </c>
      <c r="D2445" s="9">
        <f>IFERROR(AVERAGEIF(Levels!B:B,A2445,Levels!F:F),0)</f>
        <v>6.93</v>
      </c>
      <c r="E2445" s="9">
        <f>_xlfn.MAXIFS(Levels!E:E,Levels!B:B,A2445)</f>
        <v>1.95</v>
      </c>
      <c r="F2445" s="9">
        <f>_xlfn.MAXIFS(Levels!F:F,Levels!B:B,A2445)</f>
        <v>6.93</v>
      </c>
    </row>
    <row r="2446" spans="1:6" x14ac:dyDescent="0.3">
      <c r="A2446" t="s">
        <v>11024</v>
      </c>
      <c r="B2446" s="6">
        <f>COUNTIF(Levels!B:B,A2446)</f>
        <v>1</v>
      </c>
      <c r="C2446" s="6">
        <f>IFERROR(AVERAGEIF(Levels!B:B,A2446,Levels!E:E),0)</f>
        <v>16.45</v>
      </c>
      <c r="D2446" s="6">
        <f>IFERROR(AVERAGEIF(Levels!B:B,A2446,Levels!F:F),0)</f>
        <v>6.89</v>
      </c>
      <c r="E2446" s="6">
        <f>_xlfn.MAXIFS(Levels!E:E,Levels!B:B,A2446)</f>
        <v>16.45</v>
      </c>
      <c r="F2446" s="6">
        <f>_xlfn.MAXIFS(Levels!F:F,Levels!B:B,A2446)</f>
        <v>6.89</v>
      </c>
    </row>
    <row r="2447" spans="1:6" x14ac:dyDescent="0.3">
      <c r="A2447" t="s">
        <v>11030</v>
      </c>
      <c r="B2447" s="9">
        <f>COUNTIF(Levels!B:B,A2447)</f>
        <v>1</v>
      </c>
      <c r="C2447" s="9">
        <f>IFERROR(AVERAGEIF(Levels!B:B,A2447,Levels!E:E),0)</f>
        <v>15.2</v>
      </c>
      <c r="D2447" s="9">
        <f>IFERROR(AVERAGEIF(Levels!B:B,A2447,Levels!F:F),0)</f>
        <v>7.48</v>
      </c>
      <c r="E2447" s="9">
        <f>_xlfn.MAXIFS(Levels!E:E,Levels!B:B,A2447)</f>
        <v>15.2</v>
      </c>
      <c r="F2447" s="9">
        <f>_xlfn.MAXIFS(Levels!F:F,Levels!B:B,A2447)</f>
        <v>7.48</v>
      </c>
    </row>
    <row r="2448" spans="1:6" x14ac:dyDescent="0.3">
      <c r="A2448" t="s">
        <v>11038</v>
      </c>
      <c r="B2448" s="6">
        <f>COUNTIF(Levels!B:B,A2448)</f>
        <v>1</v>
      </c>
      <c r="C2448" s="6">
        <f>IFERROR(AVERAGEIF(Levels!B:B,A2448,Levels!E:E),0)</f>
        <v>22.8</v>
      </c>
      <c r="D2448" s="6">
        <f>IFERROR(AVERAGEIF(Levels!B:B,A2448,Levels!F:F),0)</f>
        <v>5.75</v>
      </c>
      <c r="E2448" s="6">
        <f>_xlfn.MAXIFS(Levels!E:E,Levels!B:B,A2448)</f>
        <v>22.8</v>
      </c>
      <c r="F2448" s="6">
        <f>_xlfn.MAXIFS(Levels!F:F,Levels!B:B,A2448)</f>
        <v>5.75</v>
      </c>
    </row>
    <row r="2449" spans="1:6" x14ac:dyDescent="0.3">
      <c r="A2449" t="s">
        <v>11043</v>
      </c>
      <c r="B2449" s="9">
        <f>COUNTIF(Levels!B:B,A2449)</f>
        <v>1</v>
      </c>
      <c r="C2449" s="9">
        <f>IFERROR(AVERAGEIF(Levels!B:B,A2449,Levels!E:E),0)</f>
        <v>7.71</v>
      </c>
      <c r="D2449" s="9">
        <f>IFERROR(AVERAGEIF(Levels!B:B,A2449,Levels!F:F),0)</f>
        <v>7.79</v>
      </c>
      <c r="E2449" s="9">
        <f>_xlfn.MAXIFS(Levels!E:E,Levels!B:B,A2449)</f>
        <v>7.71</v>
      </c>
      <c r="F2449" s="9">
        <f>_xlfn.MAXIFS(Levels!F:F,Levels!B:B,A2449)</f>
        <v>7.79</v>
      </c>
    </row>
    <row r="2450" spans="1:6" x14ac:dyDescent="0.3">
      <c r="A2450" t="s">
        <v>11047</v>
      </c>
      <c r="B2450" s="6">
        <f>COUNTIF(Levels!B:B,A2450)</f>
        <v>2</v>
      </c>
      <c r="C2450" s="6">
        <f>IFERROR(AVERAGEIF(Levels!B:B,A2450,Levels!E:E),0)</f>
        <v>5.67</v>
      </c>
      <c r="D2450" s="6">
        <f>IFERROR(AVERAGEIF(Levels!B:B,A2450,Levels!F:F),0)</f>
        <v>5.3149999999999995</v>
      </c>
      <c r="E2450" s="6">
        <f>_xlfn.MAXIFS(Levels!E:E,Levels!B:B,A2450)</f>
        <v>5.67</v>
      </c>
      <c r="F2450" s="6">
        <f>_xlfn.MAXIFS(Levels!F:F,Levels!B:B,A2450)</f>
        <v>5.83</v>
      </c>
    </row>
    <row r="2451" spans="1:6" x14ac:dyDescent="0.3">
      <c r="A2451" t="s">
        <v>11051</v>
      </c>
      <c r="B2451" s="9">
        <f>COUNTIF(Levels!B:B,A2451)</f>
        <v>4</v>
      </c>
      <c r="C2451" s="9">
        <f>IFERROR(AVERAGEIF(Levels!B:B,A2451,Levels!E:E),0)</f>
        <v>8.0150000000000006</v>
      </c>
      <c r="D2451" s="9">
        <f>IFERROR(AVERAGEIF(Levels!B:B,A2451,Levels!F:F),0)</f>
        <v>7.5</v>
      </c>
      <c r="E2451" s="9">
        <f>_xlfn.MAXIFS(Levels!E:E,Levels!B:B,A2451)</f>
        <v>16</v>
      </c>
      <c r="F2451" s="9">
        <f>_xlfn.MAXIFS(Levels!F:F,Levels!B:B,A2451)</f>
        <v>8.36</v>
      </c>
    </row>
    <row r="2452" spans="1:6" x14ac:dyDescent="0.3">
      <c r="A2452" t="s">
        <v>11065</v>
      </c>
      <c r="B2452" s="6">
        <f>COUNTIF(Levels!B:B,A2452)</f>
        <v>1</v>
      </c>
      <c r="C2452" s="6">
        <f>IFERROR(AVERAGEIF(Levels!B:B,A2452,Levels!E:E),0)</f>
        <v>7.25</v>
      </c>
      <c r="D2452" s="6">
        <f>IFERROR(AVERAGEIF(Levels!B:B,A2452,Levels!F:F),0)</f>
        <v>5.75</v>
      </c>
      <c r="E2452" s="6">
        <f>_xlfn.MAXIFS(Levels!E:E,Levels!B:B,A2452)</f>
        <v>7.25</v>
      </c>
      <c r="F2452" s="6">
        <f>_xlfn.MAXIFS(Levels!F:F,Levels!B:B,A2452)</f>
        <v>5.75</v>
      </c>
    </row>
    <row r="2453" spans="1:6" x14ac:dyDescent="0.3">
      <c r="A2453" t="s">
        <v>11067</v>
      </c>
      <c r="B2453" s="9">
        <f>COUNTIF(Levels!B:B,A2453)</f>
        <v>1</v>
      </c>
      <c r="C2453" s="9">
        <f>IFERROR(AVERAGEIF(Levels!B:B,A2453,Levels!E:E),0)</f>
        <v>3.64</v>
      </c>
      <c r="D2453" s="9">
        <f>IFERROR(AVERAGEIF(Levels!B:B,A2453,Levels!F:F),0)</f>
        <v>7.09</v>
      </c>
      <c r="E2453" s="9">
        <f>_xlfn.MAXIFS(Levels!E:E,Levels!B:B,A2453)</f>
        <v>3.64</v>
      </c>
      <c r="F2453" s="9">
        <f>_xlfn.MAXIFS(Levels!F:F,Levels!B:B,A2453)</f>
        <v>7.09</v>
      </c>
    </row>
    <row r="2454" spans="1:6" x14ac:dyDescent="0.3">
      <c r="A2454" t="s">
        <v>11069</v>
      </c>
      <c r="B2454" s="6">
        <f>COUNTIF(Levels!B:B,A2454)</f>
        <v>1</v>
      </c>
      <c r="C2454" s="6">
        <f>IFERROR(AVERAGEIF(Levels!B:B,A2454,Levels!E:E),0)</f>
        <v>23</v>
      </c>
      <c r="D2454" s="6">
        <f>IFERROR(AVERAGEIF(Levels!B:B,A2454,Levels!F:F),0)</f>
        <v>5</v>
      </c>
      <c r="E2454" s="6">
        <f>_xlfn.MAXIFS(Levels!E:E,Levels!B:B,A2454)</f>
        <v>23</v>
      </c>
      <c r="F2454" s="6">
        <f>_xlfn.MAXIFS(Levels!F:F,Levels!B:B,A2454)</f>
        <v>5</v>
      </c>
    </row>
    <row r="2455" spans="1:6" x14ac:dyDescent="0.3">
      <c r="A2455" t="s">
        <v>11071</v>
      </c>
      <c r="B2455" s="9">
        <f>COUNTIF(Levels!B:B,A2455)</f>
        <v>1</v>
      </c>
      <c r="C2455" s="9">
        <f>IFERROR(AVERAGEIF(Levels!B:B,A2455,Levels!E:E),0)</f>
        <v>1.04</v>
      </c>
      <c r="D2455" s="9">
        <f>IFERROR(AVERAGEIF(Levels!B:B,A2455,Levels!F:F),0)</f>
        <v>7.07</v>
      </c>
      <c r="E2455" s="9">
        <f>_xlfn.MAXIFS(Levels!E:E,Levels!B:B,A2455)</f>
        <v>1.04</v>
      </c>
      <c r="F2455" s="9">
        <f>_xlfn.MAXIFS(Levels!F:F,Levels!B:B,A2455)</f>
        <v>7.07</v>
      </c>
    </row>
    <row r="2456" spans="1:6" x14ac:dyDescent="0.3">
      <c r="A2456" t="s">
        <v>11081</v>
      </c>
      <c r="B2456" s="6">
        <f>COUNTIF(Levels!B:B,A2456)</f>
        <v>1</v>
      </c>
      <c r="C2456" s="6">
        <f>IFERROR(AVERAGEIF(Levels!B:B,A2456,Levels!E:E),0)</f>
        <v>23.29</v>
      </c>
      <c r="D2456" s="6">
        <f>IFERROR(AVERAGEIF(Levels!B:B,A2456,Levels!F:F),0)</f>
        <v>7.86</v>
      </c>
      <c r="E2456" s="6">
        <f>_xlfn.MAXIFS(Levels!E:E,Levels!B:B,A2456)</f>
        <v>23.29</v>
      </c>
      <c r="F2456" s="6">
        <f>_xlfn.MAXIFS(Levels!F:F,Levels!B:B,A2456)</f>
        <v>7.86</v>
      </c>
    </row>
    <row r="2457" spans="1:6" x14ac:dyDescent="0.3">
      <c r="A2457" t="s">
        <v>11092</v>
      </c>
      <c r="B2457" s="9">
        <f>COUNTIF(Levels!B:B,A2457)</f>
        <v>1</v>
      </c>
      <c r="C2457" s="9">
        <f>IFERROR(AVERAGEIF(Levels!B:B,A2457,Levels!E:E),0)</f>
        <v>31</v>
      </c>
      <c r="D2457" s="9">
        <f>IFERROR(AVERAGEIF(Levels!B:B,A2457,Levels!F:F),0)</f>
        <v>2</v>
      </c>
      <c r="E2457" s="9">
        <f>_xlfn.MAXIFS(Levels!E:E,Levels!B:B,A2457)</f>
        <v>31</v>
      </c>
      <c r="F2457" s="9">
        <f>_xlfn.MAXIFS(Levels!F:F,Levels!B:B,A2457)</f>
        <v>2</v>
      </c>
    </row>
    <row r="2458" spans="1:6" x14ac:dyDescent="0.3">
      <c r="A2458" t="s">
        <v>11099</v>
      </c>
      <c r="B2458" s="6">
        <f>COUNTIF(Levels!B:B,A2458)</f>
        <v>1</v>
      </c>
      <c r="C2458" s="6">
        <f>IFERROR(AVERAGEIF(Levels!B:B,A2458,Levels!E:E),0)</f>
        <v>3.04</v>
      </c>
      <c r="D2458" s="6">
        <f>IFERROR(AVERAGEIF(Levels!B:B,A2458,Levels!F:F),0)</f>
        <v>5.9</v>
      </c>
      <c r="E2458" s="6">
        <f>_xlfn.MAXIFS(Levels!E:E,Levels!B:B,A2458)</f>
        <v>3.04</v>
      </c>
      <c r="F2458" s="6">
        <f>_xlfn.MAXIFS(Levels!F:F,Levels!B:B,A2458)</f>
        <v>5.9</v>
      </c>
    </row>
    <row r="2459" spans="1:6" x14ac:dyDescent="0.3">
      <c r="A2459" t="s">
        <v>11103</v>
      </c>
      <c r="B2459" s="9">
        <f>COUNTIF(Levels!B:B,A2459)</f>
        <v>2</v>
      </c>
      <c r="C2459" s="9">
        <f>IFERROR(AVERAGEIF(Levels!B:B,A2459,Levels!E:E),0)</f>
        <v>14.005000000000001</v>
      </c>
      <c r="D2459" s="9">
        <f>IFERROR(AVERAGEIF(Levels!B:B,A2459,Levels!F:F),0)</f>
        <v>6.665</v>
      </c>
      <c r="E2459" s="9">
        <f>_xlfn.MAXIFS(Levels!E:E,Levels!B:B,A2459)</f>
        <v>20.55</v>
      </c>
      <c r="F2459" s="9">
        <f>_xlfn.MAXIFS(Levels!F:F,Levels!B:B,A2459)</f>
        <v>6.93</v>
      </c>
    </row>
    <row r="2460" spans="1:6" x14ac:dyDescent="0.3">
      <c r="A2460" t="s">
        <v>11105</v>
      </c>
      <c r="B2460" s="6">
        <f>COUNTIF(Levels!B:B,A2460)</f>
        <v>1</v>
      </c>
      <c r="C2460" s="6">
        <f>IFERROR(AVERAGEIF(Levels!B:B,A2460,Levels!E:E),0)</f>
        <v>10.199999999999999</v>
      </c>
      <c r="D2460" s="6">
        <f>IFERROR(AVERAGEIF(Levels!B:B,A2460,Levels!F:F),0)</f>
        <v>6.25</v>
      </c>
      <c r="E2460" s="6">
        <f>_xlfn.MAXIFS(Levels!E:E,Levels!B:B,A2460)</f>
        <v>10.199999999999999</v>
      </c>
      <c r="F2460" s="6">
        <f>_xlfn.MAXIFS(Levels!F:F,Levels!B:B,A2460)</f>
        <v>6.25</v>
      </c>
    </row>
    <row r="2461" spans="1:6" x14ac:dyDescent="0.3">
      <c r="A2461" t="s">
        <v>11111</v>
      </c>
      <c r="B2461" s="9">
        <f>COUNTIF(Levels!B:B,A2461)</f>
        <v>1</v>
      </c>
      <c r="C2461" s="9">
        <f>IFERROR(AVERAGEIF(Levels!B:B,A2461,Levels!E:E),0)</f>
        <v>4.2</v>
      </c>
      <c r="D2461" s="9">
        <f>IFERROR(AVERAGEIF(Levels!B:B,A2461,Levels!F:F),0)</f>
        <v>5.84</v>
      </c>
      <c r="E2461" s="9">
        <f>_xlfn.MAXIFS(Levels!E:E,Levels!B:B,A2461)</f>
        <v>4.2</v>
      </c>
      <c r="F2461" s="9">
        <f>_xlfn.MAXIFS(Levels!F:F,Levels!B:B,A2461)</f>
        <v>5.84</v>
      </c>
    </row>
    <row r="2462" spans="1:6" x14ac:dyDescent="0.3">
      <c r="A2462" t="s">
        <v>11118</v>
      </c>
      <c r="B2462" s="6">
        <f>COUNTIF(Levels!B:B,A2462)</f>
        <v>1</v>
      </c>
      <c r="C2462" s="6">
        <f>IFERROR(AVERAGEIF(Levels!B:B,A2462,Levels!E:E),0)</f>
        <v>4.62</v>
      </c>
      <c r="D2462" s="6">
        <f>IFERROR(AVERAGEIF(Levels!B:B,A2462,Levels!F:F),0)</f>
        <v>6.91</v>
      </c>
      <c r="E2462" s="6">
        <f>_xlfn.MAXIFS(Levels!E:E,Levels!B:B,A2462)</f>
        <v>4.62</v>
      </c>
      <c r="F2462" s="6">
        <f>_xlfn.MAXIFS(Levels!F:F,Levels!B:B,A2462)</f>
        <v>6.91</v>
      </c>
    </row>
    <row r="2463" spans="1:6" x14ac:dyDescent="0.3">
      <c r="A2463" t="s">
        <v>11120</v>
      </c>
      <c r="B2463" s="9">
        <f>COUNTIF(Levels!B:B,A2463)</f>
        <v>2</v>
      </c>
      <c r="C2463" s="9">
        <f>IFERROR(AVERAGEIF(Levels!B:B,A2463,Levels!E:E),0)</f>
        <v>10.785</v>
      </c>
      <c r="D2463" s="9">
        <f>IFERROR(AVERAGEIF(Levels!B:B,A2463,Levels!F:F),0)</f>
        <v>8.6550000000000011</v>
      </c>
      <c r="E2463" s="9">
        <f>_xlfn.MAXIFS(Levels!E:E,Levels!B:B,A2463)</f>
        <v>10.9</v>
      </c>
      <c r="F2463" s="9">
        <f>_xlfn.MAXIFS(Levels!F:F,Levels!B:B,A2463)</f>
        <v>8.75</v>
      </c>
    </row>
    <row r="2464" spans="1:6" x14ac:dyDescent="0.3">
      <c r="A2464" t="s">
        <v>11126</v>
      </c>
      <c r="B2464" s="6">
        <f>COUNTIF(Levels!B:B,A2464)</f>
        <v>1</v>
      </c>
      <c r="C2464" s="6">
        <f>IFERROR(AVERAGEIF(Levels!B:B,A2464,Levels!E:E),0)</f>
        <v>16.43</v>
      </c>
      <c r="D2464" s="6">
        <f>IFERROR(AVERAGEIF(Levels!B:B,A2464,Levels!F:F),0)</f>
        <v>4.8600000000000003</v>
      </c>
      <c r="E2464" s="6">
        <f>_xlfn.MAXIFS(Levels!E:E,Levels!B:B,A2464)</f>
        <v>16.43</v>
      </c>
      <c r="F2464" s="6">
        <f>_xlfn.MAXIFS(Levels!F:F,Levels!B:B,A2464)</f>
        <v>4.8600000000000003</v>
      </c>
    </row>
    <row r="2465" spans="1:6" x14ac:dyDescent="0.3">
      <c r="A2465" t="s">
        <v>11128</v>
      </c>
      <c r="B2465" s="9">
        <f>COUNTIF(Levels!B:B,A2465)</f>
        <v>3</v>
      </c>
      <c r="C2465" s="9">
        <f>IFERROR(AVERAGEIF(Levels!B:B,A2465,Levels!E:E),0)</f>
        <v>7.06</v>
      </c>
      <c r="D2465" s="9">
        <f>IFERROR(AVERAGEIF(Levels!B:B,A2465,Levels!F:F),0)</f>
        <v>7.3966666666666674</v>
      </c>
      <c r="E2465" s="9">
        <f>_xlfn.MAXIFS(Levels!E:E,Levels!B:B,A2465)</f>
        <v>13.67</v>
      </c>
      <c r="F2465" s="9">
        <f>_xlfn.MAXIFS(Levels!F:F,Levels!B:B,A2465)</f>
        <v>7.5</v>
      </c>
    </row>
    <row r="2466" spans="1:6" x14ac:dyDescent="0.3">
      <c r="A2466" t="s">
        <v>11131</v>
      </c>
      <c r="B2466" s="6">
        <f>COUNTIF(Levels!B:B,A2466)</f>
        <v>1</v>
      </c>
      <c r="C2466" s="6">
        <f>IFERROR(AVERAGEIF(Levels!B:B,A2466,Levels!E:E),0)</f>
        <v>2.14</v>
      </c>
      <c r="D2466" s="6">
        <f>IFERROR(AVERAGEIF(Levels!B:B,A2466,Levels!F:F),0)</f>
        <v>7.39</v>
      </c>
      <c r="E2466" s="6">
        <f>_xlfn.MAXIFS(Levels!E:E,Levels!B:B,A2466)</f>
        <v>2.14</v>
      </c>
      <c r="F2466" s="6">
        <f>_xlfn.MAXIFS(Levels!F:F,Levels!B:B,A2466)</f>
        <v>7.39</v>
      </c>
    </row>
    <row r="2467" spans="1:6" x14ac:dyDescent="0.3">
      <c r="A2467" t="s">
        <v>11133</v>
      </c>
      <c r="B2467" s="9">
        <f>COUNTIF(Levels!B:B,A2467)</f>
        <v>2</v>
      </c>
      <c r="C2467" s="9">
        <f>IFERROR(AVERAGEIF(Levels!B:B,A2467,Levels!E:E),0)</f>
        <v>5.6949999999999994</v>
      </c>
      <c r="D2467" s="9">
        <f>IFERROR(AVERAGEIF(Levels!B:B,A2467,Levels!F:F),0)</f>
        <v>7.92</v>
      </c>
      <c r="E2467" s="9">
        <f>_xlfn.MAXIFS(Levels!E:E,Levels!B:B,A2467)</f>
        <v>10.11</v>
      </c>
      <c r="F2467" s="9">
        <f>_xlfn.MAXIFS(Levels!F:F,Levels!B:B,A2467)</f>
        <v>8.2100000000000009</v>
      </c>
    </row>
    <row r="2468" spans="1:6" x14ac:dyDescent="0.3">
      <c r="A2468" t="s">
        <v>11135</v>
      </c>
      <c r="B2468" s="6">
        <f>COUNTIF(Levels!B:B,A2468)</f>
        <v>1</v>
      </c>
      <c r="C2468" s="6">
        <f>IFERROR(AVERAGEIF(Levels!B:B,A2468,Levels!E:E),0)</f>
        <v>4.25</v>
      </c>
      <c r="D2468" s="6">
        <f>IFERROR(AVERAGEIF(Levels!B:B,A2468,Levels!F:F),0)</f>
        <v>5.87</v>
      </c>
      <c r="E2468" s="6">
        <f>_xlfn.MAXIFS(Levels!E:E,Levels!B:B,A2468)</f>
        <v>4.25</v>
      </c>
      <c r="F2468" s="6">
        <f>_xlfn.MAXIFS(Levels!F:F,Levels!B:B,A2468)</f>
        <v>5.87</v>
      </c>
    </row>
    <row r="2469" spans="1:6" x14ac:dyDescent="0.3">
      <c r="A2469" t="s">
        <v>11141</v>
      </c>
      <c r="B2469" s="9">
        <f>COUNTIF(Levels!B:B,A2469)</f>
        <v>2</v>
      </c>
      <c r="C2469" s="9">
        <f>IFERROR(AVERAGEIF(Levels!B:B,A2469,Levels!E:E),0)</f>
        <v>23</v>
      </c>
      <c r="D2469" s="9">
        <f>IFERROR(AVERAGEIF(Levels!B:B,A2469,Levels!F:F),0)</f>
        <v>7</v>
      </c>
      <c r="E2469" s="9">
        <f>_xlfn.MAXIFS(Levels!E:E,Levels!B:B,A2469)</f>
        <v>23</v>
      </c>
      <c r="F2469" s="9">
        <f>_xlfn.MAXIFS(Levels!F:F,Levels!B:B,A2469)</f>
        <v>7</v>
      </c>
    </row>
    <row r="2470" spans="1:6" x14ac:dyDescent="0.3">
      <c r="A2470" t="s">
        <v>11148</v>
      </c>
      <c r="B2470" s="6">
        <f>COUNTIF(Levels!B:B,A2470)</f>
        <v>2</v>
      </c>
      <c r="C2470" s="6">
        <f>IFERROR(AVERAGEIF(Levels!B:B,A2470,Levels!E:E),0)</f>
        <v>3.8650000000000002</v>
      </c>
      <c r="D2470" s="6">
        <f>IFERROR(AVERAGEIF(Levels!B:B,A2470,Levels!F:F),0)</f>
        <v>6.82</v>
      </c>
      <c r="E2470" s="6">
        <f>_xlfn.MAXIFS(Levels!E:E,Levels!B:B,A2470)</f>
        <v>4.55</v>
      </c>
      <c r="F2470" s="6">
        <f>_xlfn.MAXIFS(Levels!F:F,Levels!B:B,A2470)</f>
        <v>7.58</v>
      </c>
    </row>
    <row r="2471" spans="1:6" x14ac:dyDescent="0.3">
      <c r="A2471" t="s">
        <v>11151</v>
      </c>
      <c r="B2471" s="9">
        <f>COUNTIF(Levels!B:B,A2471)</f>
        <v>1</v>
      </c>
      <c r="C2471" s="9">
        <f>IFERROR(AVERAGEIF(Levels!B:B,A2471,Levels!E:E),0)</f>
        <v>34.5</v>
      </c>
      <c r="D2471" s="9">
        <f>IFERROR(AVERAGEIF(Levels!B:B,A2471,Levels!F:F),0)</f>
        <v>10</v>
      </c>
      <c r="E2471" s="9">
        <f>_xlfn.MAXIFS(Levels!E:E,Levels!B:B,A2471)</f>
        <v>34.5</v>
      </c>
      <c r="F2471" s="9">
        <f>_xlfn.MAXIFS(Levels!F:F,Levels!B:B,A2471)</f>
        <v>10</v>
      </c>
    </row>
    <row r="2472" spans="1:6" x14ac:dyDescent="0.3">
      <c r="A2472" t="s">
        <v>11154</v>
      </c>
      <c r="B2472" s="6">
        <f>COUNTIF(Levels!B:B,A2472)</f>
        <v>1</v>
      </c>
      <c r="C2472" s="6">
        <f>IFERROR(AVERAGEIF(Levels!B:B,A2472,Levels!E:E),0)</f>
        <v>12.08</v>
      </c>
      <c r="D2472" s="6">
        <f>IFERROR(AVERAGEIF(Levels!B:B,A2472,Levels!F:F),0)</f>
        <v>7.62</v>
      </c>
      <c r="E2472" s="6">
        <f>_xlfn.MAXIFS(Levels!E:E,Levels!B:B,A2472)</f>
        <v>12.08</v>
      </c>
      <c r="F2472" s="6">
        <f>_xlfn.MAXIFS(Levels!F:F,Levels!B:B,A2472)</f>
        <v>7.62</v>
      </c>
    </row>
    <row r="2473" spans="1:6" x14ac:dyDescent="0.3">
      <c r="A2473" t="s">
        <v>11159</v>
      </c>
      <c r="B2473" s="9">
        <f>COUNTIF(Levels!B:B,A2473)</f>
        <v>1</v>
      </c>
      <c r="C2473" s="9">
        <f>IFERROR(AVERAGEIF(Levels!B:B,A2473,Levels!E:E),0)</f>
        <v>3.73</v>
      </c>
      <c r="D2473" s="9">
        <f>IFERROR(AVERAGEIF(Levels!B:B,A2473,Levels!F:F),0)</f>
        <v>6.74</v>
      </c>
      <c r="E2473" s="9">
        <f>_xlfn.MAXIFS(Levels!E:E,Levels!B:B,A2473)</f>
        <v>3.73</v>
      </c>
      <c r="F2473" s="9">
        <f>_xlfn.MAXIFS(Levels!F:F,Levels!B:B,A2473)</f>
        <v>6.74</v>
      </c>
    </row>
    <row r="2474" spans="1:6" x14ac:dyDescent="0.3">
      <c r="A2474" t="s">
        <v>11164</v>
      </c>
      <c r="B2474" s="6">
        <f>COUNTIF(Levels!B:B,A2474)</f>
        <v>7</v>
      </c>
      <c r="C2474" s="6">
        <f>IFERROR(AVERAGEIF(Levels!B:B,A2474,Levels!E:E),0)</f>
        <v>16.759999999999998</v>
      </c>
      <c r="D2474" s="6">
        <f>IFERROR(AVERAGEIF(Levels!B:B,A2474,Levels!F:F),0)</f>
        <v>6.7760000000000007</v>
      </c>
      <c r="E2474" s="6">
        <f>_xlfn.MAXIFS(Levels!E:E,Levels!B:B,A2474)</f>
        <v>17.47</v>
      </c>
      <c r="F2474" s="6">
        <f>_xlfn.MAXIFS(Levels!F:F,Levels!B:B,A2474)</f>
        <v>8.2200000000000006</v>
      </c>
    </row>
    <row r="2475" spans="1:6" x14ac:dyDescent="0.3">
      <c r="A2475" t="s">
        <v>11166</v>
      </c>
      <c r="B2475" s="9">
        <f>COUNTIF(Levels!B:B,A2475)</f>
        <v>1</v>
      </c>
      <c r="C2475" s="9">
        <f>IFERROR(AVERAGEIF(Levels!B:B,A2475,Levels!E:E),0)</f>
        <v>5.75</v>
      </c>
      <c r="D2475" s="9">
        <f>IFERROR(AVERAGEIF(Levels!B:B,A2475,Levels!F:F),0)</f>
        <v>7.33</v>
      </c>
      <c r="E2475" s="9">
        <f>_xlfn.MAXIFS(Levels!E:E,Levels!B:B,A2475)</f>
        <v>5.75</v>
      </c>
      <c r="F2475" s="9">
        <f>_xlfn.MAXIFS(Levels!F:F,Levels!B:B,A2475)</f>
        <v>7.33</v>
      </c>
    </row>
    <row r="2476" spans="1:6" x14ac:dyDescent="0.3">
      <c r="A2476" t="s">
        <v>11172</v>
      </c>
      <c r="B2476" s="6">
        <f>COUNTIF(Levels!B:B,A2476)</f>
        <v>2</v>
      </c>
      <c r="C2476" s="6">
        <f>IFERROR(AVERAGEIF(Levels!B:B,A2476,Levels!E:E),0)</f>
        <v>14.469999999999999</v>
      </c>
      <c r="D2476" s="6">
        <f>IFERROR(AVERAGEIF(Levels!B:B,A2476,Levels!F:F),0)</f>
        <v>6.85</v>
      </c>
      <c r="E2476" s="6">
        <f>_xlfn.MAXIFS(Levels!E:E,Levels!B:B,A2476)</f>
        <v>16.5</v>
      </c>
      <c r="F2476" s="6">
        <f>_xlfn.MAXIFS(Levels!F:F,Levels!B:B,A2476)</f>
        <v>7.7</v>
      </c>
    </row>
    <row r="2477" spans="1:6" x14ac:dyDescent="0.3">
      <c r="A2477" t="s">
        <v>11175</v>
      </c>
      <c r="B2477" s="9">
        <f>COUNTIF(Levels!B:B,A2477)</f>
        <v>1</v>
      </c>
      <c r="C2477" s="9">
        <f>IFERROR(AVERAGEIF(Levels!B:B,A2477,Levels!E:E),0)</f>
        <v>4.3600000000000003</v>
      </c>
      <c r="D2477" s="9">
        <f>IFERROR(AVERAGEIF(Levels!B:B,A2477,Levels!F:F),0)</f>
        <v>6.31</v>
      </c>
      <c r="E2477" s="9">
        <f>_xlfn.MAXIFS(Levels!E:E,Levels!B:B,A2477)</f>
        <v>4.3600000000000003</v>
      </c>
      <c r="F2477" s="9">
        <f>_xlfn.MAXIFS(Levels!F:F,Levels!B:B,A2477)</f>
        <v>6.31</v>
      </c>
    </row>
    <row r="2478" spans="1:6" x14ac:dyDescent="0.3">
      <c r="A2478" t="s">
        <v>11177</v>
      </c>
      <c r="B2478" s="6">
        <f>COUNTIF(Levels!B:B,A2478)</f>
        <v>1</v>
      </c>
      <c r="C2478" s="6">
        <f>IFERROR(AVERAGEIF(Levels!B:B,A2478,Levels!E:E),0)</f>
        <v>0</v>
      </c>
      <c r="D2478" s="6">
        <f>IFERROR(AVERAGEIF(Levels!B:B,A2478,Levels!F:F),0)</f>
        <v>0</v>
      </c>
      <c r="E2478" s="6">
        <f>_xlfn.MAXIFS(Levels!E:E,Levels!B:B,A2478)</f>
        <v>0</v>
      </c>
      <c r="F2478" s="6">
        <f>_xlfn.MAXIFS(Levels!F:F,Levels!B:B,A2478)</f>
        <v>0</v>
      </c>
    </row>
    <row r="2479" spans="1:6" x14ac:dyDescent="0.3">
      <c r="A2479" t="s">
        <v>11179</v>
      </c>
      <c r="B2479" s="9">
        <f>COUNTIF(Levels!B:B,A2479)</f>
        <v>2</v>
      </c>
      <c r="C2479" s="9">
        <f>IFERROR(AVERAGEIF(Levels!B:B,A2479,Levels!E:E),0)</f>
        <v>9.14</v>
      </c>
      <c r="D2479" s="9">
        <f>IFERROR(AVERAGEIF(Levels!B:B,A2479,Levels!F:F),0)</f>
        <v>5.9749999999999996</v>
      </c>
      <c r="E2479" s="9">
        <f>_xlfn.MAXIFS(Levels!E:E,Levels!B:B,A2479)</f>
        <v>9.14</v>
      </c>
      <c r="F2479" s="9">
        <f>_xlfn.MAXIFS(Levels!F:F,Levels!B:B,A2479)</f>
        <v>6.29</v>
      </c>
    </row>
    <row r="2480" spans="1:6" x14ac:dyDescent="0.3">
      <c r="A2480" t="s">
        <v>11187</v>
      </c>
      <c r="B2480" s="6">
        <f>COUNTIF(Levels!B:B,A2480)</f>
        <v>3</v>
      </c>
      <c r="C2480" s="6">
        <f>IFERROR(AVERAGEIF(Levels!B:B,A2480,Levels!E:E),0)</f>
        <v>8.2266666666666666</v>
      </c>
      <c r="D2480" s="6">
        <f>IFERROR(AVERAGEIF(Levels!B:B,A2480,Levels!F:F),0)</f>
        <v>6.919999999999999</v>
      </c>
      <c r="E2480" s="6">
        <f>_xlfn.MAXIFS(Levels!E:E,Levels!B:B,A2480)</f>
        <v>12.01</v>
      </c>
      <c r="F2480" s="6">
        <f>_xlfn.MAXIFS(Levels!F:F,Levels!B:B,A2480)</f>
        <v>7.26</v>
      </c>
    </row>
    <row r="2481" spans="1:6" x14ac:dyDescent="0.3">
      <c r="A2481" t="s">
        <v>11192</v>
      </c>
      <c r="B2481" s="9">
        <f>COUNTIF(Levels!B:B,A2481)</f>
        <v>1</v>
      </c>
      <c r="C2481" s="9">
        <f>IFERROR(AVERAGEIF(Levels!B:B,A2481,Levels!E:E),0)</f>
        <v>2.25</v>
      </c>
      <c r="D2481" s="9">
        <f>IFERROR(AVERAGEIF(Levels!B:B,A2481,Levels!F:F),0)</f>
        <v>6.28</v>
      </c>
      <c r="E2481" s="9">
        <f>_xlfn.MAXIFS(Levels!E:E,Levels!B:B,A2481)</f>
        <v>2.25</v>
      </c>
      <c r="F2481" s="9">
        <f>_xlfn.MAXIFS(Levels!F:F,Levels!B:B,A2481)</f>
        <v>6.28</v>
      </c>
    </row>
    <row r="2482" spans="1:6" x14ac:dyDescent="0.3">
      <c r="A2482" t="s">
        <v>11195</v>
      </c>
      <c r="B2482" s="6">
        <f>COUNTIF(Levels!B:B,A2482)</f>
        <v>1</v>
      </c>
      <c r="C2482" s="6">
        <f>IFERROR(AVERAGEIF(Levels!B:B,A2482,Levels!E:E),0)</f>
        <v>3.57</v>
      </c>
      <c r="D2482" s="6">
        <f>IFERROR(AVERAGEIF(Levels!B:B,A2482,Levels!F:F),0)</f>
        <v>7.8</v>
      </c>
      <c r="E2482" s="6">
        <f>_xlfn.MAXIFS(Levels!E:E,Levels!B:B,A2482)</f>
        <v>3.57</v>
      </c>
      <c r="F2482" s="6">
        <f>_xlfn.MAXIFS(Levels!F:F,Levels!B:B,A2482)</f>
        <v>7.8</v>
      </c>
    </row>
    <row r="2483" spans="1:6" x14ac:dyDescent="0.3">
      <c r="A2483" t="s">
        <v>11198</v>
      </c>
      <c r="B2483" s="9">
        <f>COUNTIF(Levels!B:B,A2483)</f>
        <v>1</v>
      </c>
      <c r="C2483" s="9">
        <f>IFERROR(AVERAGEIF(Levels!B:B,A2483,Levels!E:E),0)</f>
        <v>3.83</v>
      </c>
      <c r="D2483" s="9">
        <f>IFERROR(AVERAGEIF(Levels!B:B,A2483,Levels!F:F),0)</f>
        <v>6.37</v>
      </c>
      <c r="E2483" s="9">
        <f>_xlfn.MAXIFS(Levels!E:E,Levels!B:B,A2483)</f>
        <v>3.83</v>
      </c>
      <c r="F2483" s="9">
        <f>_xlfn.MAXIFS(Levels!F:F,Levels!B:B,A2483)</f>
        <v>6.37</v>
      </c>
    </row>
    <row r="2484" spans="1:6" x14ac:dyDescent="0.3">
      <c r="A2484" t="s">
        <v>11200</v>
      </c>
      <c r="B2484" s="6">
        <f>COUNTIF(Levels!B:B,A2484)</f>
        <v>4</v>
      </c>
      <c r="C2484" s="6">
        <f>IFERROR(AVERAGEIF(Levels!B:B,A2484,Levels!E:E),0)</f>
        <v>17.920000000000002</v>
      </c>
      <c r="D2484" s="6">
        <f>IFERROR(AVERAGEIF(Levels!B:B,A2484,Levels!F:F),0)</f>
        <v>6.5125000000000011</v>
      </c>
      <c r="E2484" s="6">
        <f>_xlfn.MAXIFS(Levels!E:E,Levels!B:B,A2484)</f>
        <v>28</v>
      </c>
      <c r="F2484" s="6">
        <f>_xlfn.MAXIFS(Levels!F:F,Levels!B:B,A2484)</f>
        <v>7.3</v>
      </c>
    </row>
    <row r="2485" spans="1:6" x14ac:dyDescent="0.3">
      <c r="A2485" t="s">
        <v>11205</v>
      </c>
      <c r="B2485" s="9">
        <f>COUNTIF(Levels!B:B,A2485)</f>
        <v>1</v>
      </c>
      <c r="C2485" s="9">
        <f>IFERROR(AVERAGEIF(Levels!B:B,A2485,Levels!E:E),0)</f>
        <v>26.5</v>
      </c>
      <c r="D2485" s="9">
        <f>IFERROR(AVERAGEIF(Levels!B:B,A2485,Levels!F:F),0)</f>
        <v>5.5</v>
      </c>
      <c r="E2485" s="9">
        <f>_xlfn.MAXIFS(Levels!E:E,Levels!B:B,A2485)</f>
        <v>26.5</v>
      </c>
      <c r="F2485" s="9">
        <f>_xlfn.MAXIFS(Levels!F:F,Levels!B:B,A2485)</f>
        <v>5.5</v>
      </c>
    </row>
    <row r="2486" spans="1:6" x14ac:dyDescent="0.3">
      <c r="A2486" t="s">
        <v>11212</v>
      </c>
      <c r="B2486" s="6">
        <f>COUNTIF(Levels!B:B,A2486)</f>
        <v>3</v>
      </c>
      <c r="C2486" s="6">
        <f>IFERROR(AVERAGEIF(Levels!B:B,A2486,Levels!E:E),0)</f>
        <v>14.083333333333334</v>
      </c>
      <c r="D2486" s="6">
        <f>IFERROR(AVERAGEIF(Levels!B:B,A2486,Levels!F:F),0)</f>
        <v>5.5766666666666671</v>
      </c>
      <c r="E2486" s="6">
        <f>_xlfn.MAXIFS(Levels!E:E,Levels!B:B,A2486)</f>
        <v>23</v>
      </c>
      <c r="F2486" s="6">
        <f>_xlfn.MAXIFS(Levels!F:F,Levels!B:B,A2486)</f>
        <v>6.4</v>
      </c>
    </row>
    <row r="2487" spans="1:6" x14ac:dyDescent="0.3">
      <c r="A2487" t="s">
        <v>11220</v>
      </c>
      <c r="B2487" s="9">
        <f>COUNTIF(Levels!B:B,A2487)</f>
        <v>1</v>
      </c>
      <c r="C2487" s="9">
        <f>IFERROR(AVERAGEIF(Levels!B:B,A2487,Levels!E:E),0)</f>
        <v>3.75</v>
      </c>
      <c r="D2487" s="9">
        <f>IFERROR(AVERAGEIF(Levels!B:B,A2487,Levels!F:F),0)</f>
        <v>6.33</v>
      </c>
      <c r="E2487" s="9">
        <f>_xlfn.MAXIFS(Levels!E:E,Levels!B:B,A2487)</f>
        <v>3.75</v>
      </c>
      <c r="F2487" s="9">
        <f>_xlfn.MAXIFS(Levels!F:F,Levels!B:B,A2487)</f>
        <v>6.33</v>
      </c>
    </row>
    <row r="2488" spans="1:6" x14ac:dyDescent="0.3">
      <c r="A2488" t="s">
        <v>11232</v>
      </c>
      <c r="B2488" s="6">
        <f>COUNTIF(Levels!B:B,A2488)</f>
        <v>1</v>
      </c>
      <c r="C2488" s="6">
        <f>IFERROR(AVERAGEIF(Levels!B:B,A2488,Levels!E:E),0)</f>
        <v>19.36</v>
      </c>
      <c r="D2488" s="6">
        <f>IFERROR(AVERAGEIF(Levels!B:B,A2488,Levels!F:F),0)</f>
        <v>8.27</v>
      </c>
      <c r="E2488" s="6">
        <f>_xlfn.MAXIFS(Levels!E:E,Levels!B:B,A2488)</f>
        <v>19.36</v>
      </c>
      <c r="F2488" s="6">
        <f>_xlfn.MAXIFS(Levels!F:F,Levels!B:B,A2488)</f>
        <v>8.27</v>
      </c>
    </row>
    <row r="2489" spans="1:6" x14ac:dyDescent="0.3">
      <c r="A2489" t="s">
        <v>11240</v>
      </c>
      <c r="B2489" s="9">
        <f>COUNTIF(Levels!B:B,A2489)</f>
        <v>3</v>
      </c>
      <c r="C2489" s="9">
        <f>IFERROR(AVERAGEIF(Levels!B:B,A2489,Levels!E:E),0)</f>
        <v>16.570000000000004</v>
      </c>
      <c r="D2489" s="9">
        <f>IFERROR(AVERAGEIF(Levels!B:B,A2489,Levels!F:F),0)</f>
        <v>7.5533333333333319</v>
      </c>
      <c r="E2489" s="9">
        <f>_xlfn.MAXIFS(Levels!E:E,Levels!B:B,A2489)</f>
        <v>19.32</v>
      </c>
      <c r="F2489" s="9">
        <f>_xlfn.MAXIFS(Levels!F:F,Levels!B:B,A2489)</f>
        <v>8.2899999999999991</v>
      </c>
    </row>
    <row r="2490" spans="1:6" x14ac:dyDescent="0.3">
      <c r="A2490" t="s">
        <v>11250</v>
      </c>
      <c r="B2490" s="6">
        <f>COUNTIF(Levels!B:B,A2490)</f>
        <v>1</v>
      </c>
      <c r="C2490" s="6">
        <f>IFERROR(AVERAGEIF(Levels!B:B,A2490,Levels!E:E),0)</f>
        <v>32</v>
      </c>
      <c r="D2490" s="6">
        <f>IFERROR(AVERAGEIF(Levels!B:B,A2490,Levels!F:F),0)</f>
        <v>7</v>
      </c>
      <c r="E2490" s="6">
        <f>_xlfn.MAXIFS(Levels!E:E,Levels!B:B,A2490)</f>
        <v>32</v>
      </c>
      <c r="F2490" s="6">
        <f>_xlfn.MAXIFS(Levels!F:F,Levels!B:B,A2490)</f>
        <v>7</v>
      </c>
    </row>
    <row r="2491" spans="1:6" x14ac:dyDescent="0.3">
      <c r="A2491" t="s">
        <v>11256</v>
      </c>
      <c r="B2491" s="9">
        <f>COUNTIF(Levels!B:B,A2491)</f>
        <v>1</v>
      </c>
      <c r="C2491" s="9">
        <f>IFERROR(AVERAGEIF(Levels!B:B,A2491,Levels!E:E),0)</f>
        <v>18.670000000000002</v>
      </c>
      <c r="D2491" s="9">
        <f>IFERROR(AVERAGEIF(Levels!B:B,A2491,Levels!F:F),0)</f>
        <v>5.5</v>
      </c>
      <c r="E2491" s="9">
        <f>_xlfn.MAXIFS(Levels!E:E,Levels!B:B,A2491)</f>
        <v>18.670000000000002</v>
      </c>
      <c r="F2491" s="9">
        <f>_xlfn.MAXIFS(Levels!F:F,Levels!B:B,A2491)</f>
        <v>5.5</v>
      </c>
    </row>
    <row r="2492" spans="1:6" x14ac:dyDescent="0.3">
      <c r="A2492" t="s">
        <v>11258</v>
      </c>
      <c r="B2492" s="6">
        <f>COUNTIF(Levels!B:B,A2492)</f>
        <v>1</v>
      </c>
      <c r="C2492" s="6">
        <f>IFERROR(AVERAGEIF(Levels!B:B,A2492,Levels!E:E),0)</f>
        <v>11.64</v>
      </c>
      <c r="D2492" s="6">
        <f>IFERROR(AVERAGEIF(Levels!B:B,A2492,Levels!F:F),0)</f>
        <v>8.7899999999999991</v>
      </c>
      <c r="E2492" s="6">
        <f>_xlfn.MAXIFS(Levels!E:E,Levels!B:B,A2492)</f>
        <v>11.64</v>
      </c>
      <c r="F2492" s="6">
        <f>_xlfn.MAXIFS(Levels!F:F,Levels!B:B,A2492)</f>
        <v>8.7899999999999991</v>
      </c>
    </row>
    <row r="2493" spans="1:6" x14ac:dyDescent="0.3">
      <c r="A2493" t="s">
        <v>11263</v>
      </c>
      <c r="B2493" s="9">
        <f>COUNTIF(Levels!B:B,A2493)</f>
        <v>3</v>
      </c>
      <c r="C2493" s="9">
        <f>IFERROR(AVERAGEIF(Levels!B:B,A2493,Levels!E:E),0)</f>
        <v>5.413333333333334</v>
      </c>
      <c r="D2493" s="9">
        <f>IFERROR(AVERAGEIF(Levels!B:B,A2493,Levels!F:F),0)</f>
        <v>7.5533333333333337</v>
      </c>
      <c r="E2493" s="9">
        <f>_xlfn.MAXIFS(Levels!E:E,Levels!B:B,A2493)</f>
        <v>6.7</v>
      </c>
      <c r="F2493" s="9">
        <f>_xlfn.MAXIFS(Levels!F:F,Levels!B:B,A2493)</f>
        <v>8.07</v>
      </c>
    </row>
    <row r="2494" spans="1:6" x14ac:dyDescent="0.3">
      <c r="A2494" t="s">
        <v>11270</v>
      </c>
      <c r="B2494" s="6">
        <f>COUNTIF(Levels!B:B,A2494)</f>
        <v>1</v>
      </c>
      <c r="C2494" s="6">
        <f>IFERROR(AVERAGEIF(Levels!B:B,A2494,Levels!E:E),0)</f>
        <v>4.2</v>
      </c>
      <c r="D2494" s="6">
        <f>IFERROR(AVERAGEIF(Levels!B:B,A2494,Levels!F:F),0)</f>
        <v>5.75</v>
      </c>
      <c r="E2494" s="6">
        <f>_xlfn.MAXIFS(Levels!E:E,Levels!B:B,A2494)</f>
        <v>4.2</v>
      </c>
      <c r="F2494" s="6">
        <f>_xlfn.MAXIFS(Levels!F:F,Levels!B:B,A2494)</f>
        <v>5.75</v>
      </c>
    </row>
    <row r="2495" spans="1:6" x14ac:dyDescent="0.3">
      <c r="A2495" t="s">
        <v>11279</v>
      </c>
      <c r="B2495" s="9">
        <f>COUNTIF(Levels!B:B,A2495)</f>
        <v>2</v>
      </c>
      <c r="C2495" s="9">
        <f>IFERROR(AVERAGEIF(Levels!B:B,A2495,Levels!E:E),0)</f>
        <v>18.5</v>
      </c>
      <c r="D2495" s="9">
        <f>IFERROR(AVERAGEIF(Levels!B:B,A2495,Levels!F:F),0)</f>
        <v>7.0250000000000004</v>
      </c>
      <c r="E2495" s="9">
        <f>_xlfn.MAXIFS(Levels!E:E,Levels!B:B,A2495)</f>
        <v>19</v>
      </c>
      <c r="F2495" s="9">
        <f>_xlfn.MAXIFS(Levels!F:F,Levels!B:B,A2495)</f>
        <v>7.25</v>
      </c>
    </row>
    <row r="2496" spans="1:6" x14ac:dyDescent="0.3">
      <c r="A2496" t="s">
        <v>11283</v>
      </c>
      <c r="B2496" s="6">
        <f>COUNTIF(Levels!B:B,A2496)</f>
        <v>1</v>
      </c>
      <c r="C2496" s="6">
        <f>IFERROR(AVERAGEIF(Levels!B:B,A2496,Levels!E:E),0)</f>
        <v>14.34</v>
      </c>
      <c r="D2496" s="6">
        <f>IFERROR(AVERAGEIF(Levels!B:B,A2496,Levels!F:F),0)</f>
        <v>7.08</v>
      </c>
      <c r="E2496" s="6">
        <f>_xlfn.MAXIFS(Levels!E:E,Levels!B:B,A2496)</f>
        <v>14.34</v>
      </c>
      <c r="F2496" s="6">
        <f>_xlfn.MAXIFS(Levels!F:F,Levels!B:B,A2496)</f>
        <v>7.08</v>
      </c>
    </row>
    <row r="2497" spans="1:6" x14ac:dyDescent="0.3">
      <c r="A2497" t="s">
        <v>11295</v>
      </c>
      <c r="B2497" s="9">
        <f>COUNTIF(Levels!B:B,A2497)</f>
        <v>2</v>
      </c>
      <c r="C2497" s="9">
        <f>IFERROR(AVERAGEIF(Levels!B:B,A2497,Levels!E:E),0)</f>
        <v>3.0649999999999999</v>
      </c>
      <c r="D2497" s="9">
        <f>IFERROR(AVERAGEIF(Levels!B:B,A2497,Levels!F:F),0)</f>
        <v>7.01</v>
      </c>
      <c r="E2497" s="9">
        <f>_xlfn.MAXIFS(Levels!E:E,Levels!B:B,A2497)</f>
        <v>4.08</v>
      </c>
      <c r="F2497" s="9">
        <f>_xlfn.MAXIFS(Levels!F:F,Levels!B:B,A2497)</f>
        <v>7.45</v>
      </c>
    </row>
    <row r="2498" spans="1:6" x14ac:dyDescent="0.3">
      <c r="A2498" t="s">
        <v>11303</v>
      </c>
      <c r="B2498" s="6">
        <f>COUNTIF(Levels!B:B,A2498)</f>
        <v>1</v>
      </c>
      <c r="C2498" s="6">
        <f>IFERROR(AVERAGEIF(Levels!B:B,A2498,Levels!E:E),0)</f>
        <v>12.33</v>
      </c>
      <c r="D2498" s="6">
        <f>IFERROR(AVERAGEIF(Levels!B:B,A2498,Levels!F:F),0)</f>
        <v>6.75</v>
      </c>
      <c r="E2498" s="6">
        <f>_xlfn.MAXIFS(Levels!E:E,Levels!B:B,A2498)</f>
        <v>12.33</v>
      </c>
      <c r="F2498" s="6">
        <f>_xlfn.MAXIFS(Levels!F:F,Levels!B:B,A2498)</f>
        <v>6.75</v>
      </c>
    </row>
    <row r="2499" spans="1:6" x14ac:dyDescent="0.3">
      <c r="A2499" t="s">
        <v>11306</v>
      </c>
      <c r="B2499" s="9">
        <f>COUNTIF(Levels!B:B,A2499)</f>
        <v>2</v>
      </c>
      <c r="C2499" s="9">
        <f>IFERROR(AVERAGEIF(Levels!B:B,A2499,Levels!E:E),0)</f>
        <v>14.05</v>
      </c>
      <c r="D2499" s="9">
        <f>IFERROR(AVERAGEIF(Levels!B:B,A2499,Levels!F:F),0)</f>
        <v>7.93</v>
      </c>
      <c r="E2499" s="9">
        <f>_xlfn.MAXIFS(Levels!E:E,Levels!B:B,A2499)</f>
        <v>15.77</v>
      </c>
      <c r="F2499" s="9">
        <f>_xlfn.MAXIFS(Levels!F:F,Levels!B:B,A2499)</f>
        <v>8.36</v>
      </c>
    </row>
    <row r="2500" spans="1:6" x14ac:dyDescent="0.3">
      <c r="A2500" t="s">
        <v>11314</v>
      </c>
      <c r="B2500" s="6">
        <f>COUNTIF(Levels!B:B,A2500)</f>
        <v>1</v>
      </c>
      <c r="C2500" s="6">
        <f>IFERROR(AVERAGEIF(Levels!B:B,A2500,Levels!E:E),0)</f>
        <v>19.440000000000001</v>
      </c>
      <c r="D2500" s="6">
        <f>IFERROR(AVERAGEIF(Levels!B:B,A2500,Levels!F:F),0)</f>
        <v>6.78</v>
      </c>
      <c r="E2500" s="6">
        <f>_xlfn.MAXIFS(Levels!E:E,Levels!B:B,A2500)</f>
        <v>19.440000000000001</v>
      </c>
      <c r="F2500" s="6">
        <f>_xlfn.MAXIFS(Levels!F:F,Levels!B:B,A2500)</f>
        <v>6.78</v>
      </c>
    </row>
    <row r="2501" spans="1:6" x14ac:dyDescent="0.3">
      <c r="A2501" t="s">
        <v>11317</v>
      </c>
      <c r="B2501" s="9">
        <f>COUNTIF(Levels!B:B,A2501)</f>
        <v>4</v>
      </c>
      <c r="C2501" s="9">
        <f>IFERROR(AVERAGEIF(Levels!B:B,A2501,Levels!E:E),0)</f>
        <v>5.3125</v>
      </c>
      <c r="D2501" s="9">
        <f>IFERROR(AVERAGEIF(Levels!B:B,A2501,Levels!F:F),0)</f>
        <v>7.0824999999999996</v>
      </c>
      <c r="E2501" s="9">
        <f>_xlfn.MAXIFS(Levels!E:E,Levels!B:B,A2501)</f>
        <v>9.18</v>
      </c>
      <c r="F2501" s="9">
        <f>_xlfn.MAXIFS(Levels!F:F,Levels!B:B,A2501)</f>
        <v>7.88</v>
      </c>
    </row>
    <row r="2502" spans="1:6" x14ac:dyDescent="0.3">
      <c r="A2502" t="s">
        <v>11319</v>
      </c>
      <c r="B2502" s="6">
        <f>COUNTIF(Levels!B:B,A2502)</f>
        <v>2</v>
      </c>
      <c r="C2502" s="6">
        <f>IFERROR(AVERAGEIF(Levels!B:B,A2502,Levels!E:E),0)</f>
        <v>17.98</v>
      </c>
      <c r="D2502" s="6">
        <f>IFERROR(AVERAGEIF(Levels!B:B,A2502,Levels!F:F),0)</f>
        <v>3.9950000000000001</v>
      </c>
      <c r="E2502" s="6">
        <f>_xlfn.MAXIFS(Levels!E:E,Levels!B:B,A2502)</f>
        <v>31</v>
      </c>
      <c r="F2502" s="6">
        <f>_xlfn.MAXIFS(Levels!F:F,Levels!B:B,A2502)</f>
        <v>7.99</v>
      </c>
    </row>
    <row r="2503" spans="1:6" x14ac:dyDescent="0.3">
      <c r="A2503" t="s">
        <v>11321</v>
      </c>
      <c r="B2503" s="9">
        <f>COUNTIF(Levels!B:B,A2503)</f>
        <v>1</v>
      </c>
      <c r="C2503" s="9">
        <f>IFERROR(AVERAGEIF(Levels!B:B,A2503,Levels!E:E),0)</f>
        <v>13.61</v>
      </c>
      <c r="D2503" s="9">
        <f>IFERROR(AVERAGEIF(Levels!B:B,A2503,Levels!F:F),0)</f>
        <v>7.36</v>
      </c>
      <c r="E2503" s="9">
        <f>_xlfn.MAXIFS(Levels!E:E,Levels!B:B,A2503)</f>
        <v>13.61</v>
      </c>
      <c r="F2503" s="9">
        <f>_xlfn.MAXIFS(Levels!F:F,Levels!B:B,A2503)</f>
        <v>7.36</v>
      </c>
    </row>
    <row r="2504" spans="1:6" x14ac:dyDescent="0.3">
      <c r="A2504" t="s">
        <v>11323</v>
      </c>
      <c r="B2504" s="6">
        <f>COUNTIF(Levels!B:B,A2504)</f>
        <v>3</v>
      </c>
      <c r="C2504" s="6">
        <f>IFERROR(AVERAGEIF(Levels!B:B,A2504,Levels!E:E),0)</f>
        <v>16.46</v>
      </c>
      <c r="D2504" s="6">
        <f>IFERROR(AVERAGEIF(Levels!B:B,A2504,Levels!F:F),0)</f>
        <v>7.1266666666666678</v>
      </c>
      <c r="E2504" s="6">
        <f>_xlfn.MAXIFS(Levels!E:E,Levels!B:B,A2504)</f>
        <v>16.829999999999998</v>
      </c>
      <c r="F2504" s="6">
        <f>_xlfn.MAXIFS(Levels!F:F,Levels!B:B,A2504)</f>
        <v>7.42</v>
      </c>
    </row>
    <row r="2505" spans="1:6" x14ac:dyDescent="0.3">
      <c r="A2505" t="s">
        <v>11328</v>
      </c>
      <c r="B2505" s="9">
        <f>COUNTIF(Levels!B:B,A2505)</f>
        <v>2</v>
      </c>
      <c r="C2505" s="9">
        <f>IFERROR(AVERAGEIF(Levels!B:B,A2505,Levels!E:E),0)</f>
        <v>1.1399999999999999</v>
      </c>
      <c r="D2505" s="9">
        <f>IFERROR(AVERAGEIF(Levels!B:B,A2505,Levels!F:F),0)</f>
        <v>6.32</v>
      </c>
      <c r="E2505" s="9">
        <f>_xlfn.MAXIFS(Levels!E:E,Levels!B:B,A2505)</f>
        <v>1.1399999999999999</v>
      </c>
      <c r="F2505" s="9">
        <f>_xlfn.MAXIFS(Levels!F:F,Levels!B:B,A2505)</f>
        <v>6.38</v>
      </c>
    </row>
    <row r="2506" spans="1:6" x14ac:dyDescent="0.3">
      <c r="A2506" t="s">
        <v>11337</v>
      </c>
      <c r="B2506" s="6">
        <f>COUNTIF(Levels!B:B,A2506)</f>
        <v>1</v>
      </c>
      <c r="C2506" s="6">
        <f>IFERROR(AVERAGEIF(Levels!B:B,A2506,Levels!E:E),0)</f>
        <v>16.600000000000001</v>
      </c>
      <c r="D2506" s="6">
        <f>IFERROR(AVERAGEIF(Levels!B:B,A2506,Levels!F:F),0)</f>
        <v>8.4</v>
      </c>
      <c r="E2506" s="6">
        <f>_xlfn.MAXIFS(Levels!E:E,Levels!B:B,A2506)</f>
        <v>16.600000000000001</v>
      </c>
      <c r="F2506" s="6">
        <f>_xlfn.MAXIFS(Levels!F:F,Levels!B:B,A2506)</f>
        <v>8.4</v>
      </c>
    </row>
    <row r="2507" spans="1:6" x14ac:dyDescent="0.3">
      <c r="A2507" t="s">
        <v>11340</v>
      </c>
      <c r="B2507" s="9">
        <f>COUNTIF(Levels!B:B,A2507)</f>
        <v>1</v>
      </c>
      <c r="C2507" s="9">
        <f>IFERROR(AVERAGEIF(Levels!B:B,A2507,Levels!E:E),0)</f>
        <v>16.190000000000001</v>
      </c>
      <c r="D2507" s="9">
        <f>IFERROR(AVERAGEIF(Levels!B:B,A2507,Levels!F:F),0)</f>
        <v>8.0399999999999991</v>
      </c>
      <c r="E2507" s="9">
        <f>_xlfn.MAXIFS(Levels!E:E,Levels!B:B,A2507)</f>
        <v>16.190000000000001</v>
      </c>
      <c r="F2507" s="9">
        <f>_xlfn.MAXIFS(Levels!F:F,Levels!B:B,A2507)</f>
        <v>8.0399999999999991</v>
      </c>
    </row>
    <row r="2508" spans="1:6" x14ac:dyDescent="0.3">
      <c r="A2508" t="s">
        <v>11346</v>
      </c>
      <c r="B2508" s="6">
        <f>COUNTIF(Levels!B:B,A2508)</f>
        <v>1</v>
      </c>
      <c r="C2508" s="6">
        <f>IFERROR(AVERAGEIF(Levels!B:B,A2508,Levels!E:E),0)</f>
        <v>1.04</v>
      </c>
      <c r="D2508" s="6">
        <f>IFERROR(AVERAGEIF(Levels!B:B,A2508,Levels!F:F),0)</f>
        <v>6.91</v>
      </c>
      <c r="E2508" s="6">
        <f>_xlfn.MAXIFS(Levels!E:E,Levels!B:B,A2508)</f>
        <v>1.04</v>
      </c>
      <c r="F2508" s="6">
        <f>_xlfn.MAXIFS(Levels!F:F,Levels!B:B,A2508)</f>
        <v>6.91</v>
      </c>
    </row>
    <row r="2509" spans="1:6" x14ac:dyDescent="0.3">
      <c r="A2509" t="s">
        <v>11351</v>
      </c>
      <c r="B2509" s="9">
        <f>COUNTIF(Levels!B:B,A2509)</f>
        <v>2</v>
      </c>
      <c r="C2509" s="9">
        <f>IFERROR(AVERAGEIF(Levels!B:B,A2509,Levels!E:E),0)</f>
        <v>2.4699999999999998</v>
      </c>
      <c r="D2509" s="9">
        <f>IFERROR(AVERAGEIF(Levels!B:B,A2509,Levels!F:F),0)</f>
        <v>7.15</v>
      </c>
      <c r="E2509" s="9">
        <f>_xlfn.MAXIFS(Levels!E:E,Levels!B:B,A2509)</f>
        <v>2.86</v>
      </c>
      <c r="F2509" s="9">
        <f>_xlfn.MAXIFS(Levels!F:F,Levels!B:B,A2509)</f>
        <v>7.19</v>
      </c>
    </row>
    <row r="2510" spans="1:6" x14ac:dyDescent="0.3">
      <c r="A2510" t="s">
        <v>11354</v>
      </c>
      <c r="B2510" s="6">
        <f>COUNTIF(Levels!B:B,A2510)</f>
        <v>1</v>
      </c>
      <c r="C2510" s="6">
        <f>IFERROR(AVERAGEIF(Levels!B:B,A2510,Levels!E:E),0)</f>
        <v>2.5499999999999998</v>
      </c>
      <c r="D2510" s="6">
        <f>IFERROR(AVERAGEIF(Levels!B:B,A2510,Levels!F:F),0)</f>
        <v>5.57</v>
      </c>
      <c r="E2510" s="6">
        <f>_xlfn.MAXIFS(Levels!E:E,Levels!B:B,A2510)</f>
        <v>2.5499999999999998</v>
      </c>
      <c r="F2510" s="6">
        <f>_xlfn.MAXIFS(Levels!F:F,Levels!B:B,A2510)</f>
        <v>5.57</v>
      </c>
    </row>
    <row r="2511" spans="1:6" x14ac:dyDescent="0.3">
      <c r="A2511" t="s">
        <v>11356</v>
      </c>
      <c r="B2511" s="9">
        <f>COUNTIF(Levels!B:B,A2511)</f>
        <v>1</v>
      </c>
      <c r="C2511" s="9">
        <f>IFERROR(AVERAGEIF(Levels!B:B,A2511,Levels!E:E),0)</f>
        <v>5.43</v>
      </c>
      <c r="D2511" s="9">
        <f>IFERROR(AVERAGEIF(Levels!B:B,A2511,Levels!F:F),0)</f>
        <v>6.43</v>
      </c>
      <c r="E2511" s="9">
        <f>_xlfn.MAXIFS(Levels!E:E,Levels!B:B,A2511)</f>
        <v>5.43</v>
      </c>
      <c r="F2511" s="9">
        <f>_xlfn.MAXIFS(Levels!F:F,Levels!B:B,A2511)</f>
        <v>6.43</v>
      </c>
    </row>
    <row r="2512" spans="1:6" x14ac:dyDescent="0.3">
      <c r="A2512" t="s">
        <v>11362</v>
      </c>
      <c r="B2512" s="6">
        <f>COUNTIF(Levels!B:B,A2512)</f>
        <v>1</v>
      </c>
      <c r="C2512" s="6">
        <f>IFERROR(AVERAGEIF(Levels!B:B,A2512,Levels!E:E),0)</f>
        <v>18.43</v>
      </c>
      <c r="D2512" s="6">
        <f>IFERROR(AVERAGEIF(Levels!B:B,A2512,Levels!F:F),0)</f>
        <v>6</v>
      </c>
      <c r="E2512" s="6">
        <f>_xlfn.MAXIFS(Levels!E:E,Levels!B:B,A2512)</f>
        <v>18.43</v>
      </c>
      <c r="F2512" s="6">
        <f>_xlfn.MAXIFS(Levels!F:F,Levels!B:B,A2512)</f>
        <v>6</v>
      </c>
    </row>
    <row r="2513" spans="1:6" x14ac:dyDescent="0.3">
      <c r="A2513" t="s">
        <v>11367</v>
      </c>
      <c r="B2513" s="9">
        <f>COUNTIF(Levels!B:B,A2513)</f>
        <v>1</v>
      </c>
      <c r="C2513" s="9">
        <f>IFERROR(AVERAGEIF(Levels!B:B,A2513,Levels!E:E),0)</f>
        <v>15.2</v>
      </c>
      <c r="D2513" s="9">
        <f>IFERROR(AVERAGEIF(Levels!B:B,A2513,Levels!F:F),0)</f>
        <v>3.2</v>
      </c>
      <c r="E2513" s="9">
        <f>_xlfn.MAXIFS(Levels!E:E,Levels!B:B,A2513)</f>
        <v>15.2</v>
      </c>
      <c r="F2513" s="9">
        <f>_xlfn.MAXIFS(Levels!F:F,Levels!B:B,A2513)</f>
        <v>3.2</v>
      </c>
    </row>
    <row r="2514" spans="1:6" x14ac:dyDescent="0.3">
      <c r="A2514" t="s">
        <v>11374</v>
      </c>
      <c r="B2514" s="6">
        <f>COUNTIF(Levels!B:B,A2514)</f>
        <v>2</v>
      </c>
      <c r="C2514" s="6">
        <f>IFERROR(AVERAGEIF(Levels!B:B,A2514,Levels!E:E),0)</f>
        <v>22.07</v>
      </c>
      <c r="D2514" s="6">
        <f>IFERROR(AVERAGEIF(Levels!B:B,A2514,Levels!F:F),0)</f>
        <v>6.25</v>
      </c>
      <c r="E2514" s="6">
        <f>_xlfn.MAXIFS(Levels!E:E,Levels!B:B,A2514)</f>
        <v>22.07</v>
      </c>
      <c r="F2514" s="6">
        <f>_xlfn.MAXIFS(Levels!F:F,Levels!B:B,A2514)</f>
        <v>6.25</v>
      </c>
    </row>
    <row r="2515" spans="1:6" x14ac:dyDescent="0.3">
      <c r="A2515" t="s">
        <v>11376</v>
      </c>
      <c r="B2515" s="9">
        <f>COUNTIF(Levels!B:B,A2515)</f>
        <v>1</v>
      </c>
      <c r="C2515" s="9">
        <f>IFERROR(AVERAGEIF(Levels!B:B,A2515,Levels!E:E),0)</f>
        <v>4.7300000000000004</v>
      </c>
      <c r="D2515" s="9">
        <f>IFERROR(AVERAGEIF(Levels!B:B,A2515,Levels!F:F),0)</f>
        <v>6.89</v>
      </c>
      <c r="E2515" s="9">
        <f>_xlfn.MAXIFS(Levels!E:E,Levels!B:B,A2515)</f>
        <v>4.7300000000000004</v>
      </c>
      <c r="F2515" s="9">
        <f>_xlfn.MAXIFS(Levels!F:F,Levels!B:B,A2515)</f>
        <v>6.89</v>
      </c>
    </row>
    <row r="2516" spans="1:6" x14ac:dyDescent="0.3">
      <c r="A2516" t="s">
        <v>11379</v>
      </c>
      <c r="B2516" s="6">
        <f>COUNTIF(Levels!B:B,A2516)</f>
        <v>1</v>
      </c>
      <c r="C2516" s="6">
        <f>IFERROR(AVERAGEIF(Levels!B:B,A2516,Levels!E:E),0)</f>
        <v>16.04</v>
      </c>
      <c r="D2516" s="6">
        <f>IFERROR(AVERAGEIF(Levels!B:B,A2516,Levels!F:F),0)</f>
        <v>8.48</v>
      </c>
      <c r="E2516" s="6">
        <f>_xlfn.MAXIFS(Levels!E:E,Levels!B:B,A2516)</f>
        <v>16.04</v>
      </c>
      <c r="F2516" s="6">
        <f>_xlfn.MAXIFS(Levels!F:F,Levels!B:B,A2516)</f>
        <v>8.48</v>
      </c>
    </row>
    <row r="2517" spans="1:6" x14ac:dyDescent="0.3">
      <c r="A2517" t="s">
        <v>11384</v>
      </c>
      <c r="B2517" s="9">
        <f>COUNTIF(Levels!B:B,A2517)</f>
        <v>1</v>
      </c>
      <c r="C2517" s="9">
        <f>IFERROR(AVERAGEIF(Levels!B:B,A2517,Levels!E:E),0)</f>
        <v>11.16</v>
      </c>
      <c r="D2517" s="9">
        <f>IFERROR(AVERAGEIF(Levels!B:B,A2517,Levels!F:F),0)</f>
        <v>7.29</v>
      </c>
      <c r="E2517" s="9">
        <f>_xlfn.MAXIFS(Levels!E:E,Levels!B:B,A2517)</f>
        <v>11.16</v>
      </c>
      <c r="F2517" s="9">
        <f>_xlfn.MAXIFS(Levels!F:F,Levels!B:B,A2517)</f>
        <v>7.29</v>
      </c>
    </row>
    <row r="2518" spans="1:6" x14ac:dyDescent="0.3">
      <c r="A2518" t="s">
        <v>11387</v>
      </c>
      <c r="B2518" s="6">
        <f>COUNTIF(Levels!B:B,A2518)</f>
        <v>1</v>
      </c>
      <c r="C2518" s="6">
        <f>IFERROR(AVERAGEIF(Levels!B:B,A2518,Levels!E:E),0)</f>
        <v>12.5</v>
      </c>
      <c r="D2518" s="6">
        <f>IFERROR(AVERAGEIF(Levels!B:B,A2518,Levels!F:F),0)</f>
        <v>6.5</v>
      </c>
      <c r="E2518" s="6">
        <f>_xlfn.MAXIFS(Levels!E:E,Levels!B:B,A2518)</f>
        <v>12.5</v>
      </c>
      <c r="F2518" s="6">
        <f>_xlfn.MAXIFS(Levels!F:F,Levels!B:B,A2518)</f>
        <v>6.5</v>
      </c>
    </row>
    <row r="2519" spans="1:6" x14ac:dyDescent="0.3">
      <c r="A2519" t="s">
        <v>11394</v>
      </c>
      <c r="B2519" s="9">
        <f>COUNTIF(Levels!B:B,A2519)</f>
        <v>1</v>
      </c>
      <c r="C2519" s="9">
        <f>IFERROR(AVERAGEIF(Levels!B:B,A2519,Levels!E:E),0)</f>
        <v>4.93</v>
      </c>
      <c r="D2519" s="9">
        <f>IFERROR(AVERAGEIF(Levels!B:B,A2519,Levels!F:F),0)</f>
        <v>7</v>
      </c>
      <c r="E2519" s="9">
        <f>_xlfn.MAXIFS(Levels!E:E,Levels!B:B,A2519)</f>
        <v>4.93</v>
      </c>
      <c r="F2519" s="9">
        <f>_xlfn.MAXIFS(Levels!F:F,Levels!B:B,A2519)</f>
        <v>7</v>
      </c>
    </row>
    <row r="2520" spans="1:6" x14ac:dyDescent="0.3">
      <c r="A2520" t="s">
        <v>11397</v>
      </c>
      <c r="B2520" s="6">
        <f>COUNTIF(Levels!B:B,A2520)</f>
        <v>1</v>
      </c>
      <c r="C2520" s="6">
        <f>IFERROR(AVERAGEIF(Levels!B:B,A2520,Levels!E:E),0)</f>
        <v>2.02</v>
      </c>
      <c r="D2520" s="6">
        <f>IFERROR(AVERAGEIF(Levels!B:B,A2520,Levels!F:F),0)</f>
        <v>7.37</v>
      </c>
      <c r="E2520" s="6">
        <f>_xlfn.MAXIFS(Levels!E:E,Levels!B:B,A2520)</f>
        <v>2.02</v>
      </c>
      <c r="F2520" s="6">
        <f>_xlfn.MAXIFS(Levels!F:F,Levels!B:B,A2520)</f>
        <v>7.37</v>
      </c>
    </row>
    <row r="2521" spans="1:6" x14ac:dyDescent="0.3">
      <c r="A2521" t="s">
        <v>11400</v>
      </c>
      <c r="B2521" s="9">
        <f>COUNTIF(Levels!B:B,A2521)</f>
        <v>1</v>
      </c>
      <c r="C2521" s="9">
        <f>IFERROR(AVERAGEIF(Levels!B:B,A2521,Levels!E:E),0)</f>
        <v>0</v>
      </c>
      <c r="D2521" s="9">
        <f>IFERROR(AVERAGEIF(Levels!B:B,A2521,Levels!F:F),0)</f>
        <v>0</v>
      </c>
      <c r="E2521" s="9">
        <f>_xlfn.MAXIFS(Levels!E:E,Levels!B:B,A2521)</f>
        <v>0</v>
      </c>
      <c r="F2521" s="9">
        <f>_xlfn.MAXIFS(Levels!F:F,Levels!B:B,A2521)</f>
        <v>0</v>
      </c>
    </row>
    <row r="2522" spans="1:6" x14ac:dyDescent="0.3">
      <c r="A2522" t="s">
        <v>11404</v>
      </c>
      <c r="B2522" s="6">
        <f>COUNTIF(Levels!B:B,A2522)</f>
        <v>4</v>
      </c>
      <c r="C2522" s="6">
        <f>IFERROR(AVERAGEIF(Levels!B:B,A2522,Levels!E:E),0)</f>
        <v>3.4574999999999996</v>
      </c>
      <c r="D2522" s="6">
        <f>IFERROR(AVERAGEIF(Levels!B:B,A2522,Levels!F:F),0)</f>
        <v>6.6125000000000007</v>
      </c>
      <c r="E2522" s="6">
        <f>_xlfn.MAXIFS(Levels!E:E,Levels!B:B,A2522)</f>
        <v>5.13</v>
      </c>
      <c r="F2522" s="6">
        <f>_xlfn.MAXIFS(Levels!F:F,Levels!B:B,A2522)</f>
        <v>7.33</v>
      </c>
    </row>
    <row r="2523" spans="1:6" x14ac:dyDescent="0.3">
      <c r="A2523" t="s">
        <v>11406</v>
      </c>
      <c r="B2523" s="9">
        <f>COUNTIF(Levels!B:B,A2523)</f>
        <v>2</v>
      </c>
      <c r="C2523" s="9">
        <f>IFERROR(AVERAGEIF(Levels!B:B,A2523,Levels!E:E),0)</f>
        <v>14.280000000000001</v>
      </c>
      <c r="D2523" s="9">
        <f>IFERROR(AVERAGEIF(Levels!B:B,A2523,Levels!F:F),0)</f>
        <v>7.08</v>
      </c>
      <c r="E2523" s="9">
        <f>_xlfn.MAXIFS(Levels!E:E,Levels!B:B,A2523)</f>
        <v>19</v>
      </c>
      <c r="F2523" s="9">
        <f>_xlfn.MAXIFS(Levels!F:F,Levels!B:B,A2523)</f>
        <v>8.16</v>
      </c>
    </row>
    <row r="2524" spans="1:6" x14ac:dyDescent="0.3">
      <c r="A2524" t="s">
        <v>11408</v>
      </c>
      <c r="B2524" s="6">
        <f>COUNTIF(Levels!B:B,A2524)</f>
        <v>1</v>
      </c>
      <c r="C2524" s="6">
        <f>IFERROR(AVERAGEIF(Levels!B:B,A2524,Levels!E:E),0)</f>
        <v>3.46</v>
      </c>
      <c r="D2524" s="6">
        <f>IFERROR(AVERAGEIF(Levels!B:B,A2524,Levels!F:F),0)</f>
        <v>6.43</v>
      </c>
      <c r="E2524" s="6">
        <f>_xlfn.MAXIFS(Levels!E:E,Levels!B:B,A2524)</f>
        <v>3.46</v>
      </c>
      <c r="F2524" s="6">
        <f>_xlfn.MAXIFS(Levels!F:F,Levels!B:B,A2524)</f>
        <v>6.43</v>
      </c>
    </row>
    <row r="2525" spans="1:6" x14ac:dyDescent="0.3">
      <c r="A2525" t="s">
        <v>11410</v>
      </c>
      <c r="B2525" s="9">
        <f>COUNTIF(Levels!B:B,A2525)</f>
        <v>7</v>
      </c>
      <c r="C2525" s="9">
        <f>IFERROR(AVERAGEIF(Levels!B:B,A2525,Levels!E:E),0)</f>
        <v>12.103333333333333</v>
      </c>
      <c r="D2525" s="9">
        <f>IFERROR(AVERAGEIF(Levels!B:B,A2525,Levels!F:F),0)</f>
        <v>7.73</v>
      </c>
      <c r="E2525" s="9">
        <f>_xlfn.MAXIFS(Levels!E:E,Levels!B:B,A2525)</f>
        <v>20.78</v>
      </c>
      <c r="F2525" s="9">
        <f>_xlfn.MAXIFS(Levels!F:F,Levels!B:B,A2525)</f>
        <v>8.3800000000000008</v>
      </c>
    </row>
    <row r="2526" spans="1:6" x14ac:dyDescent="0.3">
      <c r="A2526" t="s">
        <v>11414</v>
      </c>
      <c r="B2526" s="6">
        <f>COUNTIF(Levels!B:B,A2526)</f>
        <v>1</v>
      </c>
      <c r="C2526" s="6">
        <f>IFERROR(AVERAGEIF(Levels!B:B,A2526,Levels!E:E),0)</f>
        <v>3.71</v>
      </c>
      <c r="D2526" s="6">
        <f>IFERROR(AVERAGEIF(Levels!B:B,A2526,Levels!F:F),0)</f>
        <v>7.06</v>
      </c>
      <c r="E2526" s="6">
        <f>_xlfn.MAXIFS(Levels!E:E,Levels!B:B,A2526)</f>
        <v>3.71</v>
      </c>
      <c r="F2526" s="6">
        <f>_xlfn.MAXIFS(Levels!F:F,Levels!B:B,A2526)</f>
        <v>7.06</v>
      </c>
    </row>
    <row r="2527" spans="1:6" x14ac:dyDescent="0.3">
      <c r="A2527" t="s">
        <v>11419</v>
      </c>
      <c r="B2527" s="9">
        <f>COUNTIF(Levels!B:B,A2527)</f>
        <v>1</v>
      </c>
      <c r="C2527" s="9">
        <f>IFERROR(AVERAGEIF(Levels!B:B,A2527,Levels!E:E),0)</f>
        <v>4</v>
      </c>
      <c r="D2527" s="9">
        <f>IFERROR(AVERAGEIF(Levels!B:B,A2527,Levels!F:F),0)</f>
        <v>5.93</v>
      </c>
      <c r="E2527" s="9">
        <f>_xlfn.MAXIFS(Levels!E:E,Levels!B:B,A2527)</f>
        <v>4</v>
      </c>
      <c r="F2527" s="9">
        <f>_xlfn.MAXIFS(Levels!F:F,Levels!B:B,A2527)</f>
        <v>5.93</v>
      </c>
    </row>
    <row r="2528" spans="1:6" x14ac:dyDescent="0.3">
      <c r="A2528" t="s">
        <v>11425</v>
      </c>
      <c r="B2528" s="6">
        <f>COUNTIF(Levels!B:B,A2528)</f>
        <v>4</v>
      </c>
      <c r="C2528" s="6">
        <f>IFERROR(AVERAGEIF(Levels!B:B,A2528,Levels!E:E),0)</f>
        <v>23.256666666666664</v>
      </c>
      <c r="D2528" s="6">
        <f>IFERROR(AVERAGEIF(Levels!B:B,A2528,Levels!F:F),0)</f>
        <v>8.4099999999999984</v>
      </c>
      <c r="E2528" s="6">
        <f>_xlfn.MAXIFS(Levels!E:E,Levels!B:B,A2528)</f>
        <v>33</v>
      </c>
      <c r="F2528" s="6">
        <f>_xlfn.MAXIFS(Levels!F:F,Levels!B:B,A2528)</f>
        <v>9.94</v>
      </c>
    </row>
    <row r="2529" spans="1:6" x14ac:dyDescent="0.3">
      <c r="A2529" t="s">
        <v>11432</v>
      </c>
      <c r="B2529" s="9">
        <f>COUNTIF(Levels!B:B,A2529)</f>
        <v>1</v>
      </c>
      <c r="C2529" s="9">
        <f>IFERROR(AVERAGEIF(Levels!B:B,A2529,Levels!E:E),0)</f>
        <v>2.83</v>
      </c>
      <c r="D2529" s="9">
        <f>IFERROR(AVERAGEIF(Levels!B:B,A2529,Levels!F:F),0)</f>
        <v>6.73</v>
      </c>
      <c r="E2529" s="9">
        <f>_xlfn.MAXIFS(Levels!E:E,Levels!B:B,A2529)</f>
        <v>2.83</v>
      </c>
      <c r="F2529" s="9">
        <f>_xlfn.MAXIFS(Levels!F:F,Levels!B:B,A2529)</f>
        <v>6.73</v>
      </c>
    </row>
    <row r="2530" spans="1:6" x14ac:dyDescent="0.3">
      <c r="A2530" t="s">
        <v>11434</v>
      </c>
      <c r="B2530" s="6">
        <f>COUNTIF(Levels!B:B,A2530)</f>
        <v>2</v>
      </c>
      <c r="C2530" s="6">
        <f>IFERROR(AVERAGEIF(Levels!B:B,A2530,Levels!E:E),0)</f>
        <v>20.57</v>
      </c>
      <c r="D2530" s="6">
        <f>IFERROR(AVERAGEIF(Levels!B:B,A2530,Levels!F:F),0)</f>
        <v>7.0549999999999997</v>
      </c>
      <c r="E2530" s="6">
        <f>_xlfn.MAXIFS(Levels!E:E,Levels!B:B,A2530)</f>
        <v>21.39</v>
      </c>
      <c r="F2530" s="6">
        <f>_xlfn.MAXIFS(Levels!F:F,Levels!B:B,A2530)</f>
        <v>7.71</v>
      </c>
    </row>
    <row r="2531" spans="1:6" x14ac:dyDescent="0.3">
      <c r="A2531" t="s">
        <v>11438</v>
      </c>
      <c r="B2531" s="9">
        <f>COUNTIF(Levels!B:B,A2531)</f>
        <v>3</v>
      </c>
      <c r="C2531" s="9">
        <f>IFERROR(AVERAGEIF(Levels!B:B,A2531,Levels!E:E),0)</f>
        <v>24.73</v>
      </c>
      <c r="D2531" s="9">
        <f>IFERROR(AVERAGEIF(Levels!B:B,A2531,Levels!F:F),0)</f>
        <v>9.4400000000000013</v>
      </c>
      <c r="E2531" s="9">
        <f>_xlfn.MAXIFS(Levels!E:E,Levels!B:B,A2531)</f>
        <v>27.75</v>
      </c>
      <c r="F2531" s="9">
        <f>_xlfn.MAXIFS(Levels!F:F,Levels!B:B,A2531)</f>
        <v>9.5</v>
      </c>
    </row>
    <row r="2532" spans="1:6" x14ac:dyDescent="0.3">
      <c r="A2532" t="s">
        <v>11441</v>
      </c>
      <c r="B2532" s="6">
        <f>COUNTIF(Levels!B:B,A2532)</f>
        <v>1</v>
      </c>
      <c r="C2532" s="6">
        <f>IFERROR(AVERAGEIF(Levels!B:B,A2532,Levels!E:E),0)</f>
        <v>2.52</v>
      </c>
      <c r="D2532" s="6">
        <f>IFERROR(AVERAGEIF(Levels!B:B,A2532,Levels!F:F),0)</f>
        <v>6.87</v>
      </c>
      <c r="E2532" s="6">
        <f>_xlfn.MAXIFS(Levels!E:E,Levels!B:B,A2532)</f>
        <v>2.52</v>
      </c>
      <c r="F2532" s="6">
        <f>_xlfn.MAXIFS(Levels!F:F,Levels!B:B,A2532)</f>
        <v>6.87</v>
      </c>
    </row>
    <row r="2533" spans="1:6" x14ac:dyDescent="0.3">
      <c r="A2533" t="s">
        <v>11443</v>
      </c>
      <c r="B2533" s="9">
        <f>COUNTIF(Levels!B:B,A2533)</f>
        <v>3</v>
      </c>
      <c r="C2533" s="9">
        <f>IFERROR(AVERAGEIF(Levels!B:B,A2533,Levels!E:E),0)</f>
        <v>6.623333333333334</v>
      </c>
      <c r="D2533" s="9">
        <f>IFERROR(AVERAGEIF(Levels!B:B,A2533,Levels!F:F),0)</f>
        <v>6.1133333333333333</v>
      </c>
      <c r="E2533" s="9">
        <f>_xlfn.MAXIFS(Levels!E:E,Levels!B:B,A2533)</f>
        <v>11.5</v>
      </c>
      <c r="F2533" s="9">
        <f>_xlfn.MAXIFS(Levels!F:F,Levels!B:B,A2533)</f>
        <v>7.02</v>
      </c>
    </row>
    <row r="2534" spans="1:6" x14ac:dyDescent="0.3">
      <c r="A2534" t="s">
        <v>11446</v>
      </c>
      <c r="B2534" s="6">
        <f>COUNTIF(Levels!B:B,A2534)</f>
        <v>1</v>
      </c>
      <c r="C2534" s="6">
        <f>IFERROR(AVERAGEIF(Levels!B:B,A2534,Levels!E:E),0)</f>
        <v>2.1</v>
      </c>
      <c r="D2534" s="6">
        <f>IFERROR(AVERAGEIF(Levels!B:B,A2534,Levels!F:F),0)</f>
        <v>5.47</v>
      </c>
      <c r="E2534" s="6">
        <f>_xlfn.MAXIFS(Levels!E:E,Levels!B:B,A2534)</f>
        <v>2.1</v>
      </c>
      <c r="F2534" s="6">
        <f>_xlfn.MAXIFS(Levels!F:F,Levels!B:B,A2534)</f>
        <v>5.47</v>
      </c>
    </row>
    <row r="2535" spans="1:6" x14ac:dyDescent="0.3">
      <c r="A2535" t="s">
        <v>11448</v>
      </c>
      <c r="B2535" s="9">
        <f>COUNTIF(Levels!B:B,A2535)</f>
        <v>2</v>
      </c>
      <c r="C2535" s="9">
        <f>IFERROR(AVERAGEIF(Levels!B:B,A2535,Levels!E:E),0)</f>
        <v>12.315</v>
      </c>
      <c r="D2535" s="9">
        <f>IFERROR(AVERAGEIF(Levels!B:B,A2535,Levels!F:F),0)</f>
        <v>6.4749999999999996</v>
      </c>
      <c r="E2535" s="9">
        <f>_xlfn.MAXIFS(Levels!E:E,Levels!B:B,A2535)</f>
        <v>20</v>
      </c>
      <c r="F2535" s="9">
        <f>_xlfn.MAXIFS(Levels!F:F,Levels!B:B,A2535)</f>
        <v>7.95</v>
      </c>
    </row>
    <row r="2536" spans="1:6" x14ac:dyDescent="0.3">
      <c r="A2536" t="s">
        <v>11451</v>
      </c>
      <c r="B2536" s="6">
        <f>COUNTIF(Levels!B:B,A2536)</f>
        <v>1</v>
      </c>
      <c r="C2536" s="6">
        <f>IFERROR(AVERAGEIF(Levels!B:B,A2536,Levels!E:E),0)</f>
        <v>14</v>
      </c>
      <c r="D2536" s="6">
        <f>IFERROR(AVERAGEIF(Levels!B:B,A2536,Levels!F:F),0)</f>
        <v>4</v>
      </c>
      <c r="E2536" s="6">
        <f>_xlfn.MAXIFS(Levels!E:E,Levels!B:B,A2536)</f>
        <v>14</v>
      </c>
      <c r="F2536" s="6">
        <f>_xlfn.MAXIFS(Levels!F:F,Levels!B:B,A2536)</f>
        <v>4</v>
      </c>
    </row>
    <row r="2537" spans="1:6" x14ac:dyDescent="0.3">
      <c r="A2537" t="s">
        <v>11458</v>
      </c>
      <c r="B2537" s="9">
        <f>COUNTIF(Levels!B:B,A2537)</f>
        <v>1</v>
      </c>
      <c r="C2537" s="9">
        <f>IFERROR(AVERAGEIF(Levels!B:B,A2537,Levels!E:E),0)</f>
        <v>10.75</v>
      </c>
      <c r="D2537" s="9">
        <f>IFERROR(AVERAGEIF(Levels!B:B,A2537,Levels!F:F),0)</f>
        <v>7.25</v>
      </c>
      <c r="E2537" s="9">
        <f>_xlfn.MAXIFS(Levels!E:E,Levels!B:B,A2537)</f>
        <v>10.75</v>
      </c>
      <c r="F2537" s="9">
        <f>_xlfn.MAXIFS(Levels!F:F,Levels!B:B,A2537)</f>
        <v>7.25</v>
      </c>
    </row>
    <row r="2538" spans="1:6" x14ac:dyDescent="0.3">
      <c r="A2538" t="s">
        <v>11460</v>
      </c>
      <c r="B2538" s="6">
        <f>COUNTIF(Levels!B:B,A2538)</f>
        <v>3</v>
      </c>
      <c r="C2538" s="6">
        <f>IFERROR(AVERAGEIF(Levels!B:B,A2538,Levels!E:E),0)</f>
        <v>16.925000000000001</v>
      </c>
      <c r="D2538" s="6">
        <f>IFERROR(AVERAGEIF(Levels!B:B,A2538,Levels!F:F),0)</f>
        <v>7.65</v>
      </c>
      <c r="E2538" s="6">
        <f>_xlfn.MAXIFS(Levels!E:E,Levels!B:B,A2538)</f>
        <v>18.13</v>
      </c>
      <c r="F2538" s="6">
        <f>_xlfn.MAXIFS(Levels!F:F,Levels!B:B,A2538)</f>
        <v>8.23</v>
      </c>
    </row>
    <row r="2539" spans="1:6" x14ac:dyDescent="0.3">
      <c r="A2539" t="s">
        <v>11464</v>
      </c>
      <c r="B2539" s="9">
        <f>COUNTIF(Levels!B:B,A2539)</f>
        <v>1</v>
      </c>
      <c r="C2539" s="9">
        <f>IFERROR(AVERAGEIF(Levels!B:B,A2539,Levels!E:E),0)</f>
        <v>14.93</v>
      </c>
      <c r="D2539" s="9">
        <f>IFERROR(AVERAGEIF(Levels!B:B,A2539,Levels!F:F),0)</f>
        <v>8.5299999999999994</v>
      </c>
      <c r="E2539" s="9">
        <f>_xlfn.MAXIFS(Levels!E:E,Levels!B:B,A2539)</f>
        <v>14.93</v>
      </c>
      <c r="F2539" s="9">
        <f>_xlfn.MAXIFS(Levels!F:F,Levels!B:B,A2539)</f>
        <v>8.5299999999999994</v>
      </c>
    </row>
    <row r="2540" spans="1:6" x14ac:dyDescent="0.3">
      <c r="A2540" t="s">
        <v>11468</v>
      </c>
      <c r="B2540" s="6">
        <f>COUNTIF(Levels!B:B,A2540)</f>
        <v>1</v>
      </c>
      <c r="C2540" s="6">
        <f>IFERROR(AVERAGEIF(Levels!B:B,A2540,Levels!E:E),0)</f>
        <v>14.83</v>
      </c>
      <c r="D2540" s="6">
        <f>IFERROR(AVERAGEIF(Levels!B:B,A2540,Levels!F:F),0)</f>
        <v>6.55</v>
      </c>
      <c r="E2540" s="6">
        <f>_xlfn.MAXIFS(Levels!E:E,Levels!B:B,A2540)</f>
        <v>14.83</v>
      </c>
      <c r="F2540" s="6">
        <f>_xlfn.MAXIFS(Levels!F:F,Levels!B:B,A2540)</f>
        <v>6.55</v>
      </c>
    </row>
    <row r="2541" spans="1:6" x14ac:dyDescent="0.3">
      <c r="A2541" t="s">
        <v>11477</v>
      </c>
      <c r="B2541" s="9">
        <f>COUNTIF(Levels!B:B,A2541)</f>
        <v>3</v>
      </c>
      <c r="C2541" s="9">
        <f>IFERROR(AVERAGEIF(Levels!B:B,A2541,Levels!E:E),0)</f>
        <v>2.6950000000000003</v>
      </c>
      <c r="D2541" s="9">
        <f>IFERROR(AVERAGEIF(Levels!B:B,A2541,Levels!F:F),0)</f>
        <v>6.3266666666666671</v>
      </c>
      <c r="E2541" s="9">
        <f>_xlfn.MAXIFS(Levels!E:E,Levels!B:B,A2541)</f>
        <v>3.17</v>
      </c>
      <c r="F2541" s="9">
        <f>_xlfn.MAXIFS(Levels!F:F,Levels!B:B,A2541)</f>
        <v>7.59</v>
      </c>
    </row>
    <row r="2542" spans="1:6" x14ac:dyDescent="0.3">
      <c r="A2542" t="s">
        <v>11479</v>
      </c>
      <c r="B2542" s="6">
        <f>COUNTIF(Levels!B:B,A2542)</f>
        <v>1</v>
      </c>
      <c r="C2542" s="6">
        <f>IFERROR(AVERAGEIF(Levels!B:B,A2542,Levels!E:E),0)</f>
        <v>14.41</v>
      </c>
      <c r="D2542" s="6">
        <f>IFERROR(AVERAGEIF(Levels!B:B,A2542,Levels!F:F),0)</f>
        <v>5.33</v>
      </c>
      <c r="E2542" s="6">
        <f>_xlfn.MAXIFS(Levels!E:E,Levels!B:B,A2542)</f>
        <v>14.41</v>
      </c>
      <c r="F2542" s="6">
        <f>_xlfn.MAXIFS(Levels!F:F,Levels!B:B,A2542)</f>
        <v>5.33</v>
      </c>
    </row>
    <row r="2543" spans="1:6" x14ac:dyDescent="0.3">
      <c r="A2543" t="s">
        <v>11482</v>
      </c>
      <c r="B2543" s="9">
        <f>COUNTIF(Levels!B:B,A2543)</f>
        <v>1</v>
      </c>
      <c r="C2543" s="9">
        <f>IFERROR(AVERAGEIF(Levels!B:B,A2543,Levels!E:E),0)</f>
        <v>22.4</v>
      </c>
      <c r="D2543" s="9">
        <f>IFERROR(AVERAGEIF(Levels!B:B,A2543,Levels!F:F),0)</f>
        <v>4.2</v>
      </c>
      <c r="E2543" s="9">
        <f>_xlfn.MAXIFS(Levels!E:E,Levels!B:B,A2543)</f>
        <v>22.4</v>
      </c>
      <c r="F2543" s="9">
        <f>_xlfn.MAXIFS(Levels!F:F,Levels!B:B,A2543)</f>
        <v>4.2</v>
      </c>
    </row>
    <row r="2544" spans="1:6" x14ac:dyDescent="0.3">
      <c r="A2544" t="s">
        <v>11484</v>
      </c>
      <c r="B2544" s="6">
        <f>COUNTIF(Levels!B:B,A2544)</f>
        <v>2</v>
      </c>
      <c r="C2544" s="6">
        <f>IFERROR(AVERAGEIF(Levels!B:B,A2544,Levels!E:E),0)</f>
        <v>3.8600000000000003</v>
      </c>
      <c r="D2544" s="6">
        <f>IFERROR(AVERAGEIF(Levels!B:B,A2544,Levels!F:F),0)</f>
        <v>7.4849999999999994</v>
      </c>
      <c r="E2544" s="6">
        <f>_xlfn.MAXIFS(Levels!E:E,Levels!B:B,A2544)</f>
        <v>5.08</v>
      </c>
      <c r="F2544" s="6">
        <f>_xlfn.MAXIFS(Levels!F:F,Levels!B:B,A2544)</f>
        <v>7.83</v>
      </c>
    </row>
    <row r="2545" spans="1:6" x14ac:dyDescent="0.3">
      <c r="A2545" t="s">
        <v>11490</v>
      </c>
      <c r="B2545" s="9">
        <f>COUNTIF(Levels!B:B,A2545)</f>
        <v>1</v>
      </c>
      <c r="C2545" s="9">
        <f>IFERROR(AVERAGEIF(Levels!B:B,A2545,Levels!E:E),0)</f>
        <v>21.72</v>
      </c>
      <c r="D2545" s="9">
        <f>IFERROR(AVERAGEIF(Levels!B:B,A2545,Levels!F:F),0)</f>
        <v>7.24</v>
      </c>
      <c r="E2545" s="9">
        <f>_xlfn.MAXIFS(Levels!E:E,Levels!B:B,A2545)</f>
        <v>21.72</v>
      </c>
      <c r="F2545" s="9">
        <f>_xlfn.MAXIFS(Levels!F:F,Levels!B:B,A2545)</f>
        <v>7.24</v>
      </c>
    </row>
    <row r="2546" spans="1:6" x14ac:dyDescent="0.3">
      <c r="A2546" t="s">
        <v>11492</v>
      </c>
      <c r="B2546" s="6">
        <f>COUNTIF(Levels!B:B,A2546)</f>
        <v>1</v>
      </c>
      <c r="C2546" s="6">
        <f>IFERROR(AVERAGEIF(Levels!B:B,A2546,Levels!E:E),0)</f>
        <v>6.29</v>
      </c>
      <c r="D2546" s="6">
        <f>IFERROR(AVERAGEIF(Levels!B:B,A2546,Levels!F:F),0)</f>
        <v>8</v>
      </c>
      <c r="E2546" s="6">
        <f>_xlfn.MAXIFS(Levels!E:E,Levels!B:B,A2546)</f>
        <v>6.29</v>
      </c>
      <c r="F2546" s="6">
        <f>_xlfn.MAXIFS(Levels!F:F,Levels!B:B,A2546)</f>
        <v>8</v>
      </c>
    </row>
    <row r="2547" spans="1:6" x14ac:dyDescent="0.3">
      <c r="A2547" t="s">
        <v>11494</v>
      </c>
      <c r="B2547" s="9">
        <f>COUNTIF(Levels!B:B,A2547)</f>
        <v>2</v>
      </c>
      <c r="C2547" s="9">
        <f>IFERROR(AVERAGEIF(Levels!B:B,A2547,Levels!E:E),0)</f>
        <v>32</v>
      </c>
      <c r="D2547" s="9">
        <f>IFERROR(AVERAGEIF(Levels!B:B,A2547,Levels!F:F),0)</f>
        <v>5.3550000000000004</v>
      </c>
      <c r="E2547" s="9">
        <f>_xlfn.MAXIFS(Levels!E:E,Levels!B:B,A2547)</f>
        <v>32</v>
      </c>
      <c r="F2547" s="9">
        <f>_xlfn.MAXIFS(Levels!F:F,Levels!B:B,A2547)</f>
        <v>8</v>
      </c>
    </row>
    <row r="2548" spans="1:6" x14ac:dyDescent="0.3">
      <c r="A2548" t="s">
        <v>11496</v>
      </c>
      <c r="B2548" s="6">
        <f>COUNTIF(Levels!B:B,A2548)</f>
        <v>1</v>
      </c>
      <c r="C2548" s="6">
        <f>IFERROR(AVERAGEIF(Levels!B:B,A2548,Levels!E:E),0)</f>
        <v>5.64</v>
      </c>
      <c r="D2548" s="6">
        <f>IFERROR(AVERAGEIF(Levels!B:B,A2548,Levels!F:F),0)</f>
        <v>5.75</v>
      </c>
      <c r="E2548" s="6">
        <f>_xlfn.MAXIFS(Levels!E:E,Levels!B:B,A2548)</f>
        <v>5.64</v>
      </c>
      <c r="F2548" s="6">
        <f>_xlfn.MAXIFS(Levels!F:F,Levels!B:B,A2548)</f>
        <v>5.75</v>
      </c>
    </row>
    <row r="2549" spans="1:6" x14ac:dyDescent="0.3">
      <c r="A2549" t="s">
        <v>11503</v>
      </c>
      <c r="B2549" s="9">
        <f>COUNTIF(Levels!B:B,A2549)</f>
        <v>6</v>
      </c>
      <c r="C2549" s="9">
        <f>IFERROR(AVERAGEIF(Levels!B:B,A2549,Levels!E:E),0)</f>
        <v>5.3233333333333333</v>
      </c>
      <c r="D2549" s="9">
        <f>IFERROR(AVERAGEIF(Levels!B:B,A2549,Levels!F:F),0)</f>
        <v>7.3466666666666667</v>
      </c>
      <c r="E2549" s="9">
        <f>_xlfn.MAXIFS(Levels!E:E,Levels!B:B,A2549)</f>
        <v>10.71</v>
      </c>
      <c r="F2549" s="9">
        <f>_xlfn.MAXIFS(Levels!F:F,Levels!B:B,A2549)</f>
        <v>8.19</v>
      </c>
    </row>
    <row r="2550" spans="1:6" x14ac:dyDescent="0.3">
      <c r="A2550" t="s">
        <v>11507</v>
      </c>
      <c r="B2550" s="6">
        <f>COUNTIF(Levels!B:B,A2550)</f>
        <v>1</v>
      </c>
      <c r="C2550" s="6">
        <f>IFERROR(AVERAGEIF(Levels!B:B,A2550,Levels!E:E),0)</f>
        <v>19.670000000000002</v>
      </c>
      <c r="D2550" s="6">
        <f>IFERROR(AVERAGEIF(Levels!B:B,A2550,Levels!F:F),0)</f>
        <v>8.5</v>
      </c>
      <c r="E2550" s="6">
        <f>_xlfn.MAXIFS(Levels!E:E,Levels!B:B,A2550)</f>
        <v>19.670000000000002</v>
      </c>
      <c r="F2550" s="6">
        <f>_xlfn.MAXIFS(Levels!F:F,Levels!B:B,A2550)</f>
        <v>8.5</v>
      </c>
    </row>
    <row r="2551" spans="1:6" x14ac:dyDescent="0.3">
      <c r="A2551" t="s">
        <v>11510</v>
      </c>
      <c r="B2551" s="9">
        <f>COUNTIF(Levels!B:B,A2551)</f>
        <v>3</v>
      </c>
      <c r="C2551" s="9">
        <f>IFERROR(AVERAGEIF(Levels!B:B,A2551,Levels!E:E),0)</f>
        <v>14.993333333333332</v>
      </c>
      <c r="D2551" s="9">
        <f>IFERROR(AVERAGEIF(Levels!B:B,A2551,Levels!F:F),0)</f>
        <v>4.916666666666667</v>
      </c>
      <c r="E2551" s="9">
        <f>_xlfn.MAXIFS(Levels!E:E,Levels!B:B,A2551)</f>
        <v>21</v>
      </c>
      <c r="F2551" s="9">
        <f>_xlfn.MAXIFS(Levels!F:F,Levels!B:B,A2551)</f>
        <v>6.5</v>
      </c>
    </row>
    <row r="2552" spans="1:6" x14ac:dyDescent="0.3">
      <c r="A2552" t="s">
        <v>11526</v>
      </c>
      <c r="B2552" s="6">
        <f>COUNTIF(Levels!B:B,A2552)</f>
        <v>1</v>
      </c>
      <c r="C2552" s="6">
        <f>IFERROR(AVERAGEIF(Levels!B:B,A2552,Levels!E:E),0)</f>
        <v>21.89</v>
      </c>
      <c r="D2552" s="6">
        <f>IFERROR(AVERAGEIF(Levels!B:B,A2552,Levels!F:F),0)</f>
        <v>7.83</v>
      </c>
      <c r="E2552" s="6">
        <f>_xlfn.MAXIFS(Levels!E:E,Levels!B:B,A2552)</f>
        <v>21.89</v>
      </c>
      <c r="F2552" s="6">
        <f>_xlfn.MAXIFS(Levels!F:F,Levels!B:B,A2552)</f>
        <v>7.83</v>
      </c>
    </row>
    <row r="2553" spans="1:6" x14ac:dyDescent="0.3">
      <c r="A2553" t="s">
        <v>11528</v>
      </c>
      <c r="B2553" s="9">
        <f>COUNTIF(Levels!B:B,A2553)</f>
        <v>1</v>
      </c>
      <c r="C2553" s="9">
        <f>IFERROR(AVERAGEIF(Levels!B:B,A2553,Levels!E:E),0)</f>
        <v>3.58</v>
      </c>
      <c r="D2553" s="9">
        <f>IFERROR(AVERAGEIF(Levels!B:B,A2553,Levels!F:F),0)</f>
        <v>7.84</v>
      </c>
      <c r="E2553" s="9">
        <f>_xlfn.MAXIFS(Levels!E:E,Levels!B:B,A2553)</f>
        <v>3.58</v>
      </c>
      <c r="F2553" s="9">
        <f>_xlfn.MAXIFS(Levels!F:F,Levels!B:B,A2553)</f>
        <v>7.84</v>
      </c>
    </row>
    <row r="2554" spans="1:6" x14ac:dyDescent="0.3">
      <c r="A2554" t="s">
        <v>11530</v>
      </c>
      <c r="B2554" s="6">
        <f>COUNTIF(Levels!B:B,A2554)</f>
        <v>1</v>
      </c>
      <c r="C2554" s="6">
        <f>IFERROR(AVERAGEIF(Levels!B:B,A2554,Levels!E:E),0)</f>
        <v>7.82</v>
      </c>
      <c r="D2554" s="6">
        <f>IFERROR(AVERAGEIF(Levels!B:B,A2554,Levels!F:F),0)</f>
        <v>9.52</v>
      </c>
      <c r="E2554" s="6">
        <f>_xlfn.MAXIFS(Levels!E:E,Levels!B:B,A2554)</f>
        <v>7.82</v>
      </c>
      <c r="F2554" s="6">
        <f>_xlfn.MAXIFS(Levels!F:F,Levels!B:B,A2554)</f>
        <v>9.52</v>
      </c>
    </row>
    <row r="2555" spans="1:6" x14ac:dyDescent="0.3">
      <c r="A2555" t="s">
        <v>11533</v>
      </c>
      <c r="B2555" s="9">
        <f>COUNTIF(Levels!B:B,A2555)</f>
        <v>1</v>
      </c>
      <c r="C2555" s="9">
        <f>IFERROR(AVERAGEIF(Levels!B:B,A2555,Levels!E:E),0)</f>
        <v>15.87</v>
      </c>
      <c r="D2555" s="9">
        <f>IFERROR(AVERAGEIF(Levels!B:B,A2555,Levels!F:F),0)</f>
        <v>8.3699999999999992</v>
      </c>
      <c r="E2555" s="9">
        <f>_xlfn.MAXIFS(Levels!E:E,Levels!B:B,A2555)</f>
        <v>15.87</v>
      </c>
      <c r="F2555" s="9">
        <f>_xlfn.MAXIFS(Levels!F:F,Levels!B:B,A2555)</f>
        <v>8.3699999999999992</v>
      </c>
    </row>
    <row r="2556" spans="1:6" x14ac:dyDescent="0.3">
      <c r="A2556" t="s">
        <v>11538</v>
      </c>
      <c r="B2556" s="6">
        <f>COUNTIF(Levels!B:B,A2556)</f>
        <v>2</v>
      </c>
      <c r="C2556" s="6">
        <f>IFERROR(AVERAGEIF(Levels!B:B,A2556,Levels!E:E),0)</f>
        <v>14.515000000000001</v>
      </c>
      <c r="D2556" s="6">
        <f>IFERROR(AVERAGEIF(Levels!B:B,A2556,Levels!F:F),0)</f>
        <v>8.6349999999999998</v>
      </c>
      <c r="E2556" s="6">
        <f>_xlfn.MAXIFS(Levels!E:E,Levels!B:B,A2556)</f>
        <v>24</v>
      </c>
      <c r="F2556" s="6">
        <f>_xlfn.MAXIFS(Levels!F:F,Levels!B:B,A2556)</f>
        <v>10</v>
      </c>
    </row>
    <row r="2557" spans="1:6" x14ac:dyDescent="0.3">
      <c r="A2557" t="s">
        <v>11543</v>
      </c>
      <c r="B2557" s="9">
        <f>COUNTIF(Levels!B:B,A2557)</f>
        <v>2</v>
      </c>
      <c r="C2557" s="9">
        <f>IFERROR(AVERAGEIF(Levels!B:B,A2557,Levels!E:E),0)</f>
        <v>21.5</v>
      </c>
      <c r="D2557" s="9">
        <f>IFERROR(AVERAGEIF(Levels!B:B,A2557,Levels!F:F),0)</f>
        <v>8.07</v>
      </c>
      <c r="E2557" s="9">
        <f>_xlfn.MAXIFS(Levels!E:E,Levels!B:B,A2557)</f>
        <v>22</v>
      </c>
      <c r="F2557" s="9">
        <f>_xlfn.MAXIFS(Levels!F:F,Levels!B:B,A2557)</f>
        <v>10</v>
      </c>
    </row>
    <row r="2558" spans="1:6" x14ac:dyDescent="0.3">
      <c r="A2558" t="s">
        <v>11553</v>
      </c>
      <c r="B2558" s="6">
        <f>COUNTIF(Levels!B:B,A2558)</f>
        <v>1</v>
      </c>
      <c r="C2558" s="6">
        <f>IFERROR(AVERAGEIF(Levels!B:B,A2558,Levels!E:E),0)</f>
        <v>2.1800000000000002</v>
      </c>
      <c r="D2558" s="6">
        <f>IFERROR(AVERAGEIF(Levels!B:B,A2558,Levels!F:F),0)</f>
        <v>6.87</v>
      </c>
      <c r="E2558" s="6">
        <f>_xlfn.MAXIFS(Levels!E:E,Levels!B:B,A2558)</f>
        <v>2.1800000000000002</v>
      </c>
      <c r="F2558" s="6">
        <f>_xlfn.MAXIFS(Levels!F:F,Levels!B:B,A2558)</f>
        <v>6.87</v>
      </c>
    </row>
    <row r="2559" spans="1:6" x14ac:dyDescent="0.3">
      <c r="A2559" t="s">
        <v>11561</v>
      </c>
      <c r="B2559" s="9">
        <f>COUNTIF(Levels!B:B,A2559)</f>
        <v>1</v>
      </c>
      <c r="C2559" s="9">
        <f>IFERROR(AVERAGEIF(Levels!B:B,A2559,Levels!E:E),0)</f>
        <v>11.59</v>
      </c>
      <c r="D2559" s="9">
        <f>IFERROR(AVERAGEIF(Levels!B:B,A2559,Levels!F:F),0)</f>
        <v>5.88</v>
      </c>
      <c r="E2559" s="9">
        <f>_xlfn.MAXIFS(Levels!E:E,Levels!B:B,A2559)</f>
        <v>11.59</v>
      </c>
      <c r="F2559" s="9">
        <f>_xlfn.MAXIFS(Levels!F:F,Levels!B:B,A2559)</f>
        <v>5.88</v>
      </c>
    </row>
    <row r="2560" spans="1:6" x14ac:dyDescent="0.3">
      <c r="A2560" t="s">
        <v>11564</v>
      </c>
      <c r="B2560" s="6">
        <f>COUNTIF(Levels!B:B,A2560)</f>
        <v>2</v>
      </c>
      <c r="C2560" s="6">
        <f>IFERROR(AVERAGEIF(Levels!B:B,A2560,Levels!E:E),0)</f>
        <v>2.5649999999999999</v>
      </c>
      <c r="D2560" s="6">
        <f>IFERROR(AVERAGEIF(Levels!B:B,A2560,Levels!F:F),0)</f>
        <v>7.4849999999999994</v>
      </c>
      <c r="E2560" s="6">
        <f>_xlfn.MAXIFS(Levels!E:E,Levels!B:B,A2560)</f>
        <v>3.37</v>
      </c>
      <c r="F2560" s="6">
        <f>_xlfn.MAXIFS(Levels!F:F,Levels!B:B,A2560)</f>
        <v>7.92</v>
      </c>
    </row>
    <row r="2561" spans="1:6" x14ac:dyDescent="0.3">
      <c r="A2561" t="s">
        <v>11570</v>
      </c>
      <c r="B2561" s="9">
        <f>COUNTIF(Levels!B:B,A2561)</f>
        <v>1</v>
      </c>
      <c r="C2561" s="9">
        <f>IFERROR(AVERAGEIF(Levels!B:B,A2561,Levels!E:E),0)</f>
        <v>2.25</v>
      </c>
      <c r="D2561" s="9">
        <f>IFERROR(AVERAGEIF(Levels!B:B,A2561,Levels!F:F),0)</f>
        <v>6.74</v>
      </c>
      <c r="E2561" s="9">
        <f>_xlfn.MAXIFS(Levels!E:E,Levels!B:B,A2561)</f>
        <v>2.25</v>
      </c>
      <c r="F2561" s="9">
        <f>_xlfn.MAXIFS(Levels!F:F,Levels!B:B,A2561)</f>
        <v>6.74</v>
      </c>
    </row>
    <row r="2562" spans="1:6" x14ac:dyDescent="0.3">
      <c r="A2562" t="s">
        <v>11577</v>
      </c>
      <c r="B2562" s="6">
        <f>COUNTIF(Levels!B:B,A2562)</f>
        <v>1</v>
      </c>
      <c r="C2562" s="6">
        <f>IFERROR(AVERAGEIF(Levels!B:B,A2562,Levels!E:E),0)</f>
        <v>1.03</v>
      </c>
      <c r="D2562" s="6">
        <f>IFERROR(AVERAGEIF(Levels!B:B,A2562,Levels!F:F),0)</f>
        <v>6.76</v>
      </c>
      <c r="E2562" s="6">
        <f>_xlfn.MAXIFS(Levels!E:E,Levels!B:B,A2562)</f>
        <v>1.03</v>
      </c>
      <c r="F2562" s="6">
        <f>_xlfn.MAXIFS(Levels!F:F,Levels!B:B,A2562)</f>
        <v>6.76</v>
      </c>
    </row>
    <row r="2563" spans="1:6" x14ac:dyDescent="0.3">
      <c r="A2563" t="s">
        <v>11584</v>
      </c>
      <c r="B2563" s="9">
        <f>COUNTIF(Levels!B:B,A2563)</f>
        <v>1</v>
      </c>
      <c r="C2563" s="9">
        <f>IFERROR(AVERAGEIF(Levels!B:B,A2563,Levels!E:E),0)</f>
        <v>1.98</v>
      </c>
      <c r="D2563" s="9">
        <f>IFERROR(AVERAGEIF(Levels!B:B,A2563,Levels!F:F),0)</f>
        <v>7.29</v>
      </c>
      <c r="E2563" s="9">
        <f>_xlfn.MAXIFS(Levels!E:E,Levels!B:B,A2563)</f>
        <v>1.98</v>
      </c>
      <c r="F2563" s="9">
        <f>_xlfn.MAXIFS(Levels!F:F,Levels!B:B,A2563)</f>
        <v>7.29</v>
      </c>
    </row>
    <row r="2564" spans="1:6" x14ac:dyDescent="0.3">
      <c r="A2564" t="s">
        <v>11589</v>
      </c>
      <c r="B2564" s="6">
        <f>COUNTIF(Levels!B:B,A2564)</f>
        <v>1</v>
      </c>
      <c r="C2564" s="6">
        <f>IFERROR(AVERAGEIF(Levels!B:B,A2564,Levels!E:E),0)</f>
        <v>20.84</v>
      </c>
      <c r="D2564" s="6">
        <f>IFERROR(AVERAGEIF(Levels!B:B,A2564,Levels!F:F),0)</f>
        <v>7.2</v>
      </c>
      <c r="E2564" s="6">
        <f>_xlfn.MAXIFS(Levels!E:E,Levels!B:B,A2564)</f>
        <v>20.84</v>
      </c>
      <c r="F2564" s="6">
        <f>_xlfn.MAXIFS(Levels!F:F,Levels!B:B,A2564)</f>
        <v>7.2</v>
      </c>
    </row>
    <row r="2565" spans="1:6" x14ac:dyDescent="0.3">
      <c r="A2565" t="s">
        <v>11591</v>
      </c>
      <c r="B2565" s="9">
        <f>COUNTIF(Levels!B:B,A2565)</f>
        <v>1</v>
      </c>
      <c r="C2565" s="9">
        <f>IFERROR(AVERAGEIF(Levels!B:B,A2565,Levels!E:E),0)</f>
        <v>4.08</v>
      </c>
      <c r="D2565" s="9">
        <f>IFERROR(AVERAGEIF(Levels!B:B,A2565,Levels!F:F),0)</f>
        <v>7.71</v>
      </c>
      <c r="E2565" s="9">
        <f>_xlfn.MAXIFS(Levels!E:E,Levels!B:B,A2565)</f>
        <v>4.08</v>
      </c>
      <c r="F2565" s="9">
        <f>_xlfn.MAXIFS(Levels!F:F,Levels!B:B,A2565)</f>
        <v>7.71</v>
      </c>
    </row>
    <row r="2566" spans="1:6" x14ac:dyDescent="0.3">
      <c r="A2566" t="s">
        <v>11598</v>
      </c>
      <c r="B2566" s="6">
        <f>COUNTIF(Levels!B:B,A2566)</f>
        <v>1</v>
      </c>
      <c r="C2566" s="6">
        <f>IFERROR(AVERAGEIF(Levels!B:B,A2566,Levels!E:E),0)</f>
        <v>17.43</v>
      </c>
      <c r="D2566" s="6">
        <f>IFERROR(AVERAGEIF(Levels!B:B,A2566,Levels!F:F),0)</f>
        <v>7.5</v>
      </c>
      <c r="E2566" s="6">
        <f>_xlfn.MAXIFS(Levels!E:E,Levels!B:B,A2566)</f>
        <v>17.43</v>
      </c>
      <c r="F2566" s="6">
        <f>_xlfn.MAXIFS(Levels!F:F,Levels!B:B,A2566)</f>
        <v>7.5</v>
      </c>
    </row>
    <row r="2567" spans="1:6" x14ac:dyDescent="0.3">
      <c r="A2567" t="s">
        <v>11602</v>
      </c>
      <c r="B2567" s="9">
        <f>COUNTIF(Levels!B:B,A2567)</f>
        <v>1</v>
      </c>
      <c r="C2567" s="9">
        <f>IFERROR(AVERAGEIF(Levels!B:B,A2567,Levels!E:E),0)</f>
        <v>5.38</v>
      </c>
      <c r="D2567" s="9">
        <f>IFERROR(AVERAGEIF(Levels!B:B,A2567,Levels!F:F),0)</f>
        <v>5.71</v>
      </c>
      <c r="E2567" s="9">
        <f>_xlfn.MAXIFS(Levels!E:E,Levels!B:B,A2567)</f>
        <v>5.38</v>
      </c>
      <c r="F2567" s="9">
        <f>_xlfn.MAXIFS(Levels!F:F,Levels!B:B,A2567)</f>
        <v>5.71</v>
      </c>
    </row>
    <row r="2568" spans="1:6" x14ac:dyDescent="0.3">
      <c r="A2568" t="s">
        <v>11605</v>
      </c>
      <c r="B2568" s="6">
        <f>COUNTIF(Levels!B:B,A2568)</f>
        <v>1</v>
      </c>
      <c r="C2568" s="6">
        <f>IFERROR(AVERAGEIF(Levels!B:B,A2568,Levels!E:E),0)</f>
        <v>6.68</v>
      </c>
      <c r="D2568" s="6">
        <f>IFERROR(AVERAGEIF(Levels!B:B,A2568,Levels!F:F),0)</f>
        <v>7.05</v>
      </c>
      <c r="E2568" s="6">
        <f>_xlfn.MAXIFS(Levels!E:E,Levels!B:B,A2568)</f>
        <v>6.68</v>
      </c>
      <c r="F2568" s="6">
        <f>_xlfn.MAXIFS(Levels!F:F,Levels!B:B,A2568)</f>
        <v>7.05</v>
      </c>
    </row>
    <row r="2569" spans="1:6" x14ac:dyDescent="0.3">
      <c r="A2569" t="s">
        <v>11611</v>
      </c>
      <c r="B2569" s="9">
        <f>COUNTIF(Levels!B:B,A2569)</f>
        <v>1</v>
      </c>
      <c r="C2569" s="9">
        <f>IFERROR(AVERAGEIF(Levels!B:B,A2569,Levels!E:E),0)</f>
        <v>11.87</v>
      </c>
      <c r="D2569" s="9">
        <f>IFERROR(AVERAGEIF(Levels!B:B,A2569,Levels!F:F),0)</f>
        <v>7</v>
      </c>
      <c r="E2569" s="9">
        <f>_xlfn.MAXIFS(Levels!E:E,Levels!B:B,A2569)</f>
        <v>11.87</v>
      </c>
      <c r="F2569" s="9">
        <f>_xlfn.MAXIFS(Levels!F:F,Levels!B:B,A2569)</f>
        <v>7</v>
      </c>
    </row>
    <row r="2570" spans="1:6" x14ac:dyDescent="0.3">
      <c r="A2570" t="s">
        <v>11619</v>
      </c>
      <c r="B2570" s="6">
        <f>COUNTIF(Levels!B:B,A2570)</f>
        <v>1</v>
      </c>
      <c r="C2570" s="6">
        <f>IFERROR(AVERAGEIF(Levels!B:B,A2570,Levels!E:E),0)</f>
        <v>2.9</v>
      </c>
      <c r="D2570" s="6">
        <f>IFERROR(AVERAGEIF(Levels!B:B,A2570,Levels!F:F),0)</f>
        <v>7.76</v>
      </c>
      <c r="E2570" s="6">
        <f>_xlfn.MAXIFS(Levels!E:E,Levels!B:B,A2570)</f>
        <v>2.9</v>
      </c>
      <c r="F2570" s="6">
        <f>_xlfn.MAXIFS(Levels!F:F,Levels!B:B,A2570)</f>
        <v>7.76</v>
      </c>
    </row>
    <row r="2571" spans="1:6" x14ac:dyDescent="0.3">
      <c r="A2571" t="s">
        <v>11623</v>
      </c>
      <c r="B2571" s="9">
        <f>COUNTIF(Levels!B:B,A2571)</f>
        <v>1</v>
      </c>
      <c r="C2571" s="9">
        <f>IFERROR(AVERAGEIF(Levels!B:B,A2571,Levels!E:E),0)</f>
        <v>5.27</v>
      </c>
      <c r="D2571" s="9">
        <f>IFERROR(AVERAGEIF(Levels!B:B,A2571,Levels!F:F),0)</f>
        <v>7.45</v>
      </c>
      <c r="E2571" s="9">
        <f>_xlfn.MAXIFS(Levels!E:E,Levels!B:B,A2571)</f>
        <v>5.27</v>
      </c>
      <c r="F2571" s="9">
        <f>_xlfn.MAXIFS(Levels!F:F,Levels!B:B,A2571)</f>
        <v>7.45</v>
      </c>
    </row>
    <row r="2572" spans="1:6" x14ac:dyDescent="0.3">
      <c r="A2572" t="s">
        <v>11629</v>
      </c>
      <c r="B2572" s="6">
        <f>COUNTIF(Levels!B:B,A2572)</f>
        <v>2</v>
      </c>
      <c r="C2572" s="6">
        <f>IFERROR(AVERAGEIF(Levels!B:B,A2572,Levels!E:E),0)</f>
        <v>1.0900000000000001</v>
      </c>
      <c r="D2572" s="6">
        <f>IFERROR(AVERAGEIF(Levels!B:B,A2572,Levels!F:F),0)</f>
        <v>5.8449999999999998</v>
      </c>
      <c r="E2572" s="6">
        <f>_xlfn.MAXIFS(Levels!E:E,Levels!B:B,A2572)</f>
        <v>1.0900000000000001</v>
      </c>
      <c r="F2572" s="6">
        <f>_xlfn.MAXIFS(Levels!F:F,Levels!B:B,A2572)</f>
        <v>5.88</v>
      </c>
    </row>
    <row r="2573" spans="1:6" x14ac:dyDescent="0.3">
      <c r="A2573" t="s">
        <v>11636</v>
      </c>
      <c r="B2573" s="9">
        <f>COUNTIF(Levels!B:B,A2573)</f>
        <v>1</v>
      </c>
      <c r="C2573" s="9">
        <f>IFERROR(AVERAGEIF(Levels!B:B,A2573,Levels!E:E),0)</f>
        <v>2.64</v>
      </c>
      <c r="D2573" s="9">
        <f>IFERROR(AVERAGEIF(Levels!B:B,A2573,Levels!F:F),0)</f>
        <v>7.23</v>
      </c>
      <c r="E2573" s="9">
        <f>_xlfn.MAXIFS(Levels!E:E,Levels!B:B,A2573)</f>
        <v>2.64</v>
      </c>
      <c r="F2573" s="9">
        <f>_xlfn.MAXIFS(Levels!F:F,Levels!B:B,A2573)</f>
        <v>7.23</v>
      </c>
    </row>
    <row r="2574" spans="1:6" x14ac:dyDescent="0.3">
      <c r="A2574" t="s">
        <v>11640</v>
      </c>
      <c r="B2574" s="6">
        <f>COUNTIF(Levels!B:B,A2574)</f>
        <v>1</v>
      </c>
      <c r="C2574" s="6">
        <f>IFERROR(AVERAGEIF(Levels!B:B,A2574,Levels!E:E),0)</f>
        <v>2.76</v>
      </c>
      <c r="D2574" s="6">
        <f>IFERROR(AVERAGEIF(Levels!B:B,A2574,Levels!F:F),0)</f>
        <v>7.13</v>
      </c>
      <c r="E2574" s="6">
        <f>_xlfn.MAXIFS(Levels!E:E,Levels!B:B,A2574)</f>
        <v>2.76</v>
      </c>
      <c r="F2574" s="6">
        <f>_xlfn.MAXIFS(Levels!F:F,Levels!B:B,A2574)</f>
        <v>7.13</v>
      </c>
    </row>
    <row r="2575" spans="1:6" x14ac:dyDescent="0.3">
      <c r="A2575" t="s">
        <v>11645</v>
      </c>
      <c r="B2575" s="9">
        <f>COUNTIF(Levels!B:B,A2575)</f>
        <v>1</v>
      </c>
      <c r="C2575" s="9">
        <f>IFERROR(AVERAGEIF(Levels!B:B,A2575,Levels!E:E),0)</f>
        <v>0</v>
      </c>
      <c r="D2575" s="9">
        <f>IFERROR(AVERAGEIF(Levels!B:B,A2575,Levels!F:F),0)</f>
        <v>0</v>
      </c>
      <c r="E2575" s="9">
        <f>_xlfn.MAXIFS(Levels!E:E,Levels!B:B,A2575)</f>
        <v>0</v>
      </c>
      <c r="F2575" s="9">
        <f>_xlfn.MAXIFS(Levels!F:F,Levels!B:B,A2575)</f>
        <v>0</v>
      </c>
    </row>
    <row r="2576" spans="1:6" x14ac:dyDescent="0.3">
      <c r="A2576" t="s">
        <v>11650</v>
      </c>
      <c r="B2576" s="6">
        <f>COUNTIF(Levels!B:B,A2576)</f>
        <v>2</v>
      </c>
      <c r="C2576" s="6">
        <f>IFERROR(AVERAGEIF(Levels!B:B,A2576,Levels!E:E),0)</f>
        <v>4.4850000000000003</v>
      </c>
      <c r="D2576" s="6">
        <f>IFERROR(AVERAGEIF(Levels!B:B,A2576,Levels!F:F),0)</f>
        <v>5.75</v>
      </c>
      <c r="E2576" s="6">
        <f>_xlfn.MAXIFS(Levels!E:E,Levels!B:B,A2576)</f>
        <v>4.57</v>
      </c>
      <c r="F2576" s="6">
        <f>_xlfn.MAXIFS(Levels!F:F,Levels!B:B,A2576)</f>
        <v>7.5</v>
      </c>
    </row>
    <row r="2577" spans="1:6" x14ac:dyDescent="0.3">
      <c r="A2577" t="s">
        <v>11667</v>
      </c>
      <c r="B2577" s="9">
        <f>COUNTIF(Levels!B:B,A2577)</f>
        <v>1</v>
      </c>
      <c r="C2577" s="9">
        <f>IFERROR(AVERAGEIF(Levels!B:B,A2577,Levels!E:E),0)</f>
        <v>0</v>
      </c>
      <c r="D2577" s="9">
        <f>IFERROR(AVERAGEIF(Levels!B:B,A2577,Levels!F:F),0)</f>
        <v>0</v>
      </c>
      <c r="E2577" s="9">
        <f>_xlfn.MAXIFS(Levels!E:E,Levels!B:B,A2577)</f>
        <v>0</v>
      </c>
      <c r="F2577" s="9">
        <f>_xlfn.MAXIFS(Levels!F:F,Levels!B:B,A2577)</f>
        <v>0</v>
      </c>
    </row>
    <row r="2578" spans="1:6" x14ac:dyDescent="0.3">
      <c r="A2578" t="s">
        <v>11669</v>
      </c>
      <c r="B2578" s="6">
        <f>COUNTIF(Levels!B:B,A2578)</f>
        <v>1</v>
      </c>
      <c r="C2578" s="6">
        <f>IFERROR(AVERAGEIF(Levels!B:B,A2578,Levels!E:E),0)</f>
        <v>8.1</v>
      </c>
      <c r="D2578" s="6">
        <f>IFERROR(AVERAGEIF(Levels!B:B,A2578,Levels!F:F),0)</f>
        <v>8.4</v>
      </c>
      <c r="E2578" s="6">
        <f>_xlfn.MAXIFS(Levels!E:E,Levels!B:B,A2578)</f>
        <v>8.1</v>
      </c>
      <c r="F2578" s="6">
        <f>_xlfn.MAXIFS(Levels!F:F,Levels!B:B,A2578)</f>
        <v>8.4</v>
      </c>
    </row>
    <row r="2579" spans="1:6" x14ac:dyDescent="0.3">
      <c r="A2579" t="s">
        <v>11672</v>
      </c>
      <c r="B2579" s="9">
        <f>COUNTIF(Levels!B:B,A2579)</f>
        <v>1</v>
      </c>
      <c r="C2579" s="9">
        <f>IFERROR(AVERAGEIF(Levels!B:B,A2579,Levels!E:E),0)</f>
        <v>18</v>
      </c>
      <c r="D2579" s="9">
        <f>IFERROR(AVERAGEIF(Levels!B:B,A2579,Levels!F:F),0)</f>
        <v>8.1999999999999993</v>
      </c>
      <c r="E2579" s="9">
        <f>_xlfn.MAXIFS(Levels!E:E,Levels!B:B,A2579)</f>
        <v>18</v>
      </c>
      <c r="F2579" s="9">
        <f>_xlfn.MAXIFS(Levels!F:F,Levels!B:B,A2579)</f>
        <v>8.1999999999999993</v>
      </c>
    </row>
    <row r="2580" spans="1:6" x14ac:dyDescent="0.3">
      <c r="A2580" t="s">
        <v>11676</v>
      </c>
      <c r="B2580" s="6">
        <f>COUNTIF(Levels!B:B,A2580)</f>
        <v>1</v>
      </c>
      <c r="C2580" s="6">
        <f>IFERROR(AVERAGEIF(Levels!B:B,A2580,Levels!E:E),0)</f>
        <v>11.5</v>
      </c>
      <c r="D2580" s="6">
        <f>IFERROR(AVERAGEIF(Levels!B:B,A2580,Levels!F:F),0)</f>
        <v>8</v>
      </c>
      <c r="E2580" s="6">
        <f>_xlfn.MAXIFS(Levels!E:E,Levels!B:B,A2580)</f>
        <v>11.5</v>
      </c>
      <c r="F2580" s="6">
        <f>_xlfn.MAXIFS(Levels!F:F,Levels!B:B,A2580)</f>
        <v>8</v>
      </c>
    </row>
    <row r="2581" spans="1:6" x14ac:dyDescent="0.3">
      <c r="A2581" t="s">
        <v>11679</v>
      </c>
      <c r="B2581" s="9">
        <f>COUNTIF(Levels!B:B,A2581)</f>
        <v>1</v>
      </c>
      <c r="C2581" s="9">
        <f>IFERROR(AVERAGEIF(Levels!B:B,A2581,Levels!E:E),0)</f>
        <v>2.19</v>
      </c>
      <c r="D2581" s="9">
        <f>IFERROR(AVERAGEIF(Levels!B:B,A2581,Levels!F:F),0)</f>
        <v>6.22</v>
      </c>
      <c r="E2581" s="9">
        <f>_xlfn.MAXIFS(Levels!E:E,Levels!B:B,A2581)</f>
        <v>2.19</v>
      </c>
      <c r="F2581" s="9">
        <f>_xlfn.MAXIFS(Levels!F:F,Levels!B:B,A2581)</f>
        <v>6.22</v>
      </c>
    </row>
    <row r="2582" spans="1:6" x14ac:dyDescent="0.3">
      <c r="A2582" t="s">
        <v>11684</v>
      </c>
      <c r="B2582" s="6">
        <f>COUNTIF(Levels!B:B,A2582)</f>
        <v>1</v>
      </c>
      <c r="C2582" s="6">
        <f>IFERROR(AVERAGEIF(Levels!B:B,A2582,Levels!E:E),0)</f>
        <v>9.93</v>
      </c>
      <c r="D2582" s="6">
        <f>IFERROR(AVERAGEIF(Levels!B:B,A2582,Levels!F:F),0)</f>
        <v>6.82</v>
      </c>
      <c r="E2582" s="6">
        <f>_xlfn.MAXIFS(Levels!E:E,Levels!B:B,A2582)</f>
        <v>9.93</v>
      </c>
      <c r="F2582" s="6">
        <f>_xlfn.MAXIFS(Levels!F:F,Levels!B:B,A2582)</f>
        <v>6.82</v>
      </c>
    </row>
    <row r="2583" spans="1:6" x14ac:dyDescent="0.3">
      <c r="A2583" t="s">
        <v>11689</v>
      </c>
      <c r="B2583" s="9">
        <f>COUNTIF(Levels!B:B,A2583)</f>
        <v>1</v>
      </c>
      <c r="C2583" s="9">
        <f>IFERROR(AVERAGEIF(Levels!B:B,A2583,Levels!E:E),0)</f>
        <v>3.29</v>
      </c>
      <c r="D2583" s="9">
        <f>IFERROR(AVERAGEIF(Levels!B:B,A2583,Levels!F:F),0)</f>
        <v>5</v>
      </c>
      <c r="E2583" s="9">
        <f>_xlfn.MAXIFS(Levels!E:E,Levels!B:B,A2583)</f>
        <v>3.29</v>
      </c>
      <c r="F2583" s="9">
        <f>_xlfn.MAXIFS(Levels!F:F,Levels!B:B,A2583)</f>
        <v>5</v>
      </c>
    </row>
    <row r="2584" spans="1:6" x14ac:dyDescent="0.3">
      <c r="A2584" t="s">
        <v>11696</v>
      </c>
      <c r="B2584" s="6">
        <f>COUNTIF(Levels!B:B,A2584)</f>
        <v>2</v>
      </c>
      <c r="C2584" s="6">
        <f>IFERROR(AVERAGEIF(Levels!B:B,A2584,Levels!E:E),0)</f>
        <v>8.57</v>
      </c>
      <c r="D2584" s="6">
        <f>IFERROR(AVERAGEIF(Levels!B:B,A2584,Levels!F:F),0)</f>
        <v>6.5549999999999997</v>
      </c>
      <c r="E2584" s="6">
        <f>_xlfn.MAXIFS(Levels!E:E,Levels!B:B,A2584)</f>
        <v>8.57</v>
      </c>
      <c r="F2584" s="6">
        <f>_xlfn.MAXIFS(Levels!F:F,Levels!B:B,A2584)</f>
        <v>7.25</v>
      </c>
    </row>
    <row r="2585" spans="1:6" x14ac:dyDescent="0.3">
      <c r="A2585" t="s">
        <v>11701</v>
      </c>
      <c r="B2585" s="9">
        <f>COUNTIF(Levels!B:B,A2585)</f>
        <v>1</v>
      </c>
      <c r="C2585" s="9">
        <f>IFERROR(AVERAGEIF(Levels!B:B,A2585,Levels!E:E),0)</f>
        <v>15.53</v>
      </c>
      <c r="D2585" s="9">
        <f>IFERROR(AVERAGEIF(Levels!B:B,A2585,Levels!F:F),0)</f>
        <v>8</v>
      </c>
      <c r="E2585" s="9">
        <f>_xlfn.MAXIFS(Levels!E:E,Levels!B:B,A2585)</f>
        <v>15.53</v>
      </c>
      <c r="F2585" s="9">
        <f>_xlfn.MAXIFS(Levels!F:F,Levels!B:B,A2585)</f>
        <v>8</v>
      </c>
    </row>
    <row r="2586" spans="1:6" x14ac:dyDescent="0.3">
      <c r="A2586" t="s">
        <v>11703</v>
      </c>
      <c r="B2586" s="6">
        <f>COUNTIF(Levels!B:B,A2586)</f>
        <v>1</v>
      </c>
      <c r="C2586" s="6">
        <f>IFERROR(AVERAGEIF(Levels!B:B,A2586,Levels!E:E),0)</f>
        <v>8.43</v>
      </c>
      <c r="D2586" s="6">
        <f>IFERROR(AVERAGEIF(Levels!B:B,A2586,Levels!F:F),0)</f>
        <v>9</v>
      </c>
      <c r="E2586" s="6">
        <f>_xlfn.MAXIFS(Levels!E:E,Levels!B:B,A2586)</f>
        <v>8.43</v>
      </c>
      <c r="F2586" s="6">
        <f>_xlfn.MAXIFS(Levels!F:F,Levels!B:B,A2586)</f>
        <v>9</v>
      </c>
    </row>
    <row r="2587" spans="1:6" x14ac:dyDescent="0.3">
      <c r="A2587" t="s">
        <v>11709</v>
      </c>
      <c r="B2587" s="9">
        <f>COUNTIF(Levels!B:B,A2587)</f>
        <v>1</v>
      </c>
      <c r="C2587" s="9">
        <f>IFERROR(AVERAGEIF(Levels!B:B,A2587,Levels!E:E),0)</f>
        <v>7.63</v>
      </c>
      <c r="D2587" s="9">
        <f>IFERROR(AVERAGEIF(Levels!B:B,A2587,Levels!F:F),0)</f>
        <v>7</v>
      </c>
      <c r="E2587" s="9">
        <f>_xlfn.MAXIFS(Levels!E:E,Levels!B:B,A2587)</f>
        <v>7.63</v>
      </c>
      <c r="F2587" s="9">
        <f>_xlfn.MAXIFS(Levels!F:F,Levels!B:B,A2587)</f>
        <v>7</v>
      </c>
    </row>
    <row r="2588" spans="1:6" x14ac:dyDescent="0.3">
      <c r="A2588" t="s">
        <v>11713</v>
      </c>
      <c r="B2588" s="6">
        <f>COUNTIF(Levels!B:B,A2588)</f>
        <v>2</v>
      </c>
      <c r="C2588" s="6">
        <f>IFERROR(AVERAGEIF(Levels!B:B,A2588,Levels!E:E),0)</f>
        <v>9.85</v>
      </c>
      <c r="D2588" s="6">
        <f>IFERROR(AVERAGEIF(Levels!B:B,A2588,Levels!F:F),0)</f>
        <v>6.52</v>
      </c>
      <c r="E2588" s="6">
        <f>_xlfn.MAXIFS(Levels!E:E,Levels!B:B,A2588)</f>
        <v>14.33</v>
      </c>
      <c r="F2588" s="6">
        <f>_xlfn.MAXIFS(Levels!F:F,Levels!B:B,A2588)</f>
        <v>6.71</v>
      </c>
    </row>
    <row r="2589" spans="1:6" x14ac:dyDescent="0.3">
      <c r="A2589" t="s">
        <v>11715</v>
      </c>
      <c r="B2589" s="9">
        <f>COUNTIF(Levels!B:B,A2589)</f>
        <v>1</v>
      </c>
      <c r="C2589" s="9">
        <f>IFERROR(AVERAGEIF(Levels!B:B,A2589,Levels!E:E),0)</f>
        <v>4.67</v>
      </c>
      <c r="D2589" s="9">
        <f>IFERROR(AVERAGEIF(Levels!B:B,A2589,Levels!F:F),0)</f>
        <v>5.22</v>
      </c>
      <c r="E2589" s="9">
        <f>_xlfn.MAXIFS(Levels!E:E,Levels!B:B,A2589)</f>
        <v>4.67</v>
      </c>
      <c r="F2589" s="9">
        <f>_xlfn.MAXIFS(Levels!F:F,Levels!B:B,A2589)</f>
        <v>5.22</v>
      </c>
    </row>
    <row r="2590" spans="1:6" x14ac:dyDescent="0.3">
      <c r="A2590" t="s">
        <v>11718</v>
      </c>
      <c r="B2590" s="6">
        <f>COUNTIF(Levels!B:B,A2590)</f>
        <v>1</v>
      </c>
      <c r="C2590" s="6">
        <f>IFERROR(AVERAGEIF(Levels!B:B,A2590,Levels!E:E),0)</f>
        <v>7.9</v>
      </c>
      <c r="D2590" s="6">
        <f>IFERROR(AVERAGEIF(Levels!B:B,A2590,Levels!F:F),0)</f>
        <v>7.56</v>
      </c>
      <c r="E2590" s="6">
        <f>_xlfn.MAXIFS(Levels!E:E,Levels!B:B,A2590)</f>
        <v>7.9</v>
      </c>
      <c r="F2590" s="6">
        <f>_xlfn.MAXIFS(Levels!F:F,Levels!B:B,A2590)</f>
        <v>7.56</v>
      </c>
    </row>
    <row r="2591" spans="1:6" x14ac:dyDescent="0.3">
      <c r="A2591" t="s">
        <v>11722</v>
      </c>
      <c r="B2591" s="9">
        <f>COUNTIF(Levels!B:B,A2591)</f>
        <v>1</v>
      </c>
      <c r="C2591" s="9">
        <f>IFERROR(AVERAGEIF(Levels!B:B,A2591,Levels!E:E),0)</f>
        <v>14.3</v>
      </c>
      <c r="D2591" s="9">
        <f>IFERROR(AVERAGEIF(Levels!B:B,A2591,Levels!F:F),0)</f>
        <v>8.9700000000000006</v>
      </c>
      <c r="E2591" s="9">
        <f>_xlfn.MAXIFS(Levels!E:E,Levels!B:B,A2591)</f>
        <v>14.3</v>
      </c>
      <c r="F2591" s="9">
        <f>_xlfn.MAXIFS(Levels!F:F,Levels!B:B,A2591)</f>
        <v>8.9700000000000006</v>
      </c>
    </row>
    <row r="2592" spans="1:6" x14ac:dyDescent="0.3">
      <c r="A2592" t="s">
        <v>11725</v>
      </c>
      <c r="B2592" s="6">
        <f>COUNTIF(Levels!B:B,A2592)</f>
        <v>2</v>
      </c>
      <c r="C2592" s="6">
        <f>IFERROR(AVERAGEIF(Levels!B:B,A2592,Levels!E:E),0)</f>
        <v>6.585</v>
      </c>
      <c r="D2592" s="6">
        <f>IFERROR(AVERAGEIF(Levels!B:B,A2592,Levels!F:F),0)</f>
        <v>6.8149999999999995</v>
      </c>
      <c r="E2592" s="6">
        <f>_xlfn.MAXIFS(Levels!E:E,Levels!B:B,A2592)</f>
        <v>7.77</v>
      </c>
      <c r="F2592" s="6">
        <f>_xlfn.MAXIFS(Levels!F:F,Levels!B:B,A2592)</f>
        <v>6.88</v>
      </c>
    </row>
    <row r="2593" spans="1:6" x14ac:dyDescent="0.3">
      <c r="A2593" t="s">
        <v>11728</v>
      </c>
      <c r="B2593" s="9">
        <f>COUNTIF(Levels!B:B,A2593)</f>
        <v>1</v>
      </c>
      <c r="C2593" s="9">
        <f>IFERROR(AVERAGEIF(Levels!B:B,A2593,Levels!E:E),0)</f>
        <v>14.33</v>
      </c>
      <c r="D2593" s="9">
        <f>IFERROR(AVERAGEIF(Levels!B:B,A2593,Levels!F:F),0)</f>
        <v>6.08</v>
      </c>
      <c r="E2593" s="9">
        <f>_xlfn.MAXIFS(Levels!E:E,Levels!B:B,A2593)</f>
        <v>14.33</v>
      </c>
      <c r="F2593" s="9">
        <f>_xlfn.MAXIFS(Levels!F:F,Levels!B:B,A2593)</f>
        <v>6.08</v>
      </c>
    </row>
    <row r="2594" spans="1:6" x14ac:dyDescent="0.3">
      <c r="A2594" t="s">
        <v>11733</v>
      </c>
      <c r="B2594" s="6">
        <f>COUNTIF(Levels!B:B,A2594)</f>
        <v>1</v>
      </c>
      <c r="C2594" s="6">
        <f>IFERROR(AVERAGEIF(Levels!B:B,A2594,Levels!E:E),0)</f>
        <v>15.79</v>
      </c>
      <c r="D2594" s="6">
        <f>IFERROR(AVERAGEIF(Levels!B:B,A2594,Levels!F:F),0)</f>
        <v>7</v>
      </c>
      <c r="E2594" s="6">
        <f>_xlfn.MAXIFS(Levels!E:E,Levels!B:B,A2594)</f>
        <v>15.79</v>
      </c>
      <c r="F2594" s="6">
        <f>_xlfn.MAXIFS(Levels!F:F,Levels!B:B,A2594)</f>
        <v>7</v>
      </c>
    </row>
    <row r="2595" spans="1:6" x14ac:dyDescent="0.3">
      <c r="A2595" t="s">
        <v>11741</v>
      </c>
      <c r="B2595" s="9">
        <f>COUNTIF(Levels!B:B,A2595)</f>
        <v>1</v>
      </c>
      <c r="C2595" s="9">
        <f>IFERROR(AVERAGEIF(Levels!B:B,A2595,Levels!E:E),0)</f>
        <v>5.75</v>
      </c>
      <c r="D2595" s="9">
        <f>IFERROR(AVERAGEIF(Levels!B:B,A2595,Levels!F:F),0)</f>
        <v>5.3</v>
      </c>
      <c r="E2595" s="9">
        <f>_xlfn.MAXIFS(Levels!E:E,Levels!B:B,A2595)</f>
        <v>5.75</v>
      </c>
      <c r="F2595" s="9">
        <f>_xlfn.MAXIFS(Levels!F:F,Levels!B:B,A2595)</f>
        <v>5.3</v>
      </c>
    </row>
    <row r="2596" spans="1:6" x14ac:dyDescent="0.3">
      <c r="A2596" t="s">
        <v>11743</v>
      </c>
      <c r="B2596" s="6">
        <f>COUNTIF(Levels!B:B,A2596)</f>
        <v>1</v>
      </c>
      <c r="C2596" s="6">
        <f>IFERROR(AVERAGEIF(Levels!B:B,A2596,Levels!E:E),0)</f>
        <v>5.15</v>
      </c>
      <c r="D2596" s="6">
        <f>IFERROR(AVERAGEIF(Levels!B:B,A2596,Levels!F:F),0)</f>
        <v>6.19</v>
      </c>
      <c r="E2596" s="6">
        <f>_xlfn.MAXIFS(Levels!E:E,Levels!B:B,A2596)</f>
        <v>5.15</v>
      </c>
      <c r="F2596" s="6">
        <f>_xlfn.MAXIFS(Levels!F:F,Levels!B:B,A2596)</f>
        <v>6.19</v>
      </c>
    </row>
    <row r="2597" spans="1:6" x14ac:dyDescent="0.3">
      <c r="A2597" t="s">
        <v>11750</v>
      </c>
      <c r="B2597" s="9">
        <f>COUNTIF(Levels!B:B,A2597)</f>
        <v>1</v>
      </c>
      <c r="C2597" s="9">
        <f>IFERROR(AVERAGEIF(Levels!B:B,A2597,Levels!E:E),0)</f>
        <v>25.4</v>
      </c>
      <c r="D2597" s="9">
        <f>IFERROR(AVERAGEIF(Levels!B:B,A2597,Levels!F:F),0)</f>
        <v>4.4000000000000004</v>
      </c>
      <c r="E2597" s="9">
        <f>_xlfn.MAXIFS(Levels!E:E,Levels!B:B,A2597)</f>
        <v>25.4</v>
      </c>
      <c r="F2597" s="9">
        <f>_xlfn.MAXIFS(Levels!F:F,Levels!B:B,A2597)</f>
        <v>4.4000000000000004</v>
      </c>
    </row>
    <row r="2598" spans="1:6" x14ac:dyDescent="0.3">
      <c r="A2598" t="s">
        <v>11752</v>
      </c>
      <c r="B2598" s="6">
        <f>COUNTIF(Levels!B:B,A2598)</f>
        <v>3</v>
      </c>
      <c r="C2598" s="6">
        <f>IFERROR(AVERAGEIF(Levels!B:B,A2598,Levels!E:E),0)</f>
        <v>9.56</v>
      </c>
      <c r="D2598" s="6">
        <f>IFERROR(AVERAGEIF(Levels!B:B,A2598,Levels!F:F),0)</f>
        <v>7.2633333333333328</v>
      </c>
      <c r="E2598" s="6">
        <f>_xlfn.MAXIFS(Levels!E:E,Levels!B:B,A2598)</f>
        <v>9.56</v>
      </c>
      <c r="F2598" s="6">
        <f>_xlfn.MAXIFS(Levels!F:F,Levels!B:B,A2598)</f>
        <v>7.81</v>
      </c>
    </row>
    <row r="2599" spans="1:6" x14ac:dyDescent="0.3">
      <c r="A2599" t="s">
        <v>11757</v>
      </c>
      <c r="B2599" s="9">
        <f>COUNTIF(Levels!B:B,A2599)</f>
        <v>2</v>
      </c>
      <c r="C2599" s="9">
        <f>IFERROR(AVERAGEIF(Levels!B:B,A2599,Levels!E:E),0)</f>
        <v>4.6449999999999996</v>
      </c>
      <c r="D2599" s="9">
        <f>IFERROR(AVERAGEIF(Levels!B:B,A2599,Levels!F:F),0)</f>
        <v>7.89</v>
      </c>
      <c r="E2599" s="9">
        <f>_xlfn.MAXIFS(Levels!E:E,Levels!B:B,A2599)</f>
        <v>6.81</v>
      </c>
      <c r="F2599" s="9">
        <f>_xlfn.MAXIFS(Levels!F:F,Levels!B:B,A2599)</f>
        <v>8.1199999999999992</v>
      </c>
    </row>
    <row r="2600" spans="1:6" x14ac:dyDescent="0.3">
      <c r="A2600" t="s">
        <v>11762</v>
      </c>
      <c r="B2600" s="6">
        <f>COUNTIF(Levels!B:B,A2600)</f>
        <v>1</v>
      </c>
      <c r="C2600" s="6">
        <f>IFERROR(AVERAGEIF(Levels!B:B,A2600,Levels!E:E),0)</f>
        <v>21.57</v>
      </c>
      <c r="D2600" s="6">
        <f>IFERROR(AVERAGEIF(Levels!B:B,A2600,Levels!F:F),0)</f>
        <v>6.57</v>
      </c>
      <c r="E2600" s="6">
        <f>_xlfn.MAXIFS(Levels!E:E,Levels!B:B,A2600)</f>
        <v>21.57</v>
      </c>
      <c r="F2600" s="6">
        <f>_xlfn.MAXIFS(Levels!F:F,Levels!B:B,A2600)</f>
        <v>6.57</v>
      </c>
    </row>
    <row r="2601" spans="1:6" x14ac:dyDescent="0.3">
      <c r="A2601" t="s">
        <v>11772</v>
      </c>
      <c r="B2601" s="9">
        <f>COUNTIF(Levels!B:B,A2601)</f>
        <v>1</v>
      </c>
      <c r="C2601" s="9">
        <f>IFERROR(AVERAGEIF(Levels!B:B,A2601,Levels!E:E),0)</f>
        <v>10.55</v>
      </c>
      <c r="D2601" s="9">
        <f>IFERROR(AVERAGEIF(Levels!B:B,A2601,Levels!F:F),0)</f>
        <v>7.55</v>
      </c>
      <c r="E2601" s="9">
        <f>_xlfn.MAXIFS(Levels!E:E,Levels!B:B,A2601)</f>
        <v>10.55</v>
      </c>
      <c r="F2601" s="9">
        <f>_xlfn.MAXIFS(Levels!F:F,Levels!B:B,A2601)</f>
        <v>7.55</v>
      </c>
    </row>
    <row r="2602" spans="1:6" x14ac:dyDescent="0.3">
      <c r="A2602" t="s">
        <v>11779</v>
      </c>
      <c r="B2602" s="6">
        <f>COUNTIF(Levels!B:B,A2602)</f>
        <v>1</v>
      </c>
      <c r="C2602" s="6">
        <f>IFERROR(AVERAGEIF(Levels!B:B,A2602,Levels!E:E),0)</f>
        <v>5.67</v>
      </c>
      <c r="D2602" s="6">
        <f>IFERROR(AVERAGEIF(Levels!B:B,A2602,Levels!F:F),0)</f>
        <v>5.83</v>
      </c>
      <c r="E2602" s="6">
        <f>_xlfn.MAXIFS(Levels!E:E,Levels!B:B,A2602)</f>
        <v>5.67</v>
      </c>
      <c r="F2602" s="6">
        <f>_xlfn.MAXIFS(Levels!F:F,Levels!B:B,A2602)</f>
        <v>5.83</v>
      </c>
    </row>
    <row r="2603" spans="1:6" x14ac:dyDescent="0.3">
      <c r="A2603" t="s">
        <v>11792</v>
      </c>
      <c r="B2603" s="9">
        <f>COUNTIF(Levels!B:B,A2603)</f>
        <v>1</v>
      </c>
      <c r="C2603" s="9">
        <f>IFERROR(AVERAGEIF(Levels!B:B,A2603,Levels!E:E),0)</f>
        <v>24.5</v>
      </c>
      <c r="D2603" s="9">
        <f>IFERROR(AVERAGEIF(Levels!B:B,A2603,Levels!F:F),0)</f>
        <v>6</v>
      </c>
      <c r="E2603" s="9">
        <f>_xlfn.MAXIFS(Levels!E:E,Levels!B:B,A2603)</f>
        <v>24.5</v>
      </c>
      <c r="F2603" s="9">
        <f>_xlfn.MAXIFS(Levels!F:F,Levels!B:B,A2603)</f>
        <v>6</v>
      </c>
    </row>
    <row r="2604" spans="1:6" x14ac:dyDescent="0.3">
      <c r="A2604" t="s">
        <v>11797</v>
      </c>
      <c r="B2604" s="6">
        <f>COUNTIF(Levels!B:B,A2604)</f>
        <v>1</v>
      </c>
      <c r="C2604" s="6">
        <f>IFERROR(AVERAGEIF(Levels!B:B,A2604,Levels!E:E),0)</f>
        <v>7.82</v>
      </c>
      <c r="D2604" s="6">
        <f>IFERROR(AVERAGEIF(Levels!B:B,A2604,Levels!F:F),0)</f>
        <v>6.56</v>
      </c>
      <c r="E2604" s="6">
        <f>_xlfn.MAXIFS(Levels!E:E,Levels!B:B,A2604)</f>
        <v>7.82</v>
      </c>
      <c r="F2604" s="6">
        <f>_xlfn.MAXIFS(Levels!F:F,Levels!B:B,A2604)</f>
        <v>6.56</v>
      </c>
    </row>
    <row r="2605" spans="1:6" x14ac:dyDescent="0.3">
      <c r="A2605" t="s">
        <v>11800</v>
      </c>
      <c r="B2605" s="9">
        <f>COUNTIF(Levels!B:B,A2605)</f>
        <v>1</v>
      </c>
      <c r="C2605" s="9">
        <f>IFERROR(AVERAGEIF(Levels!B:B,A2605,Levels!E:E),0)</f>
        <v>15.79</v>
      </c>
      <c r="D2605" s="9">
        <f>IFERROR(AVERAGEIF(Levels!B:B,A2605,Levels!F:F),0)</f>
        <v>6.54</v>
      </c>
      <c r="E2605" s="9">
        <f>_xlfn.MAXIFS(Levels!E:E,Levels!B:B,A2605)</f>
        <v>15.79</v>
      </c>
      <c r="F2605" s="9">
        <f>_xlfn.MAXIFS(Levels!F:F,Levels!B:B,A2605)</f>
        <v>6.54</v>
      </c>
    </row>
    <row r="2606" spans="1:6" x14ac:dyDescent="0.3">
      <c r="A2606" t="s">
        <v>11802</v>
      </c>
      <c r="B2606" s="6">
        <f>COUNTIF(Levels!B:B,A2606)</f>
        <v>1</v>
      </c>
      <c r="C2606" s="6">
        <f>IFERROR(AVERAGEIF(Levels!B:B,A2606,Levels!E:E),0)</f>
        <v>11.27</v>
      </c>
      <c r="D2606" s="6">
        <f>IFERROR(AVERAGEIF(Levels!B:B,A2606,Levels!F:F),0)</f>
        <v>5.9</v>
      </c>
      <c r="E2606" s="6">
        <f>_xlfn.MAXIFS(Levels!E:E,Levels!B:B,A2606)</f>
        <v>11.27</v>
      </c>
      <c r="F2606" s="6">
        <f>_xlfn.MAXIFS(Levels!F:F,Levels!B:B,A2606)</f>
        <v>5.9</v>
      </c>
    </row>
    <row r="2607" spans="1:6" x14ac:dyDescent="0.3">
      <c r="A2607" t="s">
        <v>11804</v>
      </c>
      <c r="B2607" s="9">
        <f>COUNTIF(Levels!B:B,A2607)</f>
        <v>1</v>
      </c>
      <c r="C2607" s="9">
        <f>IFERROR(AVERAGEIF(Levels!B:B,A2607,Levels!E:E),0)</f>
        <v>26.33</v>
      </c>
      <c r="D2607" s="9">
        <f>IFERROR(AVERAGEIF(Levels!B:B,A2607,Levels!F:F),0)</f>
        <v>3.33</v>
      </c>
      <c r="E2607" s="9">
        <f>_xlfn.MAXIFS(Levels!E:E,Levels!B:B,A2607)</f>
        <v>26.33</v>
      </c>
      <c r="F2607" s="9">
        <f>_xlfn.MAXIFS(Levels!F:F,Levels!B:B,A2607)</f>
        <v>3.33</v>
      </c>
    </row>
    <row r="2608" spans="1:6" x14ac:dyDescent="0.3">
      <c r="A2608" t="s">
        <v>11807</v>
      </c>
      <c r="B2608" s="6">
        <f>COUNTIF(Levels!B:B,A2608)</f>
        <v>1</v>
      </c>
      <c r="C2608" s="6">
        <f>IFERROR(AVERAGEIF(Levels!B:B,A2608,Levels!E:E),0)</f>
        <v>6.55</v>
      </c>
      <c r="D2608" s="6">
        <f>IFERROR(AVERAGEIF(Levels!B:B,A2608,Levels!F:F),0)</f>
        <v>7.88</v>
      </c>
      <c r="E2608" s="6">
        <f>_xlfn.MAXIFS(Levels!E:E,Levels!B:B,A2608)</f>
        <v>6.55</v>
      </c>
      <c r="F2608" s="6">
        <f>_xlfn.MAXIFS(Levels!F:F,Levels!B:B,A2608)</f>
        <v>7.88</v>
      </c>
    </row>
    <row r="2609" spans="1:6" x14ac:dyDescent="0.3">
      <c r="A2609" t="s">
        <v>11811</v>
      </c>
      <c r="B2609" s="9">
        <f>COUNTIF(Levels!B:B,A2609)</f>
        <v>2</v>
      </c>
      <c r="C2609" s="9">
        <f>IFERROR(AVERAGEIF(Levels!B:B,A2609,Levels!E:E),0)</f>
        <v>21.545000000000002</v>
      </c>
      <c r="D2609" s="9">
        <f>IFERROR(AVERAGEIF(Levels!B:B,A2609,Levels!F:F),0)</f>
        <v>8.0449999999999999</v>
      </c>
      <c r="E2609" s="9">
        <f>_xlfn.MAXIFS(Levels!E:E,Levels!B:B,A2609)</f>
        <v>22.26</v>
      </c>
      <c r="F2609" s="9">
        <f>_xlfn.MAXIFS(Levels!F:F,Levels!B:B,A2609)</f>
        <v>8.4</v>
      </c>
    </row>
    <row r="2610" spans="1:6" x14ac:dyDescent="0.3">
      <c r="A2610" t="s">
        <v>11814</v>
      </c>
      <c r="B2610" s="6">
        <f>COUNTIF(Levels!B:B,A2610)</f>
        <v>1</v>
      </c>
      <c r="C2610" s="6">
        <f>IFERROR(AVERAGEIF(Levels!B:B,A2610,Levels!E:E),0)</f>
        <v>0</v>
      </c>
      <c r="D2610" s="6">
        <f>IFERROR(AVERAGEIF(Levels!B:B,A2610,Levels!F:F),0)</f>
        <v>0</v>
      </c>
      <c r="E2610" s="6">
        <f>_xlfn.MAXIFS(Levels!E:E,Levels!B:B,A2610)</f>
        <v>0</v>
      </c>
      <c r="F2610" s="6">
        <f>_xlfn.MAXIFS(Levels!F:F,Levels!B:B,A2610)</f>
        <v>0</v>
      </c>
    </row>
    <row r="2611" spans="1:6" x14ac:dyDescent="0.3">
      <c r="A2611" t="s">
        <v>11817</v>
      </c>
      <c r="B2611" s="9">
        <f>COUNTIF(Levels!B:B,A2611)</f>
        <v>1</v>
      </c>
      <c r="C2611" s="9">
        <f>IFERROR(AVERAGEIF(Levels!B:B,A2611,Levels!E:E),0)</f>
        <v>0</v>
      </c>
      <c r="D2611" s="9">
        <f>IFERROR(AVERAGEIF(Levels!B:B,A2611,Levels!F:F),0)</f>
        <v>0</v>
      </c>
      <c r="E2611" s="9">
        <f>_xlfn.MAXIFS(Levels!E:E,Levels!B:B,A2611)</f>
        <v>0</v>
      </c>
      <c r="F2611" s="9">
        <f>_xlfn.MAXIFS(Levels!F:F,Levels!B:B,A2611)</f>
        <v>0</v>
      </c>
    </row>
    <row r="2612" spans="1:6" x14ac:dyDescent="0.3">
      <c r="A2612" t="s">
        <v>11820</v>
      </c>
      <c r="B2612" s="6">
        <f>COUNTIF(Levels!B:B,A2612)</f>
        <v>1</v>
      </c>
      <c r="C2612" s="6">
        <f>IFERROR(AVERAGEIF(Levels!B:B,A2612,Levels!E:E),0)</f>
        <v>5</v>
      </c>
      <c r="D2612" s="6">
        <f>IFERROR(AVERAGEIF(Levels!B:B,A2612,Levels!F:F),0)</f>
        <v>6.73</v>
      </c>
      <c r="E2612" s="6">
        <f>_xlfn.MAXIFS(Levels!E:E,Levels!B:B,A2612)</f>
        <v>5</v>
      </c>
      <c r="F2612" s="6">
        <f>_xlfn.MAXIFS(Levels!F:F,Levels!B:B,A2612)</f>
        <v>6.73</v>
      </c>
    </row>
    <row r="2613" spans="1:6" x14ac:dyDescent="0.3">
      <c r="A2613" t="s">
        <v>11829</v>
      </c>
      <c r="B2613" s="9">
        <f>COUNTIF(Levels!B:B,A2613)</f>
        <v>1</v>
      </c>
      <c r="C2613" s="9">
        <f>IFERROR(AVERAGEIF(Levels!B:B,A2613,Levels!E:E),0)</f>
        <v>15</v>
      </c>
      <c r="D2613" s="9">
        <f>IFERROR(AVERAGEIF(Levels!B:B,A2613,Levels!F:F),0)</f>
        <v>7</v>
      </c>
      <c r="E2613" s="9">
        <f>_xlfn.MAXIFS(Levels!E:E,Levels!B:B,A2613)</f>
        <v>15</v>
      </c>
      <c r="F2613" s="9">
        <f>_xlfn.MAXIFS(Levels!F:F,Levels!B:B,A2613)</f>
        <v>7</v>
      </c>
    </row>
    <row r="2614" spans="1:6" x14ac:dyDescent="0.3">
      <c r="A2614" t="s">
        <v>11832</v>
      </c>
      <c r="B2614" s="6">
        <f>COUNTIF(Levels!B:B,A2614)</f>
        <v>1</v>
      </c>
      <c r="C2614" s="6">
        <f>IFERROR(AVERAGEIF(Levels!B:B,A2614,Levels!E:E),0)</f>
        <v>1.85</v>
      </c>
      <c r="D2614" s="6">
        <f>IFERROR(AVERAGEIF(Levels!B:B,A2614,Levels!F:F),0)</f>
        <v>6.84</v>
      </c>
      <c r="E2614" s="6">
        <f>_xlfn.MAXIFS(Levels!E:E,Levels!B:B,A2614)</f>
        <v>1.85</v>
      </c>
      <c r="F2614" s="6">
        <f>_xlfn.MAXIFS(Levels!F:F,Levels!B:B,A2614)</f>
        <v>6.84</v>
      </c>
    </row>
    <row r="2615" spans="1:6" x14ac:dyDescent="0.3">
      <c r="A2615" t="s">
        <v>11835</v>
      </c>
      <c r="B2615" s="9">
        <f>COUNTIF(Levels!B:B,A2615)</f>
        <v>1</v>
      </c>
      <c r="C2615" s="9">
        <f>IFERROR(AVERAGEIF(Levels!B:B,A2615,Levels!E:E),0)</f>
        <v>22.31</v>
      </c>
      <c r="D2615" s="9">
        <f>IFERROR(AVERAGEIF(Levels!B:B,A2615,Levels!F:F),0)</f>
        <v>6.71</v>
      </c>
      <c r="E2615" s="9">
        <f>_xlfn.MAXIFS(Levels!E:E,Levels!B:B,A2615)</f>
        <v>22.31</v>
      </c>
      <c r="F2615" s="9">
        <f>_xlfn.MAXIFS(Levels!F:F,Levels!B:B,A2615)</f>
        <v>6.71</v>
      </c>
    </row>
    <row r="2616" spans="1:6" x14ac:dyDescent="0.3">
      <c r="A2616" t="s">
        <v>11838</v>
      </c>
      <c r="B2616" s="6">
        <f>COUNTIF(Levels!B:B,A2616)</f>
        <v>4</v>
      </c>
      <c r="C2616" s="6">
        <f>IFERROR(AVERAGEIF(Levels!B:B,A2616,Levels!E:E),0)</f>
        <v>13.5825</v>
      </c>
      <c r="D2616" s="6">
        <f>IFERROR(AVERAGEIF(Levels!B:B,A2616,Levels!F:F),0)</f>
        <v>7.4674999999999994</v>
      </c>
      <c r="E2616" s="6">
        <f>_xlfn.MAXIFS(Levels!E:E,Levels!B:B,A2616)</f>
        <v>17.670000000000002</v>
      </c>
      <c r="F2616" s="6">
        <f>_xlfn.MAXIFS(Levels!F:F,Levels!B:B,A2616)</f>
        <v>8.1</v>
      </c>
    </row>
    <row r="2617" spans="1:6" x14ac:dyDescent="0.3">
      <c r="A2617" t="s">
        <v>11841</v>
      </c>
      <c r="B2617" s="9">
        <f>COUNTIF(Levels!B:B,A2617)</f>
        <v>1</v>
      </c>
      <c r="C2617" s="9">
        <f>IFERROR(AVERAGEIF(Levels!B:B,A2617,Levels!E:E),0)</f>
        <v>12.66</v>
      </c>
      <c r="D2617" s="9">
        <f>IFERROR(AVERAGEIF(Levels!B:B,A2617,Levels!F:F),0)</f>
        <v>8.5500000000000007</v>
      </c>
      <c r="E2617" s="9">
        <f>_xlfn.MAXIFS(Levels!E:E,Levels!B:B,A2617)</f>
        <v>12.66</v>
      </c>
      <c r="F2617" s="9">
        <f>_xlfn.MAXIFS(Levels!F:F,Levels!B:B,A2617)</f>
        <v>8.5500000000000007</v>
      </c>
    </row>
    <row r="2618" spans="1:6" x14ac:dyDescent="0.3">
      <c r="A2618" t="s">
        <v>11844</v>
      </c>
      <c r="B2618" s="6">
        <f>COUNTIF(Levels!B:B,A2618)</f>
        <v>3</v>
      </c>
      <c r="C2618" s="6">
        <f>IFERROR(AVERAGEIF(Levels!B:B,A2618,Levels!E:E),0)</f>
        <v>2.2466666666666666</v>
      </c>
      <c r="D2618" s="6">
        <f>IFERROR(AVERAGEIF(Levels!B:B,A2618,Levels!F:F),0)</f>
        <v>7.4933333333333332</v>
      </c>
      <c r="E2618" s="6">
        <f>_xlfn.MAXIFS(Levels!E:E,Levels!B:B,A2618)</f>
        <v>3.35</v>
      </c>
      <c r="F2618" s="6">
        <f>_xlfn.MAXIFS(Levels!F:F,Levels!B:B,A2618)</f>
        <v>7.67</v>
      </c>
    </row>
    <row r="2619" spans="1:6" x14ac:dyDescent="0.3">
      <c r="A2619" t="s">
        <v>11846</v>
      </c>
      <c r="B2619" s="9">
        <f>COUNTIF(Levels!B:B,A2619)</f>
        <v>1</v>
      </c>
      <c r="C2619" s="9">
        <f>IFERROR(AVERAGEIF(Levels!B:B,A2619,Levels!E:E),0)</f>
        <v>2.66</v>
      </c>
      <c r="D2619" s="9">
        <f>IFERROR(AVERAGEIF(Levels!B:B,A2619,Levels!F:F),0)</f>
        <v>5.89</v>
      </c>
      <c r="E2619" s="9">
        <f>_xlfn.MAXIFS(Levels!E:E,Levels!B:B,A2619)</f>
        <v>2.66</v>
      </c>
      <c r="F2619" s="9">
        <f>_xlfn.MAXIFS(Levels!F:F,Levels!B:B,A2619)</f>
        <v>5.89</v>
      </c>
    </row>
    <row r="2620" spans="1:6" x14ac:dyDescent="0.3">
      <c r="A2620" t="s">
        <v>11851</v>
      </c>
      <c r="B2620" s="6">
        <f>COUNTIF(Levels!B:B,A2620)</f>
        <v>1</v>
      </c>
      <c r="C2620" s="6">
        <f>IFERROR(AVERAGEIF(Levels!B:B,A2620,Levels!E:E),0)</f>
        <v>7.21</v>
      </c>
      <c r="D2620" s="6">
        <f>IFERROR(AVERAGEIF(Levels!B:B,A2620,Levels!F:F),0)</f>
        <v>7.69</v>
      </c>
      <c r="E2620" s="6">
        <f>_xlfn.MAXIFS(Levels!E:E,Levels!B:B,A2620)</f>
        <v>7.21</v>
      </c>
      <c r="F2620" s="6">
        <f>_xlfn.MAXIFS(Levels!F:F,Levels!B:B,A2620)</f>
        <v>7.69</v>
      </c>
    </row>
    <row r="2621" spans="1:6" x14ac:dyDescent="0.3">
      <c r="A2621" t="s">
        <v>11856</v>
      </c>
      <c r="B2621" s="9">
        <f>COUNTIF(Levels!B:B,A2621)</f>
        <v>1</v>
      </c>
      <c r="C2621" s="9">
        <f>IFERROR(AVERAGEIF(Levels!B:B,A2621,Levels!E:E),0)</f>
        <v>0</v>
      </c>
      <c r="D2621" s="9">
        <f>IFERROR(AVERAGEIF(Levels!B:B,A2621,Levels!F:F),0)</f>
        <v>0</v>
      </c>
      <c r="E2621" s="9">
        <f>_xlfn.MAXIFS(Levels!E:E,Levels!B:B,A2621)</f>
        <v>0</v>
      </c>
      <c r="F2621" s="9">
        <f>_xlfn.MAXIFS(Levels!F:F,Levels!B:B,A2621)</f>
        <v>0</v>
      </c>
    </row>
    <row r="2622" spans="1:6" x14ac:dyDescent="0.3">
      <c r="A2622" t="s">
        <v>11858</v>
      </c>
      <c r="B2622" s="6">
        <f>COUNTIF(Levels!B:B,A2622)</f>
        <v>1</v>
      </c>
      <c r="C2622" s="6">
        <f>IFERROR(AVERAGEIF(Levels!B:B,A2622,Levels!E:E),0)</f>
        <v>23.17</v>
      </c>
      <c r="D2622" s="6">
        <f>IFERROR(AVERAGEIF(Levels!B:B,A2622,Levels!F:F),0)</f>
        <v>7.83</v>
      </c>
      <c r="E2622" s="6">
        <f>_xlfn.MAXIFS(Levels!E:E,Levels!B:B,A2622)</f>
        <v>23.17</v>
      </c>
      <c r="F2622" s="6">
        <f>_xlfn.MAXIFS(Levels!F:F,Levels!B:B,A2622)</f>
        <v>7.83</v>
      </c>
    </row>
    <row r="2623" spans="1:6" x14ac:dyDescent="0.3">
      <c r="A2623" t="s">
        <v>11862</v>
      </c>
      <c r="B2623" s="9">
        <f>COUNTIF(Levels!B:B,A2623)</f>
        <v>2</v>
      </c>
      <c r="C2623" s="9">
        <f>IFERROR(AVERAGEIF(Levels!B:B,A2623,Levels!E:E),0)</f>
        <v>16.555</v>
      </c>
      <c r="D2623" s="9">
        <f>IFERROR(AVERAGEIF(Levels!B:B,A2623,Levels!F:F),0)</f>
        <v>7.8349999999999991</v>
      </c>
      <c r="E2623" s="9">
        <f>_xlfn.MAXIFS(Levels!E:E,Levels!B:B,A2623)</f>
        <v>17.11</v>
      </c>
      <c r="F2623" s="9">
        <f>_xlfn.MAXIFS(Levels!F:F,Levels!B:B,A2623)</f>
        <v>8.7799999999999994</v>
      </c>
    </row>
    <row r="2624" spans="1:6" x14ac:dyDescent="0.3">
      <c r="A2624" t="s">
        <v>11864</v>
      </c>
      <c r="B2624" s="6">
        <f>COUNTIF(Levels!B:B,A2624)</f>
        <v>2</v>
      </c>
      <c r="C2624" s="6">
        <f>IFERROR(AVERAGEIF(Levels!B:B,A2624,Levels!E:E),0)</f>
        <v>21.52</v>
      </c>
      <c r="D2624" s="6">
        <f>IFERROR(AVERAGEIF(Levels!B:B,A2624,Levels!F:F),0)</f>
        <v>7.8900000000000006</v>
      </c>
      <c r="E2624" s="6">
        <f>_xlfn.MAXIFS(Levels!E:E,Levels!B:B,A2624)</f>
        <v>22</v>
      </c>
      <c r="F2624" s="6">
        <f>_xlfn.MAXIFS(Levels!F:F,Levels!B:B,A2624)</f>
        <v>9</v>
      </c>
    </row>
    <row r="2625" spans="1:6" x14ac:dyDescent="0.3">
      <c r="A2625" t="s">
        <v>11873</v>
      </c>
      <c r="B2625" s="9">
        <f>COUNTIF(Levels!B:B,A2625)</f>
        <v>1</v>
      </c>
      <c r="C2625" s="9">
        <f>IFERROR(AVERAGEIF(Levels!B:B,A2625,Levels!E:E),0)</f>
        <v>0</v>
      </c>
      <c r="D2625" s="9">
        <f>IFERROR(AVERAGEIF(Levels!B:B,A2625,Levels!F:F),0)</f>
        <v>0</v>
      </c>
      <c r="E2625" s="9">
        <f>_xlfn.MAXIFS(Levels!E:E,Levels!B:B,A2625)</f>
        <v>0</v>
      </c>
      <c r="F2625" s="9">
        <f>_xlfn.MAXIFS(Levels!F:F,Levels!B:B,A2625)</f>
        <v>0</v>
      </c>
    </row>
    <row r="2626" spans="1:6" x14ac:dyDescent="0.3">
      <c r="A2626" t="s">
        <v>11875</v>
      </c>
      <c r="B2626" s="6">
        <f>COUNTIF(Levels!B:B,A2626)</f>
        <v>1</v>
      </c>
      <c r="C2626" s="6">
        <f>IFERROR(AVERAGEIF(Levels!B:B,A2626,Levels!E:E),0)</f>
        <v>4.9400000000000004</v>
      </c>
      <c r="D2626" s="6">
        <f>IFERROR(AVERAGEIF(Levels!B:B,A2626,Levels!F:F),0)</f>
        <v>7.93</v>
      </c>
      <c r="E2626" s="6">
        <f>_xlfn.MAXIFS(Levels!E:E,Levels!B:B,A2626)</f>
        <v>4.9400000000000004</v>
      </c>
      <c r="F2626" s="6">
        <f>_xlfn.MAXIFS(Levels!F:F,Levels!B:B,A2626)</f>
        <v>7.93</v>
      </c>
    </row>
    <row r="2627" spans="1:6" x14ac:dyDescent="0.3">
      <c r="A2627" t="s">
        <v>11878</v>
      </c>
      <c r="B2627" s="9">
        <f>COUNTIF(Levels!B:B,A2627)</f>
        <v>2</v>
      </c>
      <c r="C2627" s="9">
        <f>IFERROR(AVERAGEIF(Levels!B:B,A2627,Levels!E:E),0)</f>
        <v>33</v>
      </c>
      <c r="D2627" s="9">
        <f>IFERROR(AVERAGEIF(Levels!B:B,A2627,Levels!F:F),0)</f>
        <v>6</v>
      </c>
      <c r="E2627" s="9">
        <f>_xlfn.MAXIFS(Levels!E:E,Levels!B:B,A2627)</f>
        <v>33</v>
      </c>
      <c r="F2627" s="9">
        <f>_xlfn.MAXIFS(Levels!F:F,Levels!B:B,A2627)</f>
        <v>6</v>
      </c>
    </row>
    <row r="2628" spans="1:6" x14ac:dyDescent="0.3">
      <c r="A2628" t="s">
        <v>11885</v>
      </c>
      <c r="B2628" s="6">
        <f>COUNTIF(Levels!B:B,A2628)</f>
        <v>1</v>
      </c>
      <c r="C2628" s="6">
        <f>IFERROR(AVERAGEIF(Levels!B:B,A2628,Levels!E:E),0)</f>
        <v>8.84</v>
      </c>
      <c r="D2628" s="6">
        <f>IFERROR(AVERAGEIF(Levels!B:B,A2628,Levels!F:F),0)</f>
        <v>8.33</v>
      </c>
      <c r="E2628" s="6">
        <f>_xlfn.MAXIFS(Levels!E:E,Levels!B:B,A2628)</f>
        <v>8.84</v>
      </c>
      <c r="F2628" s="6">
        <f>_xlfn.MAXIFS(Levels!F:F,Levels!B:B,A2628)</f>
        <v>8.33</v>
      </c>
    </row>
    <row r="2629" spans="1:6" x14ac:dyDescent="0.3">
      <c r="A2629" t="s">
        <v>11887</v>
      </c>
      <c r="B2629" s="9">
        <f>COUNTIF(Levels!B:B,A2629)</f>
        <v>2</v>
      </c>
      <c r="C2629" s="9">
        <f>IFERROR(AVERAGEIF(Levels!B:B,A2629,Levels!E:E),0)</f>
        <v>14.49</v>
      </c>
      <c r="D2629" s="9">
        <f>IFERROR(AVERAGEIF(Levels!B:B,A2629,Levels!F:F),0)</f>
        <v>6.8250000000000002</v>
      </c>
      <c r="E2629" s="9">
        <f>_xlfn.MAXIFS(Levels!E:E,Levels!B:B,A2629)</f>
        <v>14.49</v>
      </c>
      <c r="F2629" s="9">
        <f>_xlfn.MAXIFS(Levels!F:F,Levels!B:B,A2629)</f>
        <v>7.83</v>
      </c>
    </row>
    <row r="2630" spans="1:6" x14ac:dyDescent="0.3">
      <c r="A2630" t="s">
        <v>11890</v>
      </c>
      <c r="B2630" s="6">
        <f>COUNTIF(Levels!B:B,A2630)</f>
        <v>1</v>
      </c>
      <c r="C2630" s="6">
        <f>IFERROR(AVERAGEIF(Levels!B:B,A2630,Levels!E:E),0)</f>
        <v>23.5</v>
      </c>
      <c r="D2630" s="6">
        <f>IFERROR(AVERAGEIF(Levels!B:B,A2630,Levels!F:F),0)</f>
        <v>9.5</v>
      </c>
      <c r="E2630" s="6">
        <f>_xlfn.MAXIFS(Levels!E:E,Levels!B:B,A2630)</f>
        <v>23.5</v>
      </c>
      <c r="F2630" s="6">
        <f>_xlfn.MAXIFS(Levels!F:F,Levels!B:B,A2630)</f>
        <v>9.5</v>
      </c>
    </row>
    <row r="2631" spans="1:6" x14ac:dyDescent="0.3">
      <c r="A2631" t="s">
        <v>11896</v>
      </c>
      <c r="B2631" s="9">
        <f>COUNTIF(Levels!B:B,A2631)</f>
        <v>1</v>
      </c>
      <c r="C2631" s="9">
        <f>IFERROR(AVERAGEIF(Levels!B:B,A2631,Levels!E:E),0)</f>
        <v>6.15</v>
      </c>
      <c r="D2631" s="9">
        <f>IFERROR(AVERAGEIF(Levels!B:B,A2631,Levels!F:F),0)</f>
        <v>9.09</v>
      </c>
      <c r="E2631" s="9">
        <f>_xlfn.MAXIFS(Levels!E:E,Levels!B:B,A2631)</f>
        <v>6.15</v>
      </c>
      <c r="F2631" s="9">
        <f>_xlfn.MAXIFS(Levels!F:F,Levels!B:B,A2631)</f>
        <v>9.09</v>
      </c>
    </row>
    <row r="2632" spans="1:6" x14ac:dyDescent="0.3">
      <c r="A2632" t="s">
        <v>11901</v>
      </c>
      <c r="B2632" s="6">
        <f>COUNTIF(Levels!B:B,A2632)</f>
        <v>1</v>
      </c>
      <c r="C2632" s="6">
        <f>IFERROR(AVERAGEIF(Levels!B:B,A2632,Levels!E:E),0)</f>
        <v>7.41</v>
      </c>
      <c r="D2632" s="6">
        <f>IFERROR(AVERAGEIF(Levels!B:B,A2632,Levels!F:F),0)</f>
        <v>6.23</v>
      </c>
      <c r="E2632" s="6">
        <f>_xlfn.MAXIFS(Levels!E:E,Levels!B:B,A2632)</f>
        <v>7.41</v>
      </c>
      <c r="F2632" s="6">
        <f>_xlfn.MAXIFS(Levels!F:F,Levels!B:B,A2632)</f>
        <v>6.23</v>
      </c>
    </row>
    <row r="2633" spans="1:6" x14ac:dyDescent="0.3">
      <c r="A2633" t="s">
        <v>11903</v>
      </c>
      <c r="B2633" s="9">
        <f>COUNTIF(Levels!B:B,A2633)</f>
        <v>2</v>
      </c>
      <c r="C2633" s="9">
        <f>IFERROR(AVERAGEIF(Levels!B:B,A2633,Levels!E:E),0)</f>
        <v>11</v>
      </c>
      <c r="D2633" s="9">
        <f>IFERROR(AVERAGEIF(Levels!B:B,A2633,Levels!F:F),0)</f>
        <v>7.085</v>
      </c>
      <c r="E2633" s="9">
        <f>_xlfn.MAXIFS(Levels!E:E,Levels!B:B,A2633)</f>
        <v>11.5</v>
      </c>
      <c r="F2633" s="9">
        <f>_xlfn.MAXIFS(Levels!F:F,Levels!B:B,A2633)</f>
        <v>7.17</v>
      </c>
    </row>
    <row r="2634" spans="1:6" x14ac:dyDescent="0.3">
      <c r="A2634" t="s">
        <v>11907</v>
      </c>
      <c r="B2634" s="6">
        <f>COUNTIF(Levels!B:B,A2634)</f>
        <v>1</v>
      </c>
      <c r="C2634" s="6">
        <f>IFERROR(AVERAGEIF(Levels!B:B,A2634,Levels!E:E),0)</f>
        <v>17.829999999999998</v>
      </c>
      <c r="D2634" s="6">
        <f>IFERROR(AVERAGEIF(Levels!B:B,A2634,Levels!F:F),0)</f>
        <v>8.83</v>
      </c>
      <c r="E2634" s="6">
        <f>_xlfn.MAXIFS(Levels!E:E,Levels!B:B,A2634)</f>
        <v>17.829999999999998</v>
      </c>
      <c r="F2634" s="6">
        <f>_xlfn.MAXIFS(Levels!F:F,Levels!B:B,A2634)</f>
        <v>8.83</v>
      </c>
    </row>
    <row r="2635" spans="1:6" x14ac:dyDescent="0.3">
      <c r="A2635" t="s">
        <v>11909</v>
      </c>
      <c r="B2635" s="9">
        <f>COUNTIF(Levels!B:B,A2635)</f>
        <v>2</v>
      </c>
      <c r="C2635" s="9">
        <f>IFERROR(AVERAGEIF(Levels!B:B,A2635,Levels!E:E),0)</f>
        <v>9.98</v>
      </c>
      <c r="D2635" s="9">
        <f>IFERROR(AVERAGEIF(Levels!B:B,A2635,Levels!F:F),0)</f>
        <v>6.82</v>
      </c>
      <c r="E2635" s="9">
        <f>_xlfn.MAXIFS(Levels!E:E,Levels!B:B,A2635)</f>
        <v>9.98</v>
      </c>
      <c r="F2635" s="9">
        <f>_xlfn.MAXIFS(Levels!F:F,Levels!B:B,A2635)</f>
        <v>6.82</v>
      </c>
    </row>
    <row r="2636" spans="1:6" x14ac:dyDescent="0.3">
      <c r="A2636" t="s">
        <v>11920</v>
      </c>
      <c r="B2636" s="6">
        <f>COUNTIF(Levels!B:B,A2636)</f>
        <v>1</v>
      </c>
      <c r="C2636" s="6">
        <f>IFERROR(AVERAGEIF(Levels!B:B,A2636,Levels!E:E),0)</f>
        <v>1.84</v>
      </c>
      <c r="D2636" s="6">
        <f>IFERROR(AVERAGEIF(Levels!B:B,A2636,Levels!F:F),0)</f>
        <v>7.15</v>
      </c>
      <c r="E2636" s="6">
        <f>_xlfn.MAXIFS(Levels!E:E,Levels!B:B,A2636)</f>
        <v>1.84</v>
      </c>
      <c r="F2636" s="6">
        <f>_xlfn.MAXIFS(Levels!F:F,Levels!B:B,A2636)</f>
        <v>7.15</v>
      </c>
    </row>
    <row r="2637" spans="1:6" x14ac:dyDescent="0.3">
      <c r="A2637" t="s">
        <v>11927</v>
      </c>
      <c r="B2637" s="9">
        <f>COUNTIF(Levels!B:B,A2637)</f>
        <v>1</v>
      </c>
      <c r="C2637" s="9">
        <f>IFERROR(AVERAGEIF(Levels!B:B,A2637,Levels!E:E),0)</f>
        <v>27.89</v>
      </c>
      <c r="D2637" s="9">
        <f>IFERROR(AVERAGEIF(Levels!B:B,A2637,Levels!F:F),0)</f>
        <v>8.3800000000000008</v>
      </c>
      <c r="E2637" s="9">
        <f>_xlfn.MAXIFS(Levels!E:E,Levels!B:B,A2637)</f>
        <v>27.89</v>
      </c>
      <c r="F2637" s="9">
        <f>_xlfn.MAXIFS(Levels!F:F,Levels!B:B,A2637)</f>
        <v>8.3800000000000008</v>
      </c>
    </row>
    <row r="2638" spans="1:6" x14ac:dyDescent="0.3">
      <c r="A2638" t="s">
        <v>11930</v>
      </c>
      <c r="B2638" s="6">
        <f>COUNTIF(Levels!B:B,A2638)</f>
        <v>5</v>
      </c>
      <c r="C2638" s="6">
        <f>IFERROR(AVERAGEIF(Levels!B:B,A2638,Levels!E:E),0)</f>
        <v>11.164999999999999</v>
      </c>
      <c r="D2638" s="6">
        <f>IFERROR(AVERAGEIF(Levels!B:B,A2638,Levels!F:F),0)</f>
        <v>4.3980000000000006</v>
      </c>
      <c r="E2638" s="6">
        <f>_xlfn.MAXIFS(Levels!E:E,Levels!B:B,A2638)</f>
        <v>16.329999999999998</v>
      </c>
      <c r="F2638" s="6">
        <f>_xlfn.MAXIFS(Levels!F:F,Levels!B:B,A2638)</f>
        <v>8.33</v>
      </c>
    </row>
    <row r="2639" spans="1:6" x14ac:dyDescent="0.3">
      <c r="A2639" t="s">
        <v>11934</v>
      </c>
      <c r="B2639" s="9">
        <f>COUNTIF(Levels!B:B,A2639)</f>
        <v>2</v>
      </c>
      <c r="C2639" s="9">
        <f>IFERROR(AVERAGEIF(Levels!B:B,A2639,Levels!E:E),0)</f>
        <v>4.8600000000000003</v>
      </c>
      <c r="D2639" s="9">
        <f>IFERROR(AVERAGEIF(Levels!B:B,A2639,Levels!F:F),0)</f>
        <v>7.83</v>
      </c>
      <c r="E2639" s="9">
        <f>_xlfn.MAXIFS(Levels!E:E,Levels!B:B,A2639)</f>
        <v>8.14</v>
      </c>
      <c r="F2639" s="9">
        <f>_xlfn.MAXIFS(Levels!F:F,Levels!B:B,A2639)</f>
        <v>8.14</v>
      </c>
    </row>
    <row r="2640" spans="1:6" x14ac:dyDescent="0.3">
      <c r="A2640" t="s">
        <v>11938</v>
      </c>
      <c r="B2640" s="6">
        <f>COUNTIF(Levels!B:B,A2640)</f>
        <v>1</v>
      </c>
      <c r="C2640" s="6">
        <f>IFERROR(AVERAGEIF(Levels!B:B,A2640,Levels!E:E),0)</f>
        <v>26.3</v>
      </c>
      <c r="D2640" s="6">
        <f>IFERROR(AVERAGEIF(Levels!B:B,A2640,Levels!F:F),0)</f>
        <v>7.69</v>
      </c>
      <c r="E2640" s="6">
        <f>_xlfn.MAXIFS(Levels!E:E,Levels!B:B,A2640)</f>
        <v>26.3</v>
      </c>
      <c r="F2640" s="6">
        <f>_xlfn.MAXIFS(Levels!F:F,Levels!B:B,A2640)</f>
        <v>7.69</v>
      </c>
    </row>
    <row r="2641" spans="1:6" x14ac:dyDescent="0.3">
      <c r="A2641" t="s">
        <v>11941</v>
      </c>
      <c r="B2641" s="9">
        <f>COUNTIF(Levels!B:B,A2641)</f>
        <v>2</v>
      </c>
      <c r="C2641" s="9">
        <f>IFERROR(AVERAGEIF(Levels!B:B,A2641,Levels!E:E),0)</f>
        <v>14.945</v>
      </c>
      <c r="D2641" s="9">
        <f>IFERROR(AVERAGEIF(Levels!B:B,A2641,Levels!F:F),0)</f>
        <v>8.4550000000000001</v>
      </c>
      <c r="E2641" s="9">
        <f>_xlfn.MAXIFS(Levels!E:E,Levels!B:B,A2641)</f>
        <v>27</v>
      </c>
      <c r="F2641" s="9">
        <f>_xlfn.MAXIFS(Levels!F:F,Levels!B:B,A2641)</f>
        <v>10</v>
      </c>
    </row>
    <row r="2642" spans="1:6" x14ac:dyDescent="0.3">
      <c r="A2642" t="s">
        <v>11955</v>
      </c>
      <c r="B2642" s="6">
        <f>COUNTIF(Levels!B:B,A2642)</f>
        <v>1</v>
      </c>
      <c r="C2642" s="6">
        <f>IFERROR(AVERAGEIF(Levels!B:B,A2642,Levels!E:E),0)</f>
        <v>18.670000000000002</v>
      </c>
      <c r="D2642" s="6">
        <f>IFERROR(AVERAGEIF(Levels!B:B,A2642,Levels!F:F),0)</f>
        <v>8.17</v>
      </c>
      <c r="E2642" s="6">
        <f>_xlfn.MAXIFS(Levels!E:E,Levels!B:B,A2642)</f>
        <v>18.670000000000002</v>
      </c>
      <c r="F2642" s="6">
        <f>_xlfn.MAXIFS(Levels!F:F,Levels!B:B,A2642)</f>
        <v>8.17</v>
      </c>
    </row>
    <row r="2643" spans="1:6" x14ac:dyDescent="0.3">
      <c r="A2643" t="s">
        <v>11963</v>
      </c>
      <c r="B2643" s="9">
        <f>COUNTIF(Levels!B:B,A2643)</f>
        <v>1</v>
      </c>
      <c r="C2643" s="9">
        <f>IFERROR(AVERAGEIF(Levels!B:B,A2643,Levels!E:E),0)</f>
        <v>2.56</v>
      </c>
      <c r="D2643" s="9">
        <f>IFERROR(AVERAGEIF(Levels!B:B,A2643,Levels!F:F),0)</f>
        <v>7.39</v>
      </c>
      <c r="E2643" s="9">
        <f>_xlfn.MAXIFS(Levels!E:E,Levels!B:B,A2643)</f>
        <v>2.56</v>
      </c>
      <c r="F2643" s="9">
        <f>_xlfn.MAXIFS(Levels!F:F,Levels!B:B,A2643)</f>
        <v>7.39</v>
      </c>
    </row>
    <row r="2644" spans="1:6" x14ac:dyDescent="0.3">
      <c r="A2644" t="s">
        <v>11970</v>
      </c>
      <c r="B2644" s="6">
        <f>COUNTIF(Levels!B:B,A2644)</f>
        <v>1</v>
      </c>
      <c r="C2644" s="6">
        <f>IFERROR(AVERAGEIF(Levels!B:B,A2644,Levels!E:E),0)</f>
        <v>4.9000000000000004</v>
      </c>
      <c r="D2644" s="6">
        <f>IFERROR(AVERAGEIF(Levels!B:B,A2644,Levels!F:F),0)</f>
        <v>7.11</v>
      </c>
      <c r="E2644" s="6">
        <f>_xlfn.MAXIFS(Levels!E:E,Levels!B:B,A2644)</f>
        <v>4.9000000000000004</v>
      </c>
      <c r="F2644" s="6">
        <f>_xlfn.MAXIFS(Levels!F:F,Levels!B:B,A2644)</f>
        <v>7.11</v>
      </c>
    </row>
    <row r="2645" spans="1:6" x14ac:dyDescent="0.3">
      <c r="A2645" t="s">
        <v>11975</v>
      </c>
      <c r="B2645" s="9">
        <f>COUNTIF(Levels!B:B,A2645)</f>
        <v>1</v>
      </c>
      <c r="C2645" s="9">
        <f>IFERROR(AVERAGEIF(Levels!B:B,A2645,Levels!E:E),0)</f>
        <v>16.670000000000002</v>
      </c>
      <c r="D2645" s="9">
        <f>IFERROR(AVERAGEIF(Levels!B:B,A2645,Levels!F:F),0)</f>
        <v>4.33</v>
      </c>
      <c r="E2645" s="9">
        <f>_xlfn.MAXIFS(Levels!E:E,Levels!B:B,A2645)</f>
        <v>16.670000000000002</v>
      </c>
      <c r="F2645" s="9">
        <f>_xlfn.MAXIFS(Levels!F:F,Levels!B:B,A2645)</f>
        <v>4.33</v>
      </c>
    </row>
    <row r="2646" spans="1:6" x14ac:dyDescent="0.3">
      <c r="A2646" t="s">
        <v>11977</v>
      </c>
      <c r="B2646" s="6">
        <f>COUNTIF(Levels!B:B,A2646)</f>
        <v>1</v>
      </c>
      <c r="C2646" s="6">
        <f>IFERROR(AVERAGEIF(Levels!B:B,A2646,Levels!E:E),0)</f>
        <v>16.73</v>
      </c>
      <c r="D2646" s="6">
        <f>IFERROR(AVERAGEIF(Levels!B:B,A2646,Levels!F:F),0)</f>
        <v>5.14</v>
      </c>
      <c r="E2646" s="6">
        <f>_xlfn.MAXIFS(Levels!E:E,Levels!B:B,A2646)</f>
        <v>16.73</v>
      </c>
      <c r="F2646" s="6">
        <f>_xlfn.MAXIFS(Levels!F:F,Levels!B:B,A2646)</f>
        <v>5.14</v>
      </c>
    </row>
    <row r="2647" spans="1:6" x14ac:dyDescent="0.3">
      <c r="A2647" t="s">
        <v>11980</v>
      </c>
      <c r="B2647" s="9">
        <f>COUNTIF(Levels!B:B,A2647)</f>
        <v>3</v>
      </c>
      <c r="C2647" s="9">
        <f>IFERROR(AVERAGEIF(Levels!B:B,A2647,Levels!E:E),0)</f>
        <v>6.77</v>
      </c>
      <c r="D2647" s="9">
        <f>IFERROR(AVERAGEIF(Levels!B:B,A2647,Levels!F:F),0)</f>
        <v>7.8966666666666674</v>
      </c>
      <c r="E2647" s="9">
        <f>_xlfn.MAXIFS(Levels!E:E,Levels!B:B,A2647)</f>
        <v>11.54</v>
      </c>
      <c r="F2647" s="9">
        <f>_xlfn.MAXIFS(Levels!F:F,Levels!B:B,A2647)</f>
        <v>8.08</v>
      </c>
    </row>
    <row r="2648" spans="1:6" x14ac:dyDescent="0.3">
      <c r="A2648" t="s">
        <v>11988</v>
      </c>
      <c r="B2648" s="6">
        <f>COUNTIF(Levels!B:B,A2648)</f>
        <v>3</v>
      </c>
      <c r="C2648" s="6">
        <f>IFERROR(AVERAGEIF(Levels!B:B,A2648,Levels!E:E),0)</f>
        <v>15.25</v>
      </c>
      <c r="D2648" s="6">
        <f>IFERROR(AVERAGEIF(Levels!B:B,A2648,Levels!F:F),0)</f>
        <v>6.69</v>
      </c>
      <c r="E2648" s="6">
        <f>_xlfn.MAXIFS(Levels!E:E,Levels!B:B,A2648)</f>
        <v>24</v>
      </c>
      <c r="F2648" s="6">
        <f>_xlfn.MAXIFS(Levels!F:F,Levels!B:B,A2648)</f>
        <v>7.54</v>
      </c>
    </row>
    <row r="2649" spans="1:6" x14ac:dyDescent="0.3">
      <c r="A2649" t="s">
        <v>11991</v>
      </c>
      <c r="B2649" s="9">
        <f>COUNTIF(Levels!B:B,A2649)</f>
        <v>5</v>
      </c>
      <c r="C2649" s="9">
        <f>IFERROR(AVERAGEIF(Levels!B:B,A2649,Levels!E:E),0)</f>
        <v>10.050000000000001</v>
      </c>
      <c r="D2649" s="9">
        <f>IFERROR(AVERAGEIF(Levels!B:B,A2649,Levels!F:F),0)</f>
        <v>7.2120000000000006</v>
      </c>
      <c r="E2649" s="9">
        <f>_xlfn.MAXIFS(Levels!E:E,Levels!B:B,A2649)</f>
        <v>17.38</v>
      </c>
      <c r="F2649" s="9">
        <f>_xlfn.MAXIFS(Levels!F:F,Levels!B:B,A2649)</f>
        <v>7.77</v>
      </c>
    </row>
    <row r="2650" spans="1:6" x14ac:dyDescent="0.3">
      <c r="A2650" t="s">
        <v>11993</v>
      </c>
      <c r="B2650" s="6">
        <f>COUNTIF(Levels!B:B,A2650)</f>
        <v>1</v>
      </c>
      <c r="C2650" s="6">
        <f>IFERROR(AVERAGEIF(Levels!B:B,A2650,Levels!E:E),0)</f>
        <v>3.38</v>
      </c>
      <c r="D2650" s="6">
        <f>IFERROR(AVERAGEIF(Levels!B:B,A2650,Levels!F:F),0)</f>
        <v>7.15</v>
      </c>
      <c r="E2650" s="6">
        <f>_xlfn.MAXIFS(Levels!E:E,Levels!B:B,A2650)</f>
        <v>3.38</v>
      </c>
      <c r="F2650" s="6">
        <f>_xlfn.MAXIFS(Levels!F:F,Levels!B:B,A2650)</f>
        <v>7.15</v>
      </c>
    </row>
    <row r="2651" spans="1:6" x14ac:dyDescent="0.3">
      <c r="A2651" t="s">
        <v>11996</v>
      </c>
      <c r="B2651" s="9">
        <f>COUNTIF(Levels!B:B,A2651)</f>
        <v>2</v>
      </c>
      <c r="C2651" s="9">
        <f>IFERROR(AVERAGEIF(Levels!B:B,A2651,Levels!E:E),0)</f>
        <v>22.369999999999997</v>
      </c>
      <c r="D2651" s="9">
        <f>IFERROR(AVERAGEIF(Levels!B:B,A2651,Levels!F:F),0)</f>
        <v>8.8350000000000009</v>
      </c>
      <c r="E2651" s="9">
        <f>_xlfn.MAXIFS(Levels!E:E,Levels!B:B,A2651)</f>
        <v>23.83</v>
      </c>
      <c r="F2651" s="9">
        <f>_xlfn.MAXIFS(Levels!F:F,Levels!B:B,A2651)</f>
        <v>9.67</v>
      </c>
    </row>
    <row r="2652" spans="1:6" x14ac:dyDescent="0.3">
      <c r="A2652" t="s">
        <v>11999</v>
      </c>
      <c r="B2652" s="6">
        <f>COUNTIF(Levels!B:B,A2652)</f>
        <v>2</v>
      </c>
      <c r="C2652" s="6">
        <f>IFERROR(AVERAGEIF(Levels!B:B,A2652,Levels!E:E),0)</f>
        <v>4.57</v>
      </c>
      <c r="D2652" s="6">
        <f>IFERROR(AVERAGEIF(Levels!B:B,A2652,Levels!F:F),0)</f>
        <v>7.1150000000000002</v>
      </c>
      <c r="E2652" s="6">
        <f>_xlfn.MAXIFS(Levels!E:E,Levels!B:B,A2652)</f>
        <v>5.27</v>
      </c>
      <c r="F2652" s="6">
        <f>_xlfn.MAXIFS(Levels!F:F,Levels!B:B,A2652)</f>
        <v>7.17</v>
      </c>
    </row>
    <row r="2653" spans="1:6" x14ac:dyDescent="0.3">
      <c r="A2653" t="s">
        <v>12003</v>
      </c>
      <c r="B2653" s="9">
        <f>COUNTIF(Levels!B:B,A2653)</f>
        <v>1</v>
      </c>
      <c r="C2653" s="9">
        <f>IFERROR(AVERAGEIF(Levels!B:B,A2653,Levels!E:E),0)</f>
        <v>13</v>
      </c>
      <c r="D2653" s="9">
        <f>IFERROR(AVERAGEIF(Levels!B:B,A2653,Levels!F:F),0)</f>
        <v>7.33</v>
      </c>
      <c r="E2653" s="9">
        <f>_xlfn.MAXIFS(Levels!E:E,Levels!B:B,A2653)</f>
        <v>13</v>
      </c>
      <c r="F2653" s="9">
        <f>_xlfn.MAXIFS(Levels!F:F,Levels!B:B,A2653)</f>
        <v>7.33</v>
      </c>
    </row>
    <row r="2654" spans="1:6" x14ac:dyDescent="0.3">
      <c r="A2654" t="s">
        <v>12007</v>
      </c>
      <c r="B2654" s="6">
        <f>COUNTIF(Levels!B:B,A2654)</f>
        <v>1</v>
      </c>
      <c r="C2654" s="6">
        <f>IFERROR(AVERAGEIF(Levels!B:B,A2654,Levels!E:E),0)</f>
        <v>15.6</v>
      </c>
      <c r="D2654" s="6">
        <f>IFERROR(AVERAGEIF(Levels!B:B,A2654,Levels!F:F),0)</f>
        <v>5.8</v>
      </c>
      <c r="E2654" s="6">
        <f>_xlfn.MAXIFS(Levels!E:E,Levels!B:B,A2654)</f>
        <v>15.6</v>
      </c>
      <c r="F2654" s="6">
        <f>_xlfn.MAXIFS(Levels!F:F,Levels!B:B,A2654)</f>
        <v>5.8</v>
      </c>
    </row>
    <row r="2655" spans="1:6" x14ac:dyDescent="0.3">
      <c r="A2655" t="s">
        <v>12012</v>
      </c>
      <c r="B2655" s="9">
        <f>COUNTIF(Levels!B:B,A2655)</f>
        <v>3</v>
      </c>
      <c r="C2655" s="9">
        <f>IFERROR(AVERAGEIF(Levels!B:B,A2655,Levels!E:E),0)</f>
        <v>3.0533333333333332</v>
      </c>
      <c r="D2655" s="9">
        <f>IFERROR(AVERAGEIF(Levels!B:B,A2655,Levels!F:F),0)</f>
        <v>6.7600000000000007</v>
      </c>
      <c r="E2655" s="9">
        <f>_xlfn.MAXIFS(Levels!E:E,Levels!B:B,A2655)</f>
        <v>4.9400000000000004</v>
      </c>
      <c r="F2655" s="9">
        <f>_xlfn.MAXIFS(Levels!F:F,Levels!B:B,A2655)</f>
        <v>7.33</v>
      </c>
    </row>
    <row r="2656" spans="1:6" x14ac:dyDescent="0.3">
      <c r="A2656" t="s">
        <v>12014</v>
      </c>
      <c r="B2656" s="6">
        <f>COUNTIF(Levels!B:B,A2656)</f>
        <v>1</v>
      </c>
      <c r="C2656" s="6">
        <f>IFERROR(AVERAGEIF(Levels!B:B,A2656,Levels!E:E),0)</f>
        <v>3.4</v>
      </c>
      <c r="D2656" s="6">
        <f>IFERROR(AVERAGEIF(Levels!B:B,A2656,Levels!F:F),0)</f>
        <v>6.27</v>
      </c>
      <c r="E2656" s="6">
        <f>_xlfn.MAXIFS(Levels!E:E,Levels!B:B,A2656)</f>
        <v>3.4</v>
      </c>
      <c r="F2656" s="6">
        <f>_xlfn.MAXIFS(Levels!F:F,Levels!B:B,A2656)</f>
        <v>6.27</v>
      </c>
    </row>
    <row r="2657" spans="1:6" x14ac:dyDescent="0.3">
      <c r="A2657" t="s">
        <v>12021</v>
      </c>
      <c r="B2657" s="9">
        <f>COUNTIF(Levels!B:B,A2657)</f>
        <v>1</v>
      </c>
      <c r="C2657" s="9">
        <f>IFERROR(AVERAGEIF(Levels!B:B,A2657,Levels!E:E),0)</f>
        <v>0</v>
      </c>
      <c r="D2657" s="9">
        <f>IFERROR(AVERAGEIF(Levels!B:B,A2657,Levels!F:F),0)</f>
        <v>0</v>
      </c>
      <c r="E2657" s="9">
        <f>_xlfn.MAXIFS(Levels!E:E,Levels!B:B,A2657)</f>
        <v>0</v>
      </c>
      <c r="F2657" s="9">
        <f>_xlfn.MAXIFS(Levels!F:F,Levels!B:B,A2657)</f>
        <v>0</v>
      </c>
    </row>
    <row r="2658" spans="1:6" x14ac:dyDescent="0.3">
      <c r="A2658" t="s">
        <v>12024</v>
      </c>
      <c r="B2658" s="6">
        <f>COUNTIF(Levels!B:B,A2658)</f>
        <v>2</v>
      </c>
      <c r="C2658" s="6">
        <f>IFERROR(AVERAGEIF(Levels!B:B,A2658,Levels!E:E),0)</f>
        <v>20.13</v>
      </c>
      <c r="D2658" s="6">
        <f>IFERROR(AVERAGEIF(Levels!B:B,A2658,Levels!F:F),0)</f>
        <v>7.68</v>
      </c>
      <c r="E2658" s="6">
        <f>_xlfn.MAXIFS(Levels!E:E,Levels!B:B,A2658)</f>
        <v>24.54</v>
      </c>
      <c r="F2658" s="6">
        <f>_xlfn.MAXIFS(Levels!F:F,Levels!B:B,A2658)</f>
        <v>7.77</v>
      </c>
    </row>
    <row r="2659" spans="1:6" x14ac:dyDescent="0.3">
      <c r="A2659" t="s">
        <v>12026</v>
      </c>
      <c r="B2659" s="9">
        <f>COUNTIF(Levels!B:B,A2659)</f>
        <v>1</v>
      </c>
      <c r="C2659" s="9">
        <f>IFERROR(AVERAGEIF(Levels!B:B,A2659,Levels!E:E),0)</f>
        <v>18.34</v>
      </c>
      <c r="D2659" s="9">
        <f>IFERROR(AVERAGEIF(Levels!B:B,A2659,Levels!F:F),0)</f>
        <v>8.59</v>
      </c>
      <c r="E2659" s="9">
        <f>_xlfn.MAXIFS(Levels!E:E,Levels!B:B,A2659)</f>
        <v>18.34</v>
      </c>
      <c r="F2659" s="9">
        <f>_xlfn.MAXIFS(Levels!F:F,Levels!B:B,A2659)</f>
        <v>8.59</v>
      </c>
    </row>
    <row r="2660" spans="1:6" x14ac:dyDescent="0.3">
      <c r="A2660" t="s">
        <v>12032</v>
      </c>
      <c r="B2660" s="6">
        <f>COUNTIF(Levels!B:B,A2660)</f>
        <v>2</v>
      </c>
      <c r="C2660" s="6">
        <f>IFERROR(AVERAGEIF(Levels!B:B,A2660,Levels!E:E),0)</f>
        <v>7.7649999999999997</v>
      </c>
      <c r="D2660" s="6">
        <f>IFERROR(AVERAGEIF(Levels!B:B,A2660,Levels!F:F),0)</f>
        <v>6.3100000000000005</v>
      </c>
      <c r="E2660" s="6">
        <f>_xlfn.MAXIFS(Levels!E:E,Levels!B:B,A2660)</f>
        <v>12.92</v>
      </c>
      <c r="F2660" s="6">
        <f>_xlfn.MAXIFS(Levels!F:F,Levels!B:B,A2660)</f>
        <v>6.33</v>
      </c>
    </row>
    <row r="2661" spans="1:6" x14ac:dyDescent="0.3">
      <c r="A2661" t="s">
        <v>12036</v>
      </c>
      <c r="B2661" s="9">
        <f>COUNTIF(Levels!B:B,A2661)</f>
        <v>1</v>
      </c>
      <c r="C2661" s="9">
        <f>IFERROR(AVERAGEIF(Levels!B:B,A2661,Levels!E:E),0)</f>
        <v>1.17</v>
      </c>
      <c r="D2661" s="9">
        <f>IFERROR(AVERAGEIF(Levels!B:B,A2661,Levels!F:F),0)</f>
        <v>8.11</v>
      </c>
      <c r="E2661" s="9">
        <f>_xlfn.MAXIFS(Levels!E:E,Levels!B:B,A2661)</f>
        <v>1.17</v>
      </c>
      <c r="F2661" s="9">
        <f>_xlfn.MAXIFS(Levels!F:F,Levels!B:B,A2661)</f>
        <v>8.11</v>
      </c>
    </row>
    <row r="2662" spans="1:6" x14ac:dyDescent="0.3">
      <c r="A2662" t="s">
        <v>12041</v>
      </c>
      <c r="B2662" s="6">
        <f>COUNTIF(Levels!B:B,A2662)</f>
        <v>1</v>
      </c>
      <c r="C2662" s="6">
        <f>IFERROR(AVERAGEIF(Levels!B:B,A2662,Levels!E:E),0)</f>
        <v>7.9</v>
      </c>
      <c r="D2662" s="6">
        <f>IFERROR(AVERAGEIF(Levels!B:B,A2662,Levels!F:F),0)</f>
        <v>8.26</v>
      </c>
      <c r="E2662" s="6">
        <f>_xlfn.MAXIFS(Levels!E:E,Levels!B:B,A2662)</f>
        <v>7.9</v>
      </c>
      <c r="F2662" s="6">
        <f>_xlfn.MAXIFS(Levels!F:F,Levels!B:B,A2662)</f>
        <v>8.26</v>
      </c>
    </row>
    <row r="2663" spans="1:6" x14ac:dyDescent="0.3">
      <c r="A2663" t="s">
        <v>12055</v>
      </c>
      <c r="B2663" s="9">
        <f>COUNTIF(Levels!B:B,A2663)</f>
        <v>1</v>
      </c>
      <c r="C2663" s="9">
        <f>IFERROR(AVERAGEIF(Levels!B:B,A2663,Levels!E:E),0)</f>
        <v>22.5</v>
      </c>
      <c r="D2663" s="9">
        <f>IFERROR(AVERAGEIF(Levels!B:B,A2663,Levels!F:F),0)</f>
        <v>7</v>
      </c>
      <c r="E2663" s="9">
        <f>_xlfn.MAXIFS(Levels!E:E,Levels!B:B,A2663)</f>
        <v>22.5</v>
      </c>
      <c r="F2663" s="9">
        <f>_xlfn.MAXIFS(Levels!F:F,Levels!B:B,A2663)</f>
        <v>7</v>
      </c>
    </row>
    <row r="2664" spans="1:6" x14ac:dyDescent="0.3">
      <c r="A2664" t="s">
        <v>12057</v>
      </c>
      <c r="B2664" s="6">
        <f>COUNTIF(Levels!B:B,A2664)</f>
        <v>2</v>
      </c>
      <c r="C2664" s="6">
        <f>IFERROR(AVERAGEIF(Levels!B:B,A2664,Levels!E:E),0)</f>
        <v>27.25</v>
      </c>
      <c r="D2664" s="6">
        <f>IFERROR(AVERAGEIF(Levels!B:B,A2664,Levels!F:F),0)</f>
        <v>6.25</v>
      </c>
      <c r="E2664" s="6">
        <f>_xlfn.MAXIFS(Levels!E:E,Levels!B:B,A2664)</f>
        <v>28.5</v>
      </c>
      <c r="F2664" s="6">
        <f>_xlfn.MAXIFS(Levels!F:F,Levels!B:B,A2664)</f>
        <v>8</v>
      </c>
    </row>
    <row r="2665" spans="1:6" x14ac:dyDescent="0.3">
      <c r="A2665" t="s">
        <v>12072</v>
      </c>
      <c r="B2665" s="9">
        <f>COUNTIF(Levels!B:B,A2665)</f>
        <v>1</v>
      </c>
      <c r="C2665" s="9">
        <f>IFERROR(AVERAGEIF(Levels!B:B,A2665,Levels!E:E),0)</f>
        <v>7.2</v>
      </c>
      <c r="D2665" s="9">
        <f>IFERROR(AVERAGEIF(Levels!B:B,A2665,Levels!F:F),0)</f>
        <v>8.5</v>
      </c>
      <c r="E2665" s="9">
        <f>_xlfn.MAXIFS(Levels!E:E,Levels!B:B,A2665)</f>
        <v>7.2</v>
      </c>
      <c r="F2665" s="9">
        <f>_xlfn.MAXIFS(Levels!F:F,Levels!B:B,A2665)</f>
        <v>8.5</v>
      </c>
    </row>
    <row r="2666" spans="1:6" x14ac:dyDescent="0.3">
      <c r="A2666" t="s">
        <v>12081</v>
      </c>
      <c r="B2666" s="6">
        <f>COUNTIF(Levels!B:B,A2666)</f>
        <v>1</v>
      </c>
      <c r="C2666" s="6">
        <f>IFERROR(AVERAGEIF(Levels!B:B,A2666,Levels!E:E),0)</f>
        <v>9.08</v>
      </c>
      <c r="D2666" s="6">
        <f>IFERROR(AVERAGEIF(Levels!B:B,A2666,Levels!F:F),0)</f>
        <v>6.89</v>
      </c>
      <c r="E2666" s="6">
        <f>_xlfn.MAXIFS(Levels!E:E,Levels!B:B,A2666)</f>
        <v>9.08</v>
      </c>
      <c r="F2666" s="6">
        <f>_xlfn.MAXIFS(Levels!F:F,Levels!B:B,A2666)</f>
        <v>6.89</v>
      </c>
    </row>
    <row r="2667" spans="1:6" x14ac:dyDescent="0.3">
      <c r="A2667" t="s">
        <v>12084</v>
      </c>
      <c r="B2667" s="9">
        <f>COUNTIF(Levels!B:B,A2667)</f>
        <v>1</v>
      </c>
      <c r="C2667" s="9">
        <f>IFERROR(AVERAGEIF(Levels!B:B,A2667,Levels!E:E),0)</f>
        <v>6.44</v>
      </c>
      <c r="D2667" s="9">
        <f>IFERROR(AVERAGEIF(Levels!B:B,A2667,Levels!F:F),0)</f>
        <v>8.08</v>
      </c>
      <c r="E2667" s="9">
        <f>_xlfn.MAXIFS(Levels!E:E,Levels!B:B,A2667)</f>
        <v>6.44</v>
      </c>
      <c r="F2667" s="9">
        <f>_xlfn.MAXIFS(Levels!F:F,Levels!B:B,A2667)</f>
        <v>8.08</v>
      </c>
    </row>
    <row r="2668" spans="1:6" x14ac:dyDescent="0.3">
      <c r="A2668" t="s">
        <v>12086</v>
      </c>
      <c r="B2668" s="6">
        <f>COUNTIF(Levels!B:B,A2668)</f>
        <v>1</v>
      </c>
      <c r="C2668" s="6">
        <f>IFERROR(AVERAGEIF(Levels!B:B,A2668,Levels!E:E),0)</f>
        <v>0</v>
      </c>
      <c r="D2668" s="6">
        <f>IFERROR(AVERAGEIF(Levels!B:B,A2668,Levels!F:F),0)</f>
        <v>0</v>
      </c>
      <c r="E2668" s="6">
        <f>_xlfn.MAXIFS(Levels!E:E,Levels!B:B,A2668)</f>
        <v>0</v>
      </c>
      <c r="F2668" s="6">
        <f>_xlfn.MAXIFS(Levels!F:F,Levels!B:B,A2668)</f>
        <v>0</v>
      </c>
    </row>
    <row r="2669" spans="1:6" x14ac:dyDescent="0.3">
      <c r="A2669" t="s">
        <v>12088</v>
      </c>
      <c r="B2669" s="9">
        <f>COUNTIF(Levels!B:B,A2669)</f>
        <v>1</v>
      </c>
      <c r="C2669" s="9">
        <f>IFERROR(AVERAGEIF(Levels!B:B,A2669,Levels!E:E),0)</f>
        <v>20.55</v>
      </c>
      <c r="D2669" s="9">
        <f>IFERROR(AVERAGEIF(Levels!B:B,A2669,Levels!F:F),0)</f>
        <v>8.09</v>
      </c>
      <c r="E2669" s="9">
        <f>_xlfn.MAXIFS(Levels!E:E,Levels!B:B,A2669)</f>
        <v>20.55</v>
      </c>
      <c r="F2669" s="9">
        <f>_xlfn.MAXIFS(Levels!F:F,Levels!B:B,A2669)</f>
        <v>8.09</v>
      </c>
    </row>
    <row r="2670" spans="1:6" x14ac:dyDescent="0.3">
      <c r="A2670" t="s">
        <v>12091</v>
      </c>
      <c r="B2670" s="6">
        <f>COUNTIF(Levels!B:B,A2670)</f>
        <v>1</v>
      </c>
      <c r="C2670" s="6">
        <f>IFERROR(AVERAGEIF(Levels!B:B,A2670,Levels!E:E),0)</f>
        <v>1.82</v>
      </c>
      <c r="D2670" s="6">
        <f>IFERROR(AVERAGEIF(Levels!B:B,A2670,Levels!F:F),0)</f>
        <v>6.91</v>
      </c>
      <c r="E2670" s="6">
        <f>_xlfn.MAXIFS(Levels!E:E,Levels!B:B,A2670)</f>
        <v>1.82</v>
      </c>
      <c r="F2670" s="6">
        <f>_xlfn.MAXIFS(Levels!F:F,Levels!B:B,A2670)</f>
        <v>6.91</v>
      </c>
    </row>
    <row r="2671" spans="1:6" x14ac:dyDescent="0.3">
      <c r="A2671" t="s">
        <v>12094</v>
      </c>
      <c r="B2671" s="9">
        <f>COUNTIF(Levels!B:B,A2671)</f>
        <v>1</v>
      </c>
      <c r="C2671" s="9">
        <f>IFERROR(AVERAGEIF(Levels!B:B,A2671,Levels!E:E),0)</f>
        <v>1.07</v>
      </c>
      <c r="D2671" s="9">
        <f>IFERROR(AVERAGEIF(Levels!B:B,A2671,Levels!F:F),0)</f>
        <v>6.89</v>
      </c>
      <c r="E2671" s="9">
        <f>_xlfn.MAXIFS(Levels!E:E,Levels!B:B,A2671)</f>
        <v>1.07</v>
      </c>
      <c r="F2671" s="9">
        <f>_xlfn.MAXIFS(Levels!F:F,Levels!B:B,A2671)</f>
        <v>6.89</v>
      </c>
    </row>
    <row r="2672" spans="1:6" x14ac:dyDescent="0.3">
      <c r="A2672" t="s">
        <v>12096</v>
      </c>
      <c r="B2672" s="6">
        <f>COUNTIF(Levels!B:B,A2672)</f>
        <v>1</v>
      </c>
      <c r="C2672" s="6">
        <f>IFERROR(AVERAGEIF(Levels!B:B,A2672,Levels!E:E),0)</f>
        <v>6.76</v>
      </c>
      <c r="D2672" s="6">
        <f>IFERROR(AVERAGEIF(Levels!B:B,A2672,Levels!F:F),0)</f>
        <v>8.1199999999999992</v>
      </c>
      <c r="E2672" s="6">
        <f>_xlfn.MAXIFS(Levels!E:E,Levels!B:B,A2672)</f>
        <v>6.76</v>
      </c>
      <c r="F2672" s="6">
        <f>_xlfn.MAXIFS(Levels!F:F,Levels!B:B,A2672)</f>
        <v>8.1199999999999992</v>
      </c>
    </row>
    <row r="2673" spans="1:6" x14ac:dyDescent="0.3">
      <c r="A2673" t="s">
        <v>12100</v>
      </c>
      <c r="B2673" s="9">
        <f>COUNTIF(Levels!B:B,A2673)</f>
        <v>1</v>
      </c>
      <c r="C2673" s="9">
        <f>IFERROR(AVERAGEIF(Levels!B:B,A2673,Levels!E:E),0)</f>
        <v>1.18</v>
      </c>
      <c r="D2673" s="9">
        <f>IFERROR(AVERAGEIF(Levels!B:B,A2673,Levels!F:F),0)</f>
        <v>7.12</v>
      </c>
      <c r="E2673" s="9">
        <f>_xlfn.MAXIFS(Levels!E:E,Levels!B:B,A2673)</f>
        <v>1.18</v>
      </c>
      <c r="F2673" s="9">
        <f>_xlfn.MAXIFS(Levels!F:F,Levels!B:B,A2673)</f>
        <v>7.12</v>
      </c>
    </row>
    <row r="2674" spans="1:6" x14ac:dyDescent="0.3">
      <c r="A2674" t="s">
        <v>12103</v>
      </c>
      <c r="B2674" s="6">
        <f>COUNTIF(Levels!B:B,A2674)</f>
        <v>1</v>
      </c>
      <c r="C2674" s="6">
        <f>IFERROR(AVERAGEIF(Levels!B:B,A2674,Levels!E:E),0)</f>
        <v>8</v>
      </c>
      <c r="D2674" s="6">
        <f>IFERROR(AVERAGEIF(Levels!B:B,A2674,Levels!F:F),0)</f>
        <v>6.88</v>
      </c>
      <c r="E2674" s="6">
        <f>_xlfn.MAXIFS(Levels!E:E,Levels!B:B,A2674)</f>
        <v>8</v>
      </c>
      <c r="F2674" s="6">
        <f>_xlfn.MAXIFS(Levels!F:F,Levels!B:B,A2674)</f>
        <v>6.88</v>
      </c>
    </row>
    <row r="2675" spans="1:6" x14ac:dyDescent="0.3">
      <c r="A2675" t="s">
        <v>12108</v>
      </c>
      <c r="B2675" s="9">
        <f>COUNTIF(Levels!B:B,A2675)</f>
        <v>1</v>
      </c>
      <c r="C2675" s="9">
        <f>IFERROR(AVERAGEIF(Levels!B:B,A2675,Levels!E:E),0)</f>
        <v>1.1200000000000001</v>
      </c>
      <c r="D2675" s="9">
        <f>IFERROR(AVERAGEIF(Levels!B:B,A2675,Levels!F:F),0)</f>
        <v>6.99</v>
      </c>
      <c r="E2675" s="9">
        <f>_xlfn.MAXIFS(Levels!E:E,Levels!B:B,A2675)</f>
        <v>1.1200000000000001</v>
      </c>
      <c r="F2675" s="9">
        <f>_xlfn.MAXIFS(Levels!F:F,Levels!B:B,A2675)</f>
        <v>6.99</v>
      </c>
    </row>
    <row r="2676" spans="1:6" x14ac:dyDescent="0.3">
      <c r="A2676" t="s">
        <v>12114</v>
      </c>
      <c r="B2676" s="6">
        <f>COUNTIF(Levels!B:B,A2676)</f>
        <v>1</v>
      </c>
      <c r="C2676" s="6">
        <f>IFERROR(AVERAGEIF(Levels!B:B,A2676,Levels!E:E),0)</f>
        <v>4.83</v>
      </c>
      <c r="D2676" s="6">
        <f>IFERROR(AVERAGEIF(Levels!B:B,A2676,Levels!F:F),0)</f>
        <v>6.07</v>
      </c>
      <c r="E2676" s="6">
        <f>_xlfn.MAXIFS(Levels!E:E,Levels!B:B,A2676)</f>
        <v>4.83</v>
      </c>
      <c r="F2676" s="6">
        <f>_xlfn.MAXIFS(Levels!F:F,Levels!B:B,A2676)</f>
        <v>6.07</v>
      </c>
    </row>
    <row r="2677" spans="1:6" x14ac:dyDescent="0.3">
      <c r="A2677" t="s">
        <v>12116</v>
      </c>
      <c r="B2677" s="9">
        <f>COUNTIF(Levels!B:B,A2677)</f>
        <v>3</v>
      </c>
      <c r="C2677" s="9">
        <f>IFERROR(AVERAGEIF(Levels!B:B,A2677,Levels!E:E),0)</f>
        <v>5.34</v>
      </c>
      <c r="D2677" s="9">
        <f>IFERROR(AVERAGEIF(Levels!B:B,A2677,Levels!F:F),0)</f>
        <v>8.0366666666666671</v>
      </c>
      <c r="E2677" s="9">
        <f>_xlfn.MAXIFS(Levels!E:E,Levels!B:B,A2677)</f>
        <v>10.26</v>
      </c>
      <c r="F2677" s="9">
        <f>_xlfn.MAXIFS(Levels!F:F,Levels!B:B,A2677)</f>
        <v>9.17</v>
      </c>
    </row>
    <row r="2678" spans="1:6" x14ac:dyDescent="0.3">
      <c r="A2678" t="s">
        <v>12120</v>
      </c>
      <c r="B2678" s="6">
        <f>COUNTIF(Levels!B:B,A2678)</f>
        <v>3</v>
      </c>
      <c r="C2678" s="6">
        <f>IFERROR(AVERAGEIF(Levels!B:B,A2678,Levels!E:E),0)</f>
        <v>24.11</v>
      </c>
      <c r="D2678" s="6">
        <f>IFERROR(AVERAGEIF(Levels!B:B,A2678,Levels!F:F),0)</f>
        <v>7.3566666666666665</v>
      </c>
      <c r="E2678" s="6">
        <f>_xlfn.MAXIFS(Levels!E:E,Levels!B:B,A2678)</f>
        <v>28.5</v>
      </c>
      <c r="F2678" s="6">
        <f>_xlfn.MAXIFS(Levels!F:F,Levels!B:B,A2678)</f>
        <v>7.74</v>
      </c>
    </row>
    <row r="2679" spans="1:6" x14ac:dyDescent="0.3">
      <c r="A2679" t="s">
        <v>12130</v>
      </c>
      <c r="B2679" s="9">
        <f>COUNTIF(Levels!B:B,A2679)</f>
        <v>1</v>
      </c>
      <c r="C2679" s="9">
        <f>IFERROR(AVERAGEIF(Levels!B:B,A2679,Levels!E:E),0)</f>
        <v>15.6</v>
      </c>
      <c r="D2679" s="9">
        <f>IFERROR(AVERAGEIF(Levels!B:B,A2679,Levels!F:F),0)</f>
        <v>9.4</v>
      </c>
      <c r="E2679" s="9">
        <f>_xlfn.MAXIFS(Levels!E:E,Levels!B:B,A2679)</f>
        <v>15.6</v>
      </c>
      <c r="F2679" s="9">
        <f>_xlfn.MAXIFS(Levels!F:F,Levels!B:B,A2679)</f>
        <v>9.4</v>
      </c>
    </row>
    <row r="2680" spans="1:6" x14ac:dyDescent="0.3">
      <c r="A2680" t="s">
        <v>12135</v>
      </c>
      <c r="B2680" s="6">
        <f>COUNTIF(Levels!B:B,A2680)</f>
        <v>2</v>
      </c>
      <c r="C2680" s="6">
        <f>IFERROR(AVERAGEIF(Levels!B:B,A2680,Levels!E:E),0)</f>
        <v>5.27</v>
      </c>
      <c r="D2680" s="6">
        <f>IFERROR(AVERAGEIF(Levels!B:B,A2680,Levels!F:F),0)</f>
        <v>6.9700000000000006</v>
      </c>
      <c r="E2680" s="6">
        <f>_xlfn.MAXIFS(Levels!E:E,Levels!B:B,A2680)</f>
        <v>5.27</v>
      </c>
      <c r="F2680" s="6">
        <f>_xlfn.MAXIFS(Levels!F:F,Levels!B:B,A2680)</f>
        <v>7.19</v>
      </c>
    </row>
    <row r="2681" spans="1:6" x14ac:dyDescent="0.3">
      <c r="A2681" t="s">
        <v>12142</v>
      </c>
      <c r="B2681" s="9">
        <f>COUNTIF(Levels!B:B,A2681)</f>
        <v>2</v>
      </c>
      <c r="C2681" s="9">
        <f>IFERROR(AVERAGEIF(Levels!B:B,A2681,Levels!E:E),0)</f>
        <v>0</v>
      </c>
      <c r="D2681" s="9">
        <f>IFERROR(AVERAGEIF(Levels!B:B,A2681,Levels!F:F),0)</f>
        <v>0</v>
      </c>
      <c r="E2681" s="9">
        <f>_xlfn.MAXIFS(Levels!E:E,Levels!B:B,A2681)</f>
        <v>0</v>
      </c>
      <c r="F2681" s="9">
        <f>_xlfn.MAXIFS(Levels!F:F,Levels!B:B,A2681)</f>
        <v>0</v>
      </c>
    </row>
    <row r="2682" spans="1:6" x14ac:dyDescent="0.3">
      <c r="A2682" t="s">
        <v>12157</v>
      </c>
      <c r="B2682" s="6">
        <f>COUNTIF(Levels!B:B,A2682)</f>
        <v>1</v>
      </c>
      <c r="C2682" s="6">
        <f>IFERROR(AVERAGEIF(Levels!B:B,A2682,Levels!E:E),0)</f>
        <v>1.79</v>
      </c>
      <c r="D2682" s="6">
        <f>IFERROR(AVERAGEIF(Levels!B:B,A2682,Levels!F:F),0)</f>
        <v>7.64</v>
      </c>
      <c r="E2682" s="6">
        <f>_xlfn.MAXIFS(Levels!E:E,Levels!B:B,A2682)</f>
        <v>1.79</v>
      </c>
      <c r="F2682" s="6">
        <f>_xlfn.MAXIFS(Levels!F:F,Levels!B:B,A2682)</f>
        <v>7.64</v>
      </c>
    </row>
    <row r="2683" spans="1:6" x14ac:dyDescent="0.3">
      <c r="A2683" t="s">
        <v>12160</v>
      </c>
      <c r="B2683" s="9">
        <f>COUNTIF(Levels!B:B,A2683)</f>
        <v>2</v>
      </c>
      <c r="C2683" s="9">
        <f>IFERROR(AVERAGEIF(Levels!B:B,A2683,Levels!E:E),0)</f>
        <v>22.9</v>
      </c>
      <c r="D2683" s="9">
        <f>IFERROR(AVERAGEIF(Levels!B:B,A2683,Levels!F:F),0)</f>
        <v>7.7550000000000008</v>
      </c>
      <c r="E2683" s="9">
        <f>_xlfn.MAXIFS(Levels!E:E,Levels!B:B,A2683)</f>
        <v>24.8</v>
      </c>
      <c r="F2683" s="9">
        <f>_xlfn.MAXIFS(Levels!F:F,Levels!B:B,A2683)</f>
        <v>8.2200000000000006</v>
      </c>
    </row>
    <row r="2684" spans="1:6" x14ac:dyDescent="0.3">
      <c r="A2684" t="s">
        <v>12164</v>
      </c>
      <c r="B2684" s="6">
        <f>COUNTIF(Levels!B:B,A2684)</f>
        <v>1</v>
      </c>
      <c r="C2684" s="6">
        <f>IFERROR(AVERAGEIF(Levels!B:B,A2684,Levels!E:E),0)</f>
        <v>18.5</v>
      </c>
      <c r="D2684" s="6">
        <f>IFERROR(AVERAGEIF(Levels!B:B,A2684,Levels!F:F),0)</f>
        <v>6.5</v>
      </c>
      <c r="E2684" s="6">
        <f>_xlfn.MAXIFS(Levels!E:E,Levels!B:B,A2684)</f>
        <v>18.5</v>
      </c>
      <c r="F2684" s="6">
        <f>_xlfn.MAXIFS(Levels!F:F,Levels!B:B,A2684)</f>
        <v>6.5</v>
      </c>
    </row>
    <row r="2685" spans="1:6" x14ac:dyDescent="0.3">
      <c r="A2685" t="s">
        <v>12169</v>
      </c>
      <c r="B2685" s="9">
        <f>COUNTIF(Levels!B:B,A2685)</f>
        <v>1</v>
      </c>
      <c r="C2685" s="9">
        <f>IFERROR(AVERAGEIF(Levels!B:B,A2685,Levels!E:E),0)</f>
        <v>8.67</v>
      </c>
      <c r="D2685" s="9">
        <f>IFERROR(AVERAGEIF(Levels!B:B,A2685,Levels!F:F),0)</f>
        <v>7.67</v>
      </c>
      <c r="E2685" s="9">
        <f>_xlfn.MAXIFS(Levels!E:E,Levels!B:B,A2685)</f>
        <v>8.67</v>
      </c>
      <c r="F2685" s="9">
        <f>_xlfn.MAXIFS(Levels!F:F,Levels!B:B,A2685)</f>
        <v>7.67</v>
      </c>
    </row>
    <row r="2686" spans="1:6" x14ac:dyDescent="0.3">
      <c r="A2686" t="s">
        <v>12171</v>
      </c>
      <c r="B2686" s="6">
        <f>COUNTIF(Levels!B:B,A2686)</f>
        <v>2</v>
      </c>
      <c r="C2686" s="6">
        <f>IFERROR(AVERAGEIF(Levels!B:B,A2686,Levels!E:E),0)</f>
        <v>11.405000000000001</v>
      </c>
      <c r="D2686" s="6">
        <f>IFERROR(AVERAGEIF(Levels!B:B,A2686,Levels!F:F),0)</f>
        <v>7.5049999999999999</v>
      </c>
      <c r="E2686" s="6">
        <f>_xlfn.MAXIFS(Levels!E:E,Levels!B:B,A2686)</f>
        <v>18.71</v>
      </c>
      <c r="F2686" s="6">
        <f>_xlfn.MAXIFS(Levels!F:F,Levels!B:B,A2686)</f>
        <v>7.71</v>
      </c>
    </row>
    <row r="2687" spans="1:6" x14ac:dyDescent="0.3">
      <c r="A2687" t="s">
        <v>12173</v>
      </c>
      <c r="B2687" s="9">
        <f>COUNTIF(Levels!B:B,A2687)</f>
        <v>1</v>
      </c>
      <c r="C2687" s="9">
        <f>IFERROR(AVERAGEIF(Levels!B:B,A2687,Levels!E:E),0)</f>
        <v>21.15</v>
      </c>
      <c r="D2687" s="9">
        <f>IFERROR(AVERAGEIF(Levels!B:B,A2687,Levels!F:F),0)</f>
        <v>7.25</v>
      </c>
      <c r="E2687" s="9">
        <f>_xlfn.MAXIFS(Levels!E:E,Levels!B:B,A2687)</f>
        <v>21.15</v>
      </c>
      <c r="F2687" s="9">
        <f>_xlfn.MAXIFS(Levels!F:F,Levels!B:B,A2687)</f>
        <v>7.25</v>
      </c>
    </row>
    <row r="2688" spans="1:6" x14ac:dyDescent="0.3">
      <c r="A2688" t="s">
        <v>12181</v>
      </c>
      <c r="B2688" s="6">
        <f>COUNTIF(Levels!B:B,A2688)</f>
        <v>2</v>
      </c>
      <c r="C2688" s="6">
        <f>IFERROR(AVERAGEIF(Levels!B:B,A2688,Levels!E:E),0)</f>
        <v>4.84</v>
      </c>
      <c r="D2688" s="6">
        <f>IFERROR(AVERAGEIF(Levels!B:B,A2688,Levels!F:F),0)</f>
        <v>8.1900000000000013</v>
      </c>
      <c r="E2688" s="6">
        <f>_xlfn.MAXIFS(Levels!E:E,Levels!B:B,A2688)</f>
        <v>5.91</v>
      </c>
      <c r="F2688" s="6">
        <f>_xlfn.MAXIFS(Levels!F:F,Levels!B:B,A2688)</f>
        <v>8.23</v>
      </c>
    </row>
    <row r="2689" spans="1:6" x14ac:dyDescent="0.3">
      <c r="A2689" t="s">
        <v>12185</v>
      </c>
      <c r="B2689" s="9">
        <f>COUNTIF(Levels!B:B,A2689)</f>
        <v>1</v>
      </c>
      <c r="C2689" s="9">
        <f>IFERROR(AVERAGEIF(Levels!B:B,A2689,Levels!E:E),0)</f>
        <v>20</v>
      </c>
      <c r="D2689" s="9">
        <f>IFERROR(AVERAGEIF(Levels!B:B,A2689,Levels!F:F),0)</f>
        <v>8.5</v>
      </c>
      <c r="E2689" s="9">
        <f>_xlfn.MAXIFS(Levels!E:E,Levels!B:B,A2689)</f>
        <v>20</v>
      </c>
      <c r="F2689" s="9">
        <f>_xlfn.MAXIFS(Levels!F:F,Levels!B:B,A2689)</f>
        <v>8.5</v>
      </c>
    </row>
    <row r="2690" spans="1:6" x14ac:dyDescent="0.3">
      <c r="A2690" t="s">
        <v>12191</v>
      </c>
      <c r="B2690" s="6">
        <f>COUNTIF(Levels!B:B,A2690)</f>
        <v>1</v>
      </c>
      <c r="C2690" s="6">
        <f>IFERROR(AVERAGEIF(Levels!B:B,A2690,Levels!E:E),0)</f>
        <v>5.42</v>
      </c>
      <c r="D2690" s="6">
        <f>IFERROR(AVERAGEIF(Levels!B:B,A2690,Levels!F:F),0)</f>
        <v>7.09</v>
      </c>
      <c r="E2690" s="6">
        <f>_xlfn.MAXIFS(Levels!E:E,Levels!B:B,A2690)</f>
        <v>5.42</v>
      </c>
      <c r="F2690" s="6">
        <f>_xlfn.MAXIFS(Levels!F:F,Levels!B:B,A2690)</f>
        <v>7.09</v>
      </c>
    </row>
    <row r="2691" spans="1:6" x14ac:dyDescent="0.3">
      <c r="A2691" t="s">
        <v>12202</v>
      </c>
      <c r="B2691" s="9">
        <f>COUNTIF(Levels!B:B,A2691)</f>
        <v>1</v>
      </c>
      <c r="C2691" s="9">
        <f>IFERROR(AVERAGEIF(Levels!B:B,A2691,Levels!E:E),0)</f>
        <v>2.5</v>
      </c>
      <c r="D2691" s="9">
        <f>IFERROR(AVERAGEIF(Levels!B:B,A2691,Levels!F:F),0)</f>
        <v>8.33</v>
      </c>
      <c r="E2691" s="9">
        <f>_xlfn.MAXIFS(Levels!E:E,Levels!B:B,A2691)</f>
        <v>2.5</v>
      </c>
      <c r="F2691" s="9">
        <f>_xlfn.MAXIFS(Levels!F:F,Levels!B:B,A2691)</f>
        <v>8.33</v>
      </c>
    </row>
    <row r="2692" spans="1:6" x14ac:dyDescent="0.3">
      <c r="A2692" t="s">
        <v>12205</v>
      </c>
      <c r="B2692" s="6">
        <f>COUNTIF(Levels!B:B,A2692)</f>
        <v>1</v>
      </c>
      <c r="C2692" s="6">
        <f>IFERROR(AVERAGEIF(Levels!B:B,A2692,Levels!E:E),0)</f>
        <v>12.99</v>
      </c>
      <c r="D2692" s="6">
        <f>IFERROR(AVERAGEIF(Levels!B:B,A2692,Levels!F:F),0)</f>
        <v>7.41</v>
      </c>
      <c r="E2692" s="6">
        <f>_xlfn.MAXIFS(Levels!E:E,Levels!B:B,A2692)</f>
        <v>12.99</v>
      </c>
      <c r="F2692" s="6">
        <f>_xlfn.MAXIFS(Levels!F:F,Levels!B:B,A2692)</f>
        <v>7.41</v>
      </c>
    </row>
    <row r="2693" spans="1:6" x14ac:dyDescent="0.3">
      <c r="A2693" t="s">
        <v>12208</v>
      </c>
      <c r="B2693" s="9">
        <f>COUNTIF(Levels!B:B,A2693)</f>
        <v>1</v>
      </c>
      <c r="C2693" s="9">
        <f>IFERROR(AVERAGEIF(Levels!B:B,A2693,Levels!E:E),0)</f>
        <v>16.82</v>
      </c>
      <c r="D2693" s="9">
        <f>IFERROR(AVERAGEIF(Levels!B:B,A2693,Levels!F:F),0)</f>
        <v>7.9</v>
      </c>
      <c r="E2693" s="9">
        <f>_xlfn.MAXIFS(Levels!E:E,Levels!B:B,A2693)</f>
        <v>16.82</v>
      </c>
      <c r="F2693" s="9">
        <f>_xlfn.MAXIFS(Levels!F:F,Levels!B:B,A2693)</f>
        <v>7.9</v>
      </c>
    </row>
    <row r="2694" spans="1:6" x14ac:dyDescent="0.3">
      <c r="A2694" t="s">
        <v>12218</v>
      </c>
      <c r="B2694" s="6">
        <f>COUNTIF(Levels!B:B,A2694)</f>
        <v>1</v>
      </c>
      <c r="C2694" s="6">
        <f>IFERROR(AVERAGEIF(Levels!B:B,A2694,Levels!E:E),0)</f>
        <v>33</v>
      </c>
      <c r="D2694" s="6">
        <f>IFERROR(AVERAGEIF(Levels!B:B,A2694,Levels!F:F),0)</f>
        <v>6.6</v>
      </c>
      <c r="E2694" s="6">
        <f>_xlfn.MAXIFS(Levels!E:E,Levels!B:B,A2694)</f>
        <v>33</v>
      </c>
      <c r="F2694" s="6">
        <f>_xlfn.MAXIFS(Levels!F:F,Levels!B:B,A2694)</f>
        <v>6.6</v>
      </c>
    </row>
    <row r="2695" spans="1:6" x14ac:dyDescent="0.3">
      <c r="A2695" t="s">
        <v>12220</v>
      </c>
      <c r="B2695" s="9">
        <f>COUNTIF(Levels!B:B,A2695)</f>
        <v>2</v>
      </c>
      <c r="C2695" s="9">
        <f>IFERROR(AVERAGEIF(Levels!B:B,A2695,Levels!E:E),0)</f>
        <v>15.625</v>
      </c>
      <c r="D2695" s="9">
        <f>IFERROR(AVERAGEIF(Levels!B:B,A2695,Levels!F:F),0)</f>
        <v>6.7850000000000001</v>
      </c>
      <c r="E2695" s="9">
        <f>_xlfn.MAXIFS(Levels!E:E,Levels!B:B,A2695)</f>
        <v>15.75</v>
      </c>
      <c r="F2695" s="9">
        <f>_xlfn.MAXIFS(Levels!F:F,Levels!B:B,A2695)</f>
        <v>7.57</v>
      </c>
    </row>
    <row r="2696" spans="1:6" x14ac:dyDescent="0.3">
      <c r="A2696" t="s">
        <v>12222</v>
      </c>
      <c r="B2696" s="6">
        <f>COUNTIF(Levels!B:B,A2696)</f>
        <v>1</v>
      </c>
      <c r="C2696" s="6">
        <f>IFERROR(AVERAGEIF(Levels!B:B,A2696,Levels!E:E),0)</f>
        <v>5.46</v>
      </c>
      <c r="D2696" s="6">
        <f>IFERROR(AVERAGEIF(Levels!B:B,A2696,Levels!F:F),0)</f>
        <v>7.51</v>
      </c>
      <c r="E2696" s="6">
        <f>_xlfn.MAXIFS(Levels!E:E,Levels!B:B,A2696)</f>
        <v>5.46</v>
      </c>
      <c r="F2696" s="6">
        <f>_xlfn.MAXIFS(Levels!F:F,Levels!B:B,A2696)</f>
        <v>7.51</v>
      </c>
    </row>
    <row r="2697" spans="1:6" x14ac:dyDescent="0.3">
      <c r="A2697" t="s">
        <v>12224</v>
      </c>
      <c r="B2697" s="9">
        <f>COUNTIF(Levels!B:B,A2697)</f>
        <v>1</v>
      </c>
      <c r="C2697" s="9">
        <f>IFERROR(AVERAGEIF(Levels!B:B,A2697,Levels!E:E),0)</f>
        <v>3.63</v>
      </c>
      <c r="D2697" s="9">
        <f>IFERROR(AVERAGEIF(Levels!B:B,A2697,Levels!F:F),0)</f>
        <v>6.73</v>
      </c>
      <c r="E2697" s="9">
        <f>_xlfn.MAXIFS(Levels!E:E,Levels!B:B,A2697)</f>
        <v>3.63</v>
      </c>
      <c r="F2697" s="9">
        <f>_xlfn.MAXIFS(Levels!F:F,Levels!B:B,A2697)</f>
        <v>6.73</v>
      </c>
    </row>
    <row r="2698" spans="1:6" x14ac:dyDescent="0.3">
      <c r="A2698" t="s">
        <v>12233</v>
      </c>
      <c r="B2698" s="6">
        <f>COUNTIF(Levels!B:B,A2698)</f>
        <v>1</v>
      </c>
      <c r="C2698" s="6">
        <f>IFERROR(AVERAGEIF(Levels!B:B,A2698,Levels!E:E),0)</f>
        <v>0</v>
      </c>
      <c r="D2698" s="6">
        <f>IFERROR(AVERAGEIF(Levels!B:B,A2698,Levels!F:F),0)</f>
        <v>0</v>
      </c>
      <c r="E2698" s="6">
        <f>_xlfn.MAXIFS(Levels!E:E,Levels!B:B,A2698)</f>
        <v>0</v>
      </c>
      <c r="F2698" s="6">
        <f>_xlfn.MAXIFS(Levels!F:F,Levels!B:B,A2698)</f>
        <v>0</v>
      </c>
    </row>
    <row r="2699" spans="1:6" x14ac:dyDescent="0.3">
      <c r="A2699" t="s">
        <v>12236</v>
      </c>
      <c r="B2699" s="9">
        <f>COUNTIF(Levels!B:B,A2699)</f>
        <v>1</v>
      </c>
      <c r="C2699" s="9">
        <f>IFERROR(AVERAGEIF(Levels!B:B,A2699,Levels!E:E),0)</f>
        <v>12.97</v>
      </c>
      <c r="D2699" s="9">
        <f>IFERROR(AVERAGEIF(Levels!B:B,A2699,Levels!F:F),0)</f>
        <v>6.2</v>
      </c>
      <c r="E2699" s="9">
        <f>_xlfn.MAXIFS(Levels!E:E,Levels!B:B,A2699)</f>
        <v>12.97</v>
      </c>
      <c r="F2699" s="9">
        <f>_xlfn.MAXIFS(Levels!F:F,Levels!B:B,A2699)</f>
        <v>6.2</v>
      </c>
    </row>
    <row r="2700" spans="1:6" x14ac:dyDescent="0.3">
      <c r="A2700" t="s">
        <v>12238</v>
      </c>
      <c r="B2700" s="6">
        <f>COUNTIF(Levels!B:B,A2700)</f>
        <v>1</v>
      </c>
      <c r="C2700" s="6">
        <f>IFERROR(AVERAGEIF(Levels!B:B,A2700,Levels!E:E),0)</f>
        <v>6.29</v>
      </c>
      <c r="D2700" s="6">
        <f>IFERROR(AVERAGEIF(Levels!B:B,A2700,Levels!F:F),0)</f>
        <v>8.36</v>
      </c>
      <c r="E2700" s="6">
        <f>_xlfn.MAXIFS(Levels!E:E,Levels!B:B,A2700)</f>
        <v>6.29</v>
      </c>
      <c r="F2700" s="6">
        <f>_xlfn.MAXIFS(Levels!F:F,Levels!B:B,A2700)</f>
        <v>8.36</v>
      </c>
    </row>
    <row r="2701" spans="1:6" x14ac:dyDescent="0.3">
      <c r="A2701" t="s">
        <v>12243</v>
      </c>
      <c r="B2701" s="9">
        <f>COUNTIF(Levels!B:B,A2701)</f>
        <v>2</v>
      </c>
      <c r="C2701" s="9">
        <f>IFERROR(AVERAGEIF(Levels!B:B,A2701,Levels!E:E),0)</f>
        <v>34</v>
      </c>
      <c r="D2701" s="9">
        <f>IFERROR(AVERAGEIF(Levels!B:B,A2701,Levels!F:F),0)</f>
        <v>8.5</v>
      </c>
      <c r="E2701" s="9">
        <f>_xlfn.MAXIFS(Levels!E:E,Levels!B:B,A2701)</f>
        <v>34</v>
      </c>
      <c r="F2701" s="9">
        <f>_xlfn.MAXIFS(Levels!F:F,Levels!B:B,A2701)</f>
        <v>8.5</v>
      </c>
    </row>
    <row r="2702" spans="1:6" x14ac:dyDescent="0.3">
      <c r="A2702" t="s">
        <v>12257</v>
      </c>
      <c r="B2702" s="6">
        <f>COUNTIF(Levels!B:B,A2702)</f>
        <v>1</v>
      </c>
      <c r="C2702" s="6">
        <f>IFERROR(AVERAGEIF(Levels!B:B,A2702,Levels!E:E),0)</f>
        <v>15.93</v>
      </c>
      <c r="D2702" s="6">
        <f>IFERROR(AVERAGEIF(Levels!B:B,A2702,Levels!F:F),0)</f>
        <v>8.5</v>
      </c>
      <c r="E2702" s="6">
        <f>_xlfn.MAXIFS(Levels!E:E,Levels!B:B,A2702)</f>
        <v>15.93</v>
      </c>
      <c r="F2702" s="6">
        <f>_xlfn.MAXIFS(Levels!F:F,Levels!B:B,A2702)</f>
        <v>8.5</v>
      </c>
    </row>
    <row r="2703" spans="1:6" x14ac:dyDescent="0.3">
      <c r="A2703" t="s">
        <v>12259</v>
      </c>
      <c r="B2703" s="9">
        <f>COUNTIF(Levels!B:B,A2703)</f>
        <v>1</v>
      </c>
      <c r="C2703" s="9">
        <f>IFERROR(AVERAGEIF(Levels!B:B,A2703,Levels!E:E),0)</f>
        <v>4.3600000000000003</v>
      </c>
      <c r="D2703" s="9">
        <f>IFERROR(AVERAGEIF(Levels!B:B,A2703,Levels!F:F),0)</f>
        <v>7.38</v>
      </c>
      <c r="E2703" s="9">
        <f>_xlfn.MAXIFS(Levels!E:E,Levels!B:B,A2703)</f>
        <v>4.3600000000000003</v>
      </c>
      <c r="F2703" s="9">
        <f>_xlfn.MAXIFS(Levels!F:F,Levels!B:B,A2703)</f>
        <v>7.38</v>
      </c>
    </row>
    <row r="2704" spans="1:6" x14ac:dyDescent="0.3">
      <c r="A2704" t="s">
        <v>12262</v>
      </c>
      <c r="B2704" s="6">
        <f>COUNTIF(Levels!B:B,A2704)</f>
        <v>2</v>
      </c>
      <c r="C2704" s="6">
        <f>IFERROR(AVERAGEIF(Levels!B:B,A2704,Levels!E:E),0)</f>
        <v>12.5</v>
      </c>
      <c r="D2704" s="6">
        <f>IFERROR(AVERAGEIF(Levels!B:B,A2704,Levels!F:F),0)</f>
        <v>6.48</v>
      </c>
      <c r="E2704" s="6">
        <f>_xlfn.MAXIFS(Levels!E:E,Levels!B:B,A2704)</f>
        <v>12.5</v>
      </c>
      <c r="F2704" s="6">
        <f>_xlfn.MAXIFS(Levels!F:F,Levels!B:B,A2704)</f>
        <v>6.75</v>
      </c>
    </row>
    <row r="2705" spans="1:6" x14ac:dyDescent="0.3">
      <c r="A2705" t="s">
        <v>12269</v>
      </c>
      <c r="B2705" s="9">
        <f>COUNTIF(Levels!B:B,A2705)</f>
        <v>1</v>
      </c>
      <c r="C2705" s="9">
        <f>IFERROR(AVERAGEIF(Levels!B:B,A2705,Levels!E:E),0)</f>
        <v>16.329999999999998</v>
      </c>
      <c r="D2705" s="9">
        <f>IFERROR(AVERAGEIF(Levels!B:B,A2705,Levels!F:F),0)</f>
        <v>8.0500000000000007</v>
      </c>
      <c r="E2705" s="9">
        <f>_xlfn.MAXIFS(Levels!E:E,Levels!B:B,A2705)</f>
        <v>16.329999999999998</v>
      </c>
      <c r="F2705" s="9">
        <f>_xlfn.MAXIFS(Levels!F:F,Levels!B:B,A2705)</f>
        <v>8.0500000000000007</v>
      </c>
    </row>
    <row r="2706" spans="1:6" x14ac:dyDescent="0.3">
      <c r="A2706" t="s">
        <v>12273</v>
      </c>
      <c r="B2706" s="6">
        <f>COUNTIF(Levels!B:B,A2706)</f>
        <v>3</v>
      </c>
      <c r="C2706" s="6">
        <f>IFERROR(AVERAGEIF(Levels!B:B,A2706,Levels!E:E),0)</f>
        <v>4.99</v>
      </c>
      <c r="D2706" s="6">
        <f>IFERROR(AVERAGEIF(Levels!B:B,A2706,Levels!F:F),0)</f>
        <v>7.583333333333333</v>
      </c>
      <c r="E2706" s="6">
        <f>_xlfn.MAXIFS(Levels!E:E,Levels!B:B,A2706)</f>
        <v>4.99</v>
      </c>
      <c r="F2706" s="6">
        <f>_xlfn.MAXIFS(Levels!F:F,Levels!B:B,A2706)</f>
        <v>8</v>
      </c>
    </row>
    <row r="2707" spans="1:6" x14ac:dyDescent="0.3">
      <c r="A2707" t="s">
        <v>12286</v>
      </c>
      <c r="B2707" s="9">
        <f>COUNTIF(Levels!B:B,A2707)</f>
        <v>1</v>
      </c>
      <c r="C2707" s="9">
        <f>IFERROR(AVERAGEIF(Levels!B:B,A2707,Levels!E:E),0)</f>
        <v>6.64</v>
      </c>
      <c r="D2707" s="9">
        <f>IFERROR(AVERAGEIF(Levels!B:B,A2707,Levels!F:F),0)</f>
        <v>7.13</v>
      </c>
      <c r="E2707" s="9">
        <f>_xlfn.MAXIFS(Levels!E:E,Levels!B:B,A2707)</f>
        <v>6.64</v>
      </c>
      <c r="F2707" s="9">
        <f>_xlfn.MAXIFS(Levels!F:F,Levels!B:B,A2707)</f>
        <v>7.13</v>
      </c>
    </row>
    <row r="2708" spans="1:6" x14ac:dyDescent="0.3">
      <c r="A2708" t="s">
        <v>12291</v>
      </c>
      <c r="B2708" s="6">
        <f>COUNTIF(Levels!B:B,A2708)</f>
        <v>2</v>
      </c>
      <c r="C2708" s="6">
        <f>IFERROR(AVERAGEIF(Levels!B:B,A2708,Levels!E:E),0)</f>
        <v>9.9700000000000006</v>
      </c>
      <c r="D2708" s="6">
        <f>IFERROR(AVERAGEIF(Levels!B:B,A2708,Levels!F:F),0)</f>
        <v>6.3849999999999998</v>
      </c>
      <c r="E2708" s="6">
        <f>_xlfn.MAXIFS(Levels!E:E,Levels!B:B,A2708)</f>
        <v>9.9700000000000006</v>
      </c>
      <c r="F2708" s="6">
        <f>_xlfn.MAXIFS(Levels!F:F,Levels!B:B,A2708)</f>
        <v>6.86</v>
      </c>
    </row>
    <row r="2709" spans="1:6" x14ac:dyDescent="0.3">
      <c r="A2709" t="s">
        <v>12301</v>
      </c>
      <c r="B2709" s="9">
        <f>COUNTIF(Levels!B:B,A2709)</f>
        <v>1</v>
      </c>
      <c r="C2709" s="9">
        <f>IFERROR(AVERAGEIF(Levels!B:B,A2709,Levels!E:E),0)</f>
        <v>17.739999999999998</v>
      </c>
      <c r="D2709" s="9">
        <f>IFERROR(AVERAGEIF(Levels!B:B,A2709,Levels!F:F),0)</f>
        <v>8.4600000000000009</v>
      </c>
      <c r="E2709" s="9">
        <f>_xlfn.MAXIFS(Levels!E:E,Levels!B:B,A2709)</f>
        <v>17.739999999999998</v>
      </c>
      <c r="F2709" s="9">
        <f>_xlfn.MAXIFS(Levels!F:F,Levels!B:B,A2709)</f>
        <v>8.4600000000000009</v>
      </c>
    </row>
    <row r="2710" spans="1:6" x14ac:dyDescent="0.3">
      <c r="A2710" t="s">
        <v>12304</v>
      </c>
      <c r="B2710" s="6">
        <f>COUNTIF(Levels!B:B,A2710)</f>
        <v>1</v>
      </c>
      <c r="C2710" s="6">
        <f>IFERROR(AVERAGEIF(Levels!B:B,A2710,Levels!E:E),0)</f>
        <v>3.93</v>
      </c>
      <c r="D2710" s="6">
        <f>IFERROR(AVERAGEIF(Levels!B:B,A2710,Levels!F:F),0)</f>
        <v>7.91</v>
      </c>
      <c r="E2710" s="6">
        <f>_xlfn.MAXIFS(Levels!E:E,Levels!B:B,A2710)</f>
        <v>3.93</v>
      </c>
      <c r="F2710" s="6">
        <f>_xlfn.MAXIFS(Levels!F:F,Levels!B:B,A2710)</f>
        <v>7.91</v>
      </c>
    </row>
    <row r="2711" spans="1:6" x14ac:dyDescent="0.3">
      <c r="A2711" t="s">
        <v>12307</v>
      </c>
      <c r="B2711" s="9">
        <f>COUNTIF(Levels!B:B,A2711)</f>
        <v>1</v>
      </c>
      <c r="C2711" s="9">
        <f>IFERROR(AVERAGEIF(Levels!B:B,A2711,Levels!E:E),0)</f>
        <v>2.71</v>
      </c>
      <c r="D2711" s="9">
        <f>IFERROR(AVERAGEIF(Levels!B:B,A2711,Levels!F:F),0)</f>
        <v>8.16</v>
      </c>
      <c r="E2711" s="9">
        <f>_xlfn.MAXIFS(Levels!E:E,Levels!B:B,A2711)</f>
        <v>2.71</v>
      </c>
      <c r="F2711" s="9">
        <f>_xlfn.MAXIFS(Levels!F:F,Levels!B:B,A2711)</f>
        <v>8.16</v>
      </c>
    </row>
    <row r="2712" spans="1:6" x14ac:dyDescent="0.3">
      <c r="A2712" t="s">
        <v>12326</v>
      </c>
      <c r="B2712" s="6">
        <f>COUNTIF(Levels!B:B,A2712)</f>
        <v>1</v>
      </c>
      <c r="C2712" s="6">
        <f>IFERROR(AVERAGEIF(Levels!B:B,A2712,Levels!E:E),0)</f>
        <v>24.17</v>
      </c>
      <c r="D2712" s="6">
        <f>IFERROR(AVERAGEIF(Levels!B:B,A2712,Levels!F:F),0)</f>
        <v>8</v>
      </c>
      <c r="E2712" s="6">
        <f>_xlfn.MAXIFS(Levels!E:E,Levels!B:B,A2712)</f>
        <v>24.17</v>
      </c>
      <c r="F2712" s="6">
        <f>_xlfn.MAXIFS(Levels!F:F,Levels!B:B,A2712)</f>
        <v>8</v>
      </c>
    </row>
    <row r="2713" spans="1:6" x14ac:dyDescent="0.3">
      <c r="A2713" t="s">
        <v>12328</v>
      </c>
      <c r="B2713" s="9">
        <f>COUNTIF(Levels!B:B,A2713)</f>
        <v>1</v>
      </c>
      <c r="C2713" s="9">
        <f>IFERROR(AVERAGEIF(Levels!B:B,A2713,Levels!E:E),0)</f>
        <v>4.63</v>
      </c>
      <c r="D2713" s="9">
        <f>IFERROR(AVERAGEIF(Levels!B:B,A2713,Levels!F:F),0)</f>
        <v>7.79</v>
      </c>
      <c r="E2713" s="9">
        <f>_xlfn.MAXIFS(Levels!E:E,Levels!B:B,A2713)</f>
        <v>4.63</v>
      </c>
      <c r="F2713" s="9">
        <f>_xlfn.MAXIFS(Levels!F:F,Levels!B:B,A2713)</f>
        <v>7.79</v>
      </c>
    </row>
    <row r="2714" spans="1:6" x14ac:dyDescent="0.3">
      <c r="A2714" t="s">
        <v>12333</v>
      </c>
      <c r="B2714" s="6">
        <f>COUNTIF(Levels!B:B,A2714)</f>
        <v>2</v>
      </c>
      <c r="C2714" s="6">
        <f>IFERROR(AVERAGEIF(Levels!B:B,A2714,Levels!E:E),0)</f>
        <v>4.0650000000000004</v>
      </c>
      <c r="D2714" s="6">
        <f>IFERROR(AVERAGEIF(Levels!B:B,A2714,Levels!F:F),0)</f>
        <v>6.66</v>
      </c>
      <c r="E2714" s="6">
        <f>_xlfn.MAXIFS(Levels!E:E,Levels!B:B,A2714)</f>
        <v>4.8600000000000003</v>
      </c>
      <c r="F2714" s="6">
        <f>_xlfn.MAXIFS(Levels!F:F,Levels!B:B,A2714)</f>
        <v>6.82</v>
      </c>
    </row>
    <row r="2715" spans="1:6" x14ac:dyDescent="0.3">
      <c r="A2715" t="s">
        <v>12349</v>
      </c>
      <c r="B2715" s="9">
        <f>COUNTIF(Levels!B:B,A2715)</f>
        <v>2</v>
      </c>
      <c r="C2715" s="9">
        <f>IFERROR(AVERAGEIF(Levels!B:B,A2715,Levels!E:E),0)</f>
        <v>16.59</v>
      </c>
      <c r="D2715" s="9">
        <f>IFERROR(AVERAGEIF(Levels!B:B,A2715,Levels!F:F),0)</f>
        <v>7.77</v>
      </c>
      <c r="E2715" s="9">
        <f>_xlfn.MAXIFS(Levels!E:E,Levels!B:B,A2715)</f>
        <v>18.98</v>
      </c>
      <c r="F2715" s="9">
        <f>_xlfn.MAXIFS(Levels!F:F,Levels!B:B,A2715)</f>
        <v>7.88</v>
      </c>
    </row>
    <row r="2716" spans="1:6" x14ac:dyDescent="0.3">
      <c r="A2716" t="s">
        <v>12352</v>
      </c>
      <c r="B2716" s="6">
        <f>COUNTIF(Levels!B:B,A2716)</f>
        <v>1</v>
      </c>
      <c r="C2716" s="6">
        <f>IFERROR(AVERAGEIF(Levels!B:B,A2716,Levels!E:E),0)</f>
        <v>2.99</v>
      </c>
      <c r="D2716" s="6">
        <f>IFERROR(AVERAGEIF(Levels!B:B,A2716,Levels!F:F),0)</f>
        <v>7.25</v>
      </c>
      <c r="E2716" s="6">
        <f>_xlfn.MAXIFS(Levels!E:E,Levels!B:B,A2716)</f>
        <v>2.99</v>
      </c>
      <c r="F2716" s="6">
        <f>_xlfn.MAXIFS(Levels!F:F,Levels!B:B,A2716)</f>
        <v>7.25</v>
      </c>
    </row>
    <row r="2717" spans="1:6" x14ac:dyDescent="0.3">
      <c r="A2717" t="s">
        <v>12359</v>
      </c>
      <c r="B2717" s="9">
        <f>COUNTIF(Levels!B:B,A2717)</f>
        <v>1</v>
      </c>
      <c r="C2717" s="9">
        <f>IFERROR(AVERAGEIF(Levels!B:B,A2717,Levels!E:E),0)</f>
        <v>6</v>
      </c>
      <c r="D2717" s="9">
        <f>IFERROR(AVERAGEIF(Levels!B:B,A2717,Levels!F:F),0)</f>
        <v>7.38</v>
      </c>
      <c r="E2717" s="9">
        <f>_xlfn.MAXIFS(Levels!E:E,Levels!B:B,A2717)</f>
        <v>6</v>
      </c>
      <c r="F2717" s="9">
        <f>_xlfn.MAXIFS(Levels!F:F,Levels!B:B,A2717)</f>
        <v>7.38</v>
      </c>
    </row>
    <row r="2718" spans="1:6" x14ac:dyDescent="0.3">
      <c r="A2718" t="s">
        <v>12361</v>
      </c>
      <c r="B2718" s="6">
        <f>COUNTIF(Levels!B:B,A2718)</f>
        <v>1</v>
      </c>
      <c r="C2718" s="6">
        <f>IFERROR(AVERAGEIF(Levels!B:B,A2718,Levels!E:E),0)</f>
        <v>0</v>
      </c>
      <c r="D2718" s="6">
        <f>IFERROR(AVERAGEIF(Levels!B:B,A2718,Levels!F:F),0)</f>
        <v>1</v>
      </c>
      <c r="E2718" s="6">
        <f>_xlfn.MAXIFS(Levels!E:E,Levels!B:B,A2718)</f>
        <v>0</v>
      </c>
      <c r="F2718" s="6">
        <f>_xlfn.MAXIFS(Levels!F:F,Levels!B:B,A2718)</f>
        <v>1</v>
      </c>
    </row>
    <row r="2719" spans="1:6" x14ac:dyDescent="0.3">
      <c r="A2719" t="s">
        <v>12368</v>
      </c>
      <c r="B2719" s="9">
        <f>COUNTIF(Levels!B:B,A2719)</f>
        <v>1</v>
      </c>
      <c r="C2719" s="9">
        <f>IFERROR(AVERAGEIF(Levels!B:B,A2719,Levels!E:E),0)</f>
        <v>13.13</v>
      </c>
      <c r="D2719" s="9">
        <f>IFERROR(AVERAGEIF(Levels!B:B,A2719,Levels!F:F),0)</f>
        <v>8</v>
      </c>
      <c r="E2719" s="9">
        <f>_xlfn.MAXIFS(Levels!E:E,Levels!B:B,A2719)</f>
        <v>13.13</v>
      </c>
      <c r="F2719" s="9">
        <f>_xlfn.MAXIFS(Levels!F:F,Levels!B:B,A2719)</f>
        <v>8</v>
      </c>
    </row>
    <row r="2720" spans="1:6" x14ac:dyDescent="0.3">
      <c r="A2720" t="s">
        <v>12372</v>
      </c>
      <c r="B2720" s="6">
        <f>COUNTIF(Levels!B:B,A2720)</f>
        <v>6</v>
      </c>
      <c r="C2720" s="6">
        <f>IFERROR(AVERAGEIF(Levels!B:B,A2720,Levels!E:E),0)</f>
        <v>17.103333333333335</v>
      </c>
      <c r="D2720" s="6">
        <f>IFERROR(AVERAGEIF(Levels!B:B,A2720,Levels!F:F),0)</f>
        <v>6.1033333333333326</v>
      </c>
      <c r="E2720" s="6">
        <f>_xlfn.MAXIFS(Levels!E:E,Levels!B:B,A2720)</f>
        <v>20.67</v>
      </c>
      <c r="F2720" s="6">
        <f>_xlfn.MAXIFS(Levels!F:F,Levels!B:B,A2720)</f>
        <v>8.3699999999999992</v>
      </c>
    </row>
    <row r="2721" spans="1:6" x14ac:dyDescent="0.3">
      <c r="A2721" t="s">
        <v>12376</v>
      </c>
      <c r="B2721" s="9">
        <f>COUNTIF(Levels!B:B,A2721)</f>
        <v>1</v>
      </c>
      <c r="C2721" s="9">
        <f>IFERROR(AVERAGEIF(Levels!B:B,A2721,Levels!E:E),0)</f>
        <v>6.65</v>
      </c>
      <c r="D2721" s="9">
        <f>IFERROR(AVERAGEIF(Levels!B:B,A2721,Levels!F:F),0)</f>
        <v>5.2</v>
      </c>
      <c r="E2721" s="9">
        <f>_xlfn.MAXIFS(Levels!E:E,Levels!B:B,A2721)</f>
        <v>6.65</v>
      </c>
      <c r="F2721" s="9">
        <f>_xlfn.MAXIFS(Levels!F:F,Levels!B:B,A2721)</f>
        <v>5.2</v>
      </c>
    </row>
    <row r="2722" spans="1:6" x14ac:dyDescent="0.3">
      <c r="A2722" t="s">
        <v>12382</v>
      </c>
      <c r="B2722" s="6">
        <f>COUNTIF(Levels!B:B,A2722)</f>
        <v>1</v>
      </c>
      <c r="C2722" s="6">
        <f>IFERROR(AVERAGEIF(Levels!B:B,A2722,Levels!E:E),0)</f>
        <v>3.48</v>
      </c>
      <c r="D2722" s="6">
        <f>IFERROR(AVERAGEIF(Levels!B:B,A2722,Levels!F:F),0)</f>
        <v>6.8</v>
      </c>
      <c r="E2722" s="6">
        <f>_xlfn.MAXIFS(Levels!E:E,Levels!B:B,A2722)</f>
        <v>3.48</v>
      </c>
      <c r="F2722" s="6">
        <f>_xlfn.MAXIFS(Levels!F:F,Levels!B:B,A2722)</f>
        <v>6.8</v>
      </c>
    </row>
    <row r="2723" spans="1:6" x14ac:dyDescent="0.3">
      <c r="A2723" t="s">
        <v>12383</v>
      </c>
      <c r="B2723" s="9">
        <f>COUNTIF(Levels!B:B,A2723)</f>
        <v>4</v>
      </c>
      <c r="C2723" s="9">
        <f>IFERROR(AVERAGEIF(Levels!B:B,A2723,Levels!E:E),0)</f>
        <v>9.6674999999999986</v>
      </c>
      <c r="D2723" s="9">
        <f>IFERROR(AVERAGEIF(Levels!B:B,A2723,Levels!F:F),0)</f>
        <v>7.6450000000000005</v>
      </c>
      <c r="E2723" s="9">
        <f>_xlfn.MAXIFS(Levels!E:E,Levels!B:B,A2723)</f>
        <v>23</v>
      </c>
      <c r="F2723" s="9">
        <f>_xlfn.MAXIFS(Levels!F:F,Levels!B:B,A2723)</f>
        <v>9</v>
      </c>
    </row>
    <row r="2724" spans="1:6" x14ac:dyDescent="0.3">
      <c r="A2724" t="s">
        <v>12395</v>
      </c>
      <c r="B2724" s="6">
        <f>COUNTIF(Levels!B:B,A2724)</f>
        <v>1</v>
      </c>
      <c r="C2724" s="6">
        <f>IFERROR(AVERAGEIF(Levels!B:B,A2724,Levels!E:E),0)</f>
        <v>9</v>
      </c>
      <c r="D2724" s="6">
        <f>IFERROR(AVERAGEIF(Levels!B:B,A2724,Levels!F:F),0)</f>
        <v>5.44</v>
      </c>
      <c r="E2724" s="6">
        <f>_xlfn.MAXIFS(Levels!E:E,Levels!B:B,A2724)</f>
        <v>9</v>
      </c>
      <c r="F2724" s="6">
        <f>_xlfn.MAXIFS(Levels!F:F,Levels!B:B,A2724)</f>
        <v>5.44</v>
      </c>
    </row>
    <row r="2725" spans="1:6" x14ac:dyDescent="0.3">
      <c r="A2725" t="s">
        <v>12398</v>
      </c>
      <c r="B2725" s="9">
        <f>COUNTIF(Levels!B:B,A2725)</f>
        <v>1</v>
      </c>
      <c r="C2725" s="9">
        <f>IFERROR(AVERAGEIF(Levels!B:B,A2725,Levels!E:E),0)</f>
        <v>3.25</v>
      </c>
      <c r="D2725" s="9">
        <f>IFERROR(AVERAGEIF(Levels!B:B,A2725,Levels!F:F),0)</f>
        <v>7.36</v>
      </c>
      <c r="E2725" s="9">
        <f>_xlfn.MAXIFS(Levels!E:E,Levels!B:B,A2725)</f>
        <v>3.25</v>
      </c>
      <c r="F2725" s="9">
        <f>_xlfn.MAXIFS(Levels!F:F,Levels!B:B,A2725)</f>
        <v>7.36</v>
      </c>
    </row>
    <row r="2726" spans="1:6" x14ac:dyDescent="0.3">
      <c r="A2726" t="s">
        <v>12404</v>
      </c>
      <c r="B2726" s="6">
        <f>COUNTIF(Levels!B:B,A2726)</f>
        <v>1</v>
      </c>
      <c r="C2726" s="6">
        <f>IFERROR(AVERAGEIF(Levels!B:B,A2726,Levels!E:E),0)</f>
        <v>20.04</v>
      </c>
      <c r="D2726" s="6">
        <f>IFERROR(AVERAGEIF(Levels!B:B,A2726,Levels!F:F),0)</f>
        <v>3.63</v>
      </c>
      <c r="E2726" s="6">
        <f>_xlfn.MAXIFS(Levels!E:E,Levels!B:B,A2726)</f>
        <v>20.04</v>
      </c>
      <c r="F2726" s="6">
        <f>_xlfn.MAXIFS(Levels!F:F,Levels!B:B,A2726)</f>
        <v>3.63</v>
      </c>
    </row>
    <row r="2727" spans="1:6" x14ac:dyDescent="0.3">
      <c r="A2727" t="s">
        <v>12407</v>
      </c>
      <c r="B2727" s="9">
        <f>COUNTIF(Levels!B:B,A2727)</f>
        <v>1</v>
      </c>
      <c r="C2727" s="9">
        <f>IFERROR(AVERAGEIF(Levels!B:B,A2727,Levels!E:E),0)</f>
        <v>12.65</v>
      </c>
      <c r="D2727" s="9">
        <f>IFERROR(AVERAGEIF(Levels!B:B,A2727,Levels!F:F),0)</f>
        <v>8.2899999999999991</v>
      </c>
      <c r="E2727" s="9">
        <f>_xlfn.MAXIFS(Levels!E:E,Levels!B:B,A2727)</f>
        <v>12.65</v>
      </c>
      <c r="F2727" s="9">
        <f>_xlfn.MAXIFS(Levels!F:F,Levels!B:B,A2727)</f>
        <v>8.2899999999999991</v>
      </c>
    </row>
    <row r="2728" spans="1:6" x14ac:dyDescent="0.3">
      <c r="A2728" t="s">
        <v>12411</v>
      </c>
      <c r="B2728" s="6">
        <f>COUNTIF(Levels!B:B,A2728)</f>
        <v>1</v>
      </c>
      <c r="C2728" s="6">
        <f>IFERROR(AVERAGEIF(Levels!B:B,A2728,Levels!E:E),0)</f>
        <v>26</v>
      </c>
      <c r="D2728" s="6">
        <f>IFERROR(AVERAGEIF(Levels!B:B,A2728,Levels!F:F),0)</f>
        <v>8</v>
      </c>
      <c r="E2728" s="6">
        <f>_xlfn.MAXIFS(Levels!E:E,Levels!B:B,A2728)</f>
        <v>26</v>
      </c>
      <c r="F2728" s="6">
        <f>_xlfn.MAXIFS(Levels!F:F,Levels!B:B,A2728)</f>
        <v>8</v>
      </c>
    </row>
    <row r="2729" spans="1:6" x14ac:dyDescent="0.3">
      <c r="A2729" t="s">
        <v>12414</v>
      </c>
      <c r="B2729" s="9">
        <f>COUNTIF(Levels!B:B,A2729)</f>
        <v>2</v>
      </c>
      <c r="C2729" s="9">
        <f>IFERROR(AVERAGEIF(Levels!B:B,A2729,Levels!E:E),0)</f>
        <v>23</v>
      </c>
      <c r="D2729" s="9">
        <f>IFERROR(AVERAGEIF(Levels!B:B,A2729,Levels!F:F),0)</f>
        <v>6.9649999999999999</v>
      </c>
      <c r="E2729" s="9">
        <f>_xlfn.MAXIFS(Levels!E:E,Levels!B:B,A2729)</f>
        <v>23</v>
      </c>
      <c r="F2729" s="9">
        <f>_xlfn.MAXIFS(Levels!F:F,Levels!B:B,A2729)</f>
        <v>7.26</v>
      </c>
    </row>
    <row r="2730" spans="1:6" x14ac:dyDescent="0.3">
      <c r="A2730" t="s">
        <v>12420</v>
      </c>
      <c r="B2730" s="6">
        <f>COUNTIF(Levels!B:B,A2730)</f>
        <v>1</v>
      </c>
      <c r="C2730" s="6">
        <f>IFERROR(AVERAGEIF(Levels!B:B,A2730,Levels!E:E),0)</f>
        <v>14.83</v>
      </c>
      <c r="D2730" s="6">
        <f>IFERROR(AVERAGEIF(Levels!B:B,A2730,Levels!F:F),0)</f>
        <v>7.14</v>
      </c>
      <c r="E2730" s="6">
        <f>_xlfn.MAXIFS(Levels!E:E,Levels!B:B,A2730)</f>
        <v>14.83</v>
      </c>
      <c r="F2730" s="6">
        <f>_xlfn.MAXIFS(Levels!F:F,Levels!B:B,A2730)</f>
        <v>7.14</v>
      </c>
    </row>
    <row r="2731" spans="1:6" x14ac:dyDescent="0.3">
      <c r="A2731" t="s">
        <v>12422</v>
      </c>
      <c r="B2731" s="9">
        <f>COUNTIF(Levels!B:B,A2731)</f>
        <v>1</v>
      </c>
      <c r="C2731" s="9">
        <f>IFERROR(AVERAGEIF(Levels!B:B,A2731,Levels!E:E),0)</f>
        <v>0</v>
      </c>
      <c r="D2731" s="9">
        <f>IFERROR(AVERAGEIF(Levels!B:B,A2731,Levels!F:F),0)</f>
        <v>0</v>
      </c>
      <c r="E2731" s="9">
        <f>_xlfn.MAXIFS(Levels!E:E,Levels!B:B,A2731)</f>
        <v>0</v>
      </c>
      <c r="F2731" s="9">
        <f>_xlfn.MAXIFS(Levels!F:F,Levels!B:B,A2731)</f>
        <v>0</v>
      </c>
    </row>
    <row r="2732" spans="1:6" x14ac:dyDescent="0.3">
      <c r="A2732" t="s">
        <v>12423</v>
      </c>
      <c r="B2732" s="6">
        <f>COUNTIF(Levels!B:B,A2732)</f>
        <v>1</v>
      </c>
      <c r="C2732" s="6">
        <f>IFERROR(AVERAGEIF(Levels!B:B,A2732,Levels!E:E),0)</f>
        <v>2.79</v>
      </c>
      <c r="D2732" s="6">
        <f>IFERROR(AVERAGEIF(Levels!B:B,A2732,Levels!F:F),0)</f>
        <v>8.2899999999999991</v>
      </c>
      <c r="E2732" s="6">
        <f>_xlfn.MAXIFS(Levels!E:E,Levels!B:B,A2732)</f>
        <v>2.79</v>
      </c>
      <c r="F2732" s="6">
        <f>_xlfn.MAXIFS(Levels!F:F,Levels!B:B,A2732)</f>
        <v>8.2899999999999991</v>
      </c>
    </row>
    <row r="2733" spans="1:6" x14ac:dyDescent="0.3">
      <c r="A2733" t="s">
        <v>12425</v>
      </c>
      <c r="B2733" s="9">
        <f>COUNTIF(Levels!B:B,A2733)</f>
        <v>1</v>
      </c>
      <c r="C2733" s="9">
        <f>IFERROR(AVERAGEIF(Levels!B:B,A2733,Levels!E:E),0)</f>
        <v>18.600000000000001</v>
      </c>
      <c r="D2733" s="9">
        <f>IFERROR(AVERAGEIF(Levels!B:B,A2733,Levels!F:F),0)</f>
        <v>7.2</v>
      </c>
      <c r="E2733" s="9">
        <f>_xlfn.MAXIFS(Levels!E:E,Levels!B:B,A2733)</f>
        <v>18.600000000000001</v>
      </c>
      <c r="F2733" s="9">
        <f>_xlfn.MAXIFS(Levels!F:F,Levels!B:B,A2733)</f>
        <v>7.2</v>
      </c>
    </row>
    <row r="2734" spans="1:6" x14ac:dyDescent="0.3">
      <c r="A2734" t="s">
        <v>12428</v>
      </c>
      <c r="B2734" s="6">
        <f>COUNTIF(Levels!B:B,A2734)</f>
        <v>1</v>
      </c>
      <c r="C2734" s="6">
        <f>IFERROR(AVERAGEIF(Levels!B:B,A2734,Levels!E:E),0)</f>
        <v>13.95</v>
      </c>
      <c r="D2734" s="6">
        <f>IFERROR(AVERAGEIF(Levels!B:B,A2734,Levels!F:F),0)</f>
        <v>6.33</v>
      </c>
      <c r="E2734" s="6">
        <f>_xlfn.MAXIFS(Levels!E:E,Levels!B:B,A2734)</f>
        <v>13.95</v>
      </c>
      <c r="F2734" s="6">
        <f>_xlfn.MAXIFS(Levels!F:F,Levels!B:B,A2734)</f>
        <v>6.33</v>
      </c>
    </row>
    <row r="2735" spans="1:6" x14ac:dyDescent="0.3">
      <c r="A2735" t="s">
        <v>12430</v>
      </c>
      <c r="B2735" s="9">
        <f>COUNTIF(Levels!B:B,A2735)</f>
        <v>1</v>
      </c>
      <c r="C2735" s="9">
        <f>IFERROR(AVERAGEIF(Levels!B:B,A2735,Levels!E:E),0)</f>
        <v>5.07</v>
      </c>
      <c r="D2735" s="9">
        <f>IFERROR(AVERAGEIF(Levels!B:B,A2735,Levels!F:F),0)</f>
        <v>6.86</v>
      </c>
      <c r="E2735" s="9">
        <f>_xlfn.MAXIFS(Levels!E:E,Levels!B:B,A2735)</f>
        <v>5.07</v>
      </c>
      <c r="F2735" s="9">
        <f>_xlfn.MAXIFS(Levels!F:F,Levels!B:B,A2735)</f>
        <v>6.86</v>
      </c>
    </row>
    <row r="2736" spans="1:6" x14ac:dyDescent="0.3">
      <c r="A2736" t="s">
        <v>12432</v>
      </c>
      <c r="B2736" s="6">
        <f>COUNTIF(Levels!B:B,A2736)</f>
        <v>1</v>
      </c>
      <c r="C2736" s="6">
        <f>IFERROR(AVERAGEIF(Levels!B:B,A2736,Levels!E:E),0)</f>
        <v>3.29</v>
      </c>
      <c r="D2736" s="6">
        <f>IFERROR(AVERAGEIF(Levels!B:B,A2736,Levels!F:F),0)</f>
        <v>9</v>
      </c>
      <c r="E2736" s="6">
        <f>_xlfn.MAXIFS(Levels!E:E,Levels!B:B,A2736)</f>
        <v>3.29</v>
      </c>
      <c r="F2736" s="6">
        <f>_xlfn.MAXIFS(Levels!F:F,Levels!B:B,A2736)</f>
        <v>9</v>
      </c>
    </row>
    <row r="2737" spans="1:6" x14ac:dyDescent="0.3">
      <c r="A2737" t="s">
        <v>12435</v>
      </c>
      <c r="B2737" s="9">
        <f>COUNTIF(Levels!B:B,A2737)</f>
        <v>2</v>
      </c>
      <c r="C2737" s="9">
        <f>IFERROR(AVERAGEIF(Levels!B:B,A2737,Levels!E:E),0)</f>
        <v>19.5</v>
      </c>
      <c r="D2737" s="9">
        <f>IFERROR(AVERAGEIF(Levels!B:B,A2737,Levels!F:F),0)</f>
        <v>7.75</v>
      </c>
      <c r="E2737" s="9">
        <f>_xlfn.MAXIFS(Levels!E:E,Levels!B:B,A2737)</f>
        <v>21.5</v>
      </c>
      <c r="F2737" s="9">
        <f>_xlfn.MAXIFS(Levels!F:F,Levels!B:B,A2737)</f>
        <v>8</v>
      </c>
    </row>
    <row r="2738" spans="1:6" x14ac:dyDescent="0.3">
      <c r="A2738" t="s">
        <v>12443</v>
      </c>
      <c r="B2738" s="6">
        <f>COUNTIF(Levels!B:B,A2738)</f>
        <v>4</v>
      </c>
      <c r="C2738" s="6">
        <f>IFERROR(AVERAGEIF(Levels!B:B,A2738,Levels!E:E),0)</f>
        <v>2.7333333333333329</v>
      </c>
      <c r="D2738" s="6">
        <f>IFERROR(AVERAGEIF(Levels!B:B,A2738,Levels!F:F),0)</f>
        <v>7.5924999999999994</v>
      </c>
      <c r="E2738" s="6">
        <f>_xlfn.MAXIFS(Levels!E:E,Levels!B:B,A2738)</f>
        <v>3.16</v>
      </c>
      <c r="F2738" s="6">
        <f>_xlfn.MAXIFS(Levels!F:F,Levels!B:B,A2738)</f>
        <v>8.52</v>
      </c>
    </row>
    <row r="2739" spans="1:6" x14ac:dyDescent="0.3">
      <c r="A2739" t="s">
        <v>12445</v>
      </c>
      <c r="B2739" s="9">
        <f>COUNTIF(Levels!B:B,A2739)</f>
        <v>1</v>
      </c>
      <c r="C2739" s="9">
        <f>IFERROR(AVERAGEIF(Levels!B:B,A2739,Levels!E:E),0)</f>
        <v>24.33</v>
      </c>
      <c r="D2739" s="9">
        <f>IFERROR(AVERAGEIF(Levels!B:B,A2739,Levels!F:F),0)</f>
        <v>8.83</v>
      </c>
      <c r="E2739" s="9">
        <f>_xlfn.MAXIFS(Levels!E:E,Levels!B:B,A2739)</f>
        <v>24.33</v>
      </c>
      <c r="F2739" s="9">
        <f>_xlfn.MAXIFS(Levels!F:F,Levels!B:B,A2739)</f>
        <v>8.83</v>
      </c>
    </row>
    <row r="2740" spans="1:6" x14ac:dyDescent="0.3">
      <c r="A2740" t="s">
        <v>12447</v>
      </c>
      <c r="B2740" s="6">
        <f>COUNTIF(Levels!B:B,A2740)</f>
        <v>1</v>
      </c>
      <c r="C2740" s="6">
        <f>IFERROR(AVERAGEIF(Levels!B:B,A2740,Levels!E:E),0)</f>
        <v>1.56</v>
      </c>
      <c r="D2740" s="6">
        <f>IFERROR(AVERAGEIF(Levels!B:B,A2740,Levels!F:F),0)</f>
        <v>7.45</v>
      </c>
      <c r="E2740" s="6">
        <f>_xlfn.MAXIFS(Levels!E:E,Levels!B:B,A2740)</f>
        <v>1.56</v>
      </c>
      <c r="F2740" s="6">
        <f>_xlfn.MAXIFS(Levels!F:F,Levels!B:B,A2740)</f>
        <v>7.45</v>
      </c>
    </row>
    <row r="2741" spans="1:6" x14ac:dyDescent="0.3">
      <c r="A2741" t="s">
        <v>12453</v>
      </c>
      <c r="B2741" s="9">
        <f>COUNTIF(Levels!B:B,A2741)</f>
        <v>2</v>
      </c>
      <c r="C2741" s="9">
        <f>IFERROR(AVERAGEIF(Levels!B:B,A2741,Levels!E:E),0)</f>
        <v>5.01</v>
      </c>
      <c r="D2741" s="9">
        <f>IFERROR(AVERAGEIF(Levels!B:B,A2741,Levels!F:F),0)</f>
        <v>5.44</v>
      </c>
      <c r="E2741" s="9">
        <f>_xlfn.MAXIFS(Levels!E:E,Levels!B:B,A2741)</f>
        <v>6</v>
      </c>
      <c r="F2741" s="9">
        <f>_xlfn.MAXIFS(Levels!F:F,Levels!B:B,A2741)</f>
        <v>5.48</v>
      </c>
    </row>
    <row r="2742" spans="1:6" x14ac:dyDescent="0.3">
      <c r="A2742" t="s">
        <v>12458</v>
      </c>
      <c r="B2742" s="6">
        <f>COUNTIF(Levels!B:B,A2742)</f>
        <v>1</v>
      </c>
      <c r="C2742" s="6">
        <f>IFERROR(AVERAGEIF(Levels!B:B,A2742,Levels!E:E),0)</f>
        <v>15.63</v>
      </c>
      <c r="D2742" s="6">
        <f>IFERROR(AVERAGEIF(Levels!B:B,A2742,Levels!F:F),0)</f>
        <v>7.54</v>
      </c>
      <c r="E2742" s="6">
        <f>_xlfn.MAXIFS(Levels!E:E,Levels!B:B,A2742)</f>
        <v>15.63</v>
      </c>
      <c r="F2742" s="6">
        <f>_xlfn.MAXIFS(Levels!F:F,Levels!B:B,A2742)</f>
        <v>7.54</v>
      </c>
    </row>
    <row r="2743" spans="1:6" x14ac:dyDescent="0.3">
      <c r="A2743" t="s">
        <v>12461</v>
      </c>
      <c r="B2743" s="9">
        <f>COUNTIF(Levels!B:B,A2743)</f>
        <v>5</v>
      </c>
      <c r="C2743" s="9">
        <f>IFERROR(AVERAGEIF(Levels!B:B,A2743,Levels!E:E),0)</f>
        <v>2.4700000000000002</v>
      </c>
      <c r="D2743" s="9">
        <f>IFERROR(AVERAGEIF(Levels!B:B,A2743,Levels!F:F),0)</f>
        <v>7.6019999999999994</v>
      </c>
      <c r="E2743" s="9">
        <f>_xlfn.MAXIFS(Levels!E:E,Levels!B:B,A2743)</f>
        <v>3.25</v>
      </c>
      <c r="F2743" s="9">
        <f>_xlfn.MAXIFS(Levels!F:F,Levels!B:B,A2743)</f>
        <v>8.64</v>
      </c>
    </row>
    <row r="2744" spans="1:6" x14ac:dyDescent="0.3">
      <c r="A2744" t="s">
        <v>12467</v>
      </c>
      <c r="B2744" s="6">
        <f>COUNTIF(Levels!B:B,A2744)</f>
        <v>1</v>
      </c>
      <c r="C2744" s="6">
        <f>IFERROR(AVERAGEIF(Levels!B:B,A2744,Levels!E:E),0)</f>
        <v>10.36</v>
      </c>
      <c r="D2744" s="6">
        <f>IFERROR(AVERAGEIF(Levels!B:B,A2744,Levels!F:F),0)</f>
        <v>6.79</v>
      </c>
      <c r="E2744" s="6">
        <f>_xlfn.MAXIFS(Levels!E:E,Levels!B:B,A2744)</f>
        <v>10.36</v>
      </c>
      <c r="F2744" s="6">
        <f>_xlfn.MAXIFS(Levels!F:F,Levels!B:B,A2744)</f>
        <v>6.79</v>
      </c>
    </row>
    <row r="2745" spans="1:6" x14ac:dyDescent="0.3">
      <c r="A2745" t="s">
        <v>12471</v>
      </c>
      <c r="B2745" s="9">
        <f>COUNTIF(Levels!B:B,A2745)</f>
        <v>3</v>
      </c>
      <c r="C2745" s="9">
        <f>IFERROR(AVERAGEIF(Levels!B:B,A2745,Levels!E:E),0)</f>
        <v>8.0950000000000006</v>
      </c>
      <c r="D2745" s="9">
        <f>IFERROR(AVERAGEIF(Levels!B:B,A2745,Levels!F:F),0)</f>
        <v>7.1499999999999995</v>
      </c>
      <c r="E2745" s="9">
        <f>_xlfn.MAXIFS(Levels!E:E,Levels!B:B,A2745)</f>
        <v>11.81</v>
      </c>
      <c r="F2745" s="9">
        <f>_xlfn.MAXIFS(Levels!F:F,Levels!B:B,A2745)</f>
        <v>8.35</v>
      </c>
    </row>
    <row r="2746" spans="1:6" x14ac:dyDescent="0.3">
      <c r="A2746" t="s">
        <v>12476</v>
      </c>
      <c r="B2746" s="6">
        <f>COUNTIF(Levels!B:B,A2746)</f>
        <v>2</v>
      </c>
      <c r="C2746" s="6">
        <f>IFERROR(AVERAGEIF(Levels!B:B,A2746,Levels!E:E),0)</f>
        <v>0</v>
      </c>
      <c r="D2746" s="6">
        <f>IFERROR(AVERAGEIF(Levels!B:B,A2746,Levels!F:F),0)</f>
        <v>6.98</v>
      </c>
      <c r="E2746" s="6">
        <f>_xlfn.MAXIFS(Levels!E:E,Levels!B:B,A2746)</f>
        <v>0</v>
      </c>
      <c r="F2746" s="6">
        <f>_xlfn.MAXIFS(Levels!F:F,Levels!B:B,A2746)</f>
        <v>7.38</v>
      </c>
    </row>
    <row r="2747" spans="1:6" x14ac:dyDescent="0.3">
      <c r="A2747" t="s">
        <v>12483</v>
      </c>
      <c r="B2747" s="9">
        <f>COUNTIF(Levels!B:B,A2747)</f>
        <v>1</v>
      </c>
      <c r="C2747" s="9">
        <f>IFERROR(AVERAGEIF(Levels!B:B,A2747,Levels!E:E),0)</f>
        <v>0</v>
      </c>
      <c r="D2747" s="9">
        <f>IFERROR(AVERAGEIF(Levels!B:B,A2747,Levels!F:F),0)</f>
        <v>6.16</v>
      </c>
      <c r="E2747" s="9">
        <f>_xlfn.MAXIFS(Levels!E:E,Levels!B:B,A2747)</f>
        <v>0</v>
      </c>
      <c r="F2747" s="9">
        <f>_xlfn.MAXIFS(Levels!F:F,Levels!B:B,A2747)</f>
        <v>6.16</v>
      </c>
    </row>
    <row r="2748" spans="1:6" x14ac:dyDescent="0.3">
      <c r="A2748" t="s">
        <v>12488</v>
      </c>
      <c r="B2748" s="6">
        <f>COUNTIF(Levels!B:B,A2748)</f>
        <v>1</v>
      </c>
      <c r="C2748" s="6">
        <f>IFERROR(AVERAGEIF(Levels!B:B,A2748,Levels!E:E),0)</f>
        <v>0</v>
      </c>
      <c r="D2748" s="6">
        <f>IFERROR(AVERAGEIF(Levels!B:B,A2748,Levels!F:F),0)</f>
        <v>6.83</v>
      </c>
      <c r="E2748" s="6">
        <f>_xlfn.MAXIFS(Levels!E:E,Levels!B:B,A2748)</f>
        <v>0</v>
      </c>
      <c r="F2748" s="6">
        <f>_xlfn.MAXIFS(Levels!F:F,Levels!B:B,A2748)</f>
        <v>6.83</v>
      </c>
    </row>
    <row r="2749" spans="1:6" x14ac:dyDescent="0.3">
      <c r="A2749" t="s">
        <v>12490</v>
      </c>
      <c r="B2749" s="9">
        <f>COUNTIF(Levels!B:B,A2749)</f>
        <v>1</v>
      </c>
      <c r="C2749" s="9">
        <f>IFERROR(AVERAGEIF(Levels!B:B,A2749,Levels!E:E),0)</f>
        <v>0</v>
      </c>
      <c r="D2749" s="9">
        <f>IFERROR(AVERAGEIF(Levels!B:B,A2749,Levels!F:F),0)</f>
        <v>4.95</v>
      </c>
      <c r="E2749" s="9">
        <f>_xlfn.MAXIFS(Levels!E:E,Levels!B:B,A2749)</f>
        <v>0</v>
      </c>
      <c r="F2749" s="9">
        <f>_xlfn.MAXIFS(Levels!F:F,Levels!B:B,A2749)</f>
        <v>4.95</v>
      </c>
    </row>
    <row r="2750" spans="1:6" x14ac:dyDescent="0.3">
      <c r="A2750" t="s">
        <v>12493</v>
      </c>
      <c r="B2750" s="6">
        <f>COUNTIF(Levels!B:B,A2750)</f>
        <v>1</v>
      </c>
      <c r="C2750" s="6">
        <f>IFERROR(AVERAGEIF(Levels!B:B,A2750,Levels!E:E),0)</f>
        <v>0</v>
      </c>
      <c r="D2750" s="6">
        <f>IFERROR(AVERAGEIF(Levels!B:B,A2750,Levels!F:F),0)</f>
        <v>4.08</v>
      </c>
      <c r="E2750" s="6">
        <f>_xlfn.MAXIFS(Levels!E:E,Levels!B:B,A2750)</f>
        <v>0</v>
      </c>
      <c r="F2750" s="6">
        <f>_xlfn.MAXIFS(Levels!F:F,Levels!B:B,A2750)</f>
        <v>4.08</v>
      </c>
    </row>
    <row r="2751" spans="1:6" x14ac:dyDescent="0.3">
      <c r="A2751" t="s">
        <v>12500</v>
      </c>
      <c r="B2751" s="9">
        <f>COUNTIF(Levels!B:B,A2751)</f>
        <v>3</v>
      </c>
      <c r="C2751" s="9">
        <f>IFERROR(AVERAGEIF(Levels!B:B,A2751,Levels!E:E),0)</f>
        <v>0</v>
      </c>
      <c r="D2751" s="9">
        <f>IFERROR(AVERAGEIF(Levels!B:B,A2751,Levels!F:F),0)</f>
        <v>5.9933333333333332</v>
      </c>
      <c r="E2751" s="9">
        <f>_xlfn.MAXIFS(Levels!E:E,Levels!B:B,A2751)</f>
        <v>0</v>
      </c>
      <c r="F2751" s="9">
        <f>_xlfn.MAXIFS(Levels!F:F,Levels!B:B,A2751)</f>
        <v>6.2</v>
      </c>
    </row>
    <row r="2752" spans="1:6" x14ac:dyDescent="0.3">
      <c r="A2752" t="s">
        <v>12503</v>
      </c>
      <c r="B2752" s="6">
        <f>COUNTIF(Levels!B:B,A2752)</f>
        <v>1</v>
      </c>
      <c r="C2752" s="6">
        <f>IFERROR(AVERAGEIF(Levels!B:B,A2752,Levels!E:E),0)</f>
        <v>0</v>
      </c>
      <c r="D2752" s="6">
        <f>IFERROR(AVERAGEIF(Levels!B:B,A2752,Levels!F:F),0)</f>
        <v>3.95</v>
      </c>
      <c r="E2752" s="6">
        <f>_xlfn.MAXIFS(Levels!E:E,Levels!B:B,A2752)</f>
        <v>0</v>
      </c>
      <c r="F2752" s="6">
        <f>_xlfn.MAXIFS(Levels!F:F,Levels!B:B,A2752)</f>
        <v>3.95</v>
      </c>
    </row>
    <row r="2753" spans="1:6" x14ac:dyDescent="0.3">
      <c r="A2753" t="s">
        <v>12506</v>
      </c>
      <c r="B2753" s="9">
        <f>COUNTIF(Levels!B:B,A2753)</f>
        <v>7</v>
      </c>
      <c r="C2753" s="9">
        <f>IFERROR(AVERAGEIF(Levels!B:B,A2753,Levels!E:E),0)</f>
        <v>0</v>
      </c>
      <c r="D2753" s="9">
        <f>IFERROR(AVERAGEIF(Levels!B:B,A2753,Levels!F:F),0)</f>
        <v>7.4857142857142858</v>
      </c>
      <c r="E2753" s="9">
        <f>_xlfn.MAXIFS(Levels!E:E,Levels!B:B,A2753)</f>
        <v>0</v>
      </c>
      <c r="F2753" s="9">
        <f>_xlfn.MAXIFS(Levels!F:F,Levels!B:B,A2753)</f>
        <v>8.1199999999999992</v>
      </c>
    </row>
    <row r="2754" spans="1:6" x14ac:dyDescent="0.3">
      <c r="A2754" t="s">
        <v>12509</v>
      </c>
      <c r="B2754" s="6">
        <f>COUNTIF(Levels!B:B,A2754)</f>
        <v>1</v>
      </c>
      <c r="C2754" s="6">
        <f>IFERROR(AVERAGEIF(Levels!B:B,A2754,Levels!E:E),0)</f>
        <v>0</v>
      </c>
      <c r="D2754" s="6">
        <f>IFERROR(AVERAGEIF(Levels!B:B,A2754,Levels!F:F),0)</f>
        <v>5.3</v>
      </c>
      <c r="E2754" s="6">
        <f>_xlfn.MAXIFS(Levels!E:E,Levels!B:B,A2754)</f>
        <v>0</v>
      </c>
      <c r="F2754" s="6">
        <f>_xlfn.MAXIFS(Levels!F:F,Levels!B:B,A2754)</f>
        <v>5.3</v>
      </c>
    </row>
    <row r="2755" spans="1:6" x14ac:dyDescent="0.3">
      <c r="A2755" t="s">
        <v>12513</v>
      </c>
      <c r="B2755" s="9">
        <f>COUNTIF(Levels!B:B,A2755)</f>
        <v>1</v>
      </c>
      <c r="C2755" s="9">
        <f>IFERROR(AVERAGEIF(Levels!B:B,A2755,Levels!E:E),0)</f>
        <v>0</v>
      </c>
      <c r="D2755" s="9">
        <f>IFERROR(AVERAGEIF(Levels!B:B,A2755,Levels!F:F),0)</f>
        <v>5.58</v>
      </c>
      <c r="E2755" s="9">
        <f>_xlfn.MAXIFS(Levels!E:E,Levels!B:B,A2755)</f>
        <v>0</v>
      </c>
      <c r="F2755" s="9">
        <f>_xlfn.MAXIFS(Levels!F:F,Levels!B:B,A2755)</f>
        <v>5.58</v>
      </c>
    </row>
    <row r="2756" spans="1:6" x14ac:dyDescent="0.3">
      <c r="A2756" t="s">
        <v>12516</v>
      </c>
      <c r="B2756" s="6">
        <f>COUNTIF(Levels!B:B,A2756)</f>
        <v>1</v>
      </c>
      <c r="C2756" s="6">
        <f>IFERROR(AVERAGEIF(Levels!B:B,A2756,Levels!E:E),0)</f>
        <v>0</v>
      </c>
      <c r="D2756" s="6">
        <f>IFERROR(AVERAGEIF(Levels!B:B,A2756,Levels!F:F),0)</f>
        <v>6.03</v>
      </c>
      <c r="E2756" s="6">
        <f>_xlfn.MAXIFS(Levels!E:E,Levels!B:B,A2756)</f>
        <v>0</v>
      </c>
      <c r="F2756" s="6">
        <f>_xlfn.MAXIFS(Levels!F:F,Levels!B:B,A2756)</f>
        <v>6.03</v>
      </c>
    </row>
    <row r="2757" spans="1:6" x14ac:dyDescent="0.3">
      <c r="A2757" t="s">
        <v>12518</v>
      </c>
      <c r="B2757" s="9">
        <f>COUNTIF(Levels!B:B,A2757)</f>
        <v>2</v>
      </c>
      <c r="C2757" s="9">
        <f>IFERROR(AVERAGEIF(Levels!B:B,A2757,Levels!E:E),0)</f>
        <v>0</v>
      </c>
      <c r="D2757" s="9">
        <f>IFERROR(AVERAGEIF(Levels!B:B,A2757,Levels!F:F),0)</f>
        <v>4.91</v>
      </c>
      <c r="E2757" s="9">
        <f>_xlfn.MAXIFS(Levels!E:E,Levels!B:B,A2757)</f>
        <v>0</v>
      </c>
      <c r="F2757" s="9">
        <f>_xlfn.MAXIFS(Levels!F:F,Levels!B:B,A2757)</f>
        <v>5.22</v>
      </c>
    </row>
    <row r="2758" spans="1:6" x14ac:dyDescent="0.3">
      <c r="A2758" t="s">
        <v>12521</v>
      </c>
      <c r="B2758" s="6">
        <f>COUNTIF(Levels!B:B,A2758)</f>
        <v>1</v>
      </c>
      <c r="C2758" s="6">
        <f>IFERROR(AVERAGEIF(Levels!B:B,A2758,Levels!E:E),0)</f>
        <v>0</v>
      </c>
      <c r="D2758" s="6">
        <f>IFERROR(AVERAGEIF(Levels!B:B,A2758,Levels!F:F),0)</f>
        <v>8.5299999999999994</v>
      </c>
      <c r="E2758" s="6">
        <f>_xlfn.MAXIFS(Levels!E:E,Levels!B:B,A2758)</f>
        <v>0</v>
      </c>
      <c r="F2758" s="6">
        <f>_xlfn.MAXIFS(Levels!F:F,Levels!B:B,A2758)</f>
        <v>8.5299999999999994</v>
      </c>
    </row>
    <row r="2759" spans="1:6" x14ac:dyDescent="0.3">
      <c r="A2759" t="s">
        <v>12524</v>
      </c>
      <c r="B2759" s="9">
        <f>COUNTIF(Levels!B:B,A2759)</f>
        <v>3</v>
      </c>
      <c r="C2759" s="9">
        <f>IFERROR(AVERAGEIF(Levels!B:B,A2759,Levels!E:E),0)</f>
        <v>2.3199999999999998</v>
      </c>
      <c r="D2759" s="9">
        <f>IFERROR(AVERAGEIF(Levels!B:B,A2759,Levels!F:F),0)</f>
        <v>6.166666666666667</v>
      </c>
      <c r="E2759" s="9">
        <f>_xlfn.MAXIFS(Levels!E:E,Levels!B:B,A2759)</f>
        <v>2.3199999999999998</v>
      </c>
      <c r="F2759" s="9">
        <f>_xlfn.MAXIFS(Levels!F:F,Levels!B:B,A2759)</f>
        <v>7.63</v>
      </c>
    </row>
    <row r="2760" spans="1:6" x14ac:dyDescent="0.3">
      <c r="A2760" t="s">
        <v>12527</v>
      </c>
      <c r="B2760" s="6">
        <f>COUNTIF(Levels!B:B,A2760)</f>
        <v>1</v>
      </c>
      <c r="C2760" s="6">
        <f>IFERROR(AVERAGEIF(Levels!B:B,A2760,Levels!E:E),0)</f>
        <v>0</v>
      </c>
      <c r="D2760" s="6">
        <f>IFERROR(AVERAGEIF(Levels!B:B,A2760,Levels!F:F),0)</f>
        <v>6.15</v>
      </c>
      <c r="E2760" s="6">
        <f>_xlfn.MAXIFS(Levels!E:E,Levels!B:B,A2760)</f>
        <v>0</v>
      </c>
      <c r="F2760" s="6">
        <f>_xlfn.MAXIFS(Levels!F:F,Levels!B:B,A2760)</f>
        <v>6.15</v>
      </c>
    </row>
    <row r="2761" spans="1:6" x14ac:dyDescent="0.3">
      <c r="A2761" t="s">
        <v>12537</v>
      </c>
      <c r="B2761" s="9">
        <f>COUNTIF(Levels!B:B,A2761)</f>
        <v>1</v>
      </c>
      <c r="C2761" s="9">
        <f>IFERROR(AVERAGEIF(Levels!B:B,A2761,Levels!E:E),0)</f>
        <v>0</v>
      </c>
      <c r="D2761" s="9">
        <f>IFERROR(AVERAGEIF(Levels!B:B,A2761,Levels!F:F),0)</f>
        <v>7.28</v>
      </c>
      <c r="E2761" s="9">
        <f>_xlfn.MAXIFS(Levels!E:E,Levels!B:B,A2761)</f>
        <v>0</v>
      </c>
      <c r="F2761" s="9">
        <f>_xlfn.MAXIFS(Levels!F:F,Levels!B:B,A2761)</f>
        <v>7.28</v>
      </c>
    </row>
    <row r="2762" spans="1:6" x14ac:dyDescent="0.3">
      <c r="A2762" t="s">
        <v>12541</v>
      </c>
      <c r="B2762" s="6">
        <f>COUNTIF(Levels!B:B,A2762)</f>
        <v>1</v>
      </c>
      <c r="C2762" s="6">
        <f>IFERROR(AVERAGEIF(Levels!B:B,A2762,Levels!E:E),0)</f>
        <v>0</v>
      </c>
      <c r="D2762" s="6">
        <f>IFERROR(AVERAGEIF(Levels!B:B,A2762,Levels!F:F),0)</f>
        <v>6.7</v>
      </c>
      <c r="E2762" s="6">
        <f>_xlfn.MAXIFS(Levels!E:E,Levels!B:B,A2762)</f>
        <v>0</v>
      </c>
      <c r="F2762" s="6">
        <f>_xlfn.MAXIFS(Levels!F:F,Levels!B:B,A2762)</f>
        <v>6.7</v>
      </c>
    </row>
    <row r="2763" spans="1:6" x14ac:dyDescent="0.3">
      <c r="A2763" t="s">
        <v>12544</v>
      </c>
      <c r="B2763" s="9">
        <f>COUNTIF(Levels!B:B,A2763)</f>
        <v>1</v>
      </c>
      <c r="C2763" s="9">
        <f>IFERROR(AVERAGEIF(Levels!B:B,A2763,Levels!E:E),0)</f>
        <v>2.16</v>
      </c>
      <c r="D2763" s="9">
        <f>IFERROR(AVERAGEIF(Levels!B:B,A2763,Levels!F:F),0)</f>
        <v>6.49</v>
      </c>
      <c r="E2763" s="9">
        <f>_xlfn.MAXIFS(Levels!E:E,Levels!B:B,A2763)</f>
        <v>2.16</v>
      </c>
      <c r="F2763" s="9">
        <f>_xlfn.MAXIFS(Levels!F:F,Levels!B:B,A2763)</f>
        <v>6.49</v>
      </c>
    </row>
    <row r="2764" spans="1:6" x14ac:dyDescent="0.3">
      <c r="A2764" t="s">
        <v>12546</v>
      </c>
      <c r="B2764" s="6">
        <f>COUNTIF(Levels!B:B,A2764)</f>
        <v>1</v>
      </c>
      <c r="C2764" s="6">
        <f>IFERROR(AVERAGEIF(Levels!B:B,A2764,Levels!E:E),0)</f>
        <v>0</v>
      </c>
      <c r="D2764" s="6">
        <f>IFERROR(AVERAGEIF(Levels!B:B,A2764,Levels!F:F),0)</f>
        <v>6.02</v>
      </c>
      <c r="E2764" s="6">
        <f>_xlfn.MAXIFS(Levels!E:E,Levels!B:B,A2764)</f>
        <v>0</v>
      </c>
      <c r="F2764" s="6">
        <f>_xlfn.MAXIFS(Levels!F:F,Levels!B:B,A2764)</f>
        <v>6.02</v>
      </c>
    </row>
    <row r="2765" spans="1:6" x14ac:dyDescent="0.3">
      <c r="A2765" t="s">
        <v>12549</v>
      </c>
      <c r="B2765" s="9">
        <f>COUNTIF(Levels!B:B,A2765)</f>
        <v>2</v>
      </c>
      <c r="C2765" s="9">
        <f>IFERROR(AVERAGEIF(Levels!B:B,A2765,Levels!E:E),0)</f>
        <v>0</v>
      </c>
      <c r="D2765" s="9">
        <f>IFERROR(AVERAGEIF(Levels!B:B,A2765,Levels!F:F),0)</f>
        <v>6.1750000000000007</v>
      </c>
      <c r="E2765" s="9">
        <f>_xlfn.MAXIFS(Levels!E:E,Levels!B:B,A2765)</f>
        <v>0</v>
      </c>
      <c r="F2765" s="9">
        <f>_xlfn.MAXIFS(Levels!F:F,Levels!B:B,A2765)</f>
        <v>6.28</v>
      </c>
    </row>
    <row r="2766" spans="1:6" x14ac:dyDescent="0.3">
      <c r="A2766" t="s">
        <v>12552</v>
      </c>
      <c r="B2766" s="6">
        <f>COUNTIF(Levels!B:B,A2766)</f>
        <v>2</v>
      </c>
      <c r="C2766" s="6">
        <f>IFERROR(AVERAGEIF(Levels!B:B,A2766,Levels!E:E),0)</f>
        <v>11.6</v>
      </c>
      <c r="D2766" s="6">
        <f>IFERROR(AVERAGEIF(Levels!B:B,A2766,Levels!F:F),0)</f>
        <v>7.1099999999999994</v>
      </c>
      <c r="E2766" s="6">
        <f>_xlfn.MAXIFS(Levels!E:E,Levels!B:B,A2766)</f>
        <v>11.6</v>
      </c>
      <c r="F2766" s="6">
        <f>_xlfn.MAXIFS(Levels!F:F,Levels!B:B,A2766)</f>
        <v>7.8</v>
      </c>
    </row>
    <row r="2767" spans="1:6" x14ac:dyDescent="0.3">
      <c r="A2767" t="s">
        <v>12560</v>
      </c>
      <c r="B2767" s="9">
        <f>COUNTIF(Levels!B:B,A2767)</f>
        <v>1</v>
      </c>
      <c r="C2767" s="9">
        <f>IFERROR(AVERAGEIF(Levels!B:B,A2767,Levels!E:E),0)</f>
        <v>0</v>
      </c>
      <c r="D2767" s="9">
        <f>IFERROR(AVERAGEIF(Levels!B:B,A2767,Levels!F:F),0)</f>
        <v>6.88</v>
      </c>
      <c r="E2767" s="9">
        <f>_xlfn.MAXIFS(Levels!E:E,Levels!B:B,A2767)</f>
        <v>0</v>
      </c>
      <c r="F2767" s="9">
        <f>_xlfn.MAXIFS(Levels!F:F,Levels!B:B,A2767)</f>
        <v>6.88</v>
      </c>
    </row>
    <row r="2768" spans="1:6" x14ac:dyDescent="0.3">
      <c r="A2768" t="s">
        <v>12563</v>
      </c>
      <c r="B2768" s="6">
        <f>COUNTIF(Levels!B:B,A2768)</f>
        <v>1</v>
      </c>
      <c r="C2768" s="6">
        <f>IFERROR(AVERAGEIF(Levels!B:B,A2768,Levels!E:E),0)</f>
        <v>0</v>
      </c>
      <c r="D2768" s="6">
        <f>IFERROR(AVERAGEIF(Levels!B:B,A2768,Levels!F:F),0)</f>
        <v>6.42</v>
      </c>
      <c r="E2768" s="6">
        <f>_xlfn.MAXIFS(Levels!E:E,Levels!B:B,A2768)</f>
        <v>0</v>
      </c>
      <c r="F2768" s="6">
        <f>_xlfn.MAXIFS(Levels!F:F,Levels!B:B,A2768)</f>
        <v>6.42</v>
      </c>
    </row>
    <row r="2769" spans="1:6" x14ac:dyDescent="0.3">
      <c r="A2769" t="s">
        <v>12568</v>
      </c>
      <c r="B2769" s="9">
        <f>COUNTIF(Levels!B:B,A2769)</f>
        <v>1</v>
      </c>
      <c r="C2769" s="9">
        <f>IFERROR(AVERAGEIF(Levels!B:B,A2769,Levels!E:E),0)</f>
        <v>0</v>
      </c>
      <c r="D2769" s="9">
        <f>IFERROR(AVERAGEIF(Levels!B:B,A2769,Levels!F:F),0)</f>
        <v>6.76</v>
      </c>
      <c r="E2769" s="9">
        <f>_xlfn.MAXIFS(Levels!E:E,Levels!B:B,A2769)</f>
        <v>0</v>
      </c>
      <c r="F2769" s="9">
        <f>_xlfn.MAXIFS(Levels!F:F,Levels!B:B,A2769)</f>
        <v>6.76</v>
      </c>
    </row>
    <row r="2770" spans="1:6" x14ac:dyDescent="0.3">
      <c r="A2770" t="s">
        <v>12572</v>
      </c>
      <c r="B2770" s="6">
        <f>COUNTIF(Levels!B:B,A2770)</f>
        <v>2</v>
      </c>
      <c r="C2770" s="6">
        <f>IFERROR(AVERAGEIF(Levels!B:B,A2770,Levels!E:E),0)</f>
        <v>0</v>
      </c>
      <c r="D2770" s="6">
        <f>IFERROR(AVERAGEIF(Levels!B:B,A2770,Levels!F:F),0)</f>
        <v>5.4649999999999999</v>
      </c>
      <c r="E2770" s="6">
        <f>_xlfn.MAXIFS(Levels!E:E,Levels!B:B,A2770)</f>
        <v>0</v>
      </c>
      <c r="F2770" s="6">
        <f>_xlfn.MAXIFS(Levels!F:F,Levels!B:B,A2770)</f>
        <v>6.56</v>
      </c>
    </row>
    <row r="2771" spans="1:6" x14ac:dyDescent="0.3">
      <c r="A2771" t="s">
        <v>12588</v>
      </c>
      <c r="B2771" s="9">
        <f>COUNTIF(Levels!B:B,A2771)</f>
        <v>1</v>
      </c>
      <c r="C2771" s="9">
        <f>IFERROR(AVERAGEIF(Levels!B:B,A2771,Levels!E:E),0)</f>
        <v>0</v>
      </c>
      <c r="D2771" s="9">
        <f>IFERROR(AVERAGEIF(Levels!B:B,A2771,Levels!F:F),0)</f>
        <v>6.31</v>
      </c>
      <c r="E2771" s="9">
        <f>_xlfn.MAXIFS(Levels!E:E,Levels!B:B,A2771)</f>
        <v>0</v>
      </c>
      <c r="F2771" s="9">
        <f>_xlfn.MAXIFS(Levels!F:F,Levels!B:B,A2771)</f>
        <v>6.31</v>
      </c>
    </row>
    <row r="2772" spans="1:6" x14ac:dyDescent="0.3">
      <c r="A2772" t="s">
        <v>12592</v>
      </c>
      <c r="B2772" s="6">
        <f>COUNTIF(Levels!B:B,A2772)</f>
        <v>1</v>
      </c>
      <c r="C2772" s="6">
        <f>IFERROR(AVERAGEIF(Levels!B:B,A2772,Levels!E:E),0)</f>
        <v>0</v>
      </c>
      <c r="D2772" s="6">
        <f>IFERROR(AVERAGEIF(Levels!B:B,A2772,Levels!F:F),0)</f>
        <v>6.13</v>
      </c>
      <c r="E2772" s="6">
        <f>_xlfn.MAXIFS(Levels!E:E,Levels!B:B,A2772)</f>
        <v>0</v>
      </c>
      <c r="F2772" s="6">
        <f>_xlfn.MAXIFS(Levels!F:F,Levels!B:B,A2772)</f>
        <v>6.13</v>
      </c>
    </row>
    <row r="2773" spans="1:6" x14ac:dyDescent="0.3">
      <c r="A2773" t="s">
        <v>12595</v>
      </c>
      <c r="B2773" s="9">
        <f>COUNTIF(Levels!B:B,A2773)</f>
        <v>1</v>
      </c>
      <c r="C2773" s="9">
        <f>IFERROR(AVERAGEIF(Levels!B:B,A2773,Levels!E:E),0)</f>
        <v>0</v>
      </c>
      <c r="D2773" s="9">
        <f>IFERROR(AVERAGEIF(Levels!B:B,A2773,Levels!F:F),0)</f>
        <v>6.45</v>
      </c>
      <c r="E2773" s="9">
        <f>_xlfn.MAXIFS(Levels!E:E,Levels!B:B,A2773)</f>
        <v>0</v>
      </c>
      <c r="F2773" s="9">
        <f>_xlfn.MAXIFS(Levels!F:F,Levels!B:B,A2773)</f>
        <v>6.45</v>
      </c>
    </row>
    <row r="2774" spans="1:6" x14ac:dyDescent="0.3">
      <c r="A2774" t="s">
        <v>12603</v>
      </c>
      <c r="B2774" s="6">
        <f>COUNTIF(Levels!B:B,A2774)</f>
        <v>1</v>
      </c>
      <c r="C2774" s="6">
        <f>IFERROR(AVERAGEIF(Levels!B:B,A2774,Levels!E:E),0)</f>
        <v>0</v>
      </c>
      <c r="D2774" s="6">
        <f>IFERROR(AVERAGEIF(Levels!B:B,A2774,Levels!F:F),0)</f>
        <v>6.1</v>
      </c>
      <c r="E2774" s="6">
        <f>_xlfn.MAXIFS(Levels!E:E,Levels!B:B,A2774)</f>
        <v>0</v>
      </c>
      <c r="F2774" s="6">
        <f>_xlfn.MAXIFS(Levels!F:F,Levels!B:B,A2774)</f>
        <v>6.1</v>
      </c>
    </row>
    <row r="2775" spans="1:6" x14ac:dyDescent="0.3">
      <c r="A2775" t="s">
        <v>12608</v>
      </c>
      <c r="B2775" s="9">
        <f>COUNTIF(Levels!B:B,A2775)</f>
        <v>1</v>
      </c>
      <c r="C2775" s="9">
        <f>IFERROR(AVERAGEIF(Levels!B:B,A2775,Levels!E:E),0)</f>
        <v>23.5</v>
      </c>
      <c r="D2775" s="9">
        <f>IFERROR(AVERAGEIF(Levels!B:B,A2775,Levels!F:F),0)</f>
        <v>7</v>
      </c>
      <c r="E2775" s="9">
        <f>_xlfn.MAXIFS(Levels!E:E,Levels!B:B,A2775)</f>
        <v>23.5</v>
      </c>
      <c r="F2775" s="9">
        <f>_xlfn.MAXIFS(Levels!F:F,Levels!B:B,A2775)</f>
        <v>7</v>
      </c>
    </row>
    <row r="2776" spans="1:6" x14ac:dyDescent="0.3">
      <c r="A2776" t="s">
        <v>12615</v>
      </c>
      <c r="B2776" s="6">
        <f>COUNTIF(Levels!B:B,A2776)</f>
        <v>1</v>
      </c>
      <c r="C2776" s="6">
        <f>IFERROR(AVERAGEIF(Levels!B:B,A2776,Levels!E:E),0)</f>
        <v>0</v>
      </c>
      <c r="D2776" s="6">
        <f>IFERROR(AVERAGEIF(Levels!B:B,A2776,Levels!F:F),0)</f>
        <v>4.29</v>
      </c>
      <c r="E2776" s="6">
        <f>_xlfn.MAXIFS(Levels!E:E,Levels!B:B,A2776)</f>
        <v>0</v>
      </c>
      <c r="F2776" s="6">
        <f>_xlfn.MAXIFS(Levels!F:F,Levels!B:B,A2776)</f>
        <v>4.29</v>
      </c>
    </row>
    <row r="2777" spans="1:6" x14ac:dyDescent="0.3">
      <c r="A2777" t="s">
        <v>12617</v>
      </c>
      <c r="B2777" s="9">
        <f>COUNTIF(Levels!B:B,A2777)</f>
        <v>17</v>
      </c>
      <c r="C2777" s="9">
        <f>IFERROR(AVERAGEIF(Levels!B:B,A2777,Levels!E:E),0)</f>
        <v>0</v>
      </c>
      <c r="D2777" s="9">
        <f>IFERROR(AVERAGEIF(Levels!B:B,A2777,Levels!F:F),0)</f>
        <v>6.8611764705882345</v>
      </c>
      <c r="E2777" s="9">
        <f>_xlfn.MAXIFS(Levels!E:E,Levels!B:B,A2777)</f>
        <v>0</v>
      </c>
      <c r="F2777" s="9">
        <f>_xlfn.MAXIFS(Levels!F:F,Levels!B:B,A2777)</f>
        <v>8.02</v>
      </c>
    </row>
    <row r="2778" spans="1:6" x14ac:dyDescent="0.3">
      <c r="A2778" t="s">
        <v>12620</v>
      </c>
      <c r="B2778" s="6">
        <f>COUNTIF(Levels!B:B,A2778)</f>
        <v>1</v>
      </c>
      <c r="C2778" s="6">
        <f>IFERROR(AVERAGEIF(Levels!B:B,A2778,Levels!E:E),0)</f>
        <v>0</v>
      </c>
      <c r="D2778" s="6">
        <f>IFERROR(AVERAGEIF(Levels!B:B,A2778,Levels!F:F),0)</f>
        <v>5.69</v>
      </c>
      <c r="E2778" s="6">
        <f>_xlfn.MAXIFS(Levels!E:E,Levels!B:B,A2778)</f>
        <v>0</v>
      </c>
      <c r="F2778" s="6">
        <f>_xlfn.MAXIFS(Levels!F:F,Levels!B:B,A2778)</f>
        <v>5.69</v>
      </c>
    </row>
    <row r="2779" spans="1:6" x14ac:dyDescent="0.3">
      <c r="A2779" t="s">
        <v>12626</v>
      </c>
      <c r="B2779" s="9">
        <f>COUNTIF(Levels!B:B,A2779)</f>
        <v>9</v>
      </c>
      <c r="C2779" s="9">
        <f>IFERROR(AVERAGEIF(Levels!B:B,A2779,Levels!E:E),0)</f>
        <v>0</v>
      </c>
      <c r="D2779" s="9">
        <f>IFERROR(AVERAGEIF(Levels!B:B,A2779,Levels!F:F),0)</f>
        <v>7.0537499999999991</v>
      </c>
      <c r="E2779" s="9">
        <f>_xlfn.MAXIFS(Levels!E:E,Levels!B:B,A2779)</f>
        <v>0</v>
      </c>
      <c r="F2779" s="9">
        <f>_xlfn.MAXIFS(Levels!F:F,Levels!B:B,A2779)</f>
        <v>8.76</v>
      </c>
    </row>
    <row r="2780" spans="1:6" x14ac:dyDescent="0.3">
      <c r="A2780" t="s">
        <v>12631</v>
      </c>
      <c r="B2780" s="6">
        <f>COUNTIF(Levels!B:B,A2780)</f>
        <v>2</v>
      </c>
      <c r="C2780" s="6">
        <f>IFERROR(AVERAGEIF(Levels!B:B,A2780,Levels!E:E),0)</f>
        <v>17.925000000000001</v>
      </c>
      <c r="D2780" s="6">
        <f>IFERROR(AVERAGEIF(Levels!B:B,A2780,Levels!F:F),0)</f>
        <v>5.49</v>
      </c>
      <c r="E2780" s="6">
        <f>_xlfn.MAXIFS(Levels!E:E,Levels!B:B,A2780)</f>
        <v>21.25</v>
      </c>
      <c r="F2780" s="6">
        <f>_xlfn.MAXIFS(Levels!F:F,Levels!B:B,A2780)</f>
        <v>5.73</v>
      </c>
    </row>
    <row r="2781" spans="1:6" x14ac:dyDescent="0.3">
      <c r="A2781" t="s">
        <v>12635</v>
      </c>
      <c r="B2781" s="9">
        <f>COUNTIF(Levels!B:B,A2781)</f>
        <v>1</v>
      </c>
      <c r="C2781" s="9">
        <f>IFERROR(AVERAGEIF(Levels!B:B,A2781,Levels!E:E),0)</f>
        <v>8.2200000000000006</v>
      </c>
      <c r="D2781" s="9">
        <f>IFERROR(AVERAGEIF(Levels!B:B,A2781,Levels!F:F),0)</f>
        <v>6.89</v>
      </c>
      <c r="E2781" s="9">
        <f>_xlfn.MAXIFS(Levels!E:E,Levels!B:B,A2781)</f>
        <v>8.2200000000000006</v>
      </c>
      <c r="F2781" s="9">
        <f>_xlfn.MAXIFS(Levels!F:F,Levels!B:B,A2781)</f>
        <v>6.89</v>
      </c>
    </row>
    <row r="2782" spans="1:6" x14ac:dyDescent="0.3">
      <c r="A2782" t="s">
        <v>12637</v>
      </c>
      <c r="B2782" s="6">
        <f>COUNTIF(Levels!B:B,A2782)</f>
        <v>2</v>
      </c>
      <c r="C2782" s="6">
        <f>IFERROR(AVERAGEIF(Levels!B:B,A2782,Levels!E:E),0)</f>
        <v>3.3049999999999997</v>
      </c>
      <c r="D2782" s="6">
        <f>IFERROR(AVERAGEIF(Levels!B:B,A2782,Levels!F:F),0)</f>
        <v>6.9399999999999995</v>
      </c>
      <c r="E2782" s="6">
        <f>_xlfn.MAXIFS(Levels!E:E,Levels!B:B,A2782)</f>
        <v>3.48</v>
      </c>
      <c r="F2782" s="6">
        <f>_xlfn.MAXIFS(Levels!F:F,Levels!B:B,A2782)</f>
        <v>7.35</v>
      </c>
    </row>
    <row r="2783" spans="1:6" x14ac:dyDescent="0.3">
      <c r="A2783" t="s">
        <v>12639</v>
      </c>
      <c r="B2783" s="9">
        <f>COUNTIF(Levels!B:B,A2783)</f>
        <v>5</v>
      </c>
      <c r="C2783" s="9">
        <f>IFERROR(AVERAGEIF(Levels!B:B,A2783,Levels!E:E),0)</f>
        <v>0</v>
      </c>
      <c r="D2783" s="9">
        <f>IFERROR(AVERAGEIF(Levels!B:B,A2783,Levels!F:F),0)</f>
        <v>6.4760000000000009</v>
      </c>
      <c r="E2783" s="9">
        <f>_xlfn.MAXIFS(Levels!E:E,Levels!B:B,A2783)</f>
        <v>0</v>
      </c>
      <c r="F2783" s="9">
        <f>_xlfn.MAXIFS(Levels!F:F,Levels!B:B,A2783)</f>
        <v>7.57</v>
      </c>
    </row>
    <row r="2784" spans="1:6" x14ac:dyDescent="0.3">
      <c r="A2784" t="s">
        <v>12645</v>
      </c>
      <c r="B2784" s="6">
        <f>COUNTIF(Levels!B:B,A2784)</f>
        <v>5</v>
      </c>
      <c r="C2784" s="6">
        <f>IFERROR(AVERAGEIF(Levels!B:B,A2784,Levels!E:E),0)</f>
        <v>0</v>
      </c>
      <c r="D2784" s="6">
        <f>IFERROR(AVERAGEIF(Levels!B:B,A2784,Levels!F:F),0)</f>
        <v>6.18</v>
      </c>
      <c r="E2784" s="6">
        <f>_xlfn.MAXIFS(Levels!E:E,Levels!B:B,A2784)</f>
        <v>0</v>
      </c>
      <c r="F2784" s="6">
        <f>_xlfn.MAXIFS(Levels!F:F,Levels!B:B,A2784)</f>
        <v>7.36</v>
      </c>
    </row>
    <row r="2785" spans="1:6" x14ac:dyDescent="0.3">
      <c r="A2785" t="s">
        <v>12653</v>
      </c>
      <c r="B2785" s="9">
        <f>COUNTIF(Levels!B:B,A2785)</f>
        <v>1</v>
      </c>
      <c r="C2785" s="9">
        <f>IFERROR(AVERAGEIF(Levels!B:B,A2785,Levels!E:E),0)</f>
        <v>0</v>
      </c>
      <c r="D2785" s="9">
        <f>IFERROR(AVERAGEIF(Levels!B:B,A2785,Levels!F:F),0)</f>
        <v>6.02</v>
      </c>
      <c r="E2785" s="9">
        <f>_xlfn.MAXIFS(Levels!E:E,Levels!B:B,A2785)</f>
        <v>0</v>
      </c>
      <c r="F2785" s="9">
        <f>_xlfn.MAXIFS(Levels!F:F,Levels!B:B,A2785)</f>
        <v>6.02</v>
      </c>
    </row>
    <row r="2786" spans="1:6" x14ac:dyDescent="0.3">
      <c r="A2786" t="s">
        <v>12655</v>
      </c>
      <c r="B2786" s="6">
        <f>COUNTIF(Levels!B:B,A2786)</f>
        <v>1</v>
      </c>
      <c r="C2786" s="6">
        <f>IFERROR(AVERAGEIF(Levels!B:B,A2786,Levels!E:E),0)</f>
        <v>0</v>
      </c>
      <c r="D2786" s="6">
        <f>IFERROR(AVERAGEIF(Levels!B:B,A2786,Levels!F:F),0)</f>
        <v>4.58</v>
      </c>
      <c r="E2786" s="6">
        <f>_xlfn.MAXIFS(Levels!E:E,Levels!B:B,A2786)</f>
        <v>0</v>
      </c>
      <c r="F2786" s="6">
        <f>_xlfn.MAXIFS(Levels!F:F,Levels!B:B,A2786)</f>
        <v>4.58</v>
      </c>
    </row>
    <row r="2787" spans="1:6" x14ac:dyDescent="0.3">
      <c r="A2787" t="s">
        <v>12661</v>
      </c>
      <c r="B2787" s="9">
        <f>COUNTIF(Levels!B:B,A2787)</f>
        <v>3</v>
      </c>
      <c r="C2787" s="9">
        <f>IFERROR(AVERAGEIF(Levels!B:B,A2787,Levels!E:E),0)</f>
        <v>0</v>
      </c>
      <c r="D2787" s="9">
        <f>IFERROR(AVERAGEIF(Levels!B:B,A2787,Levels!F:F),0)</f>
        <v>6.8433333333333337</v>
      </c>
      <c r="E2787" s="9">
        <f>_xlfn.MAXIFS(Levels!E:E,Levels!B:B,A2787)</f>
        <v>0</v>
      </c>
      <c r="F2787" s="9">
        <f>_xlfn.MAXIFS(Levels!F:F,Levels!B:B,A2787)</f>
        <v>8.6</v>
      </c>
    </row>
    <row r="2788" spans="1:6" x14ac:dyDescent="0.3">
      <c r="A2788" t="s">
        <v>12664</v>
      </c>
      <c r="B2788" s="6">
        <f>COUNTIF(Levels!B:B,A2788)</f>
        <v>1</v>
      </c>
      <c r="C2788" s="6">
        <f>IFERROR(AVERAGEIF(Levels!B:B,A2788,Levels!E:E),0)</f>
        <v>0</v>
      </c>
      <c r="D2788" s="6">
        <f>IFERROR(AVERAGEIF(Levels!B:B,A2788,Levels!F:F),0)</f>
        <v>6.33</v>
      </c>
      <c r="E2788" s="6">
        <f>_xlfn.MAXIFS(Levels!E:E,Levels!B:B,A2788)</f>
        <v>0</v>
      </c>
      <c r="F2788" s="6">
        <f>_xlfn.MAXIFS(Levels!F:F,Levels!B:B,A2788)</f>
        <v>6.33</v>
      </c>
    </row>
    <row r="2789" spans="1:6" x14ac:dyDescent="0.3">
      <c r="A2789" t="s">
        <v>12667</v>
      </c>
      <c r="B2789" s="9">
        <f>COUNTIF(Levels!B:B,A2789)</f>
        <v>1</v>
      </c>
      <c r="C2789" s="9">
        <f>IFERROR(AVERAGEIF(Levels!B:B,A2789,Levels!E:E),0)</f>
        <v>0</v>
      </c>
      <c r="D2789" s="9">
        <f>IFERROR(AVERAGEIF(Levels!B:B,A2789,Levels!F:F),0)</f>
        <v>6.97</v>
      </c>
      <c r="E2789" s="9">
        <f>_xlfn.MAXIFS(Levels!E:E,Levels!B:B,A2789)</f>
        <v>0</v>
      </c>
      <c r="F2789" s="9">
        <f>_xlfn.MAXIFS(Levels!F:F,Levels!B:B,A2789)</f>
        <v>6.97</v>
      </c>
    </row>
    <row r="2790" spans="1:6" x14ac:dyDescent="0.3">
      <c r="A2790" t="s">
        <v>12670</v>
      </c>
      <c r="B2790" s="6">
        <f>COUNTIF(Levels!B:B,A2790)</f>
        <v>1</v>
      </c>
      <c r="C2790" s="6">
        <f>IFERROR(AVERAGEIF(Levels!B:B,A2790,Levels!E:E),0)</f>
        <v>0</v>
      </c>
      <c r="D2790" s="6">
        <f>IFERROR(AVERAGEIF(Levels!B:B,A2790,Levels!F:F),0)</f>
        <v>3.94</v>
      </c>
      <c r="E2790" s="6">
        <f>_xlfn.MAXIFS(Levels!E:E,Levels!B:B,A2790)</f>
        <v>0</v>
      </c>
      <c r="F2790" s="6">
        <f>_xlfn.MAXIFS(Levels!F:F,Levels!B:B,A2790)</f>
        <v>3.94</v>
      </c>
    </row>
    <row r="2791" spans="1:6" x14ac:dyDescent="0.3">
      <c r="A2791" t="s">
        <v>12674</v>
      </c>
      <c r="B2791" s="9">
        <f>COUNTIF(Levels!B:B,A2791)</f>
        <v>1</v>
      </c>
      <c r="C2791" s="9">
        <f>IFERROR(AVERAGEIF(Levels!B:B,A2791,Levels!E:E),0)</f>
        <v>1.77</v>
      </c>
      <c r="D2791" s="9">
        <f>IFERROR(AVERAGEIF(Levels!B:B,A2791,Levels!F:F),0)</f>
        <v>7.9</v>
      </c>
      <c r="E2791" s="9">
        <f>_xlfn.MAXIFS(Levels!E:E,Levels!B:B,A2791)</f>
        <v>1.77</v>
      </c>
      <c r="F2791" s="9">
        <f>_xlfn.MAXIFS(Levels!F:F,Levels!B:B,A2791)</f>
        <v>7.9</v>
      </c>
    </row>
    <row r="2792" spans="1:6" x14ac:dyDescent="0.3">
      <c r="A2792" t="s">
        <v>12676</v>
      </c>
      <c r="B2792" s="6">
        <f>COUNTIF(Levels!B:B,A2792)</f>
        <v>1</v>
      </c>
      <c r="C2792" s="6">
        <f>IFERROR(AVERAGEIF(Levels!B:B,A2792,Levels!E:E),0)</f>
        <v>0</v>
      </c>
      <c r="D2792" s="6">
        <f>IFERROR(AVERAGEIF(Levels!B:B,A2792,Levels!F:F),0)</f>
        <v>5.77</v>
      </c>
      <c r="E2792" s="6">
        <f>_xlfn.MAXIFS(Levels!E:E,Levels!B:B,A2792)</f>
        <v>0</v>
      </c>
      <c r="F2792" s="6">
        <f>_xlfn.MAXIFS(Levels!F:F,Levels!B:B,A2792)</f>
        <v>5.77</v>
      </c>
    </row>
    <row r="2793" spans="1:6" x14ac:dyDescent="0.3">
      <c r="A2793" t="s">
        <v>12679</v>
      </c>
      <c r="B2793" s="9">
        <f>COUNTIF(Levels!B:B,A2793)</f>
        <v>1</v>
      </c>
      <c r="C2793" s="9">
        <f>IFERROR(AVERAGEIF(Levels!B:B,A2793,Levels!E:E),0)</f>
        <v>0</v>
      </c>
      <c r="D2793" s="9">
        <f>IFERROR(AVERAGEIF(Levels!B:B,A2793,Levels!F:F),0)</f>
        <v>2.5</v>
      </c>
      <c r="E2793" s="9">
        <f>_xlfn.MAXIFS(Levels!E:E,Levels!B:B,A2793)</f>
        <v>0</v>
      </c>
      <c r="F2793" s="9">
        <f>_xlfn.MAXIFS(Levels!F:F,Levels!B:B,A2793)</f>
        <v>2.5</v>
      </c>
    </row>
    <row r="2794" spans="1:6" x14ac:dyDescent="0.3">
      <c r="A2794" t="s">
        <v>12684</v>
      </c>
      <c r="B2794" s="6">
        <f>COUNTIF(Levels!B:B,A2794)</f>
        <v>1</v>
      </c>
      <c r="C2794" s="6">
        <f>IFERROR(AVERAGEIF(Levels!B:B,A2794,Levels!E:E),0)</f>
        <v>22</v>
      </c>
      <c r="D2794" s="6">
        <f>IFERROR(AVERAGEIF(Levels!B:B,A2794,Levels!F:F),0)</f>
        <v>10</v>
      </c>
      <c r="E2794" s="6">
        <f>_xlfn.MAXIFS(Levels!E:E,Levels!B:B,A2794)</f>
        <v>22</v>
      </c>
      <c r="F2794" s="6">
        <f>_xlfn.MAXIFS(Levels!F:F,Levels!B:B,A2794)</f>
        <v>10</v>
      </c>
    </row>
    <row r="2795" spans="1:6" x14ac:dyDescent="0.3">
      <c r="A2795" t="s">
        <v>12687</v>
      </c>
      <c r="B2795" s="9">
        <f>COUNTIF(Levels!B:B,A2795)</f>
        <v>1</v>
      </c>
      <c r="C2795" s="9">
        <f>IFERROR(AVERAGEIF(Levels!B:B,A2795,Levels!E:E),0)</f>
        <v>17</v>
      </c>
      <c r="D2795" s="9">
        <f>IFERROR(AVERAGEIF(Levels!B:B,A2795,Levels!F:F),0)</f>
        <v>6.83</v>
      </c>
      <c r="E2795" s="9">
        <f>_xlfn.MAXIFS(Levels!E:E,Levels!B:B,A2795)</f>
        <v>17</v>
      </c>
      <c r="F2795" s="9">
        <f>_xlfn.MAXIFS(Levels!F:F,Levels!B:B,A2795)</f>
        <v>6.83</v>
      </c>
    </row>
    <row r="2796" spans="1:6" x14ac:dyDescent="0.3">
      <c r="A2796" t="s">
        <v>12693</v>
      </c>
      <c r="B2796" s="6">
        <f>COUNTIF(Levels!B:B,A2796)</f>
        <v>1</v>
      </c>
      <c r="C2796" s="6">
        <f>IFERROR(AVERAGEIF(Levels!B:B,A2796,Levels!E:E),0)</f>
        <v>0</v>
      </c>
      <c r="D2796" s="6">
        <f>IFERROR(AVERAGEIF(Levels!B:B,A2796,Levels!F:F),0)</f>
        <v>6.32</v>
      </c>
      <c r="E2796" s="6">
        <f>_xlfn.MAXIFS(Levels!E:E,Levels!B:B,A2796)</f>
        <v>0</v>
      </c>
      <c r="F2796" s="6">
        <f>_xlfn.MAXIFS(Levels!F:F,Levels!B:B,A2796)</f>
        <v>6.32</v>
      </c>
    </row>
    <row r="2797" spans="1:6" x14ac:dyDescent="0.3">
      <c r="A2797" t="s">
        <v>12696</v>
      </c>
      <c r="B2797" s="9">
        <f>COUNTIF(Levels!B:B,A2797)</f>
        <v>6</v>
      </c>
      <c r="C2797" s="9">
        <f>IFERROR(AVERAGEIF(Levels!B:B,A2797,Levels!E:E),0)</f>
        <v>0</v>
      </c>
      <c r="D2797" s="9">
        <f>IFERROR(AVERAGEIF(Levels!B:B,A2797,Levels!F:F),0)</f>
        <v>6.371666666666667</v>
      </c>
      <c r="E2797" s="9">
        <f>_xlfn.MAXIFS(Levels!E:E,Levels!B:B,A2797)</f>
        <v>0</v>
      </c>
      <c r="F2797" s="9">
        <f>_xlfn.MAXIFS(Levels!F:F,Levels!B:B,A2797)</f>
        <v>7.63</v>
      </c>
    </row>
    <row r="2798" spans="1:6" x14ac:dyDescent="0.3">
      <c r="A2798" t="s">
        <v>12698</v>
      </c>
      <c r="B2798" s="6">
        <f>COUNTIF(Levels!B:B,A2798)</f>
        <v>4</v>
      </c>
      <c r="C2798" s="6">
        <f>IFERROR(AVERAGEIF(Levels!B:B,A2798,Levels!E:E),0)</f>
        <v>0</v>
      </c>
      <c r="D2798" s="6">
        <f>IFERROR(AVERAGEIF(Levels!B:B,A2798,Levels!F:F),0)</f>
        <v>7.5474999999999994</v>
      </c>
      <c r="E2798" s="6">
        <f>_xlfn.MAXIFS(Levels!E:E,Levels!B:B,A2798)</f>
        <v>0</v>
      </c>
      <c r="F2798" s="6">
        <f>_xlfn.MAXIFS(Levels!F:F,Levels!B:B,A2798)</f>
        <v>10</v>
      </c>
    </row>
    <row r="2799" spans="1:6" x14ac:dyDescent="0.3">
      <c r="A2799" t="s">
        <v>12702</v>
      </c>
      <c r="B2799" s="9">
        <f>COUNTIF(Levels!B:B,A2799)</f>
        <v>2</v>
      </c>
      <c r="C2799" s="9">
        <f>IFERROR(AVERAGEIF(Levels!B:B,A2799,Levels!E:E),0)</f>
        <v>2.97</v>
      </c>
      <c r="D2799" s="9">
        <f>IFERROR(AVERAGEIF(Levels!B:B,A2799,Levels!F:F),0)</f>
        <v>7.1549999999999994</v>
      </c>
      <c r="E2799" s="9">
        <f>_xlfn.MAXIFS(Levels!E:E,Levels!B:B,A2799)</f>
        <v>2.97</v>
      </c>
      <c r="F2799" s="9">
        <f>_xlfn.MAXIFS(Levels!F:F,Levels!B:B,A2799)</f>
        <v>7.31</v>
      </c>
    </row>
    <row r="2800" spans="1:6" x14ac:dyDescent="0.3">
      <c r="A2800" t="s">
        <v>12709</v>
      </c>
      <c r="B2800" s="6">
        <f>COUNTIF(Levels!B:B,A2800)</f>
        <v>1</v>
      </c>
      <c r="C2800" s="6">
        <f>IFERROR(AVERAGEIF(Levels!B:B,A2800,Levels!E:E),0)</f>
        <v>0</v>
      </c>
      <c r="D2800" s="6">
        <f>IFERROR(AVERAGEIF(Levels!B:B,A2800,Levels!F:F),0)</f>
        <v>4.8</v>
      </c>
      <c r="E2800" s="6">
        <f>_xlfn.MAXIFS(Levels!E:E,Levels!B:B,A2800)</f>
        <v>0</v>
      </c>
      <c r="F2800" s="6">
        <f>_xlfn.MAXIFS(Levels!F:F,Levels!B:B,A2800)</f>
        <v>4.8</v>
      </c>
    </row>
    <row r="2801" spans="1:6" x14ac:dyDescent="0.3">
      <c r="A2801" t="s">
        <v>12711</v>
      </c>
      <c r="B2801" s="9">
        <f>COUNTIF(Levels!B:B,A2801)</f>
        <v>1</v>
      </c>
      <c r="C2801" s="9">
        <f>IFERROR(AVERAGEIF(Levels!B:B,A2801,Levels!E:E),0)</f>
        <v>0</v>
      </c>
      <c r="D2801" s="9">
        <f>IFERROR(AVERAGEIF(Levels!B:B,A2801,Levels!F:F),0)</f>
        <v>6.12</v>
      </c>
      <c r="E2801" s="9">
        <f>_xlfn.MAXIFS(Levels!E:E,Levels!B:B,A2801)</f>
        <v>0</v>
      </c>
      <c r="F2801" s="9">
        <f>_xlfn.MAXIFS(Levels!F:F,Levels!B:B,A2801)</f>
        <v>6.12</v>
      </c>
    </row>
    <row r="2802" spans="1:6" x14ac:dyDescent="0.3">
      <c r="A2802" t="s">
        <v>12716</v>
      </c>
      <c r="B2802" s="6">
        <f>COUNTIF(Levels!B:B,A2802)</f>
        <v>1</v>
      </c>
      <c r="C2802" s="6">
        <f>IFERROR(AVERAGEIF(Levels!B:B,A2802,Levels!E:E),0)</f>
        <v>0</v>
      </c>
      <c r="D2802" s="6">
        <f>IFERROR(AVERAGEIF(Levels!B:B,A2802,Levels!F:F),0)</f>
        <v>7.39</v>
      </c>
      <c r="E2802" s="6">
        <f>_xlfn.MAXIFS(Levels!E:E,Levels!B:B,A2802)</f>
        <v>0</v>
      </c>
      <c r="F2802" s="6">
        <f>_xlfn.MAXIFS(Levels!F:F,Levels!B:B,A2802)</f>
        <v>7.39</v>
      </c>
    </row>
    <row r="2803" spans="1:6" x14ac:dyDescent="0.3">
      <c r="A2803" t="s">
        <v>12722</v>
      </c>
      <c r="B2803" s="9">
        <f>COUNTIF(Levels!B:B,A2803)</f>
        <v>3</v>
      </c>
      <c r="C2803" s="9">
        <f>IFERROR(AVERAGEIF(Levels!B:B,A2803,Levels!E:E),0)</f>
        <v>0</v>
      </c>
      <c r="D2803" s="9">
        <f>IFERROR(AVERAGEIF(Levels!B:B,A2803,Levels!F:F),0)</f>
        <v>3.5</v>
      </c>
      <c r="E2803" s="9">
        <f>_xlfn.MAXIFS(Levels!E:E,Levels!B:B,A2803)</f>
        <v>0</v>
      </c>
      <c r="F2803" s="9">
        <f>_xlfn.MAXIFS(Levels!F:F,Levels!B:B,A2803)</f>
        <v>4.5</v>
      </c>
    </row>
    <row r="2804" spans="1:6" x14ac:dyDescent="0.3">
      <c r="A2804" t="s">
        <v>12724</v>
      </c>
      <c r="B2804" s="6">
        <f>COUNTIF(Levels!B:B,A2804)</f>
        <v>1</v>
      </c>
      <c r="C2804" s="6">
        <f>IFERROR(AVERAGEIF(Levels!B:B,A2804,Levels!E:E),0)</f>
        <v>0</v>
      </c>
      <c r="D2804" s="6">
        <f>IFERROR(AVERAGEIF(Levels!B:B,A2804,Levels!F:F),0)</f>
        <v>4.03</v>
      </c>
      <c r="E2804" s="6">
        <f>_xlfn.MAXIFS(Levels!E:E,Levels!B:B,A2804)</f>
        <v>0</v>
      </c>
      <c r="F2804" s="6">
        <f>_xlfn.MAXIFS(Levels!F:F,Levels!B:B,A2804)</f>
        <v>4.03</v>
      </c>
    </row>
    <row r="2805" spans="1:6" x14ac:dyDescent="0.3">
      <c r="A2805" t="s">
        <v>12731</v>
      </c>
      <c r="B2805" s="9">
        <f>COUNTIF(Levels!B:B,A2805)</f>
        <v>1</v>
      </c>
      <c r="C2805" s="9">
        <f>IFERROR(AVERAGEIF(Levels!B:B,A2805,Levels!E:E),0)</f>
        <v>6.79</v>
      </c>
      <c r="D2805" s="9">
        <f>IFERROR(AVERAGEIF(Levels!B:B,A2805,Levels!F:F),0)</f>
        <v>8.32</v>
      </c>
      <c r="E2805" s="9">
        <f>_xlfn.MAXIFS(Levels!E:E,Levels!B:B,A2805)</f>
        <v>6.79</v>
      </c>
      <c r="F2805" s="9">
        <f>_xlfn.MAXIFS(Levels!F:F,Levels!B:B,A2805)</f>
        <v>8.32</v>
      </c>
    </row>
    <row r="2806" spans="1:6" x14ac:dyDescent="0.3">
      <c r="A2806" t="s">
        <v>12733</v>
      </c>
      <c r="B2806" s="6">
        <f>COUNTIF(Levels!B:B,A2806)</f>
        <v>1</v>
      </c>
      <c r="C2806" s="6">
        <f>IFERROR(AVERAGEIF(Levels!B:B,A2806,Levels!E:E),0)</f>
        <v>0</v>
      </c>
      <c r="D2806" s="6">
        <f>IFERROR(AVERAGEIF(Levels!B:B,A2806,Levels!F:F),0)</f>
        <v>5.54</v>
      </c>
      <c r="E2806" s="6">
        <f>_xlfn.MAXIFS(Levels!E:E,Levels!B:B,A2806)</f>
        <v>0</v>
      </c>
      <c r="F2806" s="6">
        <f>_xlfn.MAXIFS(Levels!F:F,Levels!B:B,A2806)</f>
        <v>5.54</v>
      </c>
    </row>
    <row r="2807" spans="1:6" x14ac:dyDescent="0.3">
      <c r="A2807" t="s">
        <v>12736</v>
      </c>
      <c r="B2807" s="9">
        <f>COUNTIF(Levels!B:B,A2807)</f>
        <v>1</v>
      </c>
      <c r="C2807" s="9">
        <f>IFERROR(AVERAGEIF(Levels!B:B,A2807,Levels!E:E),0)</f>
        <v>4.4000000000000004</v>
      </c>
      <c r="D2807" s="9">
        <f>IFERROR(AVERAGEIF(Levels!B:B,A2807,Levels!F:F),0)</f>
        <v>7.3</v>
      </c>
      <c r="E2807" s="9">
        <f>_xlfn.MAXIFS(Levels!E:E,Levels!B:B,A2807)</f>
        <v>4.4000000000000004</v>
      </c>
      <c r="F2807" s="9">
        <f>_xlfn.MAXIFS(Levels!F:F,Levels!B:B,A2807)</f>
        <v>7.3</v>
      </c>
    </row>
    <row r="2808" spans="1:6" x14ac:dyDescent="0.3">
      <c r="A2808" t="s">
        <v>12738</v>
      </c>
      <c r="B2808" s="6">
        <f>COUNTIF(Levels!B:B,A2808)</f>
        <v>3</v>
      </c>
      <c r="C2808" s="6">
        <f>IFERROR(AVERAGEIF(Levels!B:B,A2808,Levels!E:E),0)</f>
        <v>7.47</v>
      </c>
      <c r="D2808" s="6">
        <f>IFERROR(AVERAGEIF(Levels!B:B,A2808,Levels!F:F),0)</f>
        <v>7.1400000000000006</v>
      </c>
      <c r="E2808" s="6">
        <f>_xlfn.MAXIFS(Levels!E:E,Levels!B:B,A2808)</f>
        <v>13.11</v>
      </c>
      <c r="F2808" s="6">
        <f>_xlfn.MAXIFS(Levels!F:F,Levels!B:B,A2808)</f>
        <v>7.8</v>
      </c>
    </row>
    <row r="2809" spans="1:6" x14ac:dyDescent="0.3">
      <c r="A2809" t="s">
        <v>12740</v>
      </c>
      <c r="B2809" s="9">
        <f>COUNTIF(Levels!B:B,A2809)</f>
        <v>1</v>
      </c>
      <c r="C2809" s="9">
        <f>IFERROR(AVERAGEIF(Levels!B:B,A2809,Levels!E:E),0)</f>
        <v>11.82</v>
      </c>
      <c r="D2809" s="9">
        <f>IFERROR(AVERAGEIF(Levels!B:B,A2809,Levels!F:F),0)</f>
        <v>6.82</v>
      </c>
      <c r="E2809" s="9">
        <f>_xlfn.MAXIFS(Levels!E:E,Levels!B:B,A2809)</f>
        <v>11.82</v>
      </c>
      <c r="F2809" s="9">
        <f>_xlfn.MAXIFS(Levels!F:F,Levels!B:B,A2809)</f>
        <v>6.82</v>
      </c>
    </row>
    <row r="2810" spans="1:6" x14ac:dyDescent="0.3">
      <c r="A2810" t="s">
        <v>12746</v>
      </c>
      <c r="B2810" s="6">
        <f>COUNTIF(Levels!B:B,A2810)</f>
        <v>1</v>
      </c>
      <c r="C2810" s="6">
        <f>IFERROR(AVERAGEIF(Levels!B:B,A2810,Levels!E:E),0)</f>
        <v>11.33</v>
      </c>
      <c r="D2810" s="6">
        <f>IFERROR(AVERAGEIF(Levels!B:B,A2810,Levels!F:F),0)</f>
        <v>7.33</v>
      </c>
      <c r="E2810" s="6">
        <f>_xlfn.MAXIFS(Levels!E:E,Levels!B:B,A2810)</f>
        <v>11.33</v>
      </c>
      <c r="F2810" s="6">
        <f>_xlfn.MAXIFS(Levels!F:F,Levels!B:B,A2810)</f>
        <v>7.33</v>
      </c>
    </row>
    <row r="2811" spans="1:6" x14ac:dyDescent="0.3">
      <c r="A2811" t="s">
        <v>12750</v>
      </c>
      <c r="B2811" s="9">
        <f>COUNTIF(Levels!B:B,A2811)</f>
        <v>1</v>
      </c>
      <c r="C2811" s="9">
        <f>IFERROR(AVERAGEIF(Levels!B:B,A2811,Levels!E:E),0)</f>
        <v>9.17</v>
      </c>
      <c r="D2811" s="9">
        <f>IFERROR(AVERAGEIF(Levels!B:B,A2811,Levels!F:F),0)</f>
        <v>8.0399999999999991</v>
      </c>
      <c r="E2811" s="9">
        <f>_xlfn.MAXIFS(Levels!E:E,Levels!B:B,A2811)</f>
        <v>9.17</v>
      </c>
      <c r="F2811" s="9">
        <f>_xlfn.MAXIFS(Levels!F:F,Levels!B:B,A2811)</f>
        <v>8.0399999999999991</v>
      </c>
    </row>
    <row r="2812" spans="1:6" x14ac:dyDescent="0.3">
      <c r="A2812" t="s">
        <v>12753</v>
      </c>
      <c r="B2812" s="6">
        <f>COUNTIF(Levels!B:B,A2812)</f>
        <v>2</v>
      </c>
      <c r="C2812" s="6">
        <f>IFERROR(AVERAGEIF(Levels!B:B,A2812,Levels!E:E),0)</f>
        <v>4.37</v>
      </c>
      <c r="D2812" s="6">
        <f>IFERROR(AVERAGEIF(Levels!B:B,A2812,Levels!F:F),0)</f>
        <v>5.9249999999999998</v>
      </c>
      <c r="E2812" s="6">
        <f>_xlfn.MAXIFS(Levels!E:E,Levels!B:B,A2812)</f>
        <v>4.37</v>
      </c>
      <c r="F2812" s="6">
        <f>_xlfn.MAXIFS(Levels!F:F,Levels!B:B,A2812)</f>
        <v>7.52</v>
      </c>
    </row>
    <row r="2813" spans="1:6" x14ac:dyDescent="0.3">
      <c r="A2813" t="s">
        <v>12756</v>
      </c>
      <c r="B2813" s="9">
        <f>COUNTIF(Levels!B:B,A2813)</f>
        <v>1</v>
      </c>
      <c r="C2813" s="9">
        <f>IFERROR(AVERAGEIF(Levels!B:B,A2813,Levels!E:E),0)</f>
        <v>3.07</v>
      </c>
      <c r="D2813" s="9">
        <f>IFERROR(AVERAGEIF(Levels!B:B,A2813,Levels!F:F),0)</f>
        <v>6.62</v>
      </c>
      <c r="E2813" s="9">
        <f>_xlfn.MAXIFS(Levels!E:E,Levels!B:B,A2813)</f>
        <v>3.07</v>
      </c>
      <c r="F2813" s="9">
        <f>_xlfn.MAXIFS(Levels!F:F,Levels!B:B,A2813)</f>
        <v>6.62</v>
      </c>
    </row>
    <row r="2814" spans="1:6" x14ac:dyDescent="0.3">
      <c r="A2814" t="s">
        <v>12761</v>
      </c>
      <c r="B2814" s="6">
        <f>COUNTIF(Levels!B:B,A2814)</f>
        <v>4</v>
      </c>
      <c r="C2814" s="6">
        <f>IFERROR(AVERAGEIF(Levels!B:B,A2814,Levels!E:E),0)</f>
        <v>2.9599999999999995</v>
      </c>
      <c r="D2814" s="6">
        <f>IFERROR(AVERAGEIF(Levels!B:B,A2814,Levels!F:F),0)</f>
        <v>6.9749999999999996</v>
      </c>
      <c r="E2814" s="6">
        <f>_xlfn.MAXIFS(Levels!E:E,Levels!B:B,A2814)</f>
        <v>4.22</v>
      </c>
      <c r="F2814" s="6">
        <f>_xlfn.MAXIFS(Levels!F:F,Levels!B:B,A2814)</f>
        <v>8.11</v>
      </c>
    </row>
    <row r="2815" spans="1:6" x14ac:dyDescent="0.3">
      <c r="A2815" t="s">
        <v>12765</v>
      </c>
      <c r="B2815" s="9">
        <f>COUNTIF(Levels!B:B,A2815)</f>
        <v>1</v>
      </c>
      <c r="C2815" s="9">
        <f>IFERROR(AVERAGEIF(Levels!B:B,A2815,Levels!E:E),0)</f>
        <v>0</v>
      </c>
      <c r="D2815" s="9">
        <f>IFERROR(AVERAGEIF(Levels!B:B,A2815,Levels!F:F),0)</f>
        <v>5.28</v>
      </c>
      <c r="E2815" s="9">
        <f>_xlfn.MAXIFS(Levels!E:E,Levels!B:B,A2815)</f>
        <v>0</v>
      </c>
      <c r="F2815" s="9">
        <f>_xlfn.MAXIFS(Levels!F:F,Levels!B:B,A2815)</f>
        <v>5.28</v>
      </c>
    </row>
    <row r="2816" spans="1:6" x14ac:dyDescent="0.3">
      <c r="A2816" t="s">
        <v>12767</v>
      </c>
      <c r="B2816" s="6">
        <f>COUNTIF(Levels!B:B,A2816)</f>
        <v>4</v>
      </c>
      <c r="C2816" s="6">
        <f>IFERROR(AVERAGEIF(Levels!B:B,A2816,Levels!E:E),0)</f>
        <v>2.13</v>
      </c>
      <c r="D2816" s="6">
        <f>IFERROR(AVERAGEIF(Levels!B:B,A2816,Levels!F:F),0)</f>
        <v>7.4125000000000005</v>
      </c>
      <c r="E2816" s="6">
        <f>_xlfn.MAXIFS(Levels!E:E,Levels!B:B,A2816)</f>
        <v>2.84</v>
      </c>
      <c r="F2816" s="6">
        <f>_xlfn.MAXIFS(Levels!F:F,Levels!B:B,A2816)</f>
        <v>7.96</v>
      </c>
    </row>
    <row r="2817" spans="1:6" x14ac:dyDescent="0.3">
      <c r="A2817" t="s">
        <v>12770</v>
      </c>
      <c r="B2817" s="9">
        <f>COUNTIF(Levels!B:B,A2817)</f>
        <v>1</v>
      </c>
      <c r="C2817" s="9">
        <f>IFERROR(AVERAGEIF(Levels!B:B,A2817,Levels!E:E),0)</f>
        <v>10.17</v>
      </c>
      <c r="D2817" s="9">
        <f>IFERROR(AVERAGEIF(Levels!B:B,A2817,Levels!F:F),0)</f>
        <v>8.33</v>
      </c>
      <c r="E2817" s="9">
        <f>_xlfn.MAXIFS(Levels!E:E,Levels!B:B,A2817)</f>
        <v>10.17</v>
      </c>
      <c r="F2817" s="9">
        <f>_xlfn.MAXIFS(Levels!F:F,Levels!B:B,A2817)</f>
        <v>8.33</v>
      </c>
    </row>
    <row r="2818" spans="1:6" x14ac:dyDescent="0.3">
      <c r="A2818" t="s">
        <v>12777</v>
      </c>
      <c r="B2818" s="6">
        <f>COUNTIF(Levels!B:B,A2818)</f>
        <v>3</v>
      </c>
      <c r="C2818" s="6">
        <f>IFERROR(AVERAGEIF(Levels!B:B,A2818,Levels!E:E),0)</f>
        <v>0</v>
      </c>
      <c r="D2818" s="6">
        <f>IFERROR(AVERAGEIF(Levels!B:B,A2818,Levels!F:F),0)</f>
        <v>6.586666666666666</v>
      </c>
      <c r="E2818" s="6">
        <f>_xlfn.MAXIFS(Levels!E:E,Levels!B:B,A2818)</f>
        <v>0</v>
      </c>
      <c r="F2818" s="6">
        <f>_xlfn.MAXIFS(Levels!F:F,Levels!B:B,A2818)</f>
        <v>7.17</v>
      </c>
    </row>
    <row r="2819" spans="1:6" x14ac:dyDescent="0.3">
      <c r="A2819" t="s">
        <v>12780</v>
      </c>
      <c r="B2819" s="9">
        <f>COUNTIF(Levels!B:B,A2819)</f>
        <v>1</v>
      </c>
      <c r="C2819" s="9">
        <f>IFERROR(AVERAGEIF(Levels!B:B,A2819,Levels!E:E),0)</f>
        <v>0</v>
      </c>
      <c r="D2819" s="9">
        <f>IFERROR(AVERAGEIF(Levels!B:B,A2819,Levels!F:F),0)</f>
        <v>7.5</v>
      </c>
      <c r="E2819" s="9">
        <f>_xlfn.MAXIFS(Levels!E:E,Levels!B:B,A2819)</f>
        <v>0</v>
      </c>
      <c r="F2819" s="9">
        <f>_xlfn.MAXIFS(Levels!F:F,Levels!B:B,A2819)</f>
        <v>7.5</v>
      </c>
    </row>
    <row r="2820" spans="1:6" x14ac:dyDescent="0.3">
      <c r="A2820" t="s">
        <v>12783</v>
      </c>
      <c r="B2820" s="6">
        <f>COUNTIF(Levels!B:B,A2820)</f>
        <v>1</v>
      </c>
      <c r="C2820" s="6">
        <f>IFERROR(AVERAGEIF(Levels!B:B,A2820,Levels!E:E),0)</f>
        <v>14</v>
      </c>
      <c r="D2820" s="6">
        <f>IFERROR(AVERAGEIF(Levels!B:B,A2820,Levels!F:F),0)</f>
        <v>8.5</v>
      </c>
      <c r="E2820" s="6">
        <f>_xlfn.MAXIFS(Levels!E:E,Levels!B:B,A2820)</f>
        <v>14</v>
      </c>
      <c r="F2820" s="6">
        <f>_xlfn.MAXIFS(Levels!F:F,Levels!B:B,A2820)</f>
        <v>8.5</v>
      </c>
    </row>
    <row r="2821" spans="1:6" x14ac:dyDescent="0.3">
      <c r="A2821" t="s">
        <v>12787</v>
      </c>
      <c r="B2821" s="9">
        <f>COUNTIF(Levels!B:B,A2821)</f>
        <v>2</v>
      </c>
      <c r="C2821" s="9">
        <f>IFERROR(AVERAGEIF(Levels!B:B,A2821,Levels!E:E),0)</f>
        <v>0</v>
      </c>
      <c r="D2821" s="9">
        <f>IFERROR(AVERAGEIF(Levels!B:B,A2821,Levels!F:F),0)</f>
        <v>5.93</v>
      </c>
      <c r="E2821" s="9">
        <f>_xlfn.MAXIFS(Levels!E:E,Levels!B:B,A2821)</f>
        <v>0</v>
      </c>
      <c r="F2821" s="9">
        <f>_xlfn.MAXIFS(Levels!F:F,Levels!B:B,A2821)</f>
        <v>7.11</v>
      </c>
    </row>
    <row r="2822" spans="1:6" x14ac:dyDescent="0.3">
      <c r="A2822" t="s">
        <v>12795</v>
      </c>
      <c r="B2822" s="6">
        <f>COUNTIF(Levels!B:B,A2822)</f>
        <v>1</v>
      </c>
      <c r="C2822" s="6">
        <f>IFERROR(AVERAGEIF(Levels!B:B,A2822,Levels!E:E),0)</f>
        <v>8.7799999999999994</v>
      </c>
      <c r="D2822" s="6">
        <f>IFERROR(AVERAGEIF(Levels!B:B,A2822,Levels!F:F),0)</f>
        <v>5.67</v>
      </c>
      <c r="E2822" s="6">
        <f>_xlfn.MAXIFS(Levels!E:E,Levels!B:B,A2822)</f>
        <v>8.7799999999999994</v>
      </c>
      <c r="F2822" s="6">
        <f>_xlfn.MAXIFS(Levels!F:F,Levels!B:B,A2822)</f>
        <v>5.67</v>
      </c>
    </row>
    <row r="2823" spans="1:6" x14ac:dyDescent="0.3">
      <c r="A2823" t="s">
        <v>12802</v>
      </c>
      <c r="B2823" s="9">
        <f>COUNTIF(Levels!B:B,A2823)</f>
        <v>2</v>
      </c>
      <c r="C2823" s="9">
        <f>IFERROR(AVERAGEIF(Levels!B:B,A2823,Levels!E:E),0)</f>
        <v>1.2</v>
      </c>
      <c r="D2823" s="9">
        <f>IFERROR(AVERAGEIF(Levels!B:B,A2823,Levels!F:F),0)</f>
        <v>8.3000000000000007</v>
      </c>
      <c r="E2823" s="9">
        <f>_xlfn.MAXIFS(Levels!E:E,Levels!B:B,A2823)</f>
        <v>1.2</v>
      </c>
      <c r="F2823" s="9">
        <f>_xlfn.MAXIFS(Levels!F:F,Levels!B:B,A2823)</f>
        <v>8.3000000000000007</v>
      </c>
    </row>
    <row r="2824" spans="1:6" x14ac:dyDescent="0.3">
      <c r="A2824" t="s">
        <v>12814</v>
      </c>
      <c r="B2824" s="6">
        <f>COUNTIF(Levels!B:B,A2824)</f>
        <v>1</v>
      </c>
      <c r="C2824" s="6">
        <f>IFERROR(AVERAGEIF(Levels!B:B,A2824,Levels!E:E),0)</f>
        <v>5.71</v>
      </c>
      <c r="D2824" s="6">
        <f>IFERROR(AVERAGEIF(Levels!B:B,A2824,Levels!F:F),0)</f>
        <v>6.14</v>
      </c>
      <c r="E2824" s="6">
        <f>_xlfn.MAXIFS(Levels!E:E,Levels!B:B,A2824)</f>
        <v>5.71</v>
      </c>
      <c r="F2824" s="6">
        <f>_xlfn.MAXIFS(Levels!F:F,Levels!B:B,A2824)</f>
        <v>6.14</v>
      </c>
    </row>
    <row r="2825" spans="1:6" x14ac:dyDescent="0.3">
      <c r="A2825" t="s">
        <v>12818</v>
      </c>
      <c r="B2825" s="9">
        <f>COUNTIF(Levels!B:B,A2825)</f>
        <v>3</v>
      </c>
      <c r="C2825" s="9">
        <f>IFERROR(AVERAGEIF(Levels!B:B,A2825,Levels!E:E),0)</f>
        <v>4.53</v>
      </c>
      <c r="D2825" s="9">
        <f>IFERROR(AVERAGEIF(Levels!B:B,A2825,Levels!F:F),0)</f>
        <v>6.87</v>
      </c>
      <c r="E2825" s="9">
        <f>_xlfn.MAXIFS(Levels!E:E,Levels!B:B,A2825)</f>
        <v>4.53</v>
      </c>
      <c r="F2825" s="9">
        <f>_xlfn.MAXIFS(Levels!F:F,Levels!B:B,A2825)</f>
        <v>7.84</v>
      </c>
    </row>
    <row r="2826" spans="1:6" x14ac:dyDescent="0.3">
      <c r="A2826" t="s">
        <v>12820</v>
      </c>
      <c r="B2826" s="6">
        <f>COUNTIF(Levels!B:B,A2826)</f>
        <v>1</v>
      </c>
      <c r="C2826" s="6">
        <f>IFERROR(AVERAGEIF(Levels!B:B,A2826,Levels!E:E),0)</f>
        <v>0</v>
      </c>
      <c r="D2826" s="6">
        <f>IFERROR(AVERAGEIF(Levels!B:B,A2826,Levels!F:F),0)</f>
        <v>8.9499999999999993</v>
      </c>
      <c r="E2826" s="6">
        <f>_xlfn.MAXIFS(Levels!E:E,Levels!B:B,A2826)</f>
        <v>0</v>
      </c>
      <c r="F2826" s="6">
        <f>_xlfn.MAXIFS(Levels!F:F,Levels!B:B,A2826)</f>
        <v>8.9499999999999993</v>
      </c>
    </row>
    <row r="2827" spans="1:6" x14ac:dyDescent="0.3">
      <c r="A2827" t="s">
        <v>12822</v>
      </c>
      <c r="B2827" s="9">
        <f>COUNTIF(Levels!B:B,A2827)</f>
        <v>1</v>
      </c>
      <c r="C2827" s="9">
        <f>IFERROR(AVERAGEIF(Levels!B:B,A2827,Levels!E:E),0)</f>
        <v>6.24</v>
      </c>
      <c r="D2827" s="9">
        <f>IFERROR(AVERAGEIF(Levels!B:B,A2827,Levels!F:F),0)</f>
        <v>9.17</v>
      </c>
      <c r="E2827" s="9">
        <f>_xlfn.MAXIFS(Levels!E:E,Levels!B:B,A2827)</f>
        <v>6.24</v>
      </c>
      <c r="F2827" s="9">
        <f>_xlfn.MAXIFS(Levels!F:F,Levels!B:B,A2827)</f>
        <v>9.17</v>
      </c>
    </row>
    <row r="2828" spans="1:6" x14ac:dyDescent="0.3">
      <c r="A2828" t="s">
        <v>12825</v>
      </c>
      <c r="B2828" s="6">
        <f>COUNTIF(Levels!B:B,A2828)</f>
        <v>1</v>
      </c>
      <c r="C2828" s="6">
        <f>IFERROR(AVERAGEIF(Levels!B:B,A2828,Levels!E:E),0)</f>
        <v>0</v>
      </c>
      <c r="D2828" s="6">
        <f>IFERROR(AVERAGEIF(Levels!B:B,A2828,Levels!F:F),0)</f>
        <v>4.87</v>
      </c>
      <c r="E2828" s="6">
        <f>_xlfn.MAXIFS(Levels!E:E,Levels!B:B,A2828)</f>
        <v>0</v>
      </c>
      <c r="F2828" s="6">
        <f>_xlfn.MAXIFS(Levels!F:F,Levels!B:B,A2828)</f>
        <v>4.87</v>
      </c>
    </row>
    <row r="2829" spans="1:6" x14ac:dyDescent="0.3">
      <c r="A2829" t="s">
        <v>12828</v>
      </c>
      <c r="B2829" s="9">
        <f>COUNTIF(Levels!B:B,A2829)</f>
        <v>1</v>
      </c>
      <c r="C2829" s="9">
        <f>IFERROR(AVERAGEIF(Levels!B:B,A2829,Levels!E:E),0)</f>
        <v>0</v>
      </c>
      <c r="D2829" s="9">
        <f>IFERROR(AVERAGEIF(Levels!B:B,A2829,Levels!F:F),0)</f>
        <v>6.84</v>
      </c>
      <c r="E2829" s="9">
        <f>_xlfn.MAXIFS(Levels!E:E,Levels!B:B,A2829)</f>
        <v>0</v>
      </c>
      <c r="F2829" s="9">
        <f>_xlfn.MAXIFS(Levels!F:F,Levels!B:B,A2829)</f>
        <v>6.84</v>
      </c>
    </row>
    <row r="2830" spans="1:6" x14ac:dyDescent="0.3">
      <c r="A2830" t="s">
        <v>12830</v>
      </c>
      <c r="B2830" s="6">
        <f>COUNTIF(Levels!B:B,A2830)</f>
        <v>2</v>
      </c>
      <c r="C2830" s="6">
        <f>IFERROR(AVERAGEIF(Levels!B:B,A2830,Levels!E:E),0)</f>
        <v>2.0299999999999998</v>
      </c>
      <c r="D2830" s="6">
        <f>IFERROR(AVERAGEIF(Levels!B:B,A2830,Levels!F:F),0)</f>
        <v>6.26</v>
      </c>
      <c r="E2830" s="6">
        <f>_xlfn.MAXIFS(Levels!E:E,Levels!B:B,A2830)</f>
        <v>2.0299999999999998</v>
      </c>
      <c r="F2830" s="6">
        <f>_xlfn.MAXIFS(Levels!F:F,Levels!B:B,A2830)</f>
        <v>7.52</v>
      </c>
    </row>
    <row r="2831" spans="1:6" x14ac:dyDescent="0.3">
      <c r="A2831" t="s">
        <v>12833</v>
      </c>
      <c r="B2831" s="9">
        <f>COUNTIF(Levels!B:B,A2831)</f>
        <v>1</v>
      </c>
      <c r="C2831" s="9">
        <f>IFERROR(AVERAGEIF(Levels!B:B,A2831,Levels!E:E),0)</f>
        <v>0</v>
      </c>
      <c r="D2831" s="9">
        <f>IFERROR(AVERAGEIF(Levels!B:B,A2831,Levels!F:F),0)</f>
        <v>7.65</v>
      </c>
      <c r="E2831" s="9">
        <f>_xlfn.MAXIFS(Levels!E:E,Levels!B:B,A2831)</f>
        <v>0</v>
      </c>
      <c r="F2831" s="9">
        <f>_xlfn.MAXIFS(Levels!F:F,Levels!B:B,A2831)</f>
        <v>7.65</v>
      </c>
    </row>
    <row r="2832" spans="1:6" x14ac:dyDescent="0.3">
      <c r="A2832" t="s">
        <v>12841</v>
      </c>
      <c r="B2832" s="6">
        <f>COUNTIF(Levels!B:B,A2832)</f>
        <v>1</v>
      </c>
      <c r="C2832" s="6">
        <f>IFERROR(AVERAGEIF(Levels!B:B,A2832,Levels!E:E),0)</f>
        <v>14.63</v>
      </c>
      <c r="D2832" s="6">
        <f>IFERROR(AVERAGEIF(Levels!B:B,A2832,Levels!F:F),0)</f>
        <v>7.88</v>
      </c>
      <c r="E2832" s="6">
        <f>_xlfn.MAXIFS(Levels!E:E,Levels!B:B,A2832)</f>
        <v>14.63</v>
      </c>
      <c r="F2832" s="6">
        <f>_xlfn.MAXIFS(Levels!F:F,Levels!B:B,A2832)</f>
        <v>7.88</v>
      </c>
    </row>
    <row r="2833" spans="1:6" x14ac:dyDescent="0.3">
      <c r="A2833" t="s">
        <v>12843</v>
      </c>
      <c r="B2833" s="9">
        <f>COUNTIF(Levels!B:B,A2833)</f>
        <v>1</v>
      </c>
      <c r="C2833" s="9">
        <f>IFERROR(AVERAGEIF(Levels!B:B,A2833,Levels!E:E),0)</f>
        <v>5.58</v>
      </c>
      <c r="D2833" s="9">
        <f>IFERROR(AVERAGEIF(Levels!B:B,A2833,Levels!F:F),0)</f>
        <v>7.89</v>
      </c>
      <c r="E2833" s="9">
        <f>_xlfn.MAXIFS(Levels!E:E,Levels!B:B,A2833)</f>
        <v>5.58</v>
      </c>
      <c r="F2833" s="9">
        <f>_xlfn.MAXIFS(Levels!F:F,Levels!B:B,A2833)</f>
        <v>7.89</v>
      </c>
    </row>
    <row r="2834" spans="1:6" x14ac:dyDescent="0.3">
      <c r="A2834" t="s">
        <v>12846</v>
      </c>
      <c r="B2834" s="6">
        <f>COUNTIF(Levels!B:B,A2834)</f>
        <v>1</v>
      </c>
      <c r="C2834" s="6">
        <f>IFERROR(AVERAGEIF(Levels!B:B,A2834,Levels!E:E),0)</f>
        <v>0</v>
      </c>
      <c r="D2834" s="6">
        <f>IFERROR(AVERAGEIF(Levels!B:B,A2834,Levels!F:F),0)</f>
        <v>6.09</v>
      </c>
      <c r="E2834" s="6">
        <f>_xlfn.MAXIFS(Levels!E:E,Levels!B:B,A2834)</f>
        <v>0</v>
      </c>
      <c r="F2834" s="6">
        <f>_xlfn.MAXIFS(Levels!F:F,Levels!B:B,A2834)</f>
        <v>6.09</v>
      </c>
    </row>
    <row r="2835" spans="1:6" x14ac:dyDescent="0.3">
      <c r="A2835" t="s">
        <v>12852</v>
      </c>
      <c r="B2835" s="9">
        <f>COUNTIF(Levels!B:B,A2835)</f>
        <v>1</v>
      </c>
      <c r="C2835" s="9">
        <f>IFERROR(AVERAGEIF(Levels!B:B,A2835,Levels!E:E),0)</f>
        <v>0</v>
      </c>
      <c r="D2835" s="9">
        <f>IFERROR(AVERAGEIF(Levels!B:B,A2835,Levels!F:F),0)</f>
        <v>7.15</v>
      </c>
      <c r="E2835" s="9">
        <f>_xlfn.MAXIFS(Levels!E:E,Levels!B:B,A2835)</f>
        <v>0</v>
      </c>
      <c r="F2835" s="9">
        <f>_xlfn.MAXIFS(Levels!F:F,Levels!B:B,A2835)</f>
        <v>7.15</v>
      </c>
    </row>
    <row r="2836" spans="1:6" x14ac:dyDescent="0.3">
      <c r="A2836" t="s">
        <v>12858</v>
      </c>
      <c r="B2836" s="6">
        <f>COUNTIF(Levels!B:B,A2836)</f>
        <v>1</v>
      </c>
      <c r="C2836" s="6">
        <f>IFERROR(AVERAGEIF(Levels!B:B,A2836,Levels!E:E),0)</f>
        <v>0</v>
      </c>
      <c r="D2836" s="6">
        <f>IFERROR(AVERAGEIF(Levels!B:B,A2836,Levels!F:F),0)</f>
        <v>6.09</v>
      </c>
      <c r="E2836" s="6">
        <f>_xlfn.MAXIFS(Levels!E:E,Levels!B:B,A2836)</f>
        <v>0</v>
      </c>
      <c r="F2836" s="6">
        <f>_xlfn.MAXIFS(Levels!F:F,Levels!B:B,A2836)</f>
        <v>6.09</v>
      </c>
    </row>
    <row r="2837" spans="1:6" x14ac:dyDescent="0.3">
      <c r="A2837" t="s">
        <v>12861</v>
      </c>
      <c r="B2837" s="9">
        <f>COUNTIF(Levels!B:B,A2837)</f>
        <v>1</v>
      </c>
      <c r="C2837" s="9">
        <f>IFERROR(AVERAGEIF(Levels!B:B,A2837,Levels!E:E),0)</f>
        <v>26</v>
      </c>
      <c r="D2837" s="9">
        <f>IFERROR(AVERAGEIF(Levels!B:B,A2837,Levels!F:F),0)</f>
        <v>8</v>
      </c>
      <c r="E2837" s="9">
        <f>_xlfn.MAXIFS(Levels!E:E,Levels!B:B,A2837)</f>
        <v>26</v>
      </c>
      <c r="F2837" s="9">
        <f>_xlfn.MAXIFS(Levels!F:F,Levels!B:B,A2837)</f>
        <v>8</v>
      </c>
    </row>
    <row r="2838" spans="1:6" x14ac:dyDescent="0.3">
      <c r="A2838" t="s">
        <v>12863</v>
      </c>
      <c r="B2838" s="6">
        <f>COUNTIF(Levels!B:B,A2838)</f>
        <v>1</v>
      </c>
      <c r="C2838" s="6">
        <f>IFERROR(AVERAGEIF(Levels!B:B,A2838,Levels!E:E),0)</f>
        <v>6.07</v>
      </c>
      <c r="D2838" s="6">
        <f>IFERROR(AVERAGEIF(Levels!B:B,A2838,Levels!F:F),0)</f>
        <v>7</v>
      </c>
      <c r="E2838" s="6">
        <f>_xlfn.MAXIFS(Levels!E:E,Levels!B:B,A2838)</f>
        <v>6.07</v>
      </c>
      <c r="F2838" s="6">
        <f>_xlfn.MAXIFS(Levels!F:F,Levels!B:B,A2838)</f>
        <v>7</v>
      </c>
    </row>
    <row r="2839" spans="1:6" x14ac:dyDescent="0.3">
      <c r="A2839" t="s">
        <v>12870</v>
      </c>
      <c r="B2839" s="9">
        <f>COUNTIF(Levels!B:B,A2839)</f>
        <v>1</v>
      </c>
      <c r="C2839" s="9">
        <f>IFERROR(AVERAGEIF(Levels!B:B,A2839,Levels!E:E),0)</f>
        <v>7.14</v>
      </c>
      <c r="D2839" s="9">
        <f>IFERROR(AVERAGEIF(Levels!B:B,A2839,Levels!F:F),0)</f>
        <v>7.5</v>
      </c>
      <c r="E2839" s="9">
        <f>_xlfn.MAXIFS(Levels!E:E,Levels!B:B,A2839)</f>
        <v>7.14</v>
      </c>
      <c r="F2839" s="9">
        <f>_xlfn.MAXIFS(Levels!F:F,Levels!B:B,A2839)</f>
        <v>7.5</v>
      </c>
    </row>
    <row r="2840" spans="1:6" x14ac:dyDescent="0.3">
      <c r="A2840" t="s">
        <v>12873</v>
      </c>
      <c r="B2840" s="6">
        <f>COUNTIF(Levels!B:B,A2840)</f>
        <v>1</v>
      </c>
      <c r="C2840" s="6">
        <f>IFERROR(AVERAGEIF(Levels!B:B,A2840,Levels!E:E),0)</f>
        <v>7.79</v>
      </c>
      <c r="D2840" s="6">
        <f>IFERROR(AVERAGEIF(Levels!B:B,A2840,Levels!F:F),0)</f>
        <v>8</v>
      </c>
      <c r="E2840" s="6">
        <f>_xlfn.MAXIFS(Levels!E:E,Levels!B:B,A2840)</f>
        <v>7.79</v>
      </c>
      <c r="F2840" s="6">
        <f>_xlfn.MAXIFS(Levels!F:F,Levels!B:B,A2840)</f>
        <v>8</v>
      </c>
    </row>
    <row r="2841" spans="1:6" x14ac:dyDescent="0.3">
      <c r="A2841" t="s">
        <v>12876</v>
      </c>
      <c r="B2841" s="9">
        <f>COUNTIF(Levels!B:B,A2841)</f>
        <v>1</v>
      </c>
      <c r="C2841" s="9">
        <f>IFERROR(AVERAGEIF(Levels!B:B,A2841,Levels!E:E),0)</f>
        <v>14.43</v>
      </c>
      <c r="D2841" s="9">
        <f>IFERROR(AVERAGEIF(Levels!B:B,A2841,Levels!F:F),0)</f>
        <v>3.71</v>
      </c>
      <c r="E2841" s="9">
        <f>_xlfn.MAXIFS(Levels!E:E,Levels!B:B,A2841)</f>
        <v>14.43</v>
      </c>
      <c r="F2841" s="9">
        <f>_xlfn.MAXIFS(Levels!F:F,Levels!B:B,A2841)</f>
        <v>3.71</v>
      </c>
    </row>
    <row r="2842" spans="1:6" x14ac:dyDescent="0.3">
      <c r="A2842" t="s">
        <v>12879</v>
      </c>
      <c r="B2842" s="6">
        <f>COUNTIF(Levels!B:B,A2842)</f>
        <v>6</v>
      </c>
      <c r="C2842" s="6">
        <f>IFERROR(AVERAGEIF(Levels!B:B,A2842,Levels!E:E),0)</f>
        <v>0</v>
      </c>
      <c r="D2842" s="6">
        <f>IFERROR(AVERAGEIF(Levels!B:B,A2842,Levels!F:F),0)</f>
        <v>8.1066666666666674</v>
      </c>
      <c r="E2842" s="6">
        <f>_xlfn.MAXIFS(Levels!E:E,Levels!B:B,A2842)</f>
        <v>0</v>
      </c>
      <c r="F2842" s="6">
        <f>_xlfn.MAXIFS(Levels!F:F,Levels!B:B,A2842)</f>
        <v>8.7799999999999994</v>
      </c>
    </row>
    <row r="2843" spans="1:6" x14ac:dyDescent="0.3">
      <c r="A2843" t="s">
        <v>12886</v>
      </c>
      <c r="B2843" s="9">
        <f>COUNTIF(Levels!B:B,A2843)</f>
        <v>1</v>
      </c>
      <c r="C2843" s="9">
        <f>IFERROR(AVERAGEIF(Levels!B:B,A2843,Levels!E:E),0)</f>
        <v>0</v>
      </c>
      <c r="D2843" s="9">
        <f>IFERROR(AVERAGEIF(Levels!B:B,A2843,Levels!F:F),0)</f>
        <v>4.17</v>
      </c>
      <c r="E2843" s="9">
        <f>_xlfn.MAXIFS(Levels!E:E,Levels!B:B,A2843)</f>
        <v>0</v>
      </c>
      <c r="F2843" s="9">
        <f>_xlfn.MAXIFS(Levels!F:F,Levels!B:B,A2843)</f>
        <v>4.17</v>
      </c>
    </row>
    <row r="2844" spans="1:6" x14ac:dyDescent="0.3">
      <c r="A2844" t="s">
        <v>12889</v>
      </c>
      <c r="B2844" s="6">
        <f>COUNTIF(Levels!B:B,A2844)</f>
        <v>1</v>
      </c>
      <c r="C2844" s="6">
        <f>IFERROR(AVERAGEIF(Levels!B:B,A2844,Levels!E:E),0)</f>
        <v>0</v>
      </c>
      <c r="D2844" s="6">
        <f>IFERROR(AVERAGEIF(Levels!B:B,A2844,Levels!F:F),0)</f>
        <v>5.76</v>
      </c>
      <c r="E2844" s="6">
        <f>_xlfn.MAXIFS(Levels!E:E,Levels!B:B,A2844)</f>
        <v>0</v>
      </c>
      <c r="F2844" s="6">
        <f>_xlfn.MAXIFS(Levels!F:F,Levels!B:B,A2844)</f>
        <v>5.76</v>
      </c>
    </row>
    <row r="2845" spans="1:6" x14ac:dyDescent="0.3">
      <c r="A2845" t="s">
        <v>12891</v>
      </c>
      <c r="B2845" s="9">
        <f>COUNTIF(Levels!B:B,A2845)</f>
        <v>2</v>
      </c>
      <c r="C2845" s="9">
        <f>IFERROR(AVERAGEIF(Levels!B:B,A2845,Levels!E:E),0)</f>
        <v>22</v>
      </c>
      <c r="D2845" s="9">
        <f>IFERROR(AVERAGEIF(Levels!B:B,A2845,Levels!F:F),0)</f>
        <v>8.56</v>
      </c>
      <c r="E2845" s="9">
        <f>_xlfn.MAXIFS(Levels!E:E,Levels!B:B,A2845)</f>
        <v>22</v>
      </c>
      <c r="F2845" s="9">
        <f>_xlfn.MAXIFS(Levels!F:F,Levels!B:B,A2845)</f>
        <v>9.8000000000000007</v>
      </c>
    </row>
    <row r="2846" spans="1:6" x14ac:dyDescent="0.3">
      <c r="A2846" t="s">
        <v>12893</v>
      </c>
      <c r="B2846" s="6">
        <f>COUNTIF(Levels!B:B,A2846)</f>
        <v>1</v>
      </c>
      <c r="C2846" s="6">
        <f>IFERROR(AVERAGEIF(Levels!B:B,A2846,Levels!E:E),0)</f>
        <v>3.25</v>
      </c>
      <c r="D2846" s="6">
        <f>IFERROR(AVERAGEIF(Levels!B:B,A2846,Levels!F:F),0)</f>
        <v>8.2799999999999994</v>
      </c>
      <c r="E2846" s="6">
        <f>_xlfn.MAXIFS(Levels!E:E,Levels!B:B,A2846)</f>
        <v>3.25</v>
      </c>
      <c r="F2846" s="6">
        <f>_xlfn.MAXIFS(Levels!F:F,Levels!B:B,A2846)</f>
        <v>8.2799999999999994</v>
      </c>
    </row>
    <row r="2847" spans="1:6" x14ac:dyDescent="0.3">
      <c r="A2847" t="s">
        <v>12901</v>
      </c>
      <c r="B2847" s="9">
        <f>COUNTIF(Levels!B:B,A2847)</f>
        <v>1</v>
      </c>
      <c r="C2847" s="9">
        <f>IFERROR(AVERAGEIF(Levels!B:B,A2847,Levels!E:E),0)</f>
        <v>2.86</v>
      </c>
      <c r="D2847" s="9">
        <f>IFERROR(AVERAGEIF(Levels!B:B,A2847,Levels!F:F),0)</f>
        <v>6.77</v>
      </c>
      <c r="E2847" s="9">
        <f>_xlfn.MAXIFS(Levels!E:E,Levels!B:B,A2847)</f>
        <v>2.86</v>
      </c>
      <c r="F2847" s="9">
        <f>_xlfn.MAXIFS(Levels!F:F,Levels!B:B,A2847)</f>
        <v>6.77</v>
      </c>
    </row>
    <row r="2848" spans="1:6" x14ac:dyDescent="0.3">
      <c r="A2848" t="s">
        <v>12904</v>
      </c>
      <c r="B2848" s="6">
        <f>COUNTIF(Levels!B:B,A2848)</f>
        <v>1</v>
      </c>
      <c r="C2848" s="6">
        <f>IFERROR(AVERAGEIF(Levels!B:B,A2848,Levels!E:E),0)</f>
        <v>0</v>
      </c>
      <c r="D2848" s="6">
        <f>IFERROR(AVERAGEIF(Levels!B:B,A2848,Levels!F:F),0)</f>
        <v>7.24</v>
      </c>
      <c r="E2848" s="6">
        <f>_xlfn.MAXIFS(Levels!E:E,Levels!B:B,A2848)</f>
        <v>0</v>
      </c>
      <c r="F2848" s="6">
        <f>_xlfn.MAXIFS(Levels!F:F,Levels!B:B,A2848)</f>
        <v>7.24</v>
      </c>
    </row>
    <row r="2849" spans="1:6" x14ac:dyDescent="0.3">
      <c r="A2849" t="s">
        <v>12911</v>
      </c>
      <c r="B2849" s="9">
        <f>COUNTIF(Levels!B:B,A2849)</f>
        <v>1</v>
      </c>
      <c r="C2849" s="9">
        <f>IFERROR(AVERAGEIF(Levels!B:B,A2849,Levels!E:E),0)</f>
        <v>3.92</v>
      </c>
      <c r="D2849" s="9">
        <f>IFERROR(AVERAGEIF(Levels!B:B,A2849,Levels!F:F),0)</f>
        <v>7.71</v>
      </c>
      <c r="E2849" s="9">
        <f>_xlfn.MAXIFS(Levels!E:E,Levels!B:B,A2849)</f>
        <v>3.92</v>
      </c>
      <c r="F2849" s="9">
        <f>_xlfn.MAXIFS(Levels!F:F,Levels!B:B,A2849)</f>
        <v>7.71</v>
      </c>
    </row>
    <row r="2850" spans="1:6" x14ac:dyDescent="0.3">
      <c r="A2850" t="s">
        <v>12913</v>
      </c>
      <c r="B2850" s="6">
        <f>COUNTIF(Levels!B:B,A2850)</f>
        <v>4</v>
      </c>
      <c r="C2850" s="6">
        <f>IFERROR(AVERAGEIF(Levels!B:B,A2850,Levels!E:E),0)</f>
        <v>0</v>
      </c>
      <c r="D2850" s="6">
        <f>IFERROR(AVERAGEIF(Levels!B:B,A2850,Levels!F:F),0)</f>
        <v>4.9800000000000004</v>
      </c>
      <c r="E2850" s="6">
        <f>_xlfn.MAXIFS(Levels!E:E,Levels!B:B,A2850)</f>
        <v>0</v>
      </c>
      <c r="F2850" s="6">
        <f>_xlfn.MAXIFS(Levels!F:F,Levels!B:B,A2850)</f>
        <v>6.92</v>
      </c>
    </row>
    <row r="2851" spans="1:6" x14ac:dyDescent="0.3">
      <c r="A2851" t="s">
        <v>12918</v>
      </c>
      <c r="B2851" s="9">
        <f>COUNTIF(Levels!B:B,A2851)</f>
        <v>1</v>
      </c>
      <c r="C2851" s="9">
        <f>IFERROR(AVERAGEIF(Levels!B:B,A2851,Levels!E:E),0)</f>
        <v>17.399999999999999</v>
      </c>
      <c r="D2851" s="9">
        <f>IFERROR(AVERAGEIF(Levels!B:B,A2851,Levels!F:F),0)</f>
        <v>6.86</v>
      </c>
      <c r="E2851" s="9">
        <f>_xlfn.MAXIFS(Levels!E:E,Levels!B:B,A2851)</f>
        <v>17.399999999999999</v>
      </c>
      <c r="F2851" s="9">
        <f>_xlfn.MAXIFS(Levels!F:F,Levels!B:B,A2851)</f>
        <v>6.86</v>
      </c>
    </row>
    <row r="2852" spans="1:6" x14ac:dyDescent="0.3">
      <c r="A2852" t="s">
        <v>12921</v>
      </c>
      <c r="B2852" s="6">
        <f>COUNTIF(Levels!B:B,A2852)</f>
        <v>1</v>
      </c>
      <c r="C2852" s="6">
        <f>IFERROR(AVERAGEIF(Levels!B:B,A2852,Levels!E:E),0)</f>
        <v>0</v>
      </c>
      <c r="D2852" s="6">
        <f>IFERROR(AVERAGEIF(Levels!B:B,A2852,Levels!F:F),0)</f>
        <v>5.45</v>
      </c>
      <c r="E2852" s="6">
        <f>_xlfn.MAXIFS(Levels!E:E,Levels!B:B,A2852)</f>
        <v>0</v>
      </c>
      <c r="F2852" s="6">
        <f>_xlfn.MAXIFS(Levels!F:F,Levels!B:B,A2852)</f>
        <v>5.45</v>
      </c>
    </row>
    <row r="2853" spans="1:6" x14ac:dyDescent="0.3">
      <c r="A2853" t="s">
        <v>12926</v>
      </c>
      <c r="B2853" s="9">
        <f>COUNTIF(Levels!B:B,A2853)</f>
        <v>1</v>
      </c>
      <c r="C2853" s="9">
        <f>IFERROR(AVERAGEIF(Levels!B:B,A2853,Levels!E:E),0)</f>
        <v>0</v>
      </c>
      <c r="D2853" s="9">
        <f>IFERROR(AVERAGEIF(Levels!B:B,A2853,Levels!F:F),0)</f>
        <v>6.74</v>
      </c>
      <c r="E2853" s="9">
        <f>_xlfn.MAXIFS(Levels!E:E,Levels!B:B,A2853)</f>
        <v>0</v>
      </c>
      <c r="F2853" s="9">
        <f>_xlfn.MAXIFS(Levels!F:F,Levels!B:B,A2853)</f>
        <v>6.74</v>
      </c>
    </row>
    <row r="2854" spans="1:6" x14ac:dyDescent="0.3">
      <c r="A2854" t="s">
        <v>12928</v>
      </c>
      <c r="B2854" s="6">
        <f>COUNTIF(Levels!B:B,A2854)</f>
        <v>1</v>
      </c>
      <c r="C2854" s="6">
        <f>IFERROR(AVERAGEIF(Levels!B:B,A2854,Levels!E:E),0)</f>
        <v>0</v>
      </c>
      <c r="D2854" s="6">
        <f>IFERROR(AVERAGEIF(Levels!B:B,A2854,Levels!F:F),0)</f>
        <v>4.93</v>
      </c>
      <c r="E2854" s="6">
        <f>_xlfn.MAXIFS(Levels!E:E,Levels!B:B,A2854)</f>
        <v>0</v>
      </c>
      <c r="F2854" s="6">
        <f>_xlfn.MAXIFS(Levels!F:F,Levels!B:B,A2854)</f>
        <v>4.93</v>
      </c>
    </row>
    <row r="2855" spans="1:6" x14ac:dyDescent="0.3">
      <c r="A2855" t="s">
        <v>12932</v>
      </c>
      <c r="B2855" s="9">
        <f>COUNTIF(Levels!B:B,A2855)</f>
        <v>1</v>
      </c>
      <c r="C2855" s="9">
        <f>IFERROR(AVERAGEIF(Levels!B:B,A2855,Levels!E:E),0)</f>
        <v>0</v>
      </c>
      <c r="D2855" s="9">
        <f>IFERROR(AVERAGEIF(Levels!B:B,A2855,Levels!F:F),0)</f>
        <v>4.8600000000000003</v>
      </c>
      <c r="E2855" s="9">
        <f>_xlfn.MAXIFS(Levels!E:E,Levels!B:B,A2855)</f>
        <v>0</v>
      </c>
      <c r="F2855" s="9">
        <f>_xlfn.MAXIFS(Levels!F:F,Levels!B:B,A2855)</f>
        <v>4.8600000000000003</v>
      </c>
    </row>
    <row r="2856" spans="1:6" x14ac:dyDescent="0.3">
      <c r="A2856" t="s">
        <v>12935</v>
      </c>
      <c r="B2856" s="6">
        <f>COUNTIF(Levels!B:B,A2856)</f>
        <v>1</v>
      </c>
      <c r="C2856" s="6">
        <f>IFERROR(AVERAGEIF(Levels!B:B,A2856,Levels!E:E),0)</f>
        <v>0</v>
      </c>
      <c r="D2856" s="6">
        <f>IFERROR(AVERAGEIF(Levels!B:B,A2856,Levels!F:F),0)</f>
        <v>6.22</v>
      </c>
      <c r="E2856" s="6">
        <f>_xlfn.MAXIFS(Levels!E:E,Levels!B:B,A2856)</f>
        <v>0</v>
      </c>
      <c r="F2856" s="6">
        <f>_xlfn.MAXIFS(Levels!F:F,Levels!B:B,A2856)</f>
        <v>6.22</v>
      </c>
    </row>
    <row r="2857" spans="1:6" x14ac:dyDescent="0.3">
      <c r="A2857" t="s">
        <v>12938</v>
      </c>
      <c r="B2857" s="9">
        <f>COUNTIF(Levels!B:B,A2857)</f>
        <v>2</v>
      </c>
      <c r="C2857" s="9">
        <f>IFERROR(AVERAGEIF(Levels!B:B,A2857,Levels!E:E),0)</f>
        <v>3.6550000000000002</v>
      </c>
      <c r="D2857" s="9">
        <f>IFERROR(AVERAGEIF(Levels!B:B,A2857,Levels!F:F),0)</f>
        <v>7.7249999999999996</v>
      </c>
      <c r="E2857" s="9">
        <f>_xlfn.MAXIFS(Levels!E:E,Levels!B:B,A2857)</f>
        <v>4.9400000000000004</v>
      </c>
      <c r="F2857" s="9">
        <f>_xlfn.MAXIFS(Levels!F:F,Levels!B:B,A2857)</f>
        <v>8.17</v>
      </c>
    </row>
    <row r="2858" spans="1:6" x14ac:dyDescent="0.3">
      <c r="A2858" t="s">
        <v>12940</v>
      </c>
      <c r="B2858" s="6">
        <f>COUNTIF(Levels!B:B,A2858)</f>
        <v>2</v>
      </c>
      <c r="C2858" s="6">
        <f>IFERROR(AVERAGEIF(Levels!B:B,A2858,Levels!E:E),0)</f>
        <v>6.415</v>
      </c>
      <c r="D2858" s="6">
        <f>IFERROR(AVERAGEIF(Levels!B:B,A2858,Levels!F:F),0)</f>
        <v>8.1649999999999991</v>
      </c>
      <c r="E2858" s="6">
        <f>_xlfn.MAXIFS(Levels!E:E,Levels!B:B,A2858)</f>
        <v>7.73</v>
      </c>
      <c r="F2858" s="6">
        <f>_xlfn.MAXIFS(Levels!F:F,Levels!B:B,A2858)</f>
        <v>8.56</v>
      </c>
    </row>
    <row r="2859" spans="1:6" x14ac:dyDescent="0.3">
      <c r="A2859" t="s">
        <v>12942</v>
      </c>
      <c r="B2859" s="9">
        <f>COUNTIF(Levels!B:B,A2859)</f>
        <v>2</v>
      </c>
      <c r="C2859" s="9">
        <f>IFERROR(AVERAGEIF(Levels!B:B,A2859,Levels!E:E),0)</f>
        <v>15.82</v>
      </c>
      <c r="D2859" s="9">
        <f>IFERROR(AVERAGEIF(Levels!B:B,A2859,Levels!F:F),0)</f>
        <v>7.8100000000000005</v>
      </c>
      <c r="E2859" s="9">
        <f>_xlfn.MAXIFS(Levels!E:E,Levels!B:B,A2859)</f>
        <v>15.82</v>
      </c>
      <c r="F2859" s="9">
        <f>_xlfn.MAXIFS(Levels!F:F,Levels!B:B,A2859)</f>
        <v>7.89</v>
      </c>
    </row>
    <row r="2860" spans="1:6" x14ac:dyDescent="0.3">
      <c r="A2860" t="s">
        <v>12944</v>
      </c>
      <c r="B2860" s="6">
        <f>COUNTIF(Levels!B:B,A2860)</f>
        <v>1</v>
      </c>
      <c r="C2860" s="6">
        <f>IFERROR(AVERAGEIF(Levels!B:B,A2860,Levels!E:E),0)</f>
        <v>0</v>
      </c>
      <c r="D2860" s="6">
        <f>IFERROR(AVERAGEIF(Levels!B:B,A2860,Levels!F:F),0)</f>
        <v>6.84</v>
      </c>
      <c r="E2860" s="6">
        <f>_xlfn.MAXIFS(Levels!E:E,Levels!B:B,A2860)</f>
        <v>0</v>
      </c>
      <c r="F2860" s="6">
        <f>_xlfn.MAXIFS(Levels!F:F,Levels!B:B,A2860)</f>
        <v>6.84</v>
      </c>
    </row>
    <row r="2861" spans="1:6" x14ac:dyDescent="0.3">
      <c r="A2861" t="s">
        <v>12945</v>
      </c>
      <c r="B2861" s="9">
        <f>COUNTIF(Levels!B:B,A2861)</f>
        <v>1</v>
      </c>
      <c r="C2861" s="9">
        <f>IFERROR(AVERAGEIF(Levels!B:B,A2861,Levels!E:E),0)</f>
        <v>0</v>
      </c>
      <c r="D2861" s="9">
        <f>IFERROR(AVERAGEIF(Levels!B:B,A2861,Levels!F:F),0)</f>
        <v>6.11</v>
      </c>
      <c r="E2861" s="9">
        <f>_xlfn.MAXIFS(Levels!E:E,Levels!B:B,A2861)</f>
        <v>0</v>
      </c>
      <c r="F2861" s="9">
        <f>_xlfn.MAXIFS(Levels!F:F,Levels!B:B,A2861)</f>
        <v>6.11</v>
      </c>
    </row>
    <row r="2862" spans="1:6" x14ac:dyDescent="0.3">
      <c r="A2862" t="s">
        <v>12948</v>
      </c>
      <c r="B2862" s="6">
        <f>COUNTIF(Levels!B:B,A2862)</f>
        <v>1</v>
      </c>
      <c r="C2862" s="6">
        <f>IFERROR(AVERAGEIF(Levels!B:B,A2862,Levels!E:E),0)</f>
        <v>0</v>
      </c>
      <c r="D2862" s="6">
        <f>IFERROR(AVERAGEIF(Levels!B:B,A2862,Levels!F:F),0)</f>
        <v>3.69</v>
      </c>
      <c r="E2862" s="6">
        <f>_xlfn.MAXIFS(Levels!E:E,Levels!B:B,A2862)</f>
        <v>0</v>
      </c>
      <c r="F2862" s="6">
        <f>_xlfn.MAXIFS(Levels!F:F,Levels!B:B,A2862)</f>
        <v>3.69</v>
      </c>
    </row>
    <row r="2863" spans="1:6" x14ac:dyDescent="0.3">
      <c r="A2863" t="s">
        <v>12950</v>
      </c>
      <c r="B2863" s="9">
        <f>COUNTIF(Levels!B:B,A2863)</f>
        <v>2</v>
      </c>
      <c r="C2863" s="9">
        <f>IFERROR(AVERAGEIF(Levels!B:B,A2863,Levels!E:E),0)</f>
        <v>2.63</v>
      </c>
      <c r="D2863" s="9">
        <f>IFERROR(AVERAGEIF(Levels!B:B,A2863,Levels!F:F),0)</f>
        <v>7.3900000000000006</v>
      </c>
      <c r="E2863" s="9">
        <f>_xlfn.MAXIFS(Levels!E:E,Levels!B:B,A2863)</f>
        <v>3.23</v>
      </c>
      <c r="F2863" s="9">
        <f>_xlfn.MAXIFS(Levels!F:F,Levels!B:B,A2863)</f>
        <v>7.78</v>
      </c>
    </row>
    <row r="2864" spans="1:6" x14ac:dyDescent="0.3">
      <c r="A2864" t="s">
        <v>12954</v>
      </c>
      <c r="B2864" s="6">
        <f>COUNTIF(Levels!B:B,A2864)</f>
        <v>1</v>
      </c>
      <c r="C2864" s="6">
        <f>IFERROR(AVERAGEIF(Levels!B:B,A2864,Levels!E:E),0)</f>
        <v>27.5</v>
      </c>
      <c r="D2864" s="6">
        <f>IFERROR(AVERAGEIF(Levels!B:B,A2864,Levels!F:F),0)</f>
        <v>5.5</v>
      </c>
      <c r="E2864" s="6">
        <f>_xlfn.MAXIFS(Levels!E:E,Levels!B:B,A2864)</f>
        <v>27.5</v>
      </c>
      <c r="F2864" s="6">
        <f>_xlfn.MAXIFS(Levels!F:F,Levels!B:B,A2864)</f>
        <v>5.5</v>
      </c>
    </row>
    <row r="2865" spans="1:6" x14ac:dyDescent="0.3">
      <c r="A2865" t="s">
        <v>12959</v>
      </c>
      <c r="B2865" s="9">
        <f>COUNTIF(Levels!B:B,A2865)</f>
        <v>1</v>
      </c>
      <c r="C2865" s="9">
        <f>IFERROR(AVERAGEIF(Levels!B:B,A2865,Levels!E:E),0)</f>
        <v>11.33</v>
      </c>
      <c r="D2865" s="9">
        <f>IFERROR(AVERAGEIF(Levels!B:B,A2865,Levels!F:F),0)</f>
        <v>7.47</v>
      </c>
      <c r="E2865" s="9">
        <f>_xlfn.MAXIFS(Levels!E:E,Levels!B:B,A2865)</f>
        <v>11.33</v>
      </c>
      <c r="F2865" s="9">
        <f>_xlfn.MAXIFS(Levels!F:F,Levels!B:B,A2865)</f>
        <v>7.47</v>
      </c>
    </row>
    <row r="2866" spans="1:6" x14ac:dyDescent="0.3">
      <c r="A2866" t="s">
        <v>12961</v>
      </c>
      <c r="B2866" s="6">
        <f>COUNTIF(Levels!B:B,A2866)</f>
        <v>1</v>
      </c>
      <c r="C2866" s="6">
        <f>IFERROR(AVERAGEIF(Levels!B:B,A2866,Levels!E:E),0)</f>
        <v>0</v>
      </c>
      <c r="D2866" s="6">
        <f>IFERROR(AVERAGEIF(Levels!B:B,A2866,Levels!F:F),0)</f>
        <v>4.6399999999999997</v>
      </c>
      <c r="E2866" s="6">
        <f>_xlfn.MAXIFS(Levels!E:E,Levels!B:B,A2866)</f>
        <v>0</v>
      </c>
      <c r="F2866" s="6">
        <f>_xlfn.MAXIFS(Levels!F:F,Levels!B:B,A2866)</f>
        <v>4.6399999999999997</v>
      </c>
    </row>
    <row r="2867" spans="1:6" x14ac:dyDescent="0.3">
      <c r="A2867" t="s">
        <v>12967</v>
      </c>
      <c r="B2867" s="9">
        <f>COUNTIF(Levels!B:B,A2867)</f>
        <v>1</v>
      </c>
      <c r="C2867" s="9">
        <f>IFERROR(AVERAGEIF(Levels!B:B,A2867,Levels!E:E),0)</f>
        <v>2.85</v>
      </c>
      <c r="D2867" s="9">
        <f>IFERROR(AVERAGEIF(Levels!B:B,A2867,Levels!F:F),0)</f>
        <v>7.16</v>
      </c>
      <c r="E2867" s="9">
        <f>_xlfn.MAXIFS(Levels!E:E,Levels!B:B,A2867)</f>
        <v>2.85</v>
      </c>
      <c r="F2867" s="9">
        <f>_xlfn.MAXIFS(Levels!F:F,Levels!B:B,A2867)</f>
        <v>7.16</v>
      </c>
    </row>
    <row r="2868" spans="1:6" x14ac:dyDescent="0.3">
      <c r="A2868" t="s">
        <v>12970</v>
      </c>
      <c r="B2868" s="6">
        <f>COUNTIF(Levels!B:B,A2868)</f>
        <v>2</v>
      </c>
      <c r="C2868" s="6">
        <f>IFERROR(AVERAGEIF(Levels!B:B,A2868,Levels!E:E),0)</f>
        <v>9.8350000000000009</v>
      </c>
      <c r="D2868" s="6">
        <f>IFERROR(AVERAGEIF(Levels!B:B,A2868,Levels!F:F),0)</f>
        <v>6.83</v>
      </c>
      <c r="E2868" s="6">
        <f>_xlfn.MAXIFS(Levels!E:E,Levels!B:B,A2868)</f>
        <v>12.5</v>
      </c>
      <c r="F2868" s="6">
        <f>_xlfn.MAXIFS(Levels!F:F,Levels!B:B,A2868)</f>
        <v>7.33</v>
      </c>
    </row>
    <row r="2869" spans="1:6" x14ac:dyDescent="0.3">
      <c r="A2869" t="s">
        <v>12973</v>
      </c>
      <c r="B2869" s="9">
        <f>COUNTIF(Levels!B:B,A2869)</f>
        <v>2</v>
      </c>
      <c r="C2869" s="9">
        <f>IFERROR(AVERAGEIF(Levels!B:B,A2869,Levels!E:E),0)</f>
        <v>0</v>
      </c>
      <c r="D2869" s="9">
        <f>IFERROR(AVERAGEIF(Levels!B:B,A2869,Levels!F:F),0)</f>
        <v>6.6349999999999998</v>
      </c>
      <c r="E2869" s="9">
        <f>_xlfn.MAXIFS(Levels!E:E,Levels!B:B,A2869)</f>
        <v>0</v>
      </c>
      <c r="F2869" s="9">
        <f>_xlfn.MAXIFS(Levels!F:F,Levels!B:B,A2869)</f>
        <v>7</v>
      </c>
    </row>
    <row r="2870" spans="1:6" x14ac:dyDescent="0.3">
      <c r="A2870" t="s">
        <v>12979</v>
      </c>
      <c r="B2870" s="6">
        <f>COUNTIF(Levels!B:B,A2870)</f>
        <v>3</v>
      </c>
      <c r="C2870" s="6">
        <f>IFERROR(AVERAGEIF(Levels!B:B,A2870,Levels!E:E),0)</f>
        <v>0</v>
      </c>
      <c r="D2870" s="6">
        <f>IFERROR(AVERAGEIF(Levels!B:B,A2870,Levels!F:F),0)</f>
        <v>5.5866666666666669</v>
      </c>
      <c r="E2870" s="6">
        <f>_xlfn.MAXIFS(Levels!E:E,Levels!B:B,A2870)</f>
        <v>0</v>
      </c>
      <c r="F2870" s="6">
        <f>_xlfn.MAXIFS(Levels!F:F,Levels!B:B,A2870)</f>
        <v>7.86</v>
      </c>
    </row>
    <row r="2871" spans="1:6" x14ac:dyDescent="0.3">
      <c r="A2871" t="s">
        <v>12981</v>
      </c>
      <c r="B2871" s="9">
        <f>COUNTIF(Levels!B:B,A2871)</f>
        <v>1</v>
      </c>
      <c r="C2871" s="9">
        <f>IFERROR(AVERAGEIF(Levels!B:B,A2871,Levels!E:E),0)</f>
        <v>17</v>
      </c>
      <c r="D2871" s="9">
        <f>IFERROR(AVERAGEIF(Levels!B:B,A2871,Levels!F:F),0)</f>
        <v>8.1300000000000008</v>
      </c>
      <c r="E2871" s="9">
        <f>_xlfn.MAXIFS(Levels!E:E,Levels!B:B,A2871)</f>
        <v>17</v>
      </c>
      <c r="F2871" s="9">
        <f>_xlfn.MAXIFS(Levels!F:F,Levels!B:B,A2871)</f>
        <v>8.1300000000000008</v>
      </c>
    </row>
    <row r="2872" spans="1:6" x14ac:dyDescent="0.3">
      <c r="A2872" t="s">
        <v>12996</v>
      </c>
      <c r="B2872" s="6">
        <f>COUNTIF(Levels!B:B,A2872)</f>
        <v>1</v>
      </c>
      <c r="C2872" s="6">
        <f>IFERROR(AVERAGEIF(Levels!B:B,A2872,Levels!E:E),0)</f>
        <v>8.26</v>
      </c>
      <c r="D2872" s="6">
        <f>IFERROR(AVERAGEIF(Levels!B:B,A2872,Levels!F:F),0)</f>
        <v>5.77</v>
      </c>
      <c r="E2872" s="6">
        <f>_xlfn.MAXIFS(Levels!E:E,Levels!B:B,A2872)</f>
        <v>8.26</v>
      </c>
      <c r="F2872" s="6">
        <f>_xlfn.MAXIFS(Levels!F:F,Levels!B:B,A2872)</f>
        <v>5.77</v>
      </c>
    </row>
    <row r="2873" spans="1:6" x14ac:dyDescent="0.3">
      <c r="A2873" t="s">
        <v>12999</v>
      </c>
      <c r="B2873" s="9">
        <f>COUNTIF(Levels!B:B,A2873)</f>
        <v>2</v>
      </c>
      <c r="C2873" s="9">
        <f>IFERROR(AVERAGEIF(Levels!B:B,A2873,Levels!E:E),0)</f>
        <v>6.165</v>
      </c>
      <c r="D2873" s="9">
        <f>IFERROR(AVERAGEIF(Levels!B:B,A2873,Levels!F:F),0)</f>
        <v>6.9949999999999992</v>
      </c>
      <c r="E2873" s="9">
        <f>_xlfn.MAXIFS(Levels!E:E,Levels!B:B,A2873)</f>
        <v>9</v>
      </c>
      <c r="F2873" s="9">
        <f>_xlfn.MAXIFS(Levels!F:F,Levels!B:B,A2873)</f>
        <v>7.64</v>
      </c>
    </row>
    <row r="2874" spans="1:6" x14ac:dyDescent="0.3">
      <c r="A2874" t="s">
        <v>13013</v>
      </c>
      <c r="B2874" s="6">
        <f>COUNTIF(Levels!B:B,A2874)</f>
        <v>1</v>
      </c>
      <c r="C2874" s="6">
        <f>IFERROR(AVERAGEIF(Levels!B:B,A2874,Levels!E:E),0)</f>
        <v>0</v>
      </c>
      <c r="D2874" s="6">
        <f>IFERROR(AVERAGEIF(Levels!B:B,A2874,Levels!F:F),0)</f>
        <v>3.45</v>
      </c>
      <c r="E2874" s="6">
        <f>_xlfn.MAXIFS(Levels!E:E,Levels!B:B,A2874)</f>
        <v>0</v>
      </c>
      <c r="F2874" s="6">
        <f>_xlfn.MAXIFS(Levels!F:F,Levels!B:B,A2874)</f>
        <v>3.45</v>
      </c>
    </row>
    <row r="2875" spans="1:6" x14ac:dyDescent="0.3">
      <c r="A2875" t="s">
        <v>13015</v>
      </c>
      <c r="B2875" s="9">
        <f>COUNTIF(Levels!B:B,A2875)</f>
        <v>1</v>
      </c>
      <c r="C2875" s="9">
        <f>IFERROR(AVERAGEIF(Levels!B:B,A2875,Levels!E:E),0)</f>
        <v>0</v>
      </c>
      <c r="D2875" s="9">
        <f>IFERROR(AVERAGEIF(Levels!B:B,A2875,Levels!F:F),0)</f>
        <v>3.69</v>
      </c>
      <c r="E2875" s="9">
        <f>_xlfn.MAXIFS(Levels!E:E,Levels!B:B,A2875)</f>
        <v>0</v>
      </c>
      <c r="F2875" s="9">
        <f>_xlfn.MAXIFS(Levels!F:F,Levels!B:B,A2875)</f>
        <v>3.69</v>
      </c>
    </row>
    <row r="2876" spans="1:6" x14ac:dyDescent="0.3">
      <c r="A2876" t="s">
        <v>13018</v>
      </c>
      <c r="B2876" s="6">
        <f>COUNTIF(Levels!B:B,A2876)</f>
        <v>2</v>
      </c>
      <c r="C2876" s="6">
        <f>IFERROR(AVERAGEIF(Levels!B:B,A2876,Levels!E:E),0)</f>
        <v>2.6950000000000003</v>
      </c>
      <c r="D2876" s="6">
        <f>IFERROR(AVERAGEIF(Levels!B:B,A2876,Levels!F:F),0)</f>
        <v>7.2650000000000006</v>
      </c>
      <c r="E2876" s="6">
        <f>_xlfn.MAXIFS(Levels!E:E,Levels!B:B,A2876)</f>
        <v>4.3600000000000003</v>
      </c>
      <c r="F2876" s="6">
        <f>_xlfn.MAXIFS(Levels!F:F,Levels!B:B,A2876)</f>
        <v>7.63</v>
      </c>
    </row>
    <row r="2877" spans="1:6" x14ac:dyDescent="0.3">
      <c r="A2877" t="s">
        <v>13020</v>
      </c>
      <c r="B2877" s="9">
        <f>COUNTIF(Levels!B:B,A2877)</f>
        <v>1</v>
      </c>
      <c r="C2877" s="9">
        <f>IFERROR(AVERAGEIF(Levels!B:B,A2877,Levels!E:E),0)</f>
        <v>7.4</v>
      </c>
      <c r="D2877" s="9">
        <f>IFERROR(AVERAGEIF(Levels!B:B,A2877,Levels!F:F),0)</f>
        <v>8.67</v>
      </c>
      <c r="E2877" s="9">
        <f>_xlfn.MAXIFS(Levels!E:E,Levels!B:B,A2877)</f>
        <v>7.4</v>
      </c>
      <c r="F2877" s="9">
        <f>_xlfn.MAXIFS(Levels!F:F,Levels!B:B,A2877)</f>
        <v>8.67</v>
      </c>
    </row>
    <row r="2878" spans="1:6" x14ac:dyDescent="0.3">
      <c r="A2878" t="s">
        <v>13025</v>
      </c>
      <c r="B2878" s="6">
        <f>COUNTIF(Levels!B:B,A2878)</f>
        <v>2</v>
      </c>
      <c r="C2878" s="6">
        <f>IFERROR(AVERAGEIF(Levels!B:B,A2878,Levels!E:E),0)</f>
        <v>6.95</v>
      </c>
      <c r="D2878" s="6">
        <f>IFERROR(AVERAGEIF(Levels!B:B,A2878,Levels!F:F),0)</f>
        <v>6.91</v>
      </c>
      <c r="E2878" s="6">
        <f>_xlfn.MAXIFS(Levels!E:E,Levels!B:B,A2878)</f>
        <v>6.95</v>
      </c>
      <c r="F2878" s="6">
        <f>_xlfn.MAXIFS(Levels!F:F,Levels!B:B,A2878)</f>
        <v>7</v>
      </c>
    </row>
    <row r="2879" spans="1:6" x14ac:dyDescent="0.3">
      <c r="A2879" t="s">
        <v>13028</v>
      </c>
      <c r="B2879" s="9">
        <f>COUNTIF(Levels!B:B,A2879)</f>
        <v>1</v>
      </c>
      <c r="C2879" s="9">
        <f>IFERROR(AVERAGEIF(Levels!B:B,A2879,Levels!E:E),0)</f>
        <v>3.15</v>
      </c>
      <c r="D2879" s="9">
        <f>IFERROR(AVERAGEIF(Levels!B:B,A2879,Levels!F:F),0)</f>
        <v>5.16</v>
      </c>
      <c r="E2879" s="9">
        <f>_xlfn.MAXIFS(Levels!E:E,Levels!B:B,A2879)</f>
        <v>3.15</v>
      </c>
      <c r="F2879" s="9">
        <f>_xlfn.MAXIFS(Levels!F:F,Levels!B:B,A2879)</f>
        <v>5.16</v>
      </c>
    </row>
    <row r="2880" spans="1:6" x14ac:dyDescent="0.3">
      <c r="A2880" t="s">
        <v>13030</v>
      </c>
      <c r="B2880" s="6">
        <f>COUNTIF(Levels!B:B,A2880)</f>
        <v>5</v>
      </c>
      <c r="C2880" s="6">
        <f>IFERROR(AVERAGEIF(Levels!B:B,A2880,Levels!E:E),0)</f>
        <v>0</v>
      </c>
      <c r="D2880" s="6">
        <f>IFERROR(AVERAGEIF(Levels!B:B,A2880,Levels!F:F),0)</f>
        <v>6.9</v>
      </c>
      <c r="E2880" s="6">
        <f>_xlfn.MAXIFS(Levels!E:E,Levels!B:B,A2880)</f>
        <v>0</v>
      </c>
      <c r="F2880" s="6">
        <f>_xlfn.MAXIFS(Levels!F:F,Levels!B:B,A2880)</f>
        <v>10</v>
      </c>
    </row>
    <row r="2881" spans="1:6" x14ac:dyDescent="0.3">
      <c r="A2881" t="s">
        <v>13038</v>
      </c>
      <c r="B2881" s="9">
        <f>COUNTIF(Levels!B:B,A2881)</f>
        <v>1</v>
      </c>
      <c r="C2881" s="9">
        <f>IFERROR(AVERAGEIF(Levels!B:B,A2881,Levels!E:E),0)</f>
        <v>0</v>
      </c>
      <c r="D2881" s="9">
        <f>IFERROR(AVERAGEIF(Levels!B:B,A2881,Levels!F:F),0)</f>
        <v>8.33</v>
      </c>
      <c r="E2881" s="9">
        <f>_xlfn.MAXIFS(Levels!E:E,Levels!B:B,A2881)</f>
        <v>0</v>
      </c>
      <c r="F2881" s="9">
        <f>_xlfn.MAXIFS(Levels!F:F,Levels!B:B,A2881)</f>
        <v>8.33</v>
      </c>
    </row>
    <row r="2882" spans="1:6" x14ac:dyDescent="0.3">
      <c r="A2882" t="s">
        <v>13043</v>
      </c>
      <c r="B2882" s="6">
        <f>COUNTIF(Levels!B:B,A2882)</f>
        <v>1</v>
      </c>
      <c r="C2882" s="6">
        <f>IFERROR(AVERAGEIF(Levels!B:B,A2882,Levels!E:E),0)</f>
        <v>0</v>
      </c>
      <c r="D2882" s="6">
        <f>IFERROR(AVERAGEIF(Levels!B:B,A2882,Levels!F:F),0)</f>
        <v>6.47</v>
      </c>
      <c r="E2882" s="6">
        <f>_xlfn.MAXIFS(Levels!E:E,Levels!B:B,A2882)</f>
        <v>0</v>
      </c>
      <c r="F2882" s="6">
        <f>_xlfn.MAXIFS(Levels!F:F,Levels!B:B,A2882)</f>
        <v>6.47</v>
      </c>
    </row>
    <row r="2883" spans="1:6" x14ac:dyDescent="0.3">
      <c r="A2883" t="s">
        <v>13045</v>
      </c>
      <c r="B2883" s="9">
        <f>COUNTIF(Levels!B:B,A2883)</f>
        <v>2</v>
      </c>
      <c r="C2883" s="9">
        <f>IFERROR(AVERAGEIF(Levels!B:B,A2883,Levels!E:E),0)</f>
        <v>15.850000000000001</v>
      </c>
      <c r="D2883" s="9">
        <f>IFERROR(AVERAGEIF(Levels!B:B,A2883,Levels!F:F),0)</f>
        <v>7.8149999999999995</v>
      </c>
      <c r="E2883" s="9">
        <f>_xlfn.MAXIFS(Levels!E:E,Levels!B:B,A2883)</f>
        <v>16.100000000000001</v>
      </c>
      <c r="F2883" s="9">
        <f>_xlfn.MAXIFS(Levels!F:F,Levels!B:B,A2883)</f>
        <v>8.1999999999999993</v>
      </c>
    </row>
    <row r="2884" spans="1:6" x14ac:dyDescent="0.3">
      <c r="A2884" t="s">
        <v>13047</v>
      </c>
      <c r="B2884" s="6">
        <f>COUNTIF(Levels!B:B,A2884)</f>
        <v>1</v>
      </c>
      <c r="C2884" s="6">
        <f>IFERROR(AVERAGEIF(Levels!B:B,A2884,Levels!E:E),0)</f>
        <v>0</v>
      </c>
      <c r="D2884" s="6">
        <f>IFERROR(AVERAGEIF(Levels!B:B,A2884,Levels!F:F),0)</f>
        <v>4.8600000000000003</v>
      </c>
      <c r="E2884" s="6">
        <f>_xlfn.MAXIFS(Levels!E:E,Levels!B:B,A2884)</f>
        <v>0</v>
      </c>
      <c r="F2884" s="6">
        <f>_xlfn.MAXIFS(Levels!F:F,Levels!B:B,A2884)</f>
        <v>4.8600000000000003</v>
      </c>
    </row>
    <row r="2885" spans="1:6" x14ac:dyDescent="0.3">
      <c r="A2885" t="s">
        <v>13060</v>
      </c>
      <c r="B2885" s="9">
        <f>COUNTIF(Levels!B:B,A2885)</f>
        <v>1</v>
      </c>
      <c r="C2885" s="9">
        <f>IFERROR(AVERAGEIF(Levels!B:B,A2885,Levels!E:E),0)</f>
        <v>3.67</v>
      </c>
      <c r="D2885" s="9">
        <f>IFERROR(AVERAGEIF(Levels!B:B,A2885,Levels!F:F),0)</f>
        <v>6.27</v>
      </c>
      <c r="E2885" s="9">
        <f>_xlfn.MAXIFS(Levels!E:E,Levels!B:B,A2885)</f>
        <v>3.67</v>
      </c>
      <c r="F2885" s="9">
        <f>_xlfn.MAXIFS(Levels!F:F,Levels!B:B,A2885)</f>
        <v>6.27</v>
      </c>
    </row>
    <row r="2886" spans="1:6" x14ac:dyDescent="0.3">
      <c r="A2886" t="s">
        <v>13062</v>
      </c>
      <c r="B2886" s="6">
        <f>COUNTIF(Levels!B:B,A2886)</f>
        <v>1</v>
      </c>
      <c r="C2886" s="6">
        <f>IFERROR(AVERAGEIF(Levels!B:B,A2886,Levels!E:E),0)</f>
        <v>4.87</v>
      </c>
      <c r="D2886" s="6">
        <f>IFERROR(AVERAGEIF(Levels!B:B,A2886,Levels!F:F),0)</f>
        <v>7.42</v>
      </c>
      <c r="E2886" s="6">
        <f>_xlfn.MAXIFS(Levels!E:E,Levels!B:B,A2886)</f>
        <v>4.87</v>
      </c>
      <c r="F2886" s="6">
        <f>_xlfn.MAXIFS(Levels!F:F,Levels!B:B,A2886)</f>
        <v>7.42</v>
      </c>
    </row>
    <row r="2887" spans="1:6" x14ac:dyDescent="0.3">
      <c r="A2887" t="s">
        <v>13069</v>
      </c>
      <c r="B2887" s="9">
        <f>COUNTIF(Levels!B:B,A2887)</f>
        <v>2</v>
      </c>
      <c r="C2887" s="9">
        <f>IFERROR(AVERAGEIF(Levels!B:B,A2887,Levels!E:E),0)</f>
        <v>2.33</v>
      </c>
      <c r="D2887" s="9">
        <f>IFERROR(AVERAGEIF(Levels!B:B,A2887,Levels!F:F),0)</f>
        <v>7.98</v>
      </c>
      <c r="E2887" s="9">
        <f>_xlfn.MAXIFS(Levels!E:E,Levels!B:B,A2887)</f>
        <v>3.26</v>
      </c>
      <c r="F2887" s="9">
        <f>_xlfn.MAXIFS(Levels!F:F,Levels!B:B,A2887)</f>
        <v>8.01</v>
      </c>
    </row>
    <row r="2888" spans="1:6" x14ac:dyDescent="0.3">
      <c r="A2888" t="s">
        <v>13072</v>
      </c>
      <c r="B2888" s="6">
        <f>COUNTIF(Levels!B:B,A2888)</f>
        <v>1</v>
      </c>
      <c r="C2888" s="6">
        <f>IFERROR(AVERAGEIF(Levels!B:B,A2888,Levels!E:E),0)</f>
        <v>5.47</v>
      </c>
      <c r="D2888" s="6">
        <f>IFERROR(AVERAGEIF(Levels!B:B,A2888,Levels!F:F),0)</f>
        <v>6.21</v>
      </c>
      <c r="E2888" s="6">
        <f>_xlfn.MAXIFS(Levels!E:E,Levels!B:B,A2888)</f>
        <v>5.47</v>
      </c>
      <c r="F2888" s="6">
        <f>_xlfn.MAXIFS(Levels!F:F,Levels!B:B,A2888)</f>
        <v>6.21</v>
      </c>
    </row>
    <row r="2889" spans="1:6" x14ac:dyDescent="0.3">
      <c r="A2889" t="s">
        <v>13074</v>
      </c>
      <c r="B2889" s="9">
        <f>COUNTIF(Levels!B:B,A2889)</f>
        <v>1</v>
      </c>
      <c r="C2889" s="9">
        <f>IFERROR(AVERAGEIF(Levels!B:B,A2889,Levels!E:E),0)</f>
        <v>17.920000000000002</v>
      </c>
      <c r="D2889" s="9">
        <f>IFERROR(AVERAGEIF(Levels!B:B,A2889,Levels!F:F),0)</f>
        <v>7.5</v>
      </c>
      <c r="E2889" s="9">
        <f>_xlfn.MAXIFS(Levels!E:E,Levels!B:B,A2889)</f>
        <v>17.920000000000002</v>
      </c>
      <c r="F2889" s="9">
        <f>_xlfn.MAXIFS(Levels!F:F,Levels!B:B,A2889)</f>
        <v>7.5</v>
      </c>
    </row>
    <row r="2890" spans="1:6" x14ac:dyDescent="0.3">
      <c r="A2890" t="s">
        <v>13076</v>
      </c>
      <c r="B2890" s="6">
        <f>COUNTIF(Levels!B:B,A2890)</f>
        <v>1</v>
      </c>
      <c r="C2890" s="6">
        <f>IFERROR(AVERAGEIF(Levels!B:B,A2890,Levels!E:E),0)</f>
        <v>0</v>
      </c>
      <c r="D2890" s="6">
        <f>IFERROR(AVERAGEIF(Levels!B:B,A2890,Levels!F:F),0)</f>
        <v>5.45</v>
      </c>
      <c r="E2890" s="6">
        <f>_xlfn.MAXIFS(Levels!E:E,Levels!B:B,A2890)</f>
        <v>0</v>
      </c>
      <c r="F2890" s="6">
        <f>_xlfn.MAXIFS(Levels!F:F,Levels!B:B,A2890)</f>
        <v>5.45</v>
      </c>
    </row>
    <row r="2891" spans="1:6" x14ac:dyDescent="0.3">
      <c r="A2891" t="s">
        <v>13083</v>
      </c>
      <c r="B2891" s="9">
        <f>COUNTIF(Levels!B:B,A2891)</f>
        <v>2</v>
      </c>
      <c r="C2891" s="9">
        <f>IFERROR(AVERAGEIF(Levels!B:B,A2891,Levels!E:E),0)</f>
        <v>7.21</v>
      </c>
      <c r="D2891" s="9">
        <f>IFERROR(AVERAGEIF(Levels!B:B,A2891,Levels!F:F),0)</f>
        <v>7.48</v>
      </c>
      <c r="E2891" s="9">
        <f>_xlfn.MAXIFS(Levels!E:E,Levels!B:B,A2891)</f>
        <v>10.43</v>
      </c>
      <c r="F2891" s="9">
        <f>_xlfn.MAXIFS(Levels!F:F,Levels!B:B,A2891)</f>
        <v>7.84</v>
      </c>
    </row>
    <row r="2892" spans="1:6" x14ac:dyDescent="0.3">
      <c r="A2892" t="s">
        <v>13086</v>
      </c>
      <c r="B2892" s="6">
        <f>COUNTIF(Levels!B:B,A2892)</f>
        <v>1</v>
      </c>
      <c r="C2892" s="6">
        <f>IFERROR(AVERAGEIF(Levels!B:B,A2892,Levels!E:E),0)</f>
        <v>20.67</v>
      </c>
      <c r="D2892" s="6">
        <f>IFERROR(AVERAGEIF(Levels!B:B,A2892,Levels!F:F),0)</f>
        <v>7.33</v>
      </c>
      <c r="E2892" s="6">
        <f>_xlfn.MAXIFS(Levels!E:E,Levels!B:B,A2892)</f>
        <v>20.67</v>
      </c>
      <c r="F2892" s="6">
        <f>_xlfn.MAXIFS(Levels!F:F,Levels!B:B,A2892)</f>
        <v>7.33</v>
      </c>
    </row>
    <row r="2893" spans="1:6" x14ac:dyDescent="0.3">
      <c r="A2893" t="s">
        <v>1706</v>
      </c>
      <c r="B2893" s="9">
        <f>COUNTIF(Levels!B:B,A2893)</f>
        <v>3</v>
      </c>
      <c r="C2893" s="9">
        <f>IFERROR(AVERAGEIF(Levels!B:B,A2893,Levels!E:E),0)</f>
        <v>3.05</v>
      </c>
      <c r="D2893" s="9">
        <f>IFERROR(AVERAGEIF(Levels!B:B,A2893,Levels!F:F),0)</f>
        <v>8.11</v>
      </c>
      <c r="E2893" s="9">
        <f>_xlfn.MAXIFS(Levels!E:E,Levels!B:B,A2893)</f>
        <v>3.05</v>
      </c>
      <c r="F2893" s="9">
        <f>_xlfn.MAXIFS(Levels!F:F,Levels!B:B,A2893)</f>
        <v>9.5</v>
      </c>
    </row>
    <row r="2894" spans="1:6" x14ac:dyDescent="0.3">
      <c r="A2894" t="s">
        <v>13091</v>
      </c>
      <c r="B2894" s="6">
        <f>COUNTIF(Levels!B:B,A2894)</f>
        <v>1</v>
      </c>
      <c r="C2894" s="6">
        <f>IFERROR(AVERAGEIF(Levels!B:B,A2894,Levels!E:E),0)</f>
        <v>0</v>
      </c>
      <c r="D2894" s="6">
        <f>IFERROR(AVERAGEIF(Levels!B:B,A2894,Levels!F:F),0)</f>
        <v>6</v>
      </c>
      <c r="E2894" s="6">
        <f>_xlfn.MAXIFS(Levels!E:E,Levels!B:B,A2894)</f>
        <v>0</v>
      </c>
      <c r="F2894" s="6">
        <f>_xlfn.MAXIFS(Levels!F:F,Levels!B:B,A2894)</f>
        <v>6</v>
      </c>
    </row>
    <row r="2895" spans="1:6" x14ac:dyDescent="0.3">
      <c r="A2895" t="s">
        <v>13096</v>
      </c>
      <c r="B2895" s="9">
        <f>COUNTIF(Levels!B:B,A2895)</f>
        <v>1</v>
      </c>
      <c r="C2895" s="9">
        <f>IFERROR(AVERAGEIF(Levels!B:B,A2895,Levels!E:E),0)</f>
        <v>15</v>
      </c>
      <c r="D2895" s="9">
        <f>IFERROR(AVERAGEIF(Levels!B:B,A2895,Levels!F:F),0)</f>
        <v>5.5</v>
      </c>
      <c r="E2895" s="9">
        <f>_xlfn.MAXIFS(Levels!E:E,Levels!B:B,A2895)</f>
        <v>15</v>
      </c>
      <c r="F2895" s="9">
        <f>_xlfn.MAXIFS(Levels!F:F,Levels!B:B,A2895)</f>
        <v>5.5</v>
      </c>
    </row>
    <row r="2896" spans="1:6" x14ac:dyDescent="0.3">
      <c r="A2896" t="s">
        <v>13099</v>
      </c>
      <c r="B2896" s="6">
        <f>COUNTIF(Levels!B:B,A2896)</f>
        <v>1</v>
      </c>
      <c r="C2896" s="6">
        <f>IFERROR(AVERAGEIF(Levels!B:B,A2896,Levels!E:E),0)</f>
        <v>0</v>
      </c>
      <c r="D2896" s="6">
        <f>IFERROR(AVERAGEIF(Levels!B:B,A2896,Levels!F:F),0)</f>
        <v>5.86</v>
      </c>
      <c r="E2896" s="6">
        <f>_xlfn.MAXIFS(Levels!E:E,Levels!B:B,A2896)</f>
        <v>0</v>
      </c>
      <c r="F2896" s="6">
        <f>_xlfn.MAXIFS(Levels!F:F,Levels!B:B,A2896)</f>
        <v>5.86</v>
      </c>
    </row>
    <row r="2897" spans="1:6" x14ac:dyDescent="0.3">
      <c r="A2897" t="s">
        <v>13104</v>
      </c>
      <c r="B2897" s="9">
        <f>COUNTIF(Levels!B:B,A2897)</f>
        <v>1</v>
      </c>
      <c r="C2897" s="9">
        <f>IFERROR(AVERAGEIF(Levels!B:B,A2897,Levels!E:E),0)</f>
        <v>0</v>
      </c>
      <c r="D2897" s="9">
        <f>IFERROR(AVERAGEIF(Levels!B:B,A2897,Levels!F:F),0)</f>
        <v>7.25</v>
      </c>
      <c r="E2897" s="9">
        <f>_xlfn.MAXIFS(Levels!E:E,Levels!B:B,A2897)</f>
        <v>0</v>
      </c>
      <c r="F2897" s="9">
        <f>_xlfn.MAXIFS(Levels!F:F,Levels!B:B,A2897)</f>
        <v>7.25</v>
      </c>
    </row>
    <row r="2898" spans="1:6" x14ac:dyDescent="0.3">
      <c r="A2898" t="s">
        <v>13107</v>
      </c>
      <c r="B2898" s="6">
        <f>COUNTIF(Levels!B:B,A2898)</f>
        <v>1</v>
      </c>
      <c r="C2898" s="6">
        <f>IFERROR(AVERAGEIF(Levels!B:B,A2898,Levels!E:E),0)</f>
        <v>0</v>
      </c>
      <c r="D2898" s="6">
        <f>IFERROR(AVERAGEIF(Levels!B:B,A2898,Levels!F:F),0)</f>
        <v>0</v>
      </c>
      <c r="E2898" s="6">
        <f>_xlfn.MAXIFS(Levels!E:E,Levels!B:B,A2898)</f>
        <v>0</v>
      </c>
      <c r="F2898" s="6">
        <f>_xlfn.MAXIFS(Levels!F:F,Levels!B:B,A2898)</f>
        <v>0</v>
      </c>
    </row>
    <row r="2899" spans="1:6" x14ac:dyDescent="0.3">
      <c r="A2899" t="s">
        <v>13113</v>
      </c>
      <c r="B2899" s="9">
        <f>COUNTIF(Levels!B:B,A2899)</f>
        <v>2</v>
      </c>
      <c r="C2899" s="9">
        <f>IFERROR(AVERAGEIF(Levels!B:B,A2899,Levels!E:E),0)</f>
        <v>10.434999999999999</v>
      </c>
      <c r="D2899" s="9">
        <f>IFERROR(AVERAGEIF(Levels!B:B,A2899,Levels!F:F),0)</f>
        <v>5.7149999999999999</v>
      </c>
      <c r="E2899" s="9">
        <f>_xlfn.MAXIFS(Levels!E:E,Levels!B:B,A2899)</f>
        <v>11.83</v>
      </c>
      <c r="F2899" s="9">
        <f>_xlfn.MAXIFS(Levels!F:F,Levels!B:B,A2899)</f>
        <v>6.65</v>
      </c>
    </row>
    <row r="2900" spans="1:6" x14ac:dyDescent="0.3">
      <c r="A2900" t="s">
        <v>13123</v>
      </c>
      <c r="B2900" s="6">
        <f>COUNTIF(Levels!B:B,A2900)</f>
        <v>1</v>
      </c>
      <c r="C2900" s="6">
        <f>IFERROR(AVERAGEIF(Levels!B:B,A2900,Levels!E:E),0)</f>
        <v>2.97</v>
      </c>
      <c r="D2900" s="6">
        <f>IFERROR(AVERAGEIF(Levels!B:B,A2900,Levels!F:F),0)</f>
        <v>7.19</v>
      </c>
      <c r="E2900" s="6">
        <f>_xlfn.MAXIFS(Levels!E:E,Levels!B:B,A2900)</f>
        <v>2.97</v>
      </c>
      <c r="F2900" s="6">
        <f>_xlfn.MAXIFS(Levels!F:F,Levels!B:B,A2900)</f>
        <v>7.19</v>
      </c>
    </row>
    <row r="2901" spans="1:6" x14ac:dyDescent="0.3">
      <c r="A2901" t="s">
        <v>13126</v>
      </c>
      <c r="B2901" s="9">
        <f>COUNTIF(Levels!B:B,A2901)</f>
        <v>3</v>
      </c>
      <c r="C2901" s="9">
        <f>IFERROR(AVERAGEIF(Levels!B:B,A2901,Levels!E:E),0)</f>
        <v>0</v>
      </c>
      <c r="D2901" s="9">
        <f>IFERROR(AVERAGEIF(Levels!B:B,A2901,Levels!F:F),0)</f>
        <v>7.293333333333333</v>
      </c>
      <c r="E2901" s="9">
        <f>_xlfn.MAXIFS(Levels!E:E,Levels!B:B,A2901)</f>
        <v>0</v>
      </c>
      <c r="F2901" s="9">
        <f>_xlfn.MAXIFS(Levels!F:F,Levels!B:B,A2901)</f>
        <v>7.85</v>
      </c>
    </row>
    <row r="2902" spans="1:6" x14ac:dyDescent="0.3">
      <c r="A2902" t="s">
        <v>13128</v>
      </c>
      <c r="B2902" s="6">
        <f>COUNTIF(Levels!B:B,A2902)</f>
        <v>1</v>
      </c>
      <c r="C2902" s="6">
        <f>IFERROR(AVERAGEIF(Levels!B:B,A2902,Levels!E:E),0)</f>
        <v>15.63</v>
      </c>
      <c r="D2902" s="6">
        <f>IFERROR(AVERAGEIF(Levels!B:B,A2902,Levels!F:F),0)</f>
        <v>6.44</v>
      </c>
      <c r="E2902" s="6">
        <f>_xlfn.MAXIFS(Levels!E:E,Levels!B:B,A2902)</f>
        <v>15.63</v>
      </c>
      <c r="F2902" s="6">
        <f>_xlfn.MAXIFS(Levels!F:F,Levels!B:B,A2902)</f>
        <v>6.44</v>
      </c>
    </row>
    <row r="2903" spans="1:6" x14ac:dyDescent="0.3">
      <c r="A2903" t="s">
        <v>13131</v>
      </c>
      <c r="B2903" s="9">
        <f>COUNTIF(Levels!B:B,A2903)</f>
        <v>1</v>
      </c>
      <c r="C2903" s="9">
        <f>IFERROR(AVERAGEIF(Levels!B:B,A2903,Levels!E:E),0)</f>
        <v>0</v>
      </c>
      <c r="D2903" s="9">
        <f>IFERROR(AVERAGEIF(Levels!B:B,A2903,Levels!F:F),0)</f>
        <v>7.29</v>
      </c>
      <c r="E2903" s="9">
        <f>_xlfn.MAXIFS(Levels!E:E,Levels!B:B,A2903)</f>
        <v>0</v>
      </c>
      <c r="F2903" s="9">
        <f>_xlfn.MAXIFS(Levels!F:F,Levels!B:B,A2903)</f>
        <v>7.29</v>
      </c>
    </row>
    <row r="2904" spans="1:6" x14ac:dyDescent="0.3">
      <c r="A2904" t="s">
        <v>13137</v>
      </c>
      <c r="B2904" s="6">
        <f>COUNTIF(Levels!B:B,A2904)</f>
        <v>3</v>
      </c>
      <c r="C2904" s="6">
        <f>IFERROR(AVERAGEIF(Levels!B:B,A2904,Levels!E:E),0)</f>
        <v>0</v>
      </c>
      <c r="D2904" s="6">
        <f>IFERROR(AVERAGEIF(Levels!B:B,A2904,Levels!F:F),0)</f>
        <v>6.16</v>
      </c>
      <c r="E2904" s="6">
        <f>_xlfn.MAXIFS(Levels!E:E,Levels!B:B,A2904)</f>
        <v>0</v>
      </c>
      <c r="F2904" s="6">
        <f>_xlfn.MAXIFS(Levels!F:F,Levels!B:B,A2904)</f>
        <v>7.23</v>
      </c>
    </row>
    <row r="2905" spans="1:6" x14ac:dyDescent="0.3">
      <c r="A2905" t="s">
        <v>13149</v>
      </c>
      <c r="B2905" s="9">
        <f>COUNTIF(Levels!B:B,A2905)</f>
        <v>2</v>
      </c>
      <c r="C2905" s="9">
        <f>IFERROR(AVERAGEIF(Levels!B:B,A2905,Levels!E:E),0)</f>
        <v>20</v>
      </c>
      <c r="D2905" s="9">
        <f>IFERROR(AVERAGEIF(Levels!B:B,A2905,Levels!F:F),0)</f>
        <v>3.8</v>
      </c>
      <c r="E2905" s="9">
        <f>_xlfn.MAXIFS(Levels!E:E,Levels!B:B,A2905)</f>
        <v>21</v>
      </c>
      <c r="F2905" s="9">
        <f>_xlfn.MAXIFS(Levels!F:F,Levels!B:B,A2905)</f>
        <v>4</v>
      </c>
    </row>
    <row r="2906" spans="1:6" x14ac:dyDescent="0.3">
      <c r="A2906" t="s">
        <v>13152</v>
      </c>
      <c r="B2906" s="6">
        <f>COUNTIF(Levels!B:B,A2906)</f>
        <v>1</v>
      </c>
      <c r="C2906" s="6">
        <f>IFERROR(AVERAGEIF(Levels!B:B,A2906,Levels!E:E),0)</f>
        <v>3.51</v>
      </c>
      <c r="D2906" s="6">
        <f>IFERROR(AVERAGEIF(Levels!B:B,A2906,Levels!F:F),0)</f>
        <v>6.89</v>
      </c>
      <c r="E2906" s="6">
        <f>_xlfn.MAXIFS(Levels!E:E,Levels!B:B,A2906)</f>
        <v>3.51</v>
      </c>
      <c r="F2906" s="6">
        <f>_xlfn.MAXIFS(Levels!F:F,Levels!B:B,A2906)</f>
        <v>6.89</v>
      </c>
    </row>
    <row r="2907" spans="1:6" x14ac:dyDescent="0.3">
      <c r="A2907" t="s">
        <v>13155</v>
      </c>
      <c r="B2907" s="9">
        <f>COUNTIF(Levels!B:B,A2907)</f>
        <v>2</v>
      </c>
      <c r="C2907" s="9">
        <f>IFERROR(AVERAGEIF(Levels!B:B,A2907,Levels!E:E),0)</f>
        <v>1.4449999999999998</v>
      </c>
      <c r="D2907" s="9">
        <f>IFERROR(AVERAGEIF(Levels!B:B,A2907,Levels!F:F),0)</f>
        <v>7.3550000000000004</v>
      </c>
      <c r="E2907" s="9">
        <f>_xlfn.MAXIFS(Levels!E:E,Levels!B:B,A2907)</f>
        <v>1.69</v>
      </c>
      <c r="F2907" s="9">
        <f>_xlfn.MAXIFS(Levels!F:F,Levels!B:B,A2907)</f>
        <v>7.41</v>
      </c>
    </row>
    <row r="2908" spans="1:6" x14ac:dyDescent="0.3">
      <c r="A2908" t="s">
        <v>13157</v>
      </c>
      <c r="B2908" s="6">
        <f>COUNTIF(Levels!B:B,A2908)</f>
        <v>1</v>
      </c>
      <c r="C2908" s="6">
        <f>IFERROR(AVERAGEIF(Levels!B:B,A2908,Levels!E:E),0)</f>
        <v>24</v>
      </c>
      <c r="D2908" s="6">
        <f>IFERROR(AVERAGEIF(Levels!B:B,A2908,Levels!F:F),0)</f>
        <v>0</v>
      </c>
      <c r="E2908" s="6">
        <f>_xlfn.MAXIFS(Levels!E:E,Levels!B:B,A2908)</f>
        <v>24</v>
      </c>
      <c r="F2908" s="6">
        <f>_xlfn.MAXIFS(Levels!F:F,Levels!B:B,A2908)</f>
        <v>0</v>
      </c>
    </row>
    <row r="2909" spans="1:6" x14ac:dyDescent="0.3">
      <c r="A2909" t="s">
        <v>13160</v>
      </c>
      <c r="B2909" s="9">
        <f>COUNTIF(Levels!B:B,A2909)</f>
        <v>1</v>
      </c>
      <c r="C2909" s="9">
        <f>IFERROR(AVERAGEIF(Levels!B:B,A2909,Levels!E:E),0)</f>
        <v>19</v>
      </c>
      <c r="D2909" s="9">
        <f>IFERROR(AVERAGEIF(Levels!B:B,A2909,Levels!F:F),0)</f>
        <v>9</v>
      </c>
      <c r="E2909" s="9">
        <f>_xlfn.MAXIFS(Levels!E:E,Levels!B:B,A2909)</f>
        <v>19</v>
      </c>
      <c r="F2909" s="9">
        <f>_xlfn.MAXIFS(Levels!F:F,Levels!B:B,A2909)</f>
        <v>9</v>
      </c>
    </row>
    <row r="2910" spans="1:6" x14ac:dyDescent="0.3">
      <c r="A2910" t="s">
        <v>13162</v>
      </c>
      <c r="B2910" s="6">
        <f>COUNTIF(Levels!B:B,A2910)</f>
        <v>1</v>
      </c>
      <c r="C2910" s="6">
        <f>IFERROR(AVERAGEIF(Levels!B:B,A2910,Levels!E:E),0)</f>
        <v>25.25</v>
      </c>
      <c r="D2910" s="6">
        <f>IFERROR(AVERAGEIF(Levels!B:B,A2910,Levels!F:F),0)</f>
        <v>8</v>
      </c>
      <c r="E2910" s="6">
        <f>_xlfn.MAXIFS(Levels!E:E,Levels!B:B,A2910)</f>
        <v>25.25</v>
      </c>
      <c r="F2910" s="6">
        <f>_xlfn.MAXIFS(Levels!F:F,Levels!B:B,A2910)</f>
        <v>8</v>
      </c>
    </row>
    <row r="2911" spans="1:6" x14ac:dyDescent="0.3">
      <c r="A2911" t="s">
        <v>13166</v>
      </c>
      <c r="B2911" s="9">
        <f>COUNTIF(Levels!B:B,A2911)</f>
        <v>1</v>
      </c>
      <c r="C2911" s="9">
        <f>IFERROR(AVERAGEIF(Levels!B:B,A2911,Levels!E:E),0)</f>
        <v>0</v>
      </c>
      <c r="D2911" s="9">
        <f>IFERROR(AVERAGEIF(Levels!B:B,A2911,Levels!F:F),0)</f>
        <v>0</v>
      </c>
      <c r="E2911" s="9">
        <f>_xlfn.MAXIFS(Levels!E:E,Levels!B:B,A2911)</f>
        <v>0</v>
      </c>
      <c r="F2911" s="9">
        <f>_xlfn.MAXIFS(Levels!F:F,Levels!B:B,A2911)</f>
        <v>0</v>
      </c>
    </row>
    <row r="2912" spans="1:6" x14ac:dyDescent="0.3">
      <c r="A2912" t="s">
        <v>13168</v>
      </c>
      <c r="B2912" s="6">
        <f>COUNTIF(Levels!B:B,A2912)</f>
        <v>2</v>
      </c>
      <c r="C2912" s="6">
        <f>IFERROR(AVERAGEIF(Levels!B:B,A2912,Levels!E:E),0)</f>
        <v>28.75</v>
      </c>
      <c r="D2912" s="6">
        <f>IFERROR(AVERAGEIF(Levels!B:B,A2912,Levels!F:F),0)</f>
        <v>3.25</v>
      </c>
      <c r="E2912" s="6">
        <f>_xlfn.MAXIFS(Levels!E:E,Levels!B:B,A2912)</f>
        <v>29</v>
      </c>
      <c r="F2912" s="6">
        <f>_xlfn.MAXIFS(Levels!F:F,Levels!B:B,A2912)</f>
        <v>4.5</v>
      </c>
    </row>
    <row r="2913" spans="1:6" x14ac:dyDescent="0.3">
      <c r="A2913" t="s">
        <v>13170</v>
      </c>
      <c r="B2913" s="9">
        <f>COUNTIF(Levels!B:B,A2913)</f>
        <v>2</v>
      </c>
      <c r="C2913" s="9">
        <f>IFERROR(AVERAGEIF(Levels!B:B,A2913,Levels!E:E),0)</f>
        <v>10.81</v>
      </c>
      <c r="D2913" s="9">
        <f>IFERROR(AVERAGEIF(Levels!B:B,A2913,Levels!F:F),0)</f>
        <v>7.3599999999999994</v>
      </c>
      <c r="E2913" s="9">
        <f>_xlfn.MAXIFS(Levels!E:E,Levels!B:B,A2913)</f>
        <v>10.81</v>
      </c>
      <c r="F2913" s="9">
        <f>_xlfn.MAXIFS(Levels!F:F,Levels!B:B,A2913)</f>
        <v>8.08</v>
      </c>
    </row>
    <row r="2914" spans="1:6" x14ac:dyDescent="0.3">
      <c r="A2914" t="s">
        <v>13176</v>
      </c>
      <c r="B2914" s="6">
        <f>COUNTIF(Levels!B:B,A2914)</f>
        <v>1</v>
      </c>
      <c r="C2914" s="6">
        <f>IFERROR(AVERAGEIF(Levels!B:B,A2914,Levels!E:E),0)</f>
        <v>3.21</v>
      </c>
      <c r="D2914" s="6">
        <f>IFERROR(AVERAGEIF(Levels!B:B,A2914,Levels!F:F),0)</f>
        <v>6.63</v>
      </c>
      <c r="E2914" s="6">
        <f>_xlfn.MAXIFS(Levels!E:E,Levels!B:B,A2914)</f>
        <v>3.21</v>
      </c>
      <c r="F2914" s="6">
        <f>_xlfn.MAXIFS(Levels!F:F,Levels!B:B,A2914)</f>
        <v>6.63</v>
      </c>
    </row>
    <row r="2915" spans="1:6" x14ac:dyDescent="0.3">
      <c r="A2915" t="s">
        <v>13180</v>
      </c>
      <c r="B2915" s="9">
        <f>COUNTIF(Levels!B:B,A2915)</f>
        <v>1</v>
      </c>
      <c r="C2915" s="9">
        <f>IFERROR(AVERAGEIF(Levels!B:B,A2915,Levels!E:E),0)</f>
        <v>3.71</v>
      </c>
      <c r="D2915" s="9">
        <f>IFERROR(AVERAGEIF(Levels!B:B,A2915,Levels!F:F),0)</f>
        <v>7</v>
      </c>
      <c r="E2915" s="9">
        <f>_xlfn.MAXIFS(Levels!E:E,Levels!B:B,A2915)</f>
        <v>3.71</v>
      </c>
      <c r="F2915" s="9">
        <f>_xlfn.MAXIFS(Levels!F:F,Levels!B:B,A2915)</f>
        <v>7</v>
      </c>
    </row>
    <row r="2916" spans="1:6" x14ac:dyDescent="0.3">
      <c r="A2916" t="s">
        <v>13182</v>
      </c>
      <c r="B2916" s="6">
        <f>COUNTIF(Levels!B:B,A2916)</f>
        <v>1</v>
      </c>
      <c r="C2916" s="6">
        <f>IFERROR(AVERAGEIF(Levels!B:B,A2916,Levels!E:E),0)</f>
        <v>14.06</v>
      </c>
      <c r="D2916" s="6">
        <f>IFERROR(AVERAGEIF(Levels!B:B,A2916,Levels!F:F),0)</f>
        <v>8.18</v>
      </c>
      <c r="E2916" s="6">
        <f>_xlfn.MAXIFS(Levels!E:E,Levels!B:B,A2916)</f>
        <v>14.06</v>
      </c>
      <c r="F2916" s="6">
        <f>_xlfn.MAXIFS(Levels!F:F,Levels!B:B,A2916)</f>
        <v>8.18</v>
      </c>
    </row>
    <row r="2917" spans="1:6" x14ac:dyDescent="0.3">
      <c r="A2917" t="s">
        <v>13185</v>
      </c>
      <c r="B2917" s="9">
        <f>COUNTIF(Levels!B:B,A2917)</f>
        <v>1</v>
      </c>
      <c r="C2917" s="9">
        <f>IFERROR(AVERAGEIF(Levels!B:B,A2917,Levels!E:E),0)</f>
        <v>19</v>
      </c>
      <c r="D2917" s="9">
        <f>IFERROR(AVERAGEIF(Levels!B:B,A2917,Levels!F:F),0)</f>
        <v>7.38</v>
      </c>
      <c r="E2917" s="9">
        <f>_xlfn.MAXIFS(Levels!E:E,Levels!B:B,A2917)</f>
        <v>19</v>
      </c>
      <c r="F2917" s="9">
        <f>_xlfn.MAXIFS(Levels!F:F,Levels!B:B,A2917)</f>
        <v>7.38</v>
      </c>
    </row>
    <row r="2918" spans="1:6" x14ac:dyDescent="0.3">
      <c r="A2918" t="s">
        <v>13191</v>
      </c>
      <c r="B2918" s="6">
        <f>COUNTIF(Levels!B:B,A2918)</f>
        <v>1</v>
      </c>
      <c r="C2918" s="6">
        <f>IFERROR(AVERAGEIF(Levels!B:B,A2918,Levels!E:E),0)</f>
        <v>1.57</v>
      </c>
      <c r="D2918" s="6">
        <f>IFERROR(AVERAGEIF(Levels!B:B,A2918,Levels!F:F),0)</f>
        <v>8.06</v>
      </c>
      <c r="E2918" s="6">
        <f>_xlfn.MAXIFS(Levels!E:E,Levels!B:B,A2918)</f>
        <v>1.57</v>
      </c>
      <c r="F2918" s="6">
        <f>_xlfn.MAXIFS(Levels!F:F,Levels!B:B,A2918)</f>
        <v>8.06</v>
      </c>
    </row>
    <row r="2919" spans="1:6" x14ac:dyDescent="0.3">
      <c r="A2919" t="s">
        <v>13199</v>
      </c>
      <c r="B2919" s="9">
        <f>COUNTIF(Levels!B:B,A2919)</f>
        <v>1</v>
      </c>
      <c r="C2919" s="9">
        <f>IFERROR(AVERAGEIF(Levels!B:B,A2919,Levels!E:E),0)</f>
        <v>11.7</v>
      </c>
      <c r="D2919" s="9">
        <f>IFERROR(AVERAGEIF(Levels!B:B,A2919,Levels!F:F),0)</f>
        <v>7.52</v>
      </c>
      <c r="E2919" s="9">
        <f>_xlfn.MAXIFS(Levels!E:E,Levels!B:B,A2919)</f>
        <v>11.7</v>
      </c>
      <c r="F2919" s="9">
        <f>_xlfn.MAXIFS(Levels!F:F,Levels!B:B,A2919)</f>
        <v>7.52</v>
      </c>
    </row>
    <row r="2920" spans="1:6" x14ac:dyDescent="0.3">
      <c r="A2920" t="s">
        <v>13201</v>
      </c>
      <c r="B2920" s="6">
        <f>COUNTIF(Levels!B:B,A2920)</f>
        <v>2</v>
      </c>
      <c r="C2920" s="6">
        <f>IFERROR(AVERAGEIF(Levels!B:B,A2920,Levels!E:E),0)</f>
        <v>11.84</v>
      </c>
      <c r="D2920" s="6">
        <f>IFERROR(AVERAGEIF(Levels!B:B,A2920,Levels!F:F),0)</f>
        <v>7.55</v>
      </c>
      <c r="E2920" s="6">
        <f>_xlfn.MAXIFS(Levels!E:E,Levels!B:B,A2920)</f>
        <v>12.93</v>
      </c>
      <c r="F2920" s="6">
        <f>_xlfn.MAXIFS(Levels!F:F,Levels!B:B,A2920)</f>
        <v>7.75</v>
      </c>
    </row>
    <row r="2921" spans="1:6" x14ac:dyDescent="0.3">
      <c r="A2921" t="s">
        <v>13207</v>
      </c>
      <c r="B2921" s="9">
        <f>COUNTIF(Levels!B:B,A2921)</f>
        <v>1</v>
      </c>
      <c r="C2921" s="9">
        <f>IFERROR(AVERAGEIF(Levels!B:B,A2921,Levels!E:E),0)</f>
        <v>0</v>
      </c>
      <c r="D2921" s="9">
        <f>IFERROR(AVERAGEIF(Levels!B:B,A2921,Levels!F:F),0)</f>
        <v>5.88</v>
      </c>
      <c r="E2921" s="9">
        <f>_xlfn.MAXIFS(Levels!E:E,Levels!B:B,A2921)</f>
        <v>0</v>
      </c>
      <c r="F2921" s="9">
        <f>_xlfn.MAXIFS(Levels!F:F,Levels!B:B,A2921)</f>
        <v>5.88</v>
      </c>
    </row>
    <row r="2922" spans="1:6" x14ac:dyDescent="0.3">
      <c r="A2922" t="s">
        <v>13210</v>
      </c>
      <c r="B2922" s="6">
        <f>COUNTIF(Levels!B:B,A2922)</f>
        <v>4</v>
      </c>
      <c r="C2922" s="6">
        <f>IFERROR(AVERAGEIF(Levels!B:B,A2922,Levels!E:E),0)</f>
        <v>2.0249999999999999</v>
      </c>
      <c r="D2922" s="6">
        <f>IFERROR(AVERAGEIF(Levels!B:B,A2922,Levels!F:F),0)</f>
        <v>6.9674999999999994</v>
      </c>
      <c r="E2922" s="6">
        <f>_xlfn.MAXIFS(Levels!E:E,Levels!B:B,A2922)</f>
        <v>2.71</v>
      </c>
      <c r="F2922" s="6">
        <f>_xlfn.MAXIFS(Levels!F:F,Levels!B:B,A2922)</f>
        <v>7.36</v>
      </c>
    </row>
    <row r="2923" spans="1:6" x14ac:dyDescent="0.3">
      <c r="A2923" t="s">
        <v>13213</v>
      </c>
      <c r="B2923" s="9">
        <f>COUNTIF(Levels!B:B,A2923)</f>
        <v>1</v>
      </c>
      <c r="C2923" s="9">
        <f>IFERROR(AVERAGEIF(Levels!B:B,A2923,Levels!E:E),0)</f>
        <v>0</v>
      </c>
      <c r="D2923" s="9">
        <f>IFERROR(AVERAGEIF(Levels!B:B,A2923,Levels!F:F),0)</f>
        <v>6.32</v>
      </c>
      <c r="E2923" s="9">
        <f>_xlfn.MAXIFS(Levels!E:E,Levels!B:B,A2923)</f>
        <v>0</v>
      </c>
      <c r="F2923" s="9">
        <f>_xlfn.MAXIFS(Levels!F:F,Levels!B:B,A2923)</f>
        <v>6.32</v>
      </c>
    </row>
    <row r="2924" spans="1:6" x14ac:dyDescent="0.3">
      <c r="A2924" t="s">
        <v>13221</v>
      </c>
      <c r="B2924" s="6">
        <f>COUNTIF(Levels!B:B,A2924)</f>
        <v>1</v>
      </c>
      <c r="C2924" s="6">
        <f>IFERROR(AVERAGEIF(Levels!B:B,A2924,Levels!E:E),0)</f>
        <v>5.2</v>
      </c>
      <c r="D2924" s="6">
        <f>IFERROR(AVERAGEIF(Levels!B:B,A2924,Levels!F:F),0)</f>
        <v>5.54</v>
      </c>
      <c r="E2924" s="6">
        <f>_xlfn.MAXIFS(Levels!E:E,Levels!B:B,A2924)</f>
        <v>5.2</v>
      </c>
      <c r="F2924" s="6">
        <f>_xlfn.MAXIFS(Levels!F:F,Levels!B:B,A2924)</f>
        <v>5.54</v>
      </c>
    </row>
    <row r="2925" spans="1:6" x14ac:dyDescent="0.3">
      <c r="A2925" t="s">
        <v>13227</v>
      </c>
      <c r="B2925" s="9">
        <f>COUNTIF(Levels!B:B,A2925)</f>
        <v>1</v>
      </c>
      <c r="C2925" s="9">
        <f>IFERROR(AVERAGEIF(Levels!B:B,A2925,Levels!E:E),0)</f>
        <v>23</v>
      </c>
      <c r="D2925" s="9">
        <f>IFERROR(AVERAGEIF(Levels!B:B,A2925,Levels!F:F),0)</f>
        <v>10</v>
      </c>
      <c r="E2925" s="9">
        <f>_xlfn.MAXIFS(Levels!E:E,Levels!B:B,A2925)</f>
        <v>23</v>
      </c>
      <c r="F2925" s="9">
        <f>_xlfn.MAXIFS(Levels!F:F,Levels!B:B,A2925)</f>
        <v>10</v>
      </c>
    </row>
    <row r="2926" spans="1:6" x14ac:dyDescent="0.3">
      <c r="A2926" t="s">
        <v>13229</v>
      </c>
      <c r="B2926" s="6">
        <f>COUNTIF(Levels!B:B,A2926)</f>
        <v>1</v>
      </c>
      <c r="C2926" s="6">
        <f>IFERROR(AVERAGEIF(Levels!B:B,A2926,Levels!E:E),0)</f>
        <v>2.56</v>
      </c>
      <c r="D2926" s="6">
        <f>IFERROR(AVERAGEIF(Levels!B:B,A2926,Levels!F:F),0)</f>
        <v>7.91</v>
      </c>
      <c r="E2926" s="6">
        <f>_xlfn.MAXIFS(Levels!E:E,Levels!B:B,A2926)</f>
        <v>2.56</v>
      </c>
      <c r="F2926" s="6">
        <f>_xlfn.MAXIFS(Levels!F:F,Levels!B:B,A2926)</f>
        <v>7.91</v>
      </c>
    </row>
    <row r="2927" spans="1:6" x14ac:dyDescent="0.3">
      <c r="A2927" t="s">
        <v>13232</v>
      </c>
      <c r="B2927" s="9">
        <f>COUNTIF(Levels!B:B,A2927)</f>
        <v>1</v>
      </c>
      <c r="C2927" s="9">
        <f>IFERROR(AVERAGEIF(Levels!B:B,A2927,Levels!E:E),0)</f>
        <v>0</v>
      </c>
      <c r="D2927" s="9">
        <f>IFERROR(AVERAGEIF(Levels!B:B,A2927,Levels!F:F),0)</f>
        <v>8.77</v>
      </c>
      <c r="E2927" s="9">
        <f>_xlfn.MAXIFS(Levels!E:E,Levels!B:B,A2927)</f>
        <v>0</v>
      </c>
      <c r="F2927" s="9">
        <f>_xlfn.MAXIFS(Levels!F:F,Levels!B:B,A2927)</f>
        <v>8.77</v>
      </c>
    </row>
    <row r="2928" spans="1:6" x14ac:dyDescent="0.3">
      <c r="A2928" t="s">
        <v>13234</v>
      </c>
      <c r="B2928" s="6">
        <f>COUNTIF(Levels!B:B,A2928)</f>
        <v>1</v>
      </c>
      <c r="C2928" s="6">
        <f>IFERROR(AVERAGEIF(Levels!B:B,A2928,Levels!E:E),0)</f>
        <v>16.100000000000001</v>
      </c>
      <c r="D2928" s="6">
        <f>IFERROR(AVERAGEIF(Levels!B:B,A2928,Levels!F:F),0)</f>
        <v>6.92</v>
      </c>
      <c r="E2928" s="6">
        <f>_xlfn.MAXIFS(Levels!E:E,Levels!B:B,A2928)</f>
        <v>16.100000000000001</v>
      </c>
      <c r="F2928" s="6">
        <f>_xlfn.MAXIFS(Levels!F:F,Levels!B:B,A2928)</f>
        <v>6.92</v>
      </c>
    </row>
    <row r="2929" spans="1:6" x14ac:dyDescent="0.3">
      <c r="A2929" t="s">
        <v>13241</v>
      </c>
      <c r="B2929" s="9">
        <f>COUNTIF(Levels!B:B,A2929)</f>
        <v>1</v>
      </c>
      <c r="C2929" s="9">
        <f>IFERROR(AVERAGEIF(Levels!B:B,A2929,Levels!E:E),0)</f>
        <v>3.49</v>
      </c>
      <c r="D2929" s="9">
        <f>IFERROR(AVERAGEIF(Levels!B:B,A2929,Levels!F:F),0)</f>
        <v>5.63</v>
      </c>
      <c r="E2929" s="9">
        <f>_xlfn.MAXIFS(Levels!E:E,Levels!B:B,A2929)</f>
        <v>3.49</v>
      </c>
      <c r="F2929" s="9">
        <f>_xlfn.MAXIFS(Levels!F:F,Levels!B:B,A2929)</f>
        <v>5.63</v>
      </c>
    </row>
    <row r="2930" spans="1:6" x14ac:dyDescent="0.3">
      <c r="A2930" t="s">
        <v>13245</v>
      </c>
      <c r="B2930" s="6">
        <f>COUNTIF(Levels!B:B,A2930)</f>
        <v>5</v>
      </c>
      <c r="C2930" s="6">
        <f>IFERROR(AVERAGEIF(Levels!B:B,A2930,Levels!E:E),0)</f>
        <v>17.395</v>
      </c>
      <c r="D2930" s="6">
        <f>IFERROR(AVERAGEIF(Levels!B:B,A2930,Levels!F:F),0)</f>
        <v>7.6924999999999999</v>
      </c>
      <c r="E2930" s="6">
        <f>_xlfn.MAXIFS(Levels!E:E,Levels!B:B,A2930)</f>
        <v>25.17</v>
      </c>
      <c r="F2930" s="6">
        <f>_xlfn.MAXIFS(Levels!F:F,Levels!B:B,A2930)</f>
        <v>9.17</v>
      </c>
    </row>
    <row r="2931" spans="1:6" x14ac:dyDescent="0.3">
      <c r="A2931" t="s">
        <v>13249</v>
      </c>
      <c r="B2931" s="9">
        <f>COUNTIF(Levels!B:B,A2931)</f>
        <v>1</v>
      </c>
      <c r="C2931" s="9">
        <f>IFERROR(AVERAGEIF(Levels!B:B,A2931,Levels!E:E),0)</f>
        <v>3.78</v>
      </c>
      <c r="D2931" s="9">
        <f>IFERROR(AVERAGEIF(Levels!B:B,A2931,Levels!F:F),0)</f>
        <v>7.47</v>
      </c>
      <c r="E2931" s="9">
        <f>_xlfn.MAXIFS(Levels!E:E,Levels!B:B,A2931)</f>
        <v>3.78</v>
      </c>
      <c r="F2931" s="9">
        <f>_xlfn.MAXIFS(Levels!F:F,Levels!B:B,A2931)</f>
        <v>7.47</v>
      </c>
    </row>
    <row r="2932" spans="1:6" x14ac:dyDescent="0.3">
      <c r="A2932" t="s">
        <v>13253</v>
      </c>
      <c r="B2932" s="6">
        <f>COUNTIF(Levels!B:B,A2932)</f>
        <v>1</v>
      </c>
      <c r="C2932" s="6">
        <f>IFERROR(AVERAGEIF(Levels!B:B,A2932,Levels!E:E),0)</f>
        <v>0</v>
      </c>
      <c r="D2932" s="6">
        <f>IFERROR(AVERAGEIF(Levels!B:B,A2932,Levels!F:F),0)</f>
        <v>6.64</v>
      </c>
      <c r="E2932" s="6">
        <f>_xlfn.MAXIFS(Levels!E:E,Levels!B:B,A2932)</f>
        <v>0</v>
      </c>
      <c r="F2932" s="6">
        <f>_xlfn.MAXIFS(Levels!F:F,Levels!B:B,A2932)</f>
        <v>6.64</v>
      </c>
    </row>
    <row r="2933" spans="1:6" x14ac:dyDescent="0.3">
      <c r="A2933" t="s">
        <v>13255</v>
      </c>
      <c r="B2933" s="9">
        <f>COUNTIF(Levels!B:B,A2933)</f>
        <v>1</v>
      </c>
      <c r="C2933" s="9">
        <f>IFERROR(AVERAGEIF(Levels!B:B,A2933,Levels!E:E),0)</f>
        <v>6.5</v>
      </c>
      <c r="D2933" s="9">
        <f>IFERROR(AVERAGEIF(Levels!B:B,A2933,Levels!F:F),0)</f>
        <v>7</v>
      </c>
      <c r="E2933" s="9">
        <f>_xlfn.MAXIFS(Levels!E:E,Levels!B:B,A2933)</f>
        <v>6.5</v>
      </c>
      <c r="F2933" s="9">
        <f>_xlfn.MAXIFS(Levels!F:F,Levels!B:B,A2933)</f>
        <v>7</v>
      </c>
    </row>
    <row r="2934" spans="1:6" x14ac:dyDescent="0.3">
      <c r="A2934" t="s">
        <v>13260</v>
      </c>
      <c r="B2934" s="6">
        <f>COUNTIF(Levels!B:B,A2934)</f>
        <v>1</v>
      </c>
      <c r="C2934" s="6">
        <f>IFERROR(AVERAGEIF(Levels!B:B,A2934,Levels!E:E),0)</f>
        <v>0</v>
      </c>
      <c r="D2934" s="6">
        <f>IFERROR(AVERAGEIF(Levels!B:B,A2934,Levels!F:F),0)</f>
        <v>4</v>
      </c>
      <c r="E2934" s="6">
        <f>_xlfn.MAXIFS(Levels!E:E,Levels!B:B,A2934)</f>
        <v>0</v>
      </c>
      <c r="F2934" s="6">
        <f>_xlfn.MAXIFS(Levels!F:F,Levels!B:B,A2934)</f>
        <v>4</v>
      </c>
    </row>
    <row r="2935" spans="1:6" x14ac:dyDescent="0.3">
      <c r="A2935" t="s">
        <v>13264</v>
      </c>
      <c r="B2935" s="9">
        <f>COUNTIF(Levels!B:B,A2935)</f>
        <v>1</v>
      </c>
      <c r="C2935" s="9">
        <f>IFERROR(AVERAGEIF(Levels!B:B,A2935,Levels!E:E),0)</f>
        <v>4.6500000000000004</v>
      </c>
      <c r="D2935" s="9">
        <f>IFERROR(AVERAGEIF(Levels!B:B,A2935,Levels!F:F),0)</f>
        <v>6.74</v>
      </c>
      <c r="E2935" s="9">
        <f>_xlfn.MAXIFS(Levels!E:E,Levels!B:B,A2935)</f>
        <v>4.6500000000000004</v>
      </c>
      <c r="F2935" s="9">
        <f>_xlfn.MAXIFS(Levels!F:F,Levels!B:B,A2935)</f>
        <v>6.74</v>
      </c>
    </row>
    <row r="2936" spans="1:6" x14ac:dyDescent="0.3">
      <c r="A2936" t="s">
        <v>13266</v>
      </c>
      <c r="B2936" s="6">
        <f>COUNTIF(Levels!B:B,A2936)</f>
        <v>1</v>
      </c>
      <c r="C2936" s="6">
        <f>IFERROR(AVERAGEIF(Levels!B:B,A2936,Levels!E:E),0)</f>
        <v>3.11</v>
      </c>
      <c r="D2936" s="6">
        <f>IFERROR(AVERAGEIF(Levels!B:B,A2936,Levels!F:F),0)</f>
        <v>6.37</v>
      </c>
      <c r="E2936" s="6">
        <f>_xlfn.MAXIFS(Levels!E:E,Levels!B:B,A2936)</f>
        <v>3.11</v>
      </c>
      <c r="F2936" s="6">
        <f>_xlfn.MAXIFS(Levels!F:F,Levels!B:B,A2936)</f>
        <v>6.37</v>
      </c>
    </row>
    <row r="2937" spans="1:6" x14ac:dyDescent="0.3">
      <c r="A2937" t="s">
        <v>13268</v>
      </c>
      <c r="B2937" s="9">
        <f>COUNTIF(Levels!B:B,A2937)</f>
        <v>3</v>
      </c>
      <c r="C2937" s="9">
        <f>IFERROR(AVERAGEIF(Levels!B:B,A2937,Levels!E:E),0)</f>
        <v>0</v>
      </c>
      <c r="D2937" s="9">
        <f>IFERROR(AVERAGEIF(Levels!B:B,A2937,Levels!F:F),0)</f>
        <v>7.6400000000000006</v>
      </c>
      <c r="E2937" s="9">
        <f>_xlfn.MAXIFS(Levels!E:E,Levels!B:B,A2937)</f>
        <v>0</v>
      </c>
      <c r="F2937" s="9">
        <f>_xlfn.MAXIFS(Levels!F:F,Levels!B:B,A2937)</f>
        <v>8.25</v>
      </c>
    </row>
    <row r="2938" spans="1:6" x14ac:dyDescent="0.3">
      <c r="A2938" t="s">
        <v>13271</v>
      </c>
      <c r="B2938" s="6">
        <f>COUNTIF(Levels!B:B,A2938)</f>
        <v>1</v>
      </c>
      <c r="C2938" s="6">
        <f>IFERROR(AVERAGEIF(Levels!B:B,A2938,Levels!E:E),0)</f>
        <v>4.25</v>
      </c>
      <c r="D2938" s="6">
        <f>IFERROR(AVERAGEIF(Levels!B:B,A2938,Levels!F:F),0)</f>
        <v>6.62</v>
      </c>
      <c r="E2938" s="6">
        <f>_xlfn.MAXIFS(Levels!E:E,Levels!B:B,A2938)</f>
        <v>4.25</v>
      </c>
      <c r="F2938" s="6">
        <f>_xlfn.MAXIFS(Levels!F:F,Levels!B:B,A2938)</f>
        <v>6.62</v>
      </c>
    </row>
    <row r="2939" spans="1:6" x14ac:dyDescent="0.3">
      <c r="A2939" t="s">
        <v>13273</v>
      </c>
      <c r="B2939" s="9">
        <f>COUNTIF(Levels!B:B,A2939)</f>
        <v>1</v>
      </c>
      <c r="C2939" s="9">
        <f>IFERROR(AVERAGEIF(Levels!B:B,A2939,Levels!E:E),0)</f>
        <v>0</v>
      </c>
      <c r="D2939" s="9">
        <f>IFERROR(AVERAGEIF(Levels!B:B,A2939,Levels!F:F),0)</f>
        <v>6.82</v>
      </c>
      <c r="E2939" s="9">
        <f>_xlfn.MAXIFS(Levels!E:E,Levels!B:B,A2939)</f>
        <v>0</v>
      </c>
      <c r="F2939" s="9">
        <f>_xlfn.MAXIFS(Levels!F:F,Levels!B:B,A2939)</f>
        <v>6.82</v>
      </c>
    </row>
    <row r="2940" spans="1:6" x14ac:dyDescent="0.3">
      <c r="A2940" t="s">
        <v>13279</v>
      </c>
      <c r="B2940" s="6">
        <f>COUNTIF(Levels!B:B,A2940)</f>
        <v>2</v>
      </c>
      <c r="C2940" s="6">
        <f>IFERROR(AVERAGEIF(Levels!B:B,A2940,Levels!E:E),0)</f>
        <v>2.17</v>
      </c>
      <c r="D2940" s="6">
        <f>IFERROR(AVERAGEIF(Levels!B:B,A2940,Levels!F:F),0)</f>
        <v>7.01</v>
      </c>
      <c r="E2940" s="6">
        <f>_xlfn.MAXIFS(Levels!E:E,Levels!B:B,A2940)</f>
        <v>2.17</v>
      </c>
      <c r="F2940" s="6">
        <f>_xlfn.MAXIFS(Levels!F:F,Levels!B:B,A2940)</f>
        <v>7.67</v>
      </c>
    </row>
    <row r="2941" spans="1:6" x14ac:dyDescent="0.3">
      <c r="A2941" t="s">
        <v>13282</v>
      </c>
      <c r="B2941" s="9">
        <f>COUNTIF(Levels!B:B,A2941)</f>
        <v>1</v>
      </c>
      <c r="C2941" s="9">
        <f>IFERROR(AVERAGEIF(Levels!B:B,A2941,Levels!E:E),0)</f>
        <v>3.41</v>
      </c>
      <c r="D2941" s="9">
        <f>IFERROR(AVERAGEIF(Levels!B:B,A2941,Levels!F:F),0)</f>
        <v>7.43</v>
      </c>
      <c r="E2941" s="9">
        <f>_xlfn.MAXIFS(Levels!E:E,Levels!B:B,A2941)</f>
        <v>3.41</v>
      </c>
      <c r="F2941" s="9">
        <f>_xlfn.MAXIFS(Levels!F:F,Levels!B:B,A2941)</f>
        <v>7.43</v>
      </c>
    </row>
    <row r="2942" spans="1:6" x14ac:dyDescent="0.3">
      <c r="A2942" t="s">
        <v>13284</v>
      </c>
      <c r="B2942" s="6">
        <f>COUNTIF(Levels!B:B,A2942)</f>
        <v>2</v>
      </c>
      <c r="C2942" s="6">
        <f>IFERROR(AVERAGEIF(Levels!B:B,A2942,Levels!E:E),0)</f>
        <v>0</v>
      </c>
      <c r="D2942" s="6">
        <f>IFERROR(AVERAGEIF(Levels!B:B,A2942,Levels!F:F),0)</f>
        <v>5</v>
      </c>
      <c r="E2942" s="6">
        <f>_xlfn.MAXIFS(Levels!E:E,Levels!B:B,A2942)</f>
        <v>0</v>
      </c>
      <c r="F2942" s="6">
        <f>_xlfn.MAXIFS(Levels!F:F,Levels!B:B,A2942)</f>
        <v>5</v>
      </c>
    </row>
    <row r="2943" spans="1:6" x14ac:dyDescent="0.3">
      <c r="A2943" t="s">
        <v>13286</v>
      </c>
      <c r="B2943" s="9">
        <f>COUNTIF(Levels!B:B,A2943)</f>
        <v>1</v>
      </c>
      <c r="C2943" s="9">
        <f>IFERROR(AVERAGEIF(Levels!B:B,A2943,Levels!E:E),0)</f>
        <v>6.23</v>
      </c>
      <c r="D2943" s="9">
        <f>IFERROR(AVERAGEIF(Levels!B:B,A2943,Levels!F:F),0)</f>
        <v>7.6</v>
      </c>
      <c r="E2943" s="9">
        <f>_xlfn.MAXIFS(Levels!E:E,Levels!B:B,A2943)</f>
        <v>6.23</v>
      </c>
      <c r="F2943" s="9">
        <f>_xlfn.MAXIFS(Levels!F:F,Levels!B:B,A2943)</f>
        <v>7.6</v>
      </c>
    </row>
    <row r="2944" spans="1:6" x14ac:dyDescent="0.3">
      <c r="A2944" t="s">
        <v>13292</v>
      </c>
      <c r="B2944" s="6">
        <f>COUNTIF(Levels!B:B,A2944)</f>
        <v>1</v>
      </c>
      <c r="C2944" s="6">
        <f>IFERROR(AVERAGEIF(Levels!B:B,A2944,Levels!E:E),0)</f>
        <v>10.71</v>
      </c>
      <c r="D2944" s="6">
        <f>IFERROR(AVERAGEIF(Levels!B:B,A2944,Levels!F:F),0)</f>
        <v>6.4</v>
      </c>
      <c r="E2944" s="6">
        <f>_xlfn.MAXIFS(Levels!E:E,Levels!B:B,A2944)</f>
        <v>10.71</v>
      </c>
      <c r="F2944" s="6">
        <f>_xlfn.MAXIFS(Levels!F:F,Levels!B:B,A2944)</f>
        <v>6.4</v>
      </c>
    </row>
    <row r="2945" spans="1:6" x14ac:dyDescent="0.3">
      <c r="A2945" t="s">
        <v>13294</v>
      </c>
      <c r="B2945" s="9">
        <f>COUNTIF(Levels!B:B,A2945)</f>
        <v>1</v>
      </c>
      <c r="C2945" s="9">
        <f>IFERROR(AVERAGEIF(Levels!B:B,A2945,Levels!E:E),0)</f>
        <v>7.08</v>
      </c>
      <c r="D2945" s="9">
        <f>IFERROR(AVERAGEIF(Levels!B:B,A2945,Levels!F:F),0)</f>
        <v>6.5</v>
      </c>
      <c r="E2945" s="9">
        <f>_xlfn.MAXIFS(Levels!E:E,Levels!B:B,A2945)</f>
        <v>7.08</v>
      </c>
      <c r="F2945" s="9">
        <f>_xlfn.MAXIFS(Levels!F:F,Levels!B:B,A2945)</f>
        <v>6.5</v>
      </c>
    </row>
    <row r="2946" spans="1:6" x14ac:dyDescent="0.3">
      <c r="A2946" t="s">
        <v>13297</v>
      </c>
      <c r="B2946" s="6">
        <f>COUNTIF(Levels!B:B,A2946)</f>
        <v>3</v>
      </c>
      <c r="C2946" s="6">
        <f>IFERROR(AVERAGEIF(Levels!B:B,A2946,Levels!E:E),0)</f>
        <v>0</v>
      </c>
      <c r="D2946" s="6">
        <f>IFERROR(AVERAGEIF(Levels!B:B,A2946,Levels!F:F),0)</f>
        <v>5.9066666666666663</v>
      </c>
      <c r="E2946" s="6">
        <f>_xlfn.MAXIFS(Levels!E:E,Levels!B:B,A2946)</f>
        <v>0</v>
      </c>
      <c r="F2946" s="6">
        <f>_xlfn.MAXIFS(Levels!F:F,Levels!B:B,A2946)</f>
        <v>7.47</v>
      </c>
    </row>
    <row r="2947" spans="1:6" x14ac:dyDescent="0.3">
      <c r="A2947" t="s">
        <v>13300</v>
      </c>
      <c r="B2947" s="9">
        <f>COUNTIF(Levels!B:B,A2947)</f>
        <v>2</v>
      </c>
      <c r="C2947" s="9">
        <f>IFERROR(AVERAGEIF(Levels!B:B,A2947,Levels!E:E),0)</f>
        <v>1.75</v>
      </c>
      <c r="D2947" s="9">
        <f>IFERROR(AVERAGEIF(Levels!B:B,A2947,Levels!F:F),0)</f>
        <v>8.2199999999999989</v>
      </c>
      <c r="E2947" s="9">
        <f>_xlfn.MAXIFS(Levels!E:E,Levels!B:B,A2947)</f>
        <v>2.4</v>
      </c>
      <c r="F2947" s="9">
        <f>_xlfn.MAXIFS(Levels!F:F,Levels!B:B,A2947)</f>
        <v>8.42</v>
      </c>
    </row>
    <row r="2948" spans="1:6" x14ac:dyDescent="0.3">
      <c r="A2948" t="s">
        <v>13303</v>
      </c>
      <c r="B2948" s="6">
        <f>COUNTIF(Levels!B:B,A2948)</f>
        <v>1</v>
      </c>
      <c r="C2948" s="6">
        <f>IFERROR(AVERAGEIF(Levels!B:B,A2948,Levels!E:E),0)</f>
        <v>2.16</v>
      </c>
      <c r="D2948" s="6">
        <f>IFERROR(AVERAGEIF(Levels!B:B,A2948,Levels!F:F),0)</f>
        <v>7.8</v>
      </c>
      <c r="E2948" s="6">
        <f>_xlfn.MAXIFS(Levels!E:E,Levels!B:B,A2948)</f>
        <v>2.16</v>
      </c>
      <c r="F2948" s="6">
        <f>_xlfn.MAXIFS(Levels!F:F,Levels!B:B,A2948)</f>
        <v>7.8</v>
      </c>
    </row>
    <row r="2949" spans="1:6" x14ac:dyDescent="0.3">
      <c r="A2949" t="s">
        <v>13304</v>
      </c>
      <c r="B2949" s="9">
        <f>COUNTIF(Levels!B:B,A2949)</f>
        <v>1</v>
      </c>
      <c r="C2949" s="9">
        <f>IFERROR(AVERAGEIF(Levels!B:B,A2949,Levels!E:E),0)</f>
        <v>22.25</v>
      </c>
      <c r="D2949" s="9">
        <f>IFERROR(AVERAGEIF(Levels!B:B,A2949,Levels!F:F),0)</f>
        <v>7.25</v>
      </c>
      <c r="E2949" s="9">
        <f>_xlfn.MAXIFS(Levels!E:E,Levels!B:B,A2949)</f>
        <v>22.25</v>
      </c>
      <c r="F2949" s="9">
        <f>_xlfn.MAXIFS(Levels!F:F,Levels!B:B,A2949)</f>
        <v>7.25</v>
      </c>
    </row>
    <row r="2950" spans="1:6" x14ac:dyDescent="0.3">
      <c r="A2950" t="s">
        <v>13305</v>
      </c>
      <c r="B2950" s="6">
        <f>COUNTIF(Levels!B:B,A2950)</f>
        <v>1</v>
      </c>
      <c r="C2950" s="6">
        <f>IFERROR(AVERAGEIF(Levels!B:B,A2950,Levels!E:E),0)</f>
        <v>2.04</v>
      </c>
      <c r="D2950" s="6">
        <f>IFERROR(AVERAGEIF(Levels!B:B,A2950,Levels!F:F),0)</f>
        <v>7.14</v>
      </c>
      <c r="E2950" s="6">
        <f>_xlfn.MAXIFS(Levels!E:E,Levels!B:B,A2950)</f>
        <v>2.04</v>
      </c>
      <c r="F2950" s="6">
        <f>_xlfn.MAXIFS(Levels!F:F,Levels!B:B,A2950)</f>
        <v>7.14</v>
      </c>
    </row>
    <row r="2951" spans="1:6" x14ac:dyDescent="0.3">
      <c r="A2951" t="s">
        <v>13310</v>
      </c>
      <c r="B2951" s="9">
        <f>COUNTIF(Levels!B:B,A2951)</f>
        <v>2</v>
      </c>
      <c r="C2951" s="9">
        <f>IFERROR(AVERAGEIF(Levels!B:B,A2951,Levels!E:E),0)</f>
        <v>23</v>
      </c>
      <c r="D2951" s="9">
        <f>IFERROR(AVERAGEIF(Levels!B:B,A2951,Levels!F:F),0)</f>
        <v>5.2450000000000001</v>
      </c>
      <c r="E2951" s="9">
        <f>_xlfn.MAXIFS(Levels!E:E,Levels!B:B,A2951)</f>
        <v>23</v>
      </c>
      <c r="F2951" s="9">
        <f>_xlfn.MAXIFS(Levels!F:F,Levels!B:B,A2951)</f>
        <v>6.16</v>
      </c>
    </row>
    <row r="2952" spans="1:6" x14ac:dyDescent="0.3">
      <c r="A2952" t="s">
        <v>13313</v>
      </c>
      <c r="B2952" s="6">
        <f>COUNTIF(Levels!B:B,A2952)</f>
        <v>3</v>
      </c>
      <c r="C2952" s="6">
        <f>IFERROR(AVERAGEIF(Levels!B:B,A2952,Levels!E:E),0)</f>
        <v>18.996666666666666</v>
      </c>
      <c r="D2952" s="6">
        <f>IFERROR(AVERAGEIF(Levels!B:B,A2952,Levels!F:F),0)</f>
        <v>8.1766666666666676</v>
      </c>
      <c r="E2952" s="6">
        <f>_xlfn.MAXIFS(Levels!E:E,Levels!B:B,A2952)</f>
        <v>20.67</v>
      </c>
      <c r="F2952" s="6">
        <f>_xlfn.MAXIFS(Levels!F:F,Levels!B:B,A2952)</f>
        <v>9</v>
      </c>
    </row>
    <row r="2953" spans="1:6" x14ac:dyDescent="0.3">
      <c r="A2953" t="s">
        <v>13315</v>
      </c>
      <c r="B2953" s="9">
        <f>COUNTIF(Levels!B:B,A2953)</f>
        <v>3</v>
      </c>
      <c r="C2953" s="9">
        <f>IFERROR(AVERAGEIF(Levels!B:B,A2953,Levels!E:E),0)</f>
        <v>1.85</v>
      </c>
      <c r="D2953" s="9">
        <f>IFERROR(AVERAGEIF(Levels!B:B,A2953,Levels!F:F),0)</f>
        <v>7.47</v>
      </c>
      <c r="E2953" s="9">
        <f>_xlfn.MAXIFS(Levels!E:E,Levels!B:B,A2953)</f>
        <v>2.42</v>
      </c>
      <c r="F2953" s="9">
        <f>_xlfn.MAXIFS(Levels!F:F,Levels!B:B,A2953)</f>
        <v>8.42</v>
      </c>
    </row>
    <row r="2954" spans="1:6" x14ac:dyDescent="0.3">
      <c r="A2954" t="s">
        <v>13331</v>
      </c>
      <c r="B2954" s="6">
        <f>COUNTIF(Levels!B:B,A2954)</f>
        <v>1</v>
      </c>
      <c r="C2954" s="6">
        <f>IFERROR(AVERAGEIF(Levels!B:B,A2954,Levels!E:E),0)</f>
        <v>0</v>
      </c>
      <c r="D2954" s="6">
        <f>IFERROR(AVERAGEIF(Levels!B:B,A2954,Levels!F:F),0)</f>
        <v>4.2</v>
      </c>
      <c r="E2954" s="6">
        <f>_xlfn.MAXIFS(Levels!E:E,Levels!B:B,A2954)</f>
        <v>0</v>
      </c>
      <c r="F2954" s="6">
        <f>_xlfn.MAXIFS(Levels!F:F,Levels!B:B,A2954)</f>
        <v>4.2</v>
      </c>
    </row>
    <row r="2955" spans="1:6" x14ac:dyDescent="0.3">
      <c r="A2955" t="s">
        <v>13337</v>
      </c>
      <c r="B2955" s="9">
        <f>COUNTIF(Levels!B:B,A2955)</f>
        <v>1</v>
      </c>
      <c r="C2955" s="9">
        <f>IFERROR(AVERAGEIF(Levels!B:B,A2955,Levels!E:E),0)</f>
        <v>2.2999999999999998</v>
      </c>
      <c r="D2955" s="9">
        <f>IFERROR(AVERAGEIF(Levels!B:B,A2955,Levels!F:F),0)</f>
        <v>7.19</v>
      </c>
      <c r="E2955" s="9">
        <f>_xlfn.MAXIFS(Levels!E:E,Levels!B:B,A2955)</f>
        <v>2.2999999999999998</v>
      </c>
      <c r="F2955" s="9">
        <f>_xlfn.MAXIFS(Levels!F:F,Levels!B:B,A2955)</f>
        <v>7.19</v>
      </c>
    </row>
    <row r="2956" spans="1:6" x14ac:dyDescent="0.3">
      <c r="A2956" t="s">
        <v>13339</v>
      </c>
      <c r="B2956" s="6">
        <f>COUNTIF(Levels!B:B,A2956)</f>
        <v>1</v>
      </c>
      <c r="C2956" s="6">
        <f>IFERROR(AVERAGEIF(Levels!B:B,A2956,Levels!E:E),0)</f>
        <v>0</v>
      </c>
      <c r="D2956" s="6">
        <f>IFERROR(AVERAGEIF(Levels!B:B,A2956,Levels!F:F),0)</f>
        <v>7.17</v>
      </c>
      <c r="E2956" s="6">
        <f>_xlfn.MAXIFS(Levels!E:E,Levels!B:B,A2956)</f>
        <v>0</v>
      </c>
      <c r="F2956" s="6">
        <f>_xlfn.MAXIFS(Levels!F:F,Levels!B:B,A2956)</f>
        <v>7.17</v>
      </c>
    </row>
    <row r="2957" spans="1:6" x14ac:dyDescent="0.3">
      <c r="A2957" t="s">
        <v>13342</v>
      </c>
      <c r="B2957" s="9">
        <f>COUNTIF(Levels!B:B,A2957)</f>
        <v>1</v>
      </c>
      <c r="C2957" s="9">
        <f>IFERROR(AVERAGEIF(Levels!B:B,A2957,Levels!E:E),0)</f>
        <v>15.55</v>
      </c>
      <c r="D2957" s="9">
        <f>IFERROR(AVERAGEIF(Levels!B:B,A2957,Levels!F:F),0)</f>
        <v>6.6</v>
      </c>
      <c r="E2957" s="9">
        <f>_xlfn.MAXIFS(Levels!E:E,Levels!B:B,A2957)</f>
        <v>15.55</v>
      </c>
      <c r="F2957" s="9">
        <f>_xlfn.MAXIFS(Levels!F:F,Levels!B:B,A2957)</f>
        <v>6.6</v>
      </c>
    </row>
    <row r="2958" spans="1:6" x14ac:dyDescent="0.3">
      <c r="A2958" t="s">
        <v>13347</v>
      </c>
      <c r="B2958" s="6">
        <f>COUNTIF(Levels!B:B,A2958)</f>
        <v>2</v>
      </c>
      <c r="C2958" s="6">
        <f>IFERROR(AVERAGEIF(Levels!B:B,A2958,Levels!E:E),0)</f>
        <v>14.04</v>
      </c>
      <c r="D2958" s="6">
        <f>IFERROR(AVERAGEIF(Levels!B:B,A2958,Levels!F:F),0)</f>
        <v>6.335</v>
      </c>
      <c r="E2958" s="6">
        <f>_xlfn.MAXIFS(Levels!E:E,Levels!B:B,A2958)</f>
        <v>22.33</v>
      </c>
      <c r="F2958" s="6">
        <f>_xlfn.MAXIFS(Levels!F:F,Levels!B:B,A2958)</f>
        <v>6.67</v>
      </c>
    </row>
    <row r="2959" spans="1:6" x14ac:dyDescent="0.3">
      <c r="A2959" t="s">
        <v>13368</v>
      </c>
      <c r="B2959" s="9">
        <f>COUNTIF(Levels!B:B,A2959)</f>
        <v>4</v>
      </c>
      <c r="C2959" s="9">
        <f>IFERROR(AVERAGEIF(Levels!B:B,A2959,Levels!E:E),0)</f>
        <v>0</v>
      </c>
      <c r="D2959" s="9">
        <f>IFERROR(AVERAGEIF(Levels!B:B,A2959,Levels!F:F),0)</f>
        <v>5.3250000000000002</v>
      </c>
      <c r="E2959" s="9">
        <f>_xlfn.MAXIFS(Levels!E:E,Levels!B:B,A2959)</f>
        <v>0</v>
      </c>
      <c r="F2959" s="9">
        <f>_xlfn.MAXIFS(Levels!F:F,Levels!B:B,A2959)</f>
        <v>7.74</v>
      </c>
    </row>
    <row r="2960" spans="1:6" x14ac:dyDescent="0.3">
      <c r="A2960" t="s">
        <v>13370</v>
      </c>
      <c r="B2960" s="6">
        <f>COUNTIF(Levels!B:B,A2960)</f>
        <v>1</v>
      </c>
      <c r="C2960" s="6">
        <f>IFERROR(AVERAGEIF(Levels!B:B,A2960,Levels!E:E),0)</f>
        <v>2.2799999999999998</v>
      </c>
      <c r="D2960" s="6">
        <f>IFERROR(AVERAGEIF(Levels!B:B,A2960,Levels!F:F),0)</f>
        <v>7.7</v>
      </c>
      <c r="E2960" s="6">
        <f>_xlfn.MAXIFS(Levels!E:E,Levels!B:B,A2960)</f>
        <v>2.2799999999999998</v>
      </c>
      <c r="F2960" s="6">
        <f>_xlfn.MAXIFS(Levels!F:F,Levels!B:B,A2960)</f>
        <v>7.7</v>
      </c>
    </row>
    <row r="2961" spans="1:6" x14ac:dyDescent="0.3">
      <c r="A2961" t="s">
        <v>13373</v>
      </c>
      <c r="B2961" s="9">
        <f>COUNTIF(Levels!B:B,A2961)</f>
        <v>4</v>
      </c>
      <c r="C2961" s="9">
        <f>IFERROR(AVERAGEIF(Levels!B:B,A2961,Levels!E:E),0)</f>
        <v>0</v>
      </c>
      <c r="D2961" s="9">
        <f>IFERROR(AVERAGEIF(Levels!B:B,A2961,Levels!F:F),0)</f>
        <v>7.5075000000000003</v>
      </c>
      <c r="E2961" s="9">
        <f>_xlfn.MAXIFS(Levels!E:E,Levels!B:B,A2961)</f>
        <v>0</v>
      </c>
      <c r="F2961" s="9">
        <f>_xlfn.MAXIFS(Levels!F:F,Levels!B:B,A2961)</f>
        <v>8.58</v>
      </c>
    </row>
    <row r="2962" spans="1:6" x14ac:dyDescent="0.3">
      <c r="A2962" t="s">
        <v>13376</v>
      </c>
      <c r="B2962" s="6">
        <f>COUNTIF(Levels!B:B,A2962)</f>
        <v>1</v>
      </c>
      <c r="C2962" s="6">
        <f>IFERROR(AVERAGEIF(Levels!B:B,A2962,Levels!E:E),0)</f>
        <v>11.84</v>
      </c>
      <c r="D2962" s="6">
        <f>IFERROR(AVERAGEIF(Levels!B:B,A2962,Levels!F:F),0)</f>
        <v>7.18</v>
      </c>
      <c r="E2962" s="6">
        <f>_xlfn.MAXIFS(Levels!E:E,Levels!B:B,A2962)</f>
        <v>11.84</v>
      </c>
      <c r="F2962" s="6">
        <f>_xlfn.MAXIFS(Levels!F:F,Levels!B:B,A2962)</f>
        <v>7.18</v>
      </c>
    </row>
    <row r="2963" spans="1:6" x14ac:dyDescent="0.3">
      <c r="A2963" t="s">
        <v>13381</v>
      </c>
      <c r="B2963" s="9">
        <f>COUNTIF(Levels!B:B,A2963)</f>
        <v>1</v>
      </c>
      <c r="C2963" s="9">
        <f>IFERROR(AVERAGEIF(Levels!B:B,A2963,Levels!E:E),0)</f>
        <v>10.199999999999999</v>
      </c>
      <c r="D2963" s="9">
        <f>IFERROR(AVERAGEIF(Levels!B:B,A2963,Levels!F:F),0)</f>
        <v>6.4</v>
      </c>
      <c r="E2963" s="9">
        <f>_xlfn.MAXIFS(Levels!E:E,Levels!B:B,A2963)</f>
        <v>10.199999999999999</v>
      </c>
      <c r="F2963" s="9">
        <f>_xlfn.MAXIFS(Levels!F:F,Levels!B:B,A2963)</f>
        <v>6.4</v>
      </c>
    </row>
    <row r="2964" spans="1:6" x14ac:dyDescent="0.3">
      <c r="A2964" t="s">
        <v>13386</v>
      </c>
      <c r="B2964" s="6">
        <f>COUNTIF(Levels!B:B,A2964)</f>
        <v>4</v>
      </c>
      <c r="C2964" s="6">
        <f>IFERROR(AVERAGEIF(Levels!B:B,A2964,Levels!E:E),0)</f>
        <v>7.86</v>
      </c>
      <c r="D2964" s="6">
        <f>IFERROR(AVERAGEIF(Levels!B:B,A2964,Levels!F:F),0)</f>
        <v>7.5600000000000005</v>
      </c>
      <c r="E2964" s="6">
        <f>_xlfn.MAXIFS(Levels!E:E,Levels!B:B,A2964)</f>
        <v>18.75</v>
      </c>
      <c r="F2964" s="6">
        <f>_xlfn.MAXIFS(Levels!F:F,Levels!B:B,A2964)</f>
        <v>8.8000000000000007</v>
      </c>
    </row>
    <row r="2965" spans="1:6" x14ac:dyDescent="0.3">
      <c r="A2965" t="s">
        <v>13392</v>
      </c>
      <c r="B2965" s="9">
        <f>COUNTIF(Levels!B:B,A2965)</f>
        <v>1</v>
      </c>
      <c r="C2965" s="9">
        <f>IFERROR(AVERAGEIF(Levels!B:B,A2965,Levels!E:E),0)</f>
        <v>13.96</v>
      </c>
      <c r="D2965" s="9">
        <f>IFERROR(AVERAGEIF(Levels!B:B,A2965,Levels!F:F),0)</f>
        <v>7.04</v>
      </c>
      <c r="E2965" s="9">
        <f>_xlfn.MAXIFS(Levels!E:E,Levels!B:B,A2965)</f>
        <v>13.96</v>
      </c>
      <c r="F2965" s="9">
        <f>_xlfn.MAXIFS(Levels!F:F,Levels!B:B,A2965)</f>
        <v>7.04</v>
      </c>
    </row>
    <row r="2966" spans="1:6" x14ac:dyDescent="0.3">
      <c r="A2966" t="s">
        <v>13396</v>
      </c>
      <c r="B2966" s="6">
        <f>COUNTIF(Levels!B:B,A2966)</f>
        <v>4</v>
      </c>
      <c r="C2966" s="6">
        <f>IFERROR(AVERAGEIF(Levels!B:B,A2966,Levels!E:E),0)</f>
        <v>0</v>
      </c>
      <c r="D2966" s="6">
        <f>IFERROR(AVERAGEIF(Levels!B:B,A2966,Levels!F:F),0)</f>
        <v>7.91</v>
      </c>
      <c r="E2966" s="6">
        <f>_xlfn.MAXIFS(Levels!E:E,Levels!B:B,A2966)</f>
        <v>0</v>
      </c>
      <c r="F2966" s="6">
        <f>_xlfn.MAXIFS(Levels!F:F,Levels!B:B,A2966)</f>
        <v>8.75</v>
      </c>
    </row>
    <row r="2967" spans="1:6" x14ac:dyDescent="0.3">
      <c r="A2967" t="s">
        <v>13398</v>
      </c>
      <c r="B2967" s="9">
        <f>COUNTIF(Levels!B:B,A2967)</f>
        <v>2</v>
      </c>
      <c r="C2967" s="9">
        <f>IFERROR(AVERAGEIF(Levels!B:B,A2967,Levels!E:E),0)</f>
        <v>11.16</v>
      </c>
      <c r="D2967" s="9">
        <f>IFERROR(AVERAGEIF(Levels!B:B,A2967,Levels!F:F),0)</f>
        <v>7.91</v>
      </c>
      <c r="E2967" s="9">
        <f>_xlfn.MAXIFS(Levels!E:E,Levels!B:B,A2967)</f>
        <v>11.45</v>
      </c>
      <c r="F2967" s="9">
        <f>_xlfn.MAXIFS(Levels!F:F,Levels!B:B,A2967)</f>
        <v>8.5500000000000007</v>
      </c>
    </row>
    <row r="2968" spans="1:6" x14ac:dyDescent="0.3">
      <c r="A2968" t="s">
        <v>13401</v>
      </c>
      <c r="B2968" s="6">
        <f>COUNTIF(Levels!B:B,A2968)</f>
        <v>1</v>
      </c>
      <c r="C2968" s="6">
        <f>IFERROR(AVERAGEIF(Levels!B:B,A2968,Levels!E:E),0)</f>
        <v>0</v>
      </c>
      <c r="D2968" s="6">
        <f>IFERROR(AVERAGEIF(Levels!B:B,A2968,Levels!F:F),0)</f>
        <v>6.1</v>
      </c>
      <c r="E2968" s="6">
        <f>_xlfn.MAXIFS(Levels!E:E,Levels!B:B,A2968)</f>
        <v>0</v>
      </c>
      <c r="F2968" s="6">
        <f>_xlfn.MAXIFS(Levels!F:F,Levels!B:B,A2968)</f>
        <v>6.1</v>
      </c>
    </row>
    <row r="2969" spans="1:6" x14ac:dyDescent="0.3">
      <c r="A2969" t="s">
        <v>13407</v>
      </c>
      <c r="B2969" s="9">
        <f>COUNTIF(Levels!B:B,A2969)</f>
        <v>2</v>
      </c>
      <c r="C2969" s="9">
        <f>IFERROR(AVERAGEIF(Levels!B:B,A2969,Levels!E:E),0)</f>
        <v>4.43</v>
      </c>
      <c r="D2969" s="9">
        <f>IFERROR(AVERAGEIF(Levels!B:B,A2969,Levels!F:F),0)</f>
        <v>6.585</v>
      </c>
      <c r="E2969" s="9">
        <f>_xlfn.MAXIFS(Levels!E:E,Levels!B:B,A2969)</f>
        <v>6.96</v>
      </c>
      <c r="F2969" s="9">
        <f>_xlfn.MAXIFS(Levels!F:F,Levels!B:B,A2969)</f>
        <v>7.42</v>
      </c>
    </row>
    <row r="2970" spans="1:6" x14ac:dyDescent="0.3">
      <c r="A2970" t="s">
        <v>13411</v>
      </c>
      <c r="B2970" s="6">
        <f>COUNTIF(Levels!B:B,A2970)</f>
        <v>1</v>
      </c>
      <c r="C2970" s="6">
        <f>IFERROR(AVERAGEIF(Levels!B:B,A2970,Levels!E:E),0)</f>
        <v>0</v>
      </c>
      <c r="D2970" s="6">
        <f>IFERROR(AVERAGEIF(Levels!B:B,A2970,Levels!F:F),0)</f>
        <v>5.75</v>
      </c>
      <c r="E2970" s="6">
        <f>_xlfn.MAXIFS(Levels!E:E,Levels!B:B,A2970)</f>
        <v>0</v>
      </c>
      <c r="F2970" s="6">
        <f>_xlfn.MAXIFS(Levels!F:F,Levels!B:B,A2970)</f>
        <v>5.75</v>
      </c>
    </row>
    <row r="2971" spans="1:6" x14ac:dyDescent="0.3">
      <c r="A2971" t="s">
        <v>13415</v>
      </c>
      <c r="B2971" s="9">
        <f>COUNTIF(Levels!B:B,A2971)</f>
        <v>1</v>
      </c>
      <c r="C2971" s="9">
        <f>IFERROR(AVERAGEIF(Levels!B:B,A2971,Levels!E:E),0)</f>
        <v>0</v>
      </c>
      <c r="D2971" s="9">
        <f>IFERROR(AVERAGEIF(Levels!B:B,A2971,Levels!F:F),0)</f>
        <v>6.37</v>
      </c>
      <c r="E2971" s="9">
        <f>_xlfn.MAXIFS(Levels!E:E,Levels!B:B,A2971)</f>
        <v>0</v>
      </c>
      <c r="F2971" s="9">
        <f>_xlfn.MAXIFS(Levels!F:F,Levels!B:B,A2971)</f>
        <v>6.37</v>
      </c>
    </row>
    <row r="2972" spans="1:6" x14ac:dyDescent="0.3">
      <c r="A2972" t="s">
        <v>13426</v>
      </c>
      <c r="B2972" s="6">
        <f>COUNTIF(Levels!B:B,A2972)</f>
        <v>1</v>
      </c>
      <c r="C2972" s="6">
        <f>IFERROR(AVERAGEIF(Levels!B:B,A2972,Levels!E:E),0)</f>
        <v>0</v>
      </c>
      <c r="D2972" s="6">
        <f>IFERROR(AVERAGEIF(Levels!B:B,A2972,Levels!F:F),0)</f>
        <v>6</v>
      </c>
      <c r="E2972" s="6">
        <f>_xlfn.MAXIFS(Levels!E:E,Levels!B:B,A2972)</f>
        <v>0</v>
      </c>
      <c r="F2972" s="6">
        <f>_xlfn.MAXIFS(Levels!F:F,Levels!B:B,A2972)</f>
        <v>6</v>
      </c>
    </row>
    <row r="2973" spans="1:6" x14ac:dyDescent="0.3">
      <c r="A2973" t="s">
        <v>13429</v>
      </c>
      <c r="B2973" s="9">
        <f>COUNTIF(Levels!B:B,A2973)</f>
        <v>2</v>
      </c>
      <c r="C2973" s="9">
        <f>IFERROR(AVERAGEIF(Levels!B:B,A2973,Levels!E:E),0)</f>
        <v>16.755000000000003</v>
      </c>
      <c r="D2973" s="9">
        <f>IFERROR(AVERAGEIF(Levels!B:B,A2973,Levels!F:F),0)</f>
        <v>6.875</v>
      </c>
      <c r="E2973" s="9">
        <f>_xlfn.MAXIFS(Levels!E:E,Levels!B:B,A2973)</f>
        <v>23.67</v>
      </c>
      <c r="F2973" s="9">
        <f>_xlfn.MAXIFS(Levels!F:F,Levels!B:B,A2973)</f>
        <v>8.08</v>
      </c>
    </row>
    <row r="2974" spans="1:6" x14ac:dyDescent="0.3">
      <c r="A2974" t="s">
        <v>13432</v>
      </c>
      <c r="B2974" s="6">
        <f>COUNTIF(Levels!B:B,A2974)</f>
        <v>1</v>
      </c>
      <c r="C2974" s="6">
        <f>IFERROR(AVERAGEIF(Levels!B:B,A2974,Levels!E:E),0)</f>
        <v>0</v>
      </c>
      <c r="D2974" s="6">
        <f>IFERROR(AVERAGEIF(Levels!B:B,A2974,Levels!F:F),0)</f>
        <v>7.13</v>
      </c>
      <c r="E2974" s="6">
        <f>_xlfn.MAXIFS(Levels!E:E,Levels!B:B,A2974)</f>
        <v>0</v>
      </c>
      <c r="F2974" s="6">
        <f>_xlfn.MAXIFS(Levels!F:F,Levels!B:B,A2974)</f>
        <v>7.13</v>
      </c>
    </row>
    <row r="2975" spans="1:6" x14ac:dyDescent="0.3">
      <c r="A2975" t="s">
        <v>13435</v>
      </c>
      <c r="B2975" s="9">
        <f>COUNTIF(Levels!B:B,A2975)</f>
        <v>1</v>
      </c>
      <c r="C2975" s="9">
        <f>IFERROR(AVERAGEIF(Levels!B:B,A2975,Levels!E:E),0)</f>
        <v>3.67</v>
      </c>
      <c r="D2975" s="9">
        <f>IFERROR(AVERAGEIF(Levels!B:B,A2975,Levels!F:F),0)</f>
        <v>7.09</v>
      </c>
      <c r="E2975" s="9">
        <f>_xlfn.MAXIFS(Levels!E:E,Levels!B:B,A2975)</f>
        <v>3.67</v>
      </c>
      <c r="F2975" s="9">
        <f>_xlfn.MAXIFS(Levels!F:F,Levels!B:B,A2975)</f>
        <v>7.09</v>
      </c>
    </row>
    <row r="2976" spans="1:6" x14ac:dyDescent="0.3">
      <c r="A2976" t="s">
        <v>13438</v>
      </c>
      <c r="B2976" s="6">
        <f>COUNTIF(Levels!B:B,A2976)</f>
        <v>1</v>
      </c>
      <c r="C2976" s="6">
        <f>IFERROR(AVERAGEIF(Levels!B:B,A2976,Levels!E:E),0)</f>
        <v>6.54</v>
      </c>
      <c r="D2976" s="6">
        <f>IFERROR(AVERAGEIF(Levels!B:B,A2976,Levels!F:F),0)</f>
        <v>9.19</v>
      </c>
      <c r="E2976" s="6">
        <f>_xlfn.MAXIFS(Levels!E:E,Levels!B:B,A2976)</f>
        <v>6.54</v>
      </c>
      <c r="F2976" s="6">
        <f>_xlfn.MAXIFS(Levels!F:F,Levels!B:B,A2976)</f>
        <v>9.19</v>
      </c>
    </row>
    <row r="2977" spans="1:6" x14ac:dyDescent="0.3">
      <c r="A2977" t="s">
        <v>13443</v>
      </c>
      <c r="B2977" s="9">
        <f>COUNTIF(Levels!B:B,A2977)</f>
        <v>1</v>
      </c>
      <c r="C2977" s="9">
        <f>IFERROR(AVERAGEIF(Levels!B:B,A2977,Levels!E:E),0)</f>
        <v>16.71</v>
      </c>
      <c r="D2977" s="9">
        <f>IFERROR(AVERAGEIF(Levels!B:B,A2977,Levels!F:F),0)</f>
        <v>7.86</v>
      </c>
      <c r="E2977" s="9">
        <f>_xlfn.MAXIFS(Levels!E:E,Levels!B:B,A2977)</f>
        <v>16.71</v>
      </c>
      <c r="F2977" s="9">
        <f>_xlfn.MAXIFS(Levels!F:F,Levels!B:B,A2977)</f>
        <v>7.86</v>
      </c>
    </row>
    <row r="2978" spans="1:6" x14ac:dyDescent="0.3">
      <c r="A2978" t="s">
        <v>13445</v>
      </c>
      <c r="B2978" s="6">
        <f>COUNTIF(Levels!B:B,A2978)</f>
        <v>1</v>
      </c>
      <c r="C2978" s="6">
        <f>IFERROR(AVERAGEIF(Levels!B:B,A2978,Levels!E:E),0)</f>
        <v>9.67</v>
      </c>
      <c r="D2978" s="6">
        <f>IFERROR(AVERAGEIF(Levels!B:B,A2978,Levels!F:F),0)</f>
        <v>6.29</v>
      </c>
      <c r="E2978" s="6">
        <f>_xlfn.MAXIFS(Levels!E:E,Levels!B:B,A2978)</f>
        <v>9.67</v>
      </c>
      <c r="F2978" s="6">
        <f>_xlfn.MAXIFS(Levels!F:F,Levels!B:B,A2978)</f>
        <v>6.29</v>
      </c>
    </row>
    <row r="2979" spans="1:6" x14ac:dyDescent="0.3">
      <c r="A2979" t="s">
        <v>13452</v>
      </c>
      <c r="B2979" s="9">
        <f>COUNTIF(Levels!B:B,A2979)</f>
        <v>2</v>
      </c>
      <c r="C2979" s="9">
        <f>IFERROR(AVERAGEIF(Levels!B:B,A2979,Levels!E:E),0)</f>
        <v>16.335000000000001</v>
      </c>
      <c r="D2979" s="9">
        <f>IFERROR(AVERAGEIF(Levels!B:B,A2979,Levels!F:F),0)</f>
        <v>7.4849999999999994</v>
      </c>
      <c r="E2979" s="9">
        <f>_xlfn.MAXIFS(Levels!E:E,Levels!B:B,A2979)</f>
        <v>22.67</v>
      </c>
      <c r="F2979" s="9">
        <f>_xlfn.MAXIFS(Levels!F:F,Levels!B:B,A2979)</f>
        <v>7.64</v>
      </c>
    </row>
    <row r="2980" spans="1:6" x14ac:dyDescent="0.3">
      <c r="A2980" t="s">
        <v>13458</v>
      </c>
      <c r="B2980" s="6">
        <f>COUNTIF(Levels!B:B,A2980)</f>
        <v>1</v>
      </c>
      <c r="C2980" s="6">
        <f>IFERROR(AVERAGEIF(Levels!B:B,A2980,Levels!E:E),0)</f>
        <v>10.75</v>
      </c>
      <c r="D2980" s="6">
        <f>IFERROR(AVERAGEIF(Levels!B:B,A2980,Levels!F:F),0)</f>
        <v>7.75</v>
      </c>
      <c r="E2980" s="6">
        <f>_xlfn.MAXIFS(Levels!E:E,Levels!B:B,A2980)</f>
        <v>10.75</v>
      </c>
      <c r="F2980" s="6">
        <f>_xlfn.MAXIFS(Levels!F:F,Levels!B:B,A2980)</f>
        <v>7.75</v>
      </c>
    </row>
    <row r="2981" spans="1:6" x14ac:dyDescent="0.3">
      <c r="A2981" t="s">
        <v>13462</v>
      </c>
      <c r="B2981" s="9">
        <f>COUNTIF(Levels!B:B,A2981)</f>
        <v>1</v>
      </c>
      <c r="C2981" s="9">
        <f>IFERROR(AVERAGEIF(Levels!B:B,A2981,Levels!E:E),0)</f>
        <v>3.35</v>
      </c>
      <c r="D2981" s="9">
        <f>IFERROR(AVERAGEIF(Levels!B:B,A2981,Levels!F:F),0)</f>
        <v>7.67</v>
      </c>
      <c r="E2981" s="9">
        <f>_xlfn.MAXIFS(Levels!E:E,Levels!B:B,A2981)</f>
        <v>3.35</v>
      </c>
      <c r="F2981" s="9">
        <f>_xlfn.MAXIFS(Levels!F:F,Levels!B:B,A2981)</f>
        <v>7.67</v>
      </c>
    </row>
    <row r="2982" spans="1:6" x14ac:dyDescent="0.3">
      <c r="A2982" t="s">
        <v>13464</v>
      </c>
      <c r="B2982" s="6">
        <f>COUNTIF(Levels!B:B,A2982)</f>
        <v>1</v>
      </c>
      <c r="C2982" s="6">
        <f>IFERROR(AVERAGEIF(Levels!B:B,A2982,Levels!E:E),0)</f>
        <v>3.8</v>
      </c>
      <c r="D2982" s="6">
        <f>IFERROR(AVERAGEIF(Levels!B:B,A2982,Levels!F:F),0)</f>
        <v>7.07</v>
      </c>
      <c r="E2982" s="6">
        <f>_xlfn.MAXIFS(Levels!E:E,Levels!B:B,A2982)</f>
        <v>3.8</v>
      </c>
      <c r="F2982" s="6">
        <f>_xlfn.MAXIFS(Levels!F:F,Levels!B:B,A2982)</f>
        <v>7.07</v>
      </c>
    </row>
    <row r="2983" spans="1:6" x14ac:dyDescent="0.3">
      <c r="A2983" t="s">
        <v>13469</v>
      </c>
      <c r="B2983" s="9">
        <f>COUNTIF(Levels!B:B,A2983)</f>
        <v>2</v>
      </c>
      <c r="C2983" s="9">
        <f>IFERROR(AVERAGEIF(Levels!B:B,A2983,Levels!E:E),0)</f>
        <v>8.3849999999999998</v>
      </c>
      <c r="D2983" s="9">
        <f>IFERROR(AVERAGEIF(Levels!B:B,A2983,Levels!F:F),0)</f>
        <v>8.504999999999999</v>
      </c>
      <c r="E2983" s="9">
        <f>_xlfn.MAXIFS(Levels!E:E,Levels!B:B,A2983)</f>
        <v>13.13</v>
      </c>
      <c r="F2983" s="9">
        <f>_xlfn.MAXIFS(Levels!F:F,Levels!B:B,A2983)</f>
        <v>8.73</v>
      </c>
    </row>
    <row r="2984" spans="1:6" x14ac:dyDescent="0.3">
      <c r="A2984" t="s">
        <v>13476</v>
      </c>
      <c r="B2984" s="6">
        <f>COUNTIF(Levels!B:B,A2984)</f>
        <v>1</v>
      </c>
      <c r="C2984" s="6">
        <f>IFERROR(AVERAGEIF(Levels!B:B,A2984,Levels!E:E),0)</f>
        <v>0</v>
      </c>
      <c r="D2984" s="6">
        <f>IFERROR(AVERAGEIF(Levels!B:B,A2984,Levels!F:F),0)</f>
        <v>1.5</v>
      </c>
      <c r="E2984" s="6">
        <f>_xlfn.MAXIFS(Levels!E:E,Levels!B:B,A2984)</f>
        <v>0</v>
      </c>
      <c r="F2984" s="6">
        <f>_xlfn.MAXIFS(Levels!F:F,Levels!B:B,A2984)</f>
        <v>1.5</v>
      </c>
    </row>
    <row r="2985" spans="1:6" x14ac:dyDescent="0.3">
      <c r="A2985" t="s">
        <v>13485</v>
      </c>
      <c r="B2985" s="9">
        <f>COUNTIF(Levels!B:B,A2985)</f>
        <v>10</v>
      </c>
      <c r="C2985" s="9">
        <f>IFERROR(AVERAGEIF(Levels!B:B,A2985,Levels!E:E),0)</f>
        <v>0</v>
      </c>
      <c r="D2985" s="9">
        <f>IFERROR(AVERAGEIF(Levels!B:B,A2985,Levels!F:F),0)</f>
        <v>7.7159999999999993</v>
      </c>
      <c r="E2985" s="9">
        <f>_xlfn.MAXIFS(Levels!E:E,Levels!B:B,A2985)</f>
        <v>0</v>
      </c>
      <c r="F2985" s="9">
        <f>_xlfn.MAXIFS(Levels!F:F,Levels!B:B,A2985)</f>
        <v>9.25</v>
      </c>
    </row>
    <row r="2986" spans="1:6" x14ac:dyDescent="0.3">
      <c r="A2986" t="s">
        <v>13487</v>
      </c>
      <c r="B2986" s="6">
        <f>COUNTIF(Levels!B:B,A2986)</f>
        <v>1</v>
      </c>
      <c r="C2986" s="6">
        <f>IFERROR(AVERAGEIF(Levels!B:B,A2986,Levels!E:E),0)</f>
        <v>21.5</v>
      </c>
      <c r="D2986" s="6">
        <f>IFERROR(AVERAGEIF(Levels!B:B,A2986,Levels!F:F),0)</f>
        <v>7.75</v>
      </c>
      <c r="E2986" s="6">
        <f>_xlfn.MAXIFS(Levels!E:E,Levels!B:B,A2986)</f>
        <v>21.5</v>
      </c>
      <c r="F2986" s="6">
        <f>_xlfn.MAXIFS(Levels!F:F,Levels!B:B,A2986)</f>
        <v>7.75</v>
      </c>
    </row>
    <row r="2987" spans="1:6" x14ac:dyDescent="0.3">
      <c r="A2987" t="s">
        <v>13490</v>
      </c>
      <c r="B2987" s="9">
        <f>COUNTIF(Levels!B:B,A2987)</f>
        <v>1</v>
      </c>
      <c r="C2987" s="9">
        <f>IFERROR(AVERAGEIF(Levels!B:B,A2987,Levels!E:E),0)</f>
        <v>21</v>
      </c>
      <c r="D2987" s="9">
        <f>IFERROR(AVERAGEIF(Levels!B:B,A2987,Levels!F:F),0)</f>
        <v>8</v>
      </c>
      <c r="E2987" s="9">
        <f>_xlfn.MAXIFS(Levels!E:E,Levels!B:B,A2987)</f>
        <v>21</v>
      </c>
      <c r="F2987" s="9">
        <f>_xlfn.MAXIFS(Levels!F:F,Levels!B:B,A2987)</f>
        <v>8</v>
      </c>
    </row>
    <row r="2988" spans="1:6" x14ac:dyDescent="0.3">
      <c r="A2988" t="s">
        <v>13493</v>
      </c>
      <c r="B2988" s="6">
        <f>COUNTIF(Levels!B:B,A2988)</f>
        <v>1</v>
      </c>
      <c r="C2988" s="6">
        <f>IFERROR(AVERAGEIF(Levels!B:B,A2988,Levels!E:E),0)</f>
        <v>22.67</v>
      </c>
      <c r="D2988" s="6">
        <f>IFERROR(AVERAGEIF(Levels!B:B,A2988,Levels!F:F),0)</f>
        <v>6.33</v>
      </c>
      <c r="E2988" s="6">
        <f>_xlfn.MAXIFS(Levels!E:E,Levels!B:B,A2988)</f>
        <v>22.67</v>
      </c>
      <c r="F2988" s="6">
        <f>_xlfn.MAXIFS(Levels!F:F,Levels!B:B,A2988)</f>
        <v>6.33</v>
      </c>
    </row>
    <row r="2989" spans="1:6" x14ac:dyDescent="0.3">
      <c r="A2989" t="s">
        <v>13497</v>
      </c>
      <c r="B2989" s="9">
        <f>COUNTIF(Levels!B:B,A2989)</f>
        <v>1</v>
      </c>
      <c r="C2989" s="9">
        <f>IFERROR(AVERAGEIF(Levels!B:B,A2989,Levels!E:E),0)</f>
        <v>16.2</v>
      </c>
      <c r="D2989" s="9">
        <f>IFERROR(AVERAGEIF(Levels!B:B,A2989,Levels!F:F),0)</f>
        <v>7.8</v>
      </c>
      <c r="E2989" s="9">
        <f>_xlfn.MAXIFS(Levels!E:E,Levels!B:B,A2989)</f>
        <v>16.2</v>
      </c>
      <c r="F2989" s="9">
        <f>_xlfn.MAXIFS(Levels!F:F,Levels!B:B,A2989)</f>
        <v>7.8</v>
      </c>
    </row>
    <row r="2990" spans="1:6" x14ac:dyDescent="0.3">
      <c r="A2990" t="s">
        <v>13501</v>
      </c>
      <c r="B2990" s="6">
        <f>COUNTIF(Levels!B:B,A2990)</f>
        <v>1</v>
      </c>
      <c r="C2990" s="6">
        <f>IFERROR(AVERAGEIF(Levels!B:B,A2990,Levels!E:E),0)</f>
        <v>1.25</v>
      </c>
      <c r="D2990" s="6">
        <f>IFERROR(AVERAGEIF(Levels!B:B,A2990,Levels!F:F),0)</f>
        <v>7.21</v>
      </c>
      <c r="E2990" s="6">
        <f>_xlfn.MAXIFS(Levels!E:E,Levels!B:B,A2990)</f>
        <v>1.25</v>
      </c>
      <c r="F2990" s="6">
        <f>_xlfn.MAXIFS(Levels!F:F,Levels!B:B,A2990)</f>
        <v>7.21</v>
      </c>
    </row>
    <row r="2991" spans="1:6" x14ac:dyDescent="0.3">
      <c r="A2991" t="s">
        <v>13507</v>
      </c>
      <c r="B2991" s="9">
        <f>COUNTIF(Levels!B:B,A2991)</f>
        <v>2</v>
      </c>
      <c r="C2991" s="9">
        <f>IFERROR(AVERAGEIF(Levels!B:B,A2991,Levels!E:E),0)</f>
        <v>34</v>
      </c>
      <c r="D2991" s="9">
        <f>IFERROR(AVERAGEIF(Levels!B:B,A2991,Levels!F:F),0)</f>
        <v>3.9350000000000001</v>
      </c>
      <c r="E2991" s="9">
        <f>_xlfn.MAXIFS(Levels!E:E,Levels!B:B,A2991)</f>
        <v>34</v>
      </c>
      <c r="F2991" s="9">
        <f>_xlfn.MAXIFS(Levels!F:F,Levels!B:B,A2991)</f>
        <v>6.87</v>
      </c>
    </row>
    <row r="2992" spans="1:6" x14ac:dyDescent="0.3">
      <c r="A2992" t="s">
        <v>13513</v>
      </c>
      <c r="B2992" s="6">
        <f>COUNTIF(Levels!B:B,A2992)</f>
        <v>1</v>
      </c>
      <c r="C2992" s="6">
        <f>IFERROR(AVERAGEIF(Levels!B:B,A2992,Levels!E:E),0)</f>
        <v>5.56</v>
      </c>
      <c r="D2992" s="6">
        <f>IFERROR(AVERAGEIF(Levels!B:B,A2992,Levels!F:F),0)</f>
        <v>6.25</v>
      </c>
      <c r="E2992" s="6">
        <f>_xlfn.MAXIFS(Levels!E:E,Levels!B:B,A2992)</f>
        <v>5.56</v>
      </c>
      <c r="F2992" s="6">
        <f>_xlfn.MAXIFS(Levels!F:F,Levels!B:B,A2992)</f>
        <v>6.25</v>
      </c>
    </row>
    <row r="2993" spans="1:6" x14ac:dyDescent="0.3">
      <c r="A2993" t="s">
        <v>13515</v>
      </c>
      <c r="B2993" s="9">
        <f>COUNTIF(Levels!B:B,A2993)</f>
        <v>1</v>
      </c>
      <c r="C2993" s="9">
        <f>IFERROR(AVERAGEIF(Levels!B:B,A2993,Levels!E:E),0)</f>
        <v>15.51</v>
      </c>
      <c r="D2993" s="9">
        <f>IFERROR(AVERAGEIF(Levels!B:B,A2993,Levels!F:F),0)</f>
        <v>9.08</v>
      </c>
      <c r="E2993" s="9">
        <f>_xlfn.MAXIFS(Levels!E:E,Levels!B:B,A2993)</f>
        <v>15.51</v>
      </c>
      <c r="F2993" s="9">
        <f>_xlfn.MAXIFS(Levels!F:F,Levels!B:B,A2993)</f>
        <v>9.08</v>
      </c>
    </row>
    <row r="2994" spans="1:6" x14ac:dyDescent="0.3">
      <c r="A2994" t="s">
        <v>13524</v>
      </c>
      <c r="B2994" s="6">
        <f>COUNTIF(Levels!B:B,A2994)</f>
        <v>2</v>
      </c>
      <c r="C2994" s="6">
        <f>IFERROR(AVERAGEIF(Levels!B:B,A2994,Levels!E:E),0)</f>
        <v>2.3899999999999997</v>
      </c>
      <c r="D2994" s="6">
        <f>IFERROR(AVERAGEIF(Levels!B:B,A2994,Levels!F:F),0)</f>
        <v>6.7650000000000006</v>
      </c>
      <c r="E2994" s="6">
        <f>_xlfn.MAXIFS(Levels!E:E,Levels!B:B,A2994)</f>
        <v>2.88</v>
      </c>
      <c r="F2994" s="6">
        <f>_xlfn.MAXIFS(Levels!F:F,Levels!B:B,A2994)</f>
        <v>7</v>
      </c>
    </row>
    <row r="2995" spans="1:6" x14ac:dyDescent="0.3">
      <c r="A2995" t="s">
        <v>13533</v>
      </c>
      <c r="B2995" s="9">
        <f>COUNTIF(Levels!B:B,A2995)</f>
        <v>1</v>
      </c>
      <c r="C2995" s="9">
        <f>IFERROR(AVERAGEIF(Levels!B:B,A2995,Levels!E:E),0)</f>
        <v>13.74</v>
      </c>
      <c r="D2995" s="9">
        <f>IFERROR(AVERAGEIF(Levels!B:B,A2995,Levels!F:F),0)</f>
        <v>8.8699999999999992</v>
      </c>
      <c r="E2995" s="9">
        <f>_xlfn.MAXIFS(Levels!E:E,Levels!B:B,A2995)</f>
        <v>13.74</v>
      </c>
      <c r="F2995" s="9">
        <f>_xlfn.MAXIFS(Levels!F:F,Levels!B:B,A2995)</f>
        <v>8.8699999999999992</v>
      </c>
    </row>
    <row r="2996" spans="1:6" x14ac:dyDescent="0.3">
      <c r="A2996" t="s">
        <v>13537</v>
      </c>
      <c r="B2996" s="6">
        <f>COUNTIF(Levels!B:B,A2996)</f>
        <v>1</v>
      </c>
      <c r="C2996" s="6">
        <f>IFERROR(AVERAGEIF(Levels!B:B,A2996,Levels!E:E),0)</f>
        <v>24</v>
      </c>
      <c r="D2996" s="6">
        <f>IFERROR(AVERAGEIF(Levels!B:B,A2996,Levels!F:F),0)</f>
        <v>5</v>
      </c>
      <c r="E2996" s="6">
        <f>_xlfn.MAXIFS(Levels!E:E,Levels!B:B,A2996)</f>
        <v>24</v>
      </c>
      <c r="F2996" s="6">
        <f>_xlfn.MAXIFS(Levels!F:F,Levels!B:B,A2996)</f>
        <v>5</v>
      </c>
    </row>
    <row r="2997" spans="1:6" x14ac:dyDescent="0.3">
      <c r="A2997" t="s">
        <v>13543</v>
      </c>
      <c r="B2997" s="9">
        <f>COUNTIF(Levels!B:B,A2997)</f>
        <v>1</v>
      </c>
      <c r="C2997" s="9">
        <f>IFERROR(AVERAGEIF(Levels!B:B,A2997,Levels!E:E),0)</f>
        <v>3.16</v>
      </c>
      <c r="D2997" s="9">
        <f>IFERROR(AVERAGEIF(Levels!B:B,A2997,Levels!F:F),0)</f>
        <v>6.82</v>
      </c>
      <c r="E2997" s="9">
        <f>_xlfn.MAXIFS(Levels!E:E,Levels!B:B,A2997)</f>
        <v>3.16</v>
      </c>
      <c r="F2997" s="9">
        <f>_xlfn.MAXIFS(Levels!F:F,Levels!B:B,A2997)</f>
        <v>6.82</v>
      </c>
    </row>
    <row r="2998" spans="1:6" x14ac:dyDescent="0.3">
      <c r="A2998" t="s">
        <v>13552</v>
      </c>
      <c r="B2998" s="6">
        <f>COUNTIF(Levels!B:B,A2998)</f>
        <v>1</v>
      </c>
      <c r="C2998" s="6">
        <f>IFERROR(AVERAGEIF(Levels!B:B,A2998,Levels!E:E),0)</f>
        <v>3.46</v>
      </c>
      <c r="D2998" s="6">
        <f>IFERROR(AVERAGEIF(Levels!B:B,A2998,Levels!F:F),0)</f>
        <v>7</v>
      </c>
      <c r="E2998" s="6">
        <f>_xlfn.MAXIFS(Levels!E:E,Levels!B:B,A2998)</f>
        <v>3.46</v>
      </c>
      <c r="F2998" s="6">
        <f>_xlfn.MAXIFS(Levels!F:F,Levels!B:B,A2998)</f>
        <v>7</v>
      </c>
    </row>
    <row r="2999" spans="1:6" x14ac:dyDescent="0.3">
      <c r="A2999" t="s">
        <v>13554</v>
      </c>
      <c r="B2999" s="9">
        <f>COUNTIF(Levels!B:B,A2999)</f>
        <v>1</v>
      </c>
      <c r="C2999" s="9">
        <f>IFERROR(AVERAGEIF(Levels!B:B,A2999,Levels!E:E),0)</f>
        <v>10.64</v>
      </c>
      <c r="D2999" s="9">
        <f>IFERROR(AVERAGEIF(Levels!B:B,A2999,Levels!F:F),0)</f>
        <v>7.83</v>
      </c>
      <c r="E2999" s="9">
        <f>_xlfn.MAXIFS(Levels!E:E,Levels!B:B,A2999)</f>
        <v>10.64</v>
      </c>
      <c r="F2999" s="9">
        <f>_xlfn.MAXIFS(Levels!F:F,Levels!B:B,A2999)</f>
        <v>7.83</v>
      </c>
    </row>
    <row r="3000" spans="1:6" x14ac:dyDescent="0.3">
      <c r="A3000" t="s">
        <v>13556</v>
      </c>
      <c r="B3000" s="6">
        <f>COUNTIF(Levels!B:B,A3000)</f>
        <v>1</v>
      </c>
      <c r="C3000" s="6">
        <f>IFERROR(AVERAGEIF(Levels!B:B,A3000,Levels!E:E),0)</f>
        <v>3.58</v>
      </c>
      <c r="D3000" s="6">
        <f>IFERROR(AVERAGEIF(Levels!B:B,A3000,Levels!F:F),0)</f>
        <v>6.17</v>
      </c>
      <c r="E3000" s="6">
        <f>_xlfn.MAXIFS(Levels!E:E,Levels!B:B,A3000)</f>
        <v>3.58</v>
      </c>
      <c r="F3000" s="6">
        <f>_xlfn.MAXIFS(Levels!F:F,Levels!B:B,A3000)</f>
        <v>6.17</v>
      </c>
    </row>
    <row r="3001" spans="1:6" x14ac:dyDescent="0.3">
      <c r="A3001" t="s">
        <v>13566</v>
      </c>
      <c r="B3001" s="9">
        <f>COUNTIF(Levels!B:B,A3001)</f>
        <v>1</v>
      </c>
      <c r="C3001" s="9">
        <f>IFERROR(AVERAGEIF(Levels!B:B,A3001,Levels!E:E),0)</f>
        <v>3.79</v>
      </c>
      <c r="D3001" s="9">
        <f>IFERROR(AVERAGEIF(Levels!B:B,A3001,Levels!F:F),0)</f>
        <v>6.95</v>
      </c>
      <c r="E3001" s="9">
        <f>_xlfn.MAXIFS(Levels!E:E,Levels!B:B,A3001)</f>
        <v>3.79</v>
      </c>
      <c r="F3001" s="9">
        <f>_xlfn.MAXIFS(Levels!F:F,Levels!B:B,A3001)</f>
        <v>6.95</v>
      </c>
    </row>
    <row r="3002" spans="1:6" x14ac:dyDescent="0.3">
      <c r="A3002" t="s">
        <v>13572</v>
      </c>
      <c r="B3002" s="6">
        <f>COUNTIF(Levels!B:B,A3002)</f>
        <v>2</v>
      </c>
      <c r="C3002" s="6">
        <f>IFERROR(AVERAGEIF(Levels!B:B,A3002,Levels!E:E),0)</f>
        <v>22.67</v>
      </c>
      <c r="D3002" s="6">
        <f>IFERROR(AVERAGEIF(Levels!B:B,A3002,Levels!F:F),0)</f>
        <v>2.665</v>
      </c>
      <c r="E3002" s="6">
        <f>_xlfn.MAXIFS(Levels!E:E,Levels!B:B,A3002)</f>
        <v>22.67</v>
      </c>
      <c r="F3002" s="6">
        <f>_xlfn.MAXIFS(Levels!F:F,Levels!B:B,A3002)</f>
        <v>5.33</v>
      </c>
    </row>
    <row r="3003" spans="1:6" x14ac:dyDescent="0.3">
      <c r="A3003" t="s">
        <v>13576</v>
      </c>
      <c r="B3003" s="9">
        <f>COUNTIF(Levels!B:B,A3003)</f>
        <v>1</v>
      </c>
      <c r="C3003" s="9">
        <f>IFERROR(AVERAGEIF(Levels!B:B,A3003,Levels!E:E),0)</f>
        <v>0</v>
      </c>
      <c r="D3003" s="9">
        <f>IFERROR(AVERAGEIF(Levels!B:B,A3003,Levels!F:F),0)</f>
        <v>6.2</v>
      </c>
      <c r="E3003" s="9">
        <f>_xlfn.MAXIFS(Levels!E:E,Levels!B:B,A3003)</f>
        <v>0</v>
      </c>
      <c r="F3003" s="9">
        <f>_xlfn.MAXIFS(Levels!F:F,Levels!B:B,A3003)</f>
        <v>6.2</v>
      </c>
    </row>
    <row r="3004" spans="1:6" x14ac:dyDescent="0.3">
      <c r="A3004" t="s">
        <v>13579</v>
      </c>
      <c r="B3004" s="6">
        <f>COUNTIF(Levels!B:B,A3004)</f>
        <v>2</v>
      </c>
      <c r="C3004" s="6">
        <f>IFERROR(AVERAGEIF(Levels!B:B,A3004,Levels!E:E),0)</f>
        <v>24.25</v>
      </c>
      <c r="D3004" s="6">
        <f>IFERROR(AVERAGEIF(Levels!B:B,A3004,Levels!F:F),0)</f>
        <v>4.335</v>
      </c>
      <c r="E3004" s="6">
        <f>_xlfn.MAXIFS(Levels!E:E,Levels!B:B,A3004)</f>
        <v>27</v>
      </c>
      <c r="F3004" s="6">
        <f>_xlfn.MAXIFS(Levels!F:F,Levels!B:B,A3004)</f>
        <v>6</v>
      </c>
    </row>
    <row r="3005" spans="1:6" x14ac:dyDescent="0.3">
      <c r="A3005" t="s">
        <v>13583</v>
      </c>
      <c r="B3005" s="9">
        <f>COUNTIF(Levels!B:B,A3005)</f>
        <v>2</v>
      </c>
      <c r="C3005" s="9">
        <f>IFERROR(AVERAGEIF(Levels!B:B,A3005,Levels!E:E),0)</f>
        <v>9.6150000000000002</v>
      </c>
      <c r="D3005" s="9">
        <f>IFERROR(AVERAGEIF(Levels!B:B,A3005,Levels!F:F),0)</f>
        <v>7.085</v>
      </c>
      <c r="E3005" s="9">
        <f>_xlfn.MAXIFS(Levels!E:E,Levels!B:B,A3005)</f>
        <v>9.81</v>
      </c>
      <c r="F3005" s="9">
        <f>_xlfn.MAXIFS(Levels!F:F,Levels!B:B,A3005)</f>
        <v>7.97</v>
      </c>
    </row>
    <row r="3006" spans="1:6" x14ac:dyDescent="0.3">
      <c r="A3006" t="s">
        <v>13587</v>
      </c>
      <c r="B3006" s="6">
        <f>COUNTIF(Levels!B:B,A3006)</f>
        <v>2</v>
      </c>
      <c r="C3006" s="6">
        <f>IFERROR(AVERAGEIF(Levels!B:B,A3006,Levels!E:E),0)</f>
        <v>5.125</v>
      </c>
      <c r="D3006" s="6">
        <f>IFERROR(AVERAGEIF(Levels!B:B,A3006,Levels!F:F),0)</f>
        <v>5.82</v>
      </c>
      <c r="E3006" s="6">
        <f>_xlfn.MAXIFS(Levels!E:E,Levels!B:B,A3006)</f>
        <v>7</v>
      </c>
      <c r="F3006" s="6">
        <f>_xlfn.MAXIFS(Levels!F:F,Levels!B:B,A3006)</f>
        <v>6.04</v>
      </c>
    </row>
    <row r="3007" spans="1:6" x14ac:dyDescent="0.3">
      <c r="A3007" t="s">
        <v>13589</v>
      </c>
      <c r="B3007" s="9">
        <f>COUNTIF(Levels!B:B,A3007)</f>
        <v>1</v>
      </c>
      <c r="C3007" s="9">
        <f>IFERROR(AVERAGEIF(Levels!B:B,A3007,Levels!E:E),0)</f>
        <v>0</v>
      </c>
      <c r="D3007" s="9">
        <f>IFERROR(AVERAGEIF(Levels!B:B,A3007,Levels!F:F),0)</f>
        <v>6.53</v>
      </c>
      <c r="E3007" s="9">
        <f>_xlfn.MAXIFS(Levels!E:E,Levels!B:B,A3007)</f>
        <v>0</v>
      </c>
      <c r="F3007" s="9">
        <f>_xlfn.MAXIFS(Levels!F:F,Levels!B:B,A3007)</f>
        <v>6.53</v>
      </c>
    </row>
    <row r="3008" spans="1:6" x14ac:dyDescent="0.3">
      <c r="A3008" t="s">
        <v>13592</v>
      </c>
      <c r="B3008" s="6">
        <f>COUNTIF(Levels!B:B,A3008)</f>
        <v>1</v>
      </c>
      <c r="C3008" s="6">
        <f>IFERROR(AVERAGEIF(Levels!B:B,A3008,Levels!E:E),0)</f>
        <v>2.7</v>
      </c>
      <c r="D3008" s="6">
        <f>IFERROR(AVERAGEIF(Levels!B:B,A3008,Levels!F:F),0)</f>
        <v>6.27</v>
      </c>
      <c r="E3008" s="6">
        <f>_xlfn.MAXIFS(Levels!E:E,Levels!B:B,A3008)</f>
        <v>2.7</v>
      </c>
      <c r="F3008" s="6">
        <f>_xlfn.MAXIFS(Levels!F:F,Levels!B:B,A3008)</f>
        <v>6.27</v>
      </c>
    </row>
    <row r="3009" spans="1:6" x14ac:dyDescent="0.3">
      <c r="A3009" t="s">
        <v>13595</v>
      </c>
      <c r="B3009" s="9">
        <f>COUNTIF(Levels!B:B,A3009)</f>
        <v>1</v>
      </c>
      <c r="C3009" s="9">
        <f>IFERROR(AVERAGEIF(Levels!B:B,A3009,Levels!E:E),0)</f>
        <v>0</v>
      </c>
      <c r="D3009" s="9">
        <f>IFERROR(AVERAGEIF(Levels!B:B,A3009,Levels!F:F),0)</f>
        <v>6.94</v>
      </c>
      <c r="E3009" s="9">
        <f>_xlfn.MAXIFS(Levels!E:E,Levels!B:B,A3009)</f>
        <v>0</v>
      </c>
      <c r="F3009" s="9">
        <f>_xlfn.MAXIFS(Levels!F:F,Levels!B:B,A3009)</f>
        <v>6.94</v>
      </c>
    </row>
    <row r="3010" spans="1:6" x14ac:dyDescent="0.3">
      <c r="A3010" t="s">
        <v>13600</v>
      </c>
      <c r="B3010" s="6">
        <f>COUNTIF(Levels!B:B,A3010)</f>
        <v>1</v>
      </c>
      <c r="C3010" s="6">
        <f>IFERROR(AVERAGEIF(Levels!B:B,A3010,Levels!E:E),0)</f>
        <v>4.09</v>
      </c>
      <c r="D3010" s="6">
        <f>IFERROR(AVERAGEIF(Levels!B:B,A3010,Levels!F:F),0)</f>
        <v>7</v>
      </c>
      <c r="E3010" s="6">
        <f>_xlfn.MAXIFS(Levels!E:E,Levels!B:B,A3010)</f>
        <v>4.09</v>
      </c>
      <c r="F3010" s="6">
        <f>_xlfn.MAXIFS(Levels!F:F,Levels!B:B,A3010)</f>
        <v>7</v>
      </c>
    </row>
    <row r="3011" spans="1:6" x14ac:dyDescent="0.3">
      <c r="A3011" t="s">
        <v>13602</v>
      </c>
      <c r="B3011" s="9">
        <f>COUNTIF(Levels!B:B,A3011)</f>
        <v>2</v>
      </c>
      <c r="C3011" s="9">
        <f>IFERROR(AVERAGEIF(Levels!B:B,A3011,Levels!E:E),0)</f>
        <v>0</v>
      </c>
      <c r="D3011" s="9">
        <f>IFERROR(AVERAGEIF(Levels!B:B,A3011,Levels!F:F),0)</f>
        <v>6.8000000000000007</v>
      </c>
      <c r="E3011" s="9">
        <f>_xlfn.MAXIFS(Levels!E:E,Levels!B:B,A3011)</f>
        <v>0</v>
      </c>
      <c r="F3011" s="9">
        <f>_xlfn.MAXIFS(Levels!F:F,Levels!B:B,A3011)</f>
        <v>7.37</v>
      </c>
    </row>
    <row r="3012" spans="1:6" x14ac:dyDescent="0.3">
      <c r="A3012" t="s">
        <v>13604</v>
      </c>
      <c r="B3012" s="6">
        <f>COUNTIF(Levels!B:B,A3012)</f>
        <v>1</v>
      </c>
      <c r="C3012" s="6">
        <f>IFERROR(AVERAGEIF(Levels!B:B,A3012,Levels!E:E),0)</f>
        <v>0</v>
      </c>
      <c r="D3012" s="6">
        <f>IFERROR(AVERAGEIF(Levels!B:B,A3012,Levels!F:F),0)</f>
        <v>3</v>
      </c>
      <c r="E3012" s="6">
        <f>_xlfn.MAXIFS(Levels!E:E,Levels!B:B,A3012)</f>
        <v>0</v>
      </c>
      <c r="F3012" s="6">
        <f>_xlfn.MAXIFS(Levels!F:F,Levels!B:B,A3012)</f>
        <v>3</v>
      </c>
    </row>
    <row r="3013" spans="1:6" x14ac:dyDescent="0.3">
      <c r="A3013" t="s">
        <v>13606</v>
      </c>
      <c r="B3013" s="9">
        <f>COUNTIF(Levels!B:B,A3013)</f>
        <v>2</v>
      </c>
      <c r="C3013" s="9">
        <f>IFERROR(AVERAGEIF(Levels!B:B,A3013,Levels!E:E),0)</f>
        <v>0</v>
      </c>
      <c r="D3013" s="9">
        <f>IFERROR(AVERAGEIF(Levels!B:B,A3013,Levels!F:F),0)</f>
        <v>6.2949999999999999</v>
      </c>
      <c r="E3013" s="9">
        <f>_xlfn.MAXIFS(Levels!E:E,Levels!B:B,A3013)</f>
        <v>0</v>
      </c>
      <c r="F3013" s="9">
        <f>_xlfn.MAXIFS(Levels!F:F,Levels!B:B,A3013)</f>
        <v>7</v>
      </c>
    </row>
    <row r="3014" spans="1:6" x14ac:dyDescent="0.3">
      <c r="A3014" t="s">
        <v>13609</v>
      </c>
      <c r="B3014" s="6">
        <f>COUNTIF(Levels!B:B,A3014)</f>
        <v>3</v>
      </c>
      <c r="C3014" s="6">
        <f>IFERROR(AVERAGEIF(Levels!B:B,A3014,Levels!E:E),0)</f>
        <v>8.75</v>
      </c>
      <c r="D3014" s="6">
        <f>IFERROR(AVERAGEIF(Levels!B:B,A3014,Levels!F:F),0)</f>
        <v>7.543333333333333</v>
      </c>
      <c r="E3014" s="6">
        <f>_xlfn.MAXIFS(Levels!E:E,Levels!B:B,A3014)</f>
        <v>19.57</v>
      </c>
      <c r="F3014" s="6">
        <f>_xlfn.MAXIFS(Levels!F:F,Levels!B:B,A3014)</f>
        <v>7.87</v>
      </c>
    </row>
    <row r="3015" spans="1:6" x14ac:dyDescent="0.3">
      <c r="A3015" t="s">
        <v>13612</v>
      </c>
      <c r="B3015" s="9">
        <f>COUNTIF(Levels!B:B,A3015)</f>
        <v>1</v>
      </c>
      <c r="C3015" s="9">
        <f>IFERROR(AVERAGEIF(Levels!B:B,A3015,Levels!E:E),0)</f>
        <v>5.0599999999999996</v>
      </c>
      <c r="D3015" s="9">
        <f>IFERROR(AVERAGEIF(Levels!B:B,A3015,Levels!F:F),0)</f>
        <v>7.57</v>
      </c>
      <c r="E3015" s="9">
        <f>_xlfn.MAXIFS(Levels!E:E,Levels!B:B,A3015)</f>
        <v>5.0599999999999996</v>
      </c>
      <c r="F3015" s="9">
        <f>_xlfn.MAXIFS(Levels!F:F,Levels!B:B,A3015)</f>
        <v>7.57</v>
      </c>
    </row>
    <row r="3016" spans="1:6" x14ac:dyDescent="0.3">
      <c r="A3016" t="s">
        <v>13615</v>
      </c>
      <c r="B3016" s="6">
        <f>COUNTIF(Levels!B:B,A3016)</f>
        <v>1</v>
      </c>
      <c r="C3016" s="6">
        <f>IFERROR(AVERAGEIF(Levels!B:B,A3016,Levels!E:E),0)</f>
        <v>3.9</v>
      </c>
      <c r="D3016" s="6">
        <f>IFERROR(AVERAGEIF(Levels!B:B,A3016,Levels!F:F),0)</f>
        <v>6.25</v>
      </c>
      <c r="E3016" s="6">
        <f>_xlfn.MAXIFS(Levels!E:E,Levels!B:B,A3016)</f>
        <v>3.9</v>
      </c>
      <c r="F3016" s="6">
        <f>_xlfn.MAXIFS(Levels!F:F,Levels!B:B,A3016)</f>
        <v>6.25</v>
      </c>
    </row>
    <row r="3017" spans="1:6" x14ac:dyDescent="0.3">
      <c r="A3017" t="s">
        <v>13636</v>
      </c>
      <c r="B3017" s="9">
        <f>COUNTIF(Levels!B:B,A3017)</f>
        <v>1</v>
      </c>
      <c r="C3017" s="9">
        <f>IFERROR(AVERAGEIF(Levels!B:B,A3017,Levels!E:E),0)</f>
        <v>2</v>
      </c>
      <c r="D3017" s="9">
        <f>IFERROR(AVERAGEIF(Levels!B:B,A3017,Levels!F:F),0)</f>
        <v>6.5</v>
      </c>
      <c r="E3017" s="9">
        <f>_xlfn.MAXIFS(Levels!E:E,Levels!B:B,A3017)</f>
        <v>2</v>
      </c>
      <c r="F3017" s="9">
        <f>_xlfn.MAXIFS(Levels!F:F,Levels!B:B,A3017)</f>
        <v>6.5</v>
      </c>
    </row>
    <row r="3018" spans="1:6" x14ac:dyDescent="0.3">
      <c r="A3018" t="s">
        <v>13644</v>
      </c>
      <c r="B3018" s="6">
        <f>COUNTIF(Levels!B:B,A3018)</f>
        <v>1</v>
      </c>
      <c r="C3018" s="6">
        <f>IFERROR(AVERAGEIF(Levels!B:B,A3018,Levels!E:E),0)</f>
        <v>3.18</v>
      </c>
      <c r="D3018" s="6">
        <f>IFERROR(AVERAGEIF(Levels!B:B,A3018,Levels!F:F),0)</f>
        <v>6.91</v>
      </c>
      <c r="E3018" s="6">
        <f>_xlfn.MAXIFS(Levels!E:E,Levels!B:B,A3018)</f>
        <v>3.18</v>
      </c>
      <c r="F3018" s="6">
        <f>_xlfn.MAXIFS(Levels!F:F,Levels!B:B,A3018)</f>
        <v>6.91</v>
      </c>
    </row>
    <row r="3019" spans="1:6" x14ac:dyDescent="0.3">
      <c r="A3019" t="s">
        <v>13648</v>
      </c>
      <c r="B3019" s="9">
        <f>COUNTIF(Levels!B:B,A3019)</f>
        <v>1</v>
      </c>
      <c r="C3019" s="9">
        <f>IFERROR(AVERAGEIF(Levels!B:B,A3019,Levels!E:E),0)</f>
        <v>19</v>
      </c>
      <c r="D3019" s="9">
        <f>IFERROR(AVERAGEIF(Levels!B:B,A3019,Levels!F:F),0)</f>
        <v>7.71</v>
      </c>
      <c r="E3019" s="9">
        <f>_xlfn.MAXIFS(Levels!E:E,Levels!B:B,A3019)</f>
        <v>19</v>
      </c>
      <c r="F3019" s="9">
        <f>_xlfn.MAXIFS(Levels!F:F,Levels!B:B,A3019)</f>
        <v>7.71</v>
      </c>
    </row>
    <row r="3020" spans="1:6" x14ac:dyDescent="0.3">
      <c r="A3020" t="s">
        <v>13650</v>
      </c>
      <c r="B3020" s="6">
        <f>COUNTIF(Levels!B:B,A3020)</f>
        <v>1</v>
      </c>
      <c r="C3020" s="6">
        <f>IFERROR(AVERAGEIF(Levels!B:B,A3020,Levels!E:E),0)</f>
        <v>15.9</v>
      </c>
      <c r="D3020" s="6">
        <f>IFERROR(AVERAGEIF(Levels!B:B,A3020,Levels!F:F),0)</f>
        <v>8.4</v>
      </c>
      <c r="E3020" s="6">
        <f>_xlfn.MAXIFS(Levels!E:E,Levels!B:B,A3020)</f>
        <v>15.9</v>
      </c>
      <c r="F3020" s="6">
        <f>_xlfn.MAXIFS(Levels!F:F,Levels!B:B,A3020)</f>
        <v>8.4</v>
      </c>
    </row>
    <row r="3021" spans="1:6" x14ac:dyDescent="0.3">
      <c r="A3021" t="s">
        <v>13652</v>
      </c>
      <c r="B3021" s="9">
        <f>COUNTIF(Levels!B:B,A3021)</f>
        <v>1</v>
      </c>
      <c r="C3021" s="9">
        <f>IFERROR(AVERAGEIF(Levels!B:B,A3021,Levels!E:E),0)</f>
        <v>10.72</v>
      </c>
      <c r="D3021" s="9">
        <f>IFERROR(AVERAGEIF(Levels!B:B,A3021,Levels!F:F),0)</f>
        <v>8.7799999999999994</v>
      </c>
      <c r="E3021" s="9">
        <f>_xlfn.MAXIFS(Levels!E:E,Levels!B:B,A3021)</f>
        <v>10.72</v>
      </c>
      <c r="F3021" s="9">
        <f>_xlfn.MAXIFS(Levels!F:F,Levels!B:B,A3021)</f>
        <v>8.7799999999999994</v>
      </c>
    </row>
    <row r="3022" spans="1:6" x14ac:dyDescent="0.3">
      <c r="A3022" t="s">
        <v>13658</v>
      </c>
      <c r="B3022" s="6">
        <f>COUNTIF(Levels!B:B,A3022)</f>
        <v>1</v>
      </c>
      <c r="C3022" s="6">
        <f>IFERROR(AVERAGEIF(Levels!B:B,A3022,Levels!E:E),0)</f>
        <v>0</v>
      </c>
      <c r="D3022" s="6">
        <f>IFERROR(AVERAGEIF(Levels!B:B,A3022,Levels!F:F),0)</f>
        <v>7.29</v>
      </c>
      <c r="E3022" s="6">
        <f>_xlfn.MAXIFS(Levels!E:E,Levels!B:B,A3022)</f>
        <v>0</v>
      </c>
      <c r="F3022" s="6">
        <f>_xlfn.MAXIFS(Levels!F:F,Levels!B:B,A3022)</f>
        <v>7.29</v>
      </c>
    </row>
    <row r="3023" spans="1:6" x14ac:dyDescent="0.3">
      <c r="A3023" t="s">
        <v>13665</v>
      </c>
      <c r="B3023" s="9">
        <f>COUNTIF(Levels!B:B,A3023)</f>
        <v>1</v>
      </c>
      <c r="C3023" s="9">
        <f>IFERROR(AVERAGEIF(Levels!B:B,A3023,Levels!E:E),0)</f>
        <v>14.04</v>
      </c>
      <c r="D3023" s="9">
        <f>IFERROR(AVERAGEIF(Levels!B:B,A3023,Levels!F:F),0)</f>
        <v>8.75</v>
      </c>
      <c r="E3023" s="9">
        <f>_xlfn.MAXIFS(Levels!E:E,Levels!B:B,A3023)</f>
        <v>14.04</v>
      </c>
      <c r="F3023" s="9">
        <f>_xlfn.MAXIFS(Levels!F:F,Levels!B:B,A3023)</f>
        <v>8.75</v>
      </c>
    </row>
    <row r="3024" spans="1:6" x14ac:dyDescent="0.3">
      <c r="A3024" t="s">
        <v>13669</v>
      </c>
      <c r="B3024" s="6">
        <f>COUNTIF(Levels!B:B,A3024)</f>
        <v>2</v>
      </c>
      <c r="C3024" s="6">
        <f>IFERROR(AVERAGEIF(Levels!B:B,A3024,Levels!E:E),0)</f>
        <v>3.62</v>
      </c>
      <c r="D3024" s="6">
        <f>IFERROR(AVERAGEIF(Levels!B:B,A3024,Levels!F:F),0)</f>
        <v>6.0049999999999999</v>
      </c>
      <c r="E3024" s="6">
        <f>_xlfn.MAXIFS(Levels!E:E,Levels!B:B,A3024)</f>
        <v>3.62</v>
      </c>
      <c r="F3024" s="6">
        <f>_xlfn.MAXIFS(Levels!F:F,Levels!B:B,A3024)</f>
        <v>7.41</v>
      </c>
    </row>
    <row r="3025" spans="1:6" x14ac:dyDescent="0.3">
      <c r="A3025" t="s">
        <v>13675</v>
      </c>
      <c r="B3025" s="9">
        <f>COUNTIF(Levels!B:B,A3025)</f>
        <v>1</v>
      </c>
      <c r="C3025" s="9">
        <f>IFERROR(AVERAGEIF(Levels!B:B,A3025,Levels!E:E),0)</f>
        <v>12.09</v>
      </c>
      <c r="D3025" s="9">
        <f>IFERROR(AVERAGEIF(Levels!B:B,A3025,Levels!F:F),0)</f>
        <v>8.5500000000000007</v>
      </c>
      <c r="E3025" s="9">
        <f>_xlfn.MAXIFS(Levels!E:E,Levels!B:B,A3025)</f>
        <v>12.09</v>
      </c>
      <c r="F3025" s="9">
        <f>_xlfn.MAXIFS(Levels!F:F,Levels!B:B,A3025)</f>
        <v>8.5500000000000007</v>
      </c>
    </row>
    <row r="3026" spans="1:6" x14ac:dyDescent="0.3">
      <c r="A3026" t="s">
        <v>13677</v>
      </c>
      <c r="B3026" s="6">
        <f>COUNTIF(Levels!B:B,A3026)</f>
        <v>1</v>
      </c>
      <c r="C3026" s="6">
        <f>IFERROR(AVERAGEIF(Levels!B:B,A3026,Levels!E:E),0)</f>
        <v>0</v>
      </c>
      <c r="D3026" s="6">
        <f>IFERROR(AVERAGEIF(Levels!B:B,A3026,Levels!F:F),0)</f>
        <v>7.48</v>
      </c>
      <c r="E3026" s="6">
        <f>_xlfn.MAXIFS(Levels!E:E,Levels!B:B,A3026)</f>
        <v>0</v>
      </c>
      <c r="F3026" s="6">
        <f>_xlfn.MAXIFS(Levels!F:F,Levels!B:B,A3026)</f>
        <v>7.48</v>
      </c>
    </row>
    <row r="3027" spans="1:6" x14ac:dyDescent="0.3">
      <c r="A3027" t="s">
        <v>13680</v>
      </c>
      <c r="B3027" s="9">
        <f>COUNTIF(Levels!B:B,A3027)</f>
        <v>1</v>
      </c>
      <c r="C3027" s="9">
        <f>IFERROR(AVERAGEIF(Levels!B:B,A3027,Levels!E:E),0)</f>
        <v>3.51</v>
      </c>
      <c r="D3027" s="9">
        <f>IFERROR(AVERAGEIF(Levels!B:B,A3027,Levels!F:F),0)</f>
        <v>6.81</v>
      </c>
      <c r="E3027" s="9">
        <f>_xlfn.MAXIFS(Levels!E:E,Levels!B:B,A3027)</f>
        <v>3.51</v>
      </c>
      <c r="F3027" s="9">
        <f>_xlfn.MAXIFS(Levels!F:F,Levels!B:B,A3027)</f>
        <v>6.81</v>
      </c>
    </row>
    <row r="3028" spans="1:6" x14ac:dyDescent="0.3">
      <c r="A3028" t="s">
        <v>13683</v>
      </c>
      <c r="B3028" s="6">
        <f>COUNTIF(Levels!B:B,A3028)</f>
        <v>2</v>
      </c>
      <c r="C3028" s="6">
        <f>IFERROR(AVERAGEIF(Levels!B:B,A3028,Levels!E:E),0)</f>
        <v>10.83</v>
      </c>
      <c r="D3028" s="6">
        <f>IFERROR(AVERAGEIF(Levels!B:B,A3028,Levels!F:F),0)</f>
        <v>8.2050000000000001</v>
      </c>
      <c r="E3028" s="6">
        <f>_xlfn.MAXIFS(Levels!E:E,Levels!B:B,A3028)</f>
        <v>12.93</v>
      </c>
      <c r="F3028" s="6">
        <f>_xlfn.MAXIFS(Levels!F:F,Levels!B:B,A3028)</f>
        <v>8.86</v>
      </c>
    </row>
    <row r="3029" spans="1:6" x14ac:dyDescent="0.3">
      <c r="A3029" t="s">
        <v>13688</v>
      </c>
      <c r="B3029" s="9">
        <f>COUNTIF(Levels!B:B,A3029)</f>
        <v>1</v>
      </c>
      <c r="C3029" s="9">
        <f>IFERROR(AVERAGEIF(Levels!B:B,A3029,Levels!E:E),0)</f>
        <v>11.69</v>
      </c>
      <c r="D3029" s="9">
        <f>IFERROR(AVERAGEIF(Levels!B:B,A3029,Levels!F:F),0)</f>
        <v>7.9</v>
      </c>
      <c r="E3029" s="9">
        <f>_xlfn.MAXIFS(Levels!E:E,Levels!B:B,A3029)</f>
        <v>11.69</v>
      </c>
      <c r="F3029" s="9">
        <f>_xlfn.MAXIFS(Levels!F:F,Levels!B:B,A3029)</f>
        <v>7.9</v>
      </c>
    </row>
    <row r="3030" spans="1:6" x14ac:dyDescent="0.3">
      <c r="A3030" t="s">
        <v>13692</v>
      </c>
      <c r="B3030" s="6">
        <f>COUNTIF(Levels!B:B,A3030)</f>
        <v>1</v>
      </c>
      <c r="C3030" s="6">
        <f>IFERROR(AVERAGEIF(Levels!B:B,A3030,Levels!E:E),0)</f>
        <v>6.11</v>
      </c>
      <c r="D3030" s="6">
        <f>IFERROR(AVERAGEIF(Levels!B:B,A3030,Levels!F:F),0)</f>
        <v>7.22</v>
      </c>
      <c r="E3030" s="6">
        <f>_xlfn.MAXIFS(Levels!E:E,Levels!B:B,A3030)</f>
        <v>6.11</v>
      </c>
      <c r="F3030" s="6">
        <f>_xlfn.MAXIFS(Levels!F:F,Levels!B:B,A3030)</f>
        <v>7.22</v>
      </c>
    </row>
    <row r="3031" spans="1:6" x14ac:dyDescent="0.3">
      <c r="A3031" t="s">
        <v>13695</v>
      </c>
      <c r="B3031" s="9">
        <f>COUNTIF(Levels!B:B,A3031)</f>
        <v>3</v>
      </c>
      <c r="C3031" s="9">
        <f>IFERROR(AVERAGEIF(Levels!B:B,A3031,Levels!E:E),0)</f>
        <v>17.376666666666665</v>
      </c>
      <c r="D3031" s="9">
        <f>IFERROR(AVERAGEIF(Levels!B:B,A3031,Levels!F:F),0)</f>
        <v>8.08</v>
      </c>
      <c r="E3031" s="9">
        <f>_xlfn.MAXIFS(Levels!E:E,Levels!B:B,A3031)</f>
        <v>21</v>
      </c>
      <c r="F3031" s="9">
        <f>_xlfn.MAXIFS(Levels!F:F,Levels!B:B,A3031)</f>
        <v>9.27</v>
      </c>
    </row>
    <row r="3032" spans="1:6" x14ac:dyDescent="0.3">
      <c r="A3032" t="s">
        <v>13702</v>
      </c>
      <c r="B3032" s="6">
        <f>COUNTIF(Levels!B:B,A3032)</f>
        <v>1</v>
      </c>
      <c r="C3032" s="6">
        <f>IFERROR(AVERAGEIF(Levels!B:B,A3032,Levels!E:E),0)</f>
        <v>0</v>
      </c>
      <c r="D3032" s="6">
        <f>IFERROR(AVERAGEIF(Levels!B:B,A3032,Levels!F:F),0)</f>
        <v>6.64</v>
      </c>
      <c r="E3032" s="6">
        <f>_xlfn.MAXIFS(Levels!E:E,Levels!B:B,A3032)</f>
        <v>0</v>
      </c>
      <c r="F3032" s="6">
        <f>_xlfn.MAXIFS(Levels!F:F,Levels!B:B,A3032)</f>
        <v>6.64</v>
      </c>
    </row>
    <row r="3033" spans="1:6" x14ac:dyDescent="0.3">
      <c r="A3033" t="s">
        <v>13713</v>
      </c>
      <c r="B3033" s="9">
        <f>COUNTIF(Levels!B:B,A3033)</f>
        <v>1</v>
      </c>
      <c r="C3033" s="9">
        <f>IFERROR(AVERAGEIF(Levels!B:B,A3033,Levels!E:E),0)</f>
        <v>16.170000000000002</v>
      </c>
      <c r="D3033" s="9">
        <f>IFERROR(AVERAGEIF(Levels!B:B,A3033,Levels!F:F),0)</f>
        <v>8.16</v>
      </c>
      <c r="E3033" s="9">
        <f>_xlfn.MAXIFS(Levels!E:E,Levels!B:B,A3033)</f>
        <v>16.170000000000002</v>
      </c>
      <c r="F3033" s="9">
        <f>_xlfn.MAXIFS(Levels!F:F,Levels!B:B,A3033)</f>
        <v>8.16</v>
      </c>
    </row>
    <row r="3034" spans="1:6" x14ac:dyDescent="0.3">
      <c r="A3034" t="s">
        <v>13715</v>
      </c>
      <c r="B3034" s="6">
        <f>COUNTIF(Levels!B:B,A3034)</f>
        <v>1</v>
      </c>
      <c r="C3034" s="6">
        <f>IFERROR(AVERAGEIF(Levels!B:B,A3034,Levels!E:E),0)</f>
        <v>0</v>
      </c>
      <c r="D3034" s="6">
        <f>IFERROR(AVERAGEIF(Levels!B:B,A3034,Levels!F:F),0)</f>
        <v>0</v>
      </c>
      <c r="E3034" s="6">
        <f>_xlfn.MAXIFS(Levels!E:E,Levels!B:B,A3034)</f>
        <v>0</v>
      </c>
      <c r="F3034" s="6">
        <f>_xlfn.MAXIFS(Levels!F:F,Levels!B:B,A3034)</f>
        <v>0</v>
      </c>
    </row>
    <row r="3035" spans="1:6" x14ac:dyDescent="0.3">
      <c r="A3035" t="s">
        <v>13718</v>
      </c>
      <c r="B3035" s="9">
        <f>COUNTIF(Levels!B:B,A3035)</f>
        <v>1</v>
      </c>
      <c r="C3035" s="9">
        <f>IFERROR(AVERAGEIF(Levels!B:B,A3035,Levels!E:E),0)</f>
        <v>20.36</v>
      </c>
      <c r="D3035" s="9">
        <f>IFERROR(AVERAGEIF(Levels!B:B,A3035,Levels!F:F),0)</f>
        <v>6.82</v>
      </c>
      <c r="E3035" s="9">
        <f>_xlfn.MAXIFS(Levels!E:E,Levels!B:B,A3035)</f>
        <v>20.36</v>
      </c>
      <c r="F3035" s="9">
        <f>_xlfn.MAXIFS(Levels!F:F,Levels!B:B,A3035)</f>
        <v>6.82</v>
      </c>
    </row>
    <row r="3036" spans="1:6" x14ac:dyDescent="0.3">
      <c r="A3036" t="s">
        <v>13720</v>
      </c>
      <c r="B3036" s="6">
        <f>COUNTIF(Levels!B:B,A3036)</f>
        <v>7</v>
      </c>
      <c r="C3036" s="6">
        <f>IFERROR(AVERAGEIF(Levels!B:B,A3036,Levels!E:E),0)</f>
        <v>0</v>
      </c>
      <c r="D3036" s="6">
        <f>IFERROR(AVERAGEIF(Levels!B:B,A3036,Levels!F:F),0)</f>
        <v>5.5516666666666667</v>
      </c>
      <c r="E3036" s="6">
        <f>_xlfn.MAXIFS(Levels!E:E,Levels!B:B,A3036)</f>
        <v>0</v>
      </c>
      <c r="F3036" s="6">
        <f>_xlfn.MAXIFS(Levels!F:F,Levels!B:B,A3036)</f>
        <v>7.64</v>
      </c>
    </row>
    <row r="3037" spans="1:6" x14ac:dyDescent="0.3">
      <c r="A3037" t="s">
        <v>13722</v>
      </c>
      <c r="B3037" s="9">
        <f>COUNTIF(Levels!B:B,A3037)</f>
        <v>2</v>
      </c>
      <c r="C3037" s="9">
        <f>IFERROR(AVERAGEIF(Levels!B:B,A3037,Levels!E:E),0)</f>
        <v>3.08</v>
      </c>
      <c r="D3037" s="9">
        <f>IFERROR(AVERAGEIF(Levels!B:B,A3037,Levels!F:F),0)</f>
        <v>6.88</v>
      </c>
      <c r="E3037" s="9">
        <f>_xlfn.MAXIFS(Levels!E:E,Levels!B:B,A3037)</f>
        <v>3.94</v>
      </c>
      <c r="F3037" s="9">
        <f>_xlfn.MAXIFS(Levels!F:F,Levels!B:B,A3037)</f>
        <v>7</v>
      </c>
    </row>
    <row r="3038" spans="1:6" x14ac:dyDescent="0.3">
      <c r="A3038" t="s">
        <v>13726</v>
      </c>
      <c r="B3038" s="6">
        <f>COUNTIF(Levels!B:B,A3038)</f>
        <v>1</v>
      </c>
      <c r="C3038" s="6">
        <f>IFERROR(AVERAGEIF(Levels!B:B,A3038,Levels!E:E),0)</f>
        <v>0</v>
      </c>
      <c r="D3038" s="6">
        <f>IFERROR(AVERAGEIF(Levels!B:B,A3038,Levels!F:F),0)</f>
        <v>5.29</v>
      </c>
      <c r="E3038" s="6">
        <f>_xlfn.MAXIFS(Levels!E:E,Levels!B:B,A3038)</f>
        <v>0</v>
      </c>
      <c r="F3038" s="6">
        <f>_xlfn.MAXIFS(Levels!F:F,Levels!B:B,A3038)</f>
        <v>5.29</v>
      </c>
    </row>
    <row r="3039" spans="1:6" x14ac:dyDescent="0.3">
      <c r="A3039" t="s">
        <v>13729</v>
      </c>
      <c r="B3039" s="9">
        <f>COUNTIF(Levels!B:B,A3039)</f>
        <v>1</v>
      </c>
      <c r="C3039" s="9">
        <f>IFERROR(AVERAGEIF(Levels!B:B,A3039,Levels!E:E),0)</f>
        <v>0</v>
      </c>
      <c r="D3039" s="9">
        <f>IFERROR(AVERAGEIF(Levels!B:B,A3039,Levels!F:F),0)</f>
        <v>5.73</v>
      </c>
      <c r="E3039" s="9">
        <f>_xlfn.MAXIFS(Levels!E:E,Levels!B:B,A3039)</f>
        <v>0</v>
      </c>
      <c r="F3039" s="9">
        <f>_xlfn.MAXIFS(Levels!F:F,Levels!B:B,A3039)</f>
        <v>5.73</v>
      </c>
    </row>
    <row r="3040" spans="1:6" x14ac:dyDescent="0.3">
      <c r="A3040" t="s">
        <v>13731</v>
      </c>
      <c r="B3040" s="6">
        <f>COUNTIF(Levels!B:B,A3040)</f>
        <v>1</v>
      </c>
      <c r="C3040" s="6">
        <f>IFERROR(AVERAGEIF(Levels!B:B,A3040,Levels!E:E),0)</f>
        <v>7.37</v>
      </c>
      <c r="D3040" s="6">
        <f>IFERROR(AVERAGEIF(Levels!B:B,A3040,Levels!F:F),0)</f>
        <v>8</v>
      </c>
      <c r="E3040" s="6">
        <f>_xlfn.MAXIFS(Levels!E:E,Levels!B:B,A3040)</f>
        <v>7.37</v>
      </c>
      <c r="F3040" s="6">
        <f>_xlfn.MAXIFS(Levels!F:F,Levels!B:B,A3040)</f>
        <v>8</v>
      </c>
    </row>
    <row r="3041" spans="1:6" x14ac:dyDescent="0.3">
      <c r="A3041" t="s">
        <v>13734</v>
      </c>
      <c r="B3041" s="9">
        <f>COUNTIF(Levels!B:B,A3041)</f>
        <v>1</v>
      </c>
      <c r="C3041" s="9">
        <f>IFERROR(AVERAGEIF(Levels!B:B,A3041,Levels!E:E),0)</f>
        <v>0</v>
      </c>
      <c r="D3041" s="9">
        <f>IFERROR(AVERAGEIF(Levels!B:B,A3041,Levels!F:F),0)</f>
        <v>5.21</v>
      </c>
      <c r="E3041" s="9">
        <f>_xlfn.MAXIFS(Levels!E:E,Levels!B:B,A3041)</f>
        <v>0</v>
      </c>
      <c r="F3041" s="9">
        <f>_xlfn.MAXIFS(Levels!F:F,Levels!B:B,A3041)</f>
        <v>5.21</v>
      </c>
    </row>
    <row r="3042" spans="1:6" x14ac:dyDescent="0.3">
      <c r="A3042" t="s">
        <v>13745</v>
      </c>
      <c r="B3042" s="6">
        <f>COUNTIF(Levels!B:B,A3042)</f>
        <v>1</v>
      </c>
      <c r="C3042" s="6">
        <f>IFERROR(AVERAGEIF(Levels!B:B,A3042,Levels!E:E),0)</f>
        <v>0</v>
      </c>
      <c r="D3042" s="6">
        <f>IFERROR(AVERAGEIF(Levels!B:B,A3042,Levels!F:F),0)</f>
        <v>5.46</v>
      </c>
      <c r="E3042" s="6">
        <f>_xlfn.MAXIFS(Levels!E:E,Levels!B:B,A3042)</f>
        <v>0</v>
      </c>
      <c r="F3042" s="6">
        <f>_xlfn.MAXIFS(Levels!F:F,Levels!B:B,A3042)</f>
        <v>5.46</v>
      </c>
    </row>
    <row r="3043" spans="1:6" x14ac:dyDescent="0.3">
      <c r="A3043" t="s">
        <v>13753</v>
      </c>
      <c r="B3043" s="9">
        <f>COUNTIF(Levels!B:B,A3043)</f>
        <v>1</v>
      </c>
      <c r="C3043" s="9">
        <f>IFERROR(AVERAGEIF(Levels!B:B,A3043,Levels!E:E),0)</f>
        <v>8.41</v>
      </c>
      <c r="D3043" s="9">
        <f>IFERROR(AVERAGEIF(Levels!B:B,A3043,Levels!F:F),0)</f>
        <v>6.23</v>
      </c>
      <c r="E3043" s="9">
        <f>_xlfn.MAXIFS(Levels!E:E,Levels!B:B,A3043)</f>
        <v>8.41</v>
      </c>
      <c r="F3043" s="9">
        <f>_xlfn.MAXIFS(Levels!F:F,Levels!B:B,A3043)</f>
        <v>6.23</v>
      </c>
    </row>
    <row r="3044" spans="1:6" x14ac:dyDescent="0.3">
      <c r="A3044" t="s">
        <v>13756</v>
      </c>
      <c r="B3044" s="6">
        <f>COUNTIF(Levels!B:B,A3044)</f>
        <v>1</v>
      </c>
      <c r="C3044" s="6">
        <f>IFERROR(AVERAGEIF(Levels!B:B,A3044,Levels!E:E),0)</f>
        <v>21.67</v>
      </c>
      <c r="D3044" s="6">
        <f>IFERROR(AVERAGEIF(Levels!B:B,A3044,Levels!F:F),0)</f>
        <v>6</v>
      </c>
      <c r="E3044" s="6">
        <f>_xlfn.MAXIFS(Levels!E:E,Levels!B:B,A3044)</f>
        <v>21.67</v>
      </c>
      <c r="F3044" s="6">
        <f>_xlfn.MAXIFS(Levels!F:F,Levels!B:B,A3044)</f>
        <v>6</v>
      </c>
    </row>
    <row r="3045" spans="1:6" x14ac:dyDescent="0.3">
      <c r="A3045" t="s">
        <v>13762</v>
      </c>
      <c r="B3045" s="9">
        <f>COUNTIF(Levels!B:B,A3045)</f>
        <v>1</v>
      </c>
      <c r="C3045" s="9">
        <f>IFERROR(AVERAGEIF(Levels!B:B,A3045,Levels!E:E),0)</f>
        <v>10.11</v>
      </c>
      <c r="D3045" s="9">
        <f>IFERROR(AVERAGEIF(Levels!B:B,A3045,Levels!F:F),0)</f>
        <v>6.89</v>
      </c>
      <c r="E3045" s="9">
        <f>_xlfn.MAXIFS(Levels!E:E,Levels!B:B,A3045)</f>
        <v>10.11</v>
      </c>
      <c r="F3045" s="9">
        <f>_xlfn.MAXIFS(Levels!F:F,Levels!B:B,A3045)</f>
        <v>6.89</v>
      </c>
    </row>
    <row r="3046" spans="1:6" x14ac:dyDescent="0.3">
      <c r="A3046" t="s">
        <v>13765</v>
      </c>
      <c r="B3046" s="6">
        <f>COUNTIF(Levels!B:B,A3046)</f>
        <v>1</v>
      </c>
      <c r="C3046" s="6">
        <f>IFERROR(AVERAGEIF(Levels!B:B,A3046,Levels!E:E),0)</f>
        <v>4.08</v>
      </c>
      <c r="D3046" s="6">
        <f>IFERROR(AVERAGEIF(Levels!B:B,A3046,Levels!F:F),0)</f>
        <v>6.62</v>
      </c>
      <c r="E3046" s="6">
        <f>_xlfn.MAXIFS(Levels!E:E,Levels!B:B,A3046)</f>
        <v>4.08</v>
      </c>
      <c r="F3046" s="6">
        <f>_xlfn.MAXIFS(Levels!F:F,Levels!B:B,A3046)</f>
        <v>6.62</v>
      </c>
    </row>
    <row r="3047" spans="1:6" x14ac:dyDescent="0.3">
      <c r="A3047" t="s">
        <v>13769</v>
      </c>
      <c r="B3047" s="9">
        <f>COUNTIF(Levels!B:B,A3047)</f>
        <v>3</v>
      </c>
      <c r="C3047" s="9">
        <f>IFERROR(AVERAGEIF(Levels!B:B,A3047,Levels!E:E),0)</f>
        <v>0</v>
      </c>
      <c r="D3047" s="9">
        <f>IFERROR(AVERAGEIF(Levels!B:B,A3047,Levels!F:F),0)</f>
        <v>6.8299999999999992</v>
      </c>
      <c r="E3047" s="9">
        <f>_xlfn.MAXIFS(Levels!E:E,Levels!B:B,A3047)</f>
        <v>0</v>
      </c>
      <c r="F3047" s="9">
        <f>_xlfn.MAXIFS(Levels!F:F,Levels!B:B,A3047)</f>
        <v>7.29</v>
      </c>
    </row>
    <row r="3048" spans="1:6" x14ac:dyDescent="0.3">
      <c r="A3048" t="s">
        <v>13774</v>
      </c>
      <c r="B3048" s="6">
        <f>COUNTIF(Levels!B:B,A3048)</f>
        <v>1</v>
      </c>
      <c r="C3048" s="6">
        <f>IFERROR(AVERAGEIF(Levels!B:B,A3048,Levels!E:E),0)</f>
        <v>0</v>
      </c>
      <c r="D3048" s="6">
        <f>IFERROR(AVERAGEIF(Levels!B:B,A3048,Levels!F:F),0)</f>
        <v>0</v>
      </c>
      <c r="E3048" s="6">
        <f>_xlfn.MAXIFS(Levels!E:E,Levels!B:B,A3048)</f>
        <v>0</v>
      </c>
      <c r="F3048" s="6">
        <f>_xlfn.MAXIFS(Levels!F:F,Levels!B:B,A3048)</f>
        <v>0</v>
      </c>
    </row>
    <row r="3049" spans="1:6" x14ac:dyDescent="0.3">
      <c r="A3049" t="s">
        <v>13775</v>
      </c>
      <c r="B3049" s="9">
        <f>COUNTIF(Levels!B:B,A3049)</f>
        <v>1</v>
      </c>
      <c r="C3049" s="9">
        <f>IFERROR(AVERAGEIF(Levels!B:B,A3049,Levels!E:E),0)</f>
        <v>0</v>
      </c>
      <c r="D3049" s="9">
        <f>IFERROR(AVERAGEIF(Levels!B:B,A3049,Levels!F:F),0)</f>
        <v>0</v>
      </c>
      <c r="E3049" s="9">
        <f>_xlfn.MAXIFS(Levels!E:E,Levels!B:B,A3049)</f>
        <v>0</v>
      </c>
      <c r="F3049" s="9">
        <f>_xlfn.MAXIFS(Levels!F:F,Levels!B:B,A3049)</f>
        <v>0</v>
      </c>
    </row>
    <row r="3050" spans="1:6" x14ac:dyDescent="0.3">
      <c r="A3050" t="s">
        <v>13778</v>
      </c>
      <c r="B3050" s="6">
        <f>COUNTIF(Levels!B:B,A3050)</f>
        <v>1</v>
      </c>
      <c r="C3050" s="6">
        <f>IFERROR(AVERAGEIF(Levels!B:B,A3050,Levels!E:E),0)</f>
        <v>3</v>
      </c>
      <c r="D3050" s="6">
        <f>IFERROR(AVERAGEIF(Levels!B:B,A3050,Levels!F:F),0)</f>
        <v>5.68</v>
      </c>
      <c r="E3050" s="6">
        <f>_xlfn.MAXIFS(Levels!E:E,Levels!B:B,A3050)</f>
        <v>3</v>
      </c>
      <c r="F3050" s="6">
        <f>_xlfn.MAXIFS(Levels!F:F,Levels!B:B,A3050)</f>
        <v>5.68</v>
      </c>
    </row>
    <row r="3051" spans="1:6" x14ac:dyDescent="0.3">
      <c r="A3051" t="s">
        <v>13786</v>
      </c>
      <c r="B3051" s="9">
        <f>COUNTIF(Levels!B:B,A3051)</f>
        <v>1</v>
      </c>
      <c r="C3051" s="9">
        <f>IFERROR(AVERAGEIF(Levels!B:B,A3051,Levels!E:E),0)</f>
        <v>0</v>
      </c>
      <c r="D3051" s="9">
        <f>IFERROR(AVERAGEIF(Levels!B:B,A3051,Levels!F:F),0)</f>
        <v>6.39</v>
      </c>
      <c r="E3051" s="9">
        <f>_xlfn.MAXIFS(Levels!E:E,Levels!B:B,A3051)</f>
        <v>0</v>
      </c>
      <c r="F3051" s="9">
        <f>_xlfn.MAXIFS(Levels!F:F,Levels!B:B,A3051)</f>
        <v>6.39</v>
      </c>
    </row>
    <row r="3052" spans="1:6" x14ac:dyDescent="0.3">
      <c r="A3052" t="s">
        <v>13792</v>
      </c>
      <c r="B3052" s="6">
        <f>COUNTIF(Levels!B:B,A3052)</f>
        <v>1</v>
      </c>
      <c r="C3052" s="6">
        <f>IFERROR(AVERAGEIF(Levels!B:B,A3052,Levels!E:E),0)</f>
        <v>0</v>
      </c>
      <c r="D3052" s="6">
        <f>IFERROR(AVERAGEIF(Levels!B:B,A3052,Levels!F:F),0)</f>
        <v>2.5</v>
      </c>
      <c r="E3052" s="6">
        <f>_xlfn.MAXIFS(Levels!E:E,Levels!B:B,A3052)</f>
        <v>0</v>
      </c>
      <c r="F3052" s="6">
        <f>_xlfn.MAXIFS(Levels!F:F,Levels!B:B,A3052)</f>
        <v>2.5</v>
      </c>
    </row>
    <row r="3053" spans="1:6" x14ac:dyDescent="0.3">
      <c r="A3053" t="s">
        <v>13799</v>
      </c>
      <c r="B3053" s="9">
        <f>COUNTIF(Levels!B:B,A3053)</f>
        <v>1</v>
      </c>
      <c r="C3053" s="9">
        <f>IFERROR(AVERAGEIF(Levels!B:B,A3053,Levels!E:E),0)</f>
        <v>17.600000000000001</v>
      </c>
      <c r="D3053" s="9">
        <f>IFERROR(AVERAGEIF(Levels!B:B,A3053,Levels!F:F),0)</f>
        <v>7.8</v>
      </c>
      <c r="E3053" s="9">
        <f>_xlfn.MAXIFS(Levels!E:E,Levels!B:B,A3053)</f>
        <v>17.600000000000001</v>
      </c>
      <c r="F3053" s="9">
        <f>_xlfn.MAXIFS(Levels!F:F,Levels!B:B,A3053)</f>
        <v>7.8</v>
      </c>
    </row>
    <row r="3054" spans="1:6" x14ac:dyDescent="0.3">
      <c r="A3054" t="s">
        <v>13802</v>
      </c>
      <c r="B3054" s="6">
        <f>COUNTIF(Levels!B:B,A3054)</f>
        <v>1</v>
      </c>
      <c r="C3054" s="6">
        <f>IFERROR(AVERAGEIF(Levels!B:B,A3054,Levels!E:E),0)</f>
        <v>5.38</v>
      </c>
      <c r="D3054" s="6">
        <f>IFERROR(AVERAGEIF(Levels!B:B,A3054,Levels!F:F),0)</f>
        <v>8.1300000000000008</v>
      </c>
      <c r="E3054" s="6">
        <f>_xlfn.MAXIFS(Levels!E:E,Levels!B:B,A3054)</f>
        <v>5.38</v>
      </c>
      <c r="F3054" s="6">
        <f>_xlfn.MAXIFS(Levels!F:F,Levels!B:B,A3054)</f>
        <v>8.1300000000000008</v>
      </c>
    </row>
    <row r="3055" spans="1:6" x14ac:dyDescent="0.3">
      <c r="A3055" t="s">
        <v>13804</v>
      </c>
      <c r="B3055" s="9">
        <f>COUNTIF(Levels!B:B,A3055)</f>
        <v>1</v>
      </c>
      <c r="C3055" s="9">
        <f>IFERROR(AVERAGEIF(Levels!B:B,A3055,Levels!E:E),0)</f>
        <v>1.1299999999999999</v>
      </c>
      <c r="D3055" s="9">
        <f>IFERROR(AVERAGEIF(Levels!B:B,A3055,Levels!F:F),0)</f>
        <v>7.79</v>
      </c>
      <c r="E3055" s="9">
        <f>_xlfn.MAXIFS(Levels!E:E,Levels!B:B,A3055)</f>
        <v>1.1299999999999999</v>
      </c>
      <c r="F3055" s="9">
        <f>_xlfn.MAXIFS(Levels!F:F,Levels!B:B,A3055)</f>
        <v>7.79</v>
      </c>
    </row>
    <row r="3056" spans="1:6" x14ac:dyDescent="0.3">
      <c r="A3056" t="s">
        <v>13807</v>
      </c>
      <c r="B3056" s="6">
        <f>COUNTIF(Levels!B:B,A3056)</f>
        <v>3</v>
      </c>
      <c r="C3056" s="6">
        <f>IFERROR(AVERAGEIF(Levels!B:B,A3056,Levels!E:E),0)</f>
        <v>8.92</v>
      </c>
      <c r="D3056" s="6">
        <f>IFERROR(AVERAGEIF(Levels!B:B,A3056,Levels!F:F),0)</f>
        <v>7.71</v>
      </c>
      <c r="E3056" s="6">
        <f>_xlfn.MAXIFS(Levels!E:E,Levels!B:B,A3056)</f>
        <v>13.82</v>
      </c>
      <c r="F3056" s="6">
        <f>_xlfn.MAXIFS(Levels!F:F,Levels!B:B,A3056)</f>
        <v>8.39</v>
      </c>
    </row>
    <row r="3057" spans="1:6" x14ac:dyDescent="0.3">
      <c r="A3057" t="s">
        <v>13811</v>
      </c>
      <c r="B3057" s="9">
        <f>COUNTIF(Levels!B:B,A3057)</f>
        <v>1</v>
      </c>
      <c r="C3057" s="9">
        <f>IFERROR(AVERAGEIF(Levels!B:B,A3057,Levels!E:E),0)</f>
        <v>2.81</v>
      </c>
      <c r="D3057" s="9">
        <f>IFERROR(AVERAGEIF(Levels!B:B,A3057,Levels!F:F),0)</f>
        <v>7.07</v>
      </c>
      <c r="E3057" s="9">
        <f>_xlfn.MAXIFS(Levels!E:E,Levels!B:B,A3057)</f>
        <v>2.81</v>
      </c>
      <c r="F3057" s="9">
        <f>_xlfn.MAXIFS(Levels!F:F,Levels!B:B,A3057)</f>
        <v>7.07</v>
      </c>
    </row>
    <row r="3058" spans="1:6" x14ac:dyDescent="0.3">
      <c r="A3058" t="s">
        <v>13814</v>
      </c>
      <c r="B3058" s="6">
        <f>COUNTIF(Levels!B:B,A3058)</f>
        <v>1</v>
      </c>
      <c r="C3058" s="6">
        <f>IFERROR(AVERAGEIF(Levels!B:B,A3058,Levels!E:E),0)</f>
        <v>1.61</v>
      </c>
      <c r="D3058" s="6">
        <f>IFERROR(AVERAGEIF(Levels!B:B,A3058,Levels!F:F),0)</f>
        <v>7.45</v>
      </c>
      <c r="E3058" s="6">
        <f>_xlfn.MAXIFS(Levels!E:E,Levels!B:B,A3058)</f>
        <v>1.61</v>
      </c>
      <c r="F3058" s="6">
        <f>_xlfn.MAXIFS(Levels!F:F,Levels!B:B,A3058)</f>
        <v>7.45</v>
      </c>
    </row>
    <row r="3059" spans="1:6" x14ac:dyDescent="0.3">
      <c r="A3059" t="s">
        <v>13816</v>
      </c>
      <c r="B3059" s="9">
        <f>COUNTIF(Levels!B:B,A3059)</f>
        <v>1</v>
      </c>
      <c r="C3059" s="9">
        <f>IFERROR(AVERAGEIF(Levels!B:B,A3059,Levels!E:E),0)</f>
        <v>6.11</v>
      </c>
      <c r="D3059" s="9">
        <f>IFERROR(AVERAGEIF(Levels!B:B,A3059,Levels!F:F),0)</f>
        <v>6.95</v>
      </c>
      <c r="E3059" s="9">
        <f>_xlfn.MAXIFS(Levels!E:E,Levels!B:B,A3059)</f>
        <v>6.11</v>
      </c>
      <c r="F3059" s="9">
        <f>_xlfn.MAXIFS(Levels!F:F,Levels!B:B,A3059)</f>
        <v>6.95</v>
      </c>
    </row>
    <row r="3060" spans="1:6" x14ac:dyDescent="0.3">
      <c r="A3060" t="s">
        <v>13826</v>
      </c>
      <c r="B3060" s="6">
        <f>COUNTIF(Levels!B:B,A3060)</f>
        <v>1</v>
      </c>
      <c r="C3060" s="6">
        <f>IFERROR(AVERAGEIF(Levels!B:B,A3060,Levels!E:E),0)</f>
        <v>4.1500000000000004</v>
      </c>
      <c r="D3060" s="6">
        <f>IFERROR(AVERAGEIF(Levels!B:B,A3060,Levels!F:F),0)</f>
        <v>6.69</v>
      </c>
      <c r="E3060" s="6">
        <f>_xlfn.MAXIFS(Levels!E:E,Levels!B:B,A3060)</f>
        <v>4.1500000000000004</v>
      </c>
      <c r="F3060" s="6">
        <f>_xlfn.MAXIFS(Levels!F:F,Levels!B:B,A3060)</f>
        <v>6.69</v>
      </c>
    </row>
    <row r="3061" spans="1:6" x14ac:dyDescent="0.3">
      <c r="A3061" t="s">
        <v>13831</v>
      </c>
      <c r="B3061" s="9">
        <f>COUNTIF(Levels!B:B,A3061)</f>
        <v>4</v>
      </c>
      <c r="C3061" s="9">
        <f>IFERROR(AVERAGEIF(Levels!B:B,A3061,Levels!E:E),0)</f>
        <v>0</v>
      </c>
      <c r="D3061" s="9">
        <f>IFERROR(AVERAGEIF(Levels!B:B,A3061,Levels!F:F),0)</f>
        <v>6.87</v>
      </c>
      <c r="E3061" s="9">
        <f>_xlfn.MAXIFS(Levels!E:E,Levels!B:B,A3061)</f>
        <v>0</v>
      </c>
      <c r="F3061" s="9">
        <f>_xlfn.MAXIFS(Levels!F:F,Levels!B:B,A3061)</f>
        <v>7.42</v>
      </c>
    </row>
    <row r="3062" spans="1:6" x14ac:dyDescent="0.3">
      <c r="A3062" t="s">
        <v>13833</v>
      </c>
      <c r="B3062" s="6">
        <f>COUNTIF(Levels!B:B,A3062)</f>
        <v>1</v>
      </c>
      <c r="C3062" s="6">
        <f>IFERROR(AVERAGEIF(Levels!B:B,A3062,Levels!E:E),0)</f>
        <v>0</v>
      </c>
      <c r="D3062" s="6">
        <f>IFERROR(AVERAGEIF(Levels!B:B,A3062,Levels!F:F),0)</f>
        <v>5.7</v>
      </c>
      <c r="E3062" s="6">
        <f>_xlfn.MAXIFS(Levels!E:E,Levels!B:B,A3062)</f>
        <v>0</v>
      </c>
      <c r="F3062" s="6">
        <f>_xlfn.MAXIFS(Levels!F:F,Levels!B:B,A3062)</f>
        <v>5.7</v>
      </c>
    </row>
    <row r="3063" spans="1:6" x14ac:dyDescent="0.3">
      <c r="A3063" t="s">
        <v>13838</v>
      </c>
      <c r="B3063" s="9">
        <f>COUNTIF(Levels!B:B,A3063)</f>
        <v>1</v>
      </c>
      <c r="C3063" s="9">
        <f>IFERROR(AVERAGEIF(Levels!B:B,A3063,Levels!E:E),0)</f>
        <v>5.54</v>
      </c>
      <c r="D3063" s="9">
        <f>IFERROR(AVERAGEIF(Levels!B:B,A3063,Levels!F:F),0)</f>
        <v>8</v>
      </c>
      <c r="E3063" s="9">
        <f>_xlfn.MAXIFS(Levels!E:E,Levels!B:B,A3063)</f>
        <v>5.54</v>
      </c>
      <c r="F3063" s="9">
        <f>_xlfn.MAXIFS(Levels!F:F,Levels!B:B,A3063)</f>
        <v>8</v>
      </c>
    </row>
    <row r="3064" spans="1:6" x14ac:dyDescent="0.3">
      <c r="A3064" t="s">
        <v>13843</v>
      </c>
      <c r="B3064" s="6">
        <f>COUNTIF(Levels!B:B,A3064)</f>
        <v>1</v>
      </c>
      <c r="C3064" s="6">
        <f>IFERROR(AVERAGEIF(Levels!B:B,A3064,Levels!E:E),0)</f>
        <v>0</v>
      </c>
      <c r="D3064" s="6">
        <f>IFERROR(AVERAGEIF(Levels!B:B,A3064,Levels!F:F),0)</f>
        <v>3.69</v>
      </c>
      <c r="E3064" s="6">
        <f>_xlfn.MAXIFS(Levels!E:E,Levels!B:B,A3064)</f>
        <v>0</v>
      </c>
      <c r="F3064" s="6">
        <f>_xlfn.MAXIFS(Levels!F:F,Levels!B:B,A3064)</f>
        <v>3.69</v>
      </c>
    </row>
    <row r="3065" spans="1:6" x14ac:dyDescent="0.3">
      <c r="A3065" t="s">
        <v>13850</v>
      </c>
      <c r="B3065" s="9">
        <f>COUNTIF(Levels!B:B,A3065)</f>
        <v>1</v>
      </c>
      <c r="C3065" s="9">
        <f>IFERROR(AVERAGEIF(Levels!B:B,A3065,Levels!E:E),0)</f>
        <v>2.0299999999999998</v>
      </c>
      <c r="D3065" s="9">
        <f>IFERROR(AVERAGEIF(Levels!B:B,A3065,Levels!F:F),0)</f>
        <v>7.38</v>
      </c>
      <c r="E3065" s="9">
        <f>_xlfn.MAXIFS(Levels!E:E,Levels!B:B,A3065)</f>
        <v>2.0299999999999998</v>
      </c>
      <c r="F3065" s="9">
        <f>_xlfn.MAXIFS(Levels!F:F,Levels!B:B,A3065)</f>
        <v>7.38</v>
      </c>
    </row>
    <row r="3066" spans="1:6" x14ac:dyDescent="0.3">
      <c r="A3066" t="s">
        <v>13853</v>
      </c>
      <c r="B3066" s="6">
        <f>COUNTIF(Levels!B:B,A3066)</f>
        <v>1</v>
      </c>
      <c r="C3066" s="6">
        <f>IFERROR(AVERAGEIF(Levels!B:B,A3066,Levels!E:E),0)</f>
        <v>0</v>
      </c>
      <c r="D3066" s="6">
        <f>IFERROR(AVERAGEIF(Levels!B:B,A3066,Levels!F:F),0)</f>
        <v>9.4</v>
      </c>
      <c r="E3066" s="6">
        <f>_xlfn.MAXIFS(Levels!E:E,Levels!B:B,A3066)</f>
        <v>0</v>
      </c>
      <c r="F3066" s="6">
        <f>_xlfn.MAXIFS(Levels!F:F,Levels!B:B,A3066)</f>
        <v>9.4</v>
      </c>
    </row>
    <row r="3067" spans="1:6" x14ac:dyDescent="0.3">
      <c r="A3067" t="s">
        <v>13861</v>
      </c>
      <c r="B3067" s="9">
        <f>COUNTIF(Levels!B:B,A3067)</f>
        <v>1</v>
      </c>
      <c r="C3067" s="9">
        <f>IFERROR(AVERAGEIF(Levels!B:B,A3067,Levels!E:E),0)</f>
        <v>0</v>
      </c>
      <c r="D3067" s="9">
        <f>IFERROR(AVERAGEIF(Levels!B:B,A3067,Levels!F:F),0)</f>
        <v>5.9</v>
      </c>
      <c r="E3067" s="9">
        <f>_xlfn.MAXIFS(Levels!E:E,Levels!B:B,A3067)</f>
        <v>0</v>
      </c>
      <c r="F3067" s="9">
        <f>_xlfn.MAXIFS(Levels!F:F,Levels!B:B,A3067)</f>
        <v>5.9</v>
      </c>
    </row>
    <row r="3068" spans="1:6" x14ac:dyDescent="0.3">
      <c r="A3068" t="s">
        <v>13866</v>
      </c>
      <c r="B3068" s="6">
        <f>COUNTIF(Levels!B:B,A3068)</f>
        <v>1</v>
      </c>
      <c r="C3068" s="6">
        <f>IFERROR(AVERAGEIF(Levels!B:B,A3068,Levels!E:E),0)</f>
        <v>0</v>
      </c>
      <c r="D3068" s="6">
        <f>IFERROR(AVERAGEIF(Levels!B:B,A3068,Levels!F:F),0)</f>
        <v>6</v>
      </c>
      <c r="E3068" s="6">
        <f>_xlfn.MAXIFS(Levels!E:E,Levels!B:B,A3068)</f>
        <v>0</v>
      </c>
      <c r="F3068" s="6">
        <f>_xlfn.MAXIFS(Levels!F:F,Levels!B:B,A3068)</f>
        <v>6</v>
      </c>
    </row>
    <row r="3069" spans="1:6" x14ac:dyDescent="0.3">
      <c r="A3069" t="s">
        <v>13867</v>
      </c>
      <c r="B3069" s="9">
        <f>COUNTIF(Levels!B:B,A3069)</f>
        <v>1</v>
      </c>
      <c r="C3069" s="9">
        <f>IFERROR(AVERAGEIF(Levels!B:B,A3069,Levels!E:E),0)</f>
        <v>0</v>
      </c>
      <c r="D3069" s="9">
        <f>IFERROR(AVERAGEIF(Levels!B:B,A3069,Levels!F:F),0)</f>
        <v>4.6900000000000004</v>
      </c>
      <c r="E3069" s="9">
        <f>_xlfn.MAXIFS(Levels!E:E,Levels!B:B,A3069)</f>
        <v>0</v>
      </c>
      <c r="F3069" s="9">
        <f>_xlfn.MAXIFS(Levels!F:F,Levels!B:B,A3069)</f>
        <v>4.6900000000000004</v>
      </c>
    </row>
    <row r="3070" spans="1:6" x14ac:dyDescent="0.3">
      <c r="A3070" t="s">
        <v>13872</v>
      </c>
      <c r="B3070" s="6">
        <f>COUNTIF(Levels!B:B,A3070)</f>
        <v>1</v>
      </c>
      <c r="C3070" s="6">
        <f>IFERROR(AVERAGEIF(Levels!B:B,A3070,Levels!E:E),0)</f>
        <v>11.71</v>
      </c>
      <c r="D3070" s="6">
        <f>IFERROR(AVERAGEIF(Levels!B:B,A3070,Levels!F:F),0)</f>
        <v>7.71</v>
      </c>
      <c r="E3070" s="6">
        <f>_xlfn.MAXIFS(Levels!E:E,Levels!B:B,A3070)</f>
        <v>11.71</v>
      </c>
      <c r="F3070" s="6">
        <f>_xlfn.MAXIFS(Levels!F:F,Levels!B:B,A3070)</f>
        <v>7.71</v>
      </c>
    </row>
    <row r="3071" spans="1:6" x14ac:dyDescent="0.3">
      <c r="A3071" t="s">
        <v>13874</v>
      </c>
      <c r="B3071" s="9">
        <f>COUNTIF(Levels!B:B,A3071)</f>
        <v>2</v>
      </c>
      <c r="C3071" s="9">
        <f>IFERROR(AVERAGEIF(Levels!B:B,A3071,Levels!E:E),0)</f>
        <v>4.3549999999999995</v>
      </c>
      <c r="D3071" s="9">
        <f>IFERROR(AVERAGEIF(Levels!B:B,A3071,Levels!F:F),0)</f>
        <v>7.335</v>
      </c>
      <c r="E3071" s="9">
        <f>_xlfn.MAXIFS(Levels!E:E,Levels!B:B,A3071)</f>
        <v>7.06</v>
      </c>
      <c r="F3071" s="9">
        <f>_xlfn.MAXIFS(Levels!F:F,Levels!B:B,A3071)</f>
        <v>7.59</v>
      </c>
    </row>
    <row r="3072" spans="1:6" x14ac:dyDescent="0.3">
      <c r="A3072" t="s">
        <v>13877</v>
      </c>
      <c r="B3072" s="6">
        <f>COUNTIF(Levels!B:B,A3072)</f>
        <v>1</v>
      </c>
      <c r="C3072" s="6">
        <f>IFERROR(AVERAGEIF(Levels!B:B,A3072,Levels!E:E),0)</f>
        <v>0</v>
      </c>
      <c r="D3072" s="6">
        <f>IFERROR(AVERAGEIF(Levels!B:B,A3072,Levels!F:F),0)</f>
        <v>6.33</v>
      </c>
      <c r="E3072" s="6">
        <f>_xlfn.MAXIFS(Levels!E:E,Levels!B:B,A3072)</f>
        <v>0</v>
      </c>
      <c r="F3072" s="6">
        <f>_xlfn.MAXIFS(Levels!F:F,Levels!B:B,A3072)</f>
        <v>6.33</v>
      </c>
    </row>
    <row r="3073" spans="1:6" x14ac:dyDescent="0.3">
      <c r="A3073" t="s">
        <v>13882</v>
      </c>
      <c r="B3073" s="9">
        <f>COUNTIF(Levels!B:B,A3073)</f>
        <v>1</v>
      </c>
      <c r="C3073" s="9">
        <f>IFERROR(AVERAGEIF(Levels!B:B,A3073,Levels!E:E),0)</f>
        <v>2.41</v>
      </c>
      <c r="D3073" s="9">
        <f>IFERROR(AVERAGEIF(Levels!B:B,A3073,Levels!F:F),0)</f>
        <v>7.03</v>
      </c>
      <c r="E3073" s="9">
        <f>_xlfn.MAXIFS(Levels!E:E,Levels!B:B,A3073)</f>
        <v>2.41</v>
      </c>
      <c r="F3073" s="9">
        <f>_xlfn.MAXIFS(Levels!F:F,Levels!B:B,A3073)</f>
        <v>7.03</v>
      </c>
    </row>
    <row r="3074" spans="1:6" x14ac:dyDescent="0.3">
      <c r="A3074" t="s">
        <v>13884</v>
      </c>
      <c r="B3074" s="6">
        <f>COUNTIF(Levels!B:B,A3074)</f>
        <v>1</v>
      </c>
      <c r="C3074" s="6">
        <f>IFERROR(AVERAGEIF(Levels!B:B,A3074,Levels!E:E),0)</f>
        <v>19.170000000000002</v>
      </c>
      <c r="D3074" s="6">
        <f>IFERROR(AVERAGEIF(Levels!B:B,A3074,Levels!F:F),0)</f>
        <v>9.33</v>
      </c>
      <c r="E3074" s="6">
        <f>_xlfn.MAXIFS(Levels!E:E,Levels!B:B,A3074)</f>
        <v>19.170000000000002</v>
      </c>
      <c r="F3074" s="6">
        <f>_xlfn.MAXIFS(Levels!F:F,Levels!B:B,A3074)</f>
        <v>9.33</v>
      </c>
    </row>
    <row r="3075" spans="1:6" x14ac:dyDescent="0.3">
      <c r="A3075" t="s">
        <v>13888</v>
      </c>
      <c r="B3075" s="9">
        <f>COUNTIF(Levels!B:B,A3075)</f>
        <v>1</v>
      </c>
      <c r="C3075" s="9">
        <f>IFERROR(AVERAGEIF(Levels!B:B,A3075,Levels!E:E),0)</f>
        <v>0</v>
      </c>
      <c r="D3075" s="9">
        <f>IFERROR(AVERAGEIF(Levels!B:B,A3075,Levels!F:F),0)</f>
        <v>7.05</v>
      </c>
      <c r="E3075" s="9">
        <f>_xlfn.MAXIFS(Levels!E:E,Levels!B:B,A3075)</f>
        <v>0</v>
      </c>
      <c r="F3075" s="9">
        <f>_xlfn.MAXIFS(Levels!F:F,Levels!B:B,A3075)</f>
        <v>7.05</v>
      </c>
    </row>
    <row r="3076" spans="1:6" x14ac:dyDescent="0.3">
      <c r="A3076" t="s">
        <v>13891</v>
      </c>
      <c r="B3076" s="6">
        <f>COUNTIF(Levels!B:B,A3076)</f>
        <v>2</v>
      </c>
      <c r="C3076" s="6">
        <f>IFERROR(AVERAGEIF(Levels!B:B,A3076,Levels!E:E),0)</f>
        <v>8.2799999999999994</v>
      </c>
      <c r="D3076" s="6">
        <f>IFERROR(AVERAGEIF(Levels!B:B,A3076,Levels!F:F),0)</f>
        <v>7.73</v>
      </c>
      <c r="E3076" s="6">
        <f>_xlfn.MAXIFS(Levels!E:E,Levels!B:B,A3076)</f>
        <v>9.44</v>
      </c>
      <c r="F3076" s="6">
        <f>_xlfn.MAXIFS(Levels!F:F,Levels!B:B,A3076)</f>
        <v>7.88</v>
      </c>
    </row>
    <row r="3077" spans="1:6" x14ac:dyDescent="0.3">
      <c r="A3077" t="s">
        <v>13898</v>
      </c>
      <c r="B3077" s="9">
        <f>COUNTIF(Levels!B:B,A3077)</f>
        <v>1</v>
      </c>
      <c r="C3077" s="9">
        <f>IFERROR(AVERAGEIF(Levels!B:B,A3077,Levels!E:E),0)</f>
        <v>0</v>
      </c>
      <c r="D3077" s="9">
        <f>IFERROR(AVERAGEIF(Levels!B:B,A3077,Levels!F:F),0)</f>
        <v>1.2</v>
      </c>
      <c r="E3077" s="9">
        <f>_xlfn.MAXIFS(Levels!E:E,Levels!B:B,A3077)</f>
        <v>0</v>
      </c>
      <c r="F3077" s="9">
        <f>_xlfn.MAXIFS(Levels!F:F,Levels!B:B,A3077)</f>
        <v>1.2</v>
      </c>
    </row>
    <row r="3078" spans="1:6" x14ac:dyDescent="0.3">
      <c r="A3078" t="s">
        <v>13903</v>
      </c>
      <c r="B3078" s="6">
        <f>COUNTIF(Levels!B:B,A3078)</f>
        <v>2</v>
      </c>
      <c r="C3078" s="6">
        <f>IFERROR(AVERAGEIF(Levels!B:B,A3078,Levels!E:E),0)</f>
        <v>0</v>
      </c>
      <c r="D3078" s="6">
        <f>IFERROR(AVERAGEIF(Levels!B:B,A3078,Levels!F:F),0)</f>
        <v>5.3550000000000004</v>
      </c>
      <c r="E3078" s="6">
        <f>_xlfn.MAXIFS(Levels!E:E,Levels!B:B,A3078)</f>
        <v>0</v>
      </c>
      <c r="F3078" s="6">
        <f>_xlfn.MAXIFS(Levels!F:F,Levels!B:B,A3078)</f>
        <v>7.33</v>
      </c>
    </row>
    <row r="3079" spans="1:6" x14ac:dyDescent="0.3">
      <c r="A3079" t="s">
        <v>13905</v>
      </c>
      <c r="B3079" s="9">
        <f>COUNTIF(Levels!B:B,A3079)</f>
        <v>1</v>
      </c>
      <c r="C3079" s="9">
        <f>IFERROR(AVERAGEIF(Levels!B:B,A3079,Levels!E:E),0)</f>
        <v>16.13</v>
      </c>
      <c r="D3079" s="9">
        <f>IFERROR(AVERAGEIF(Levels!B:B,A3079,Levels!F:F),0)</f>
        <v>8</v>
      </c>
      <c r="E3079" s="9">
        <f>_xlfn.MAXIFS(Levels!E:E,Levels!B:B,A3079)</f>
        <v>16.13</v>
      </c>
      <c r="F3079" s="9">
        <f>_xlfn.MAXIFS(Levels!F:F,Levels!B:B,A3079)</f>
        <v>8</v>
      </c>
    </row>
    <row r="3080" spans="1:6" x14ac:dyDescent="0.3">
      <c r="A3080" t="s">
        <v>13908</v>
      </c>
      <c r="B3080" s="6">
        <f>COUNTIF(Levels!B:B,A3080)</f>
        <v>2</v>
      </c>
      <c r="C3080" s="6">
        <f>IFERROR(AVERAGEIF(Levels!B:B,A3080,Levels!E:E),0)</f>
        <v>2.915</v>
      </c>
      <c r="D3080" s="6">
        <f>IFERROR(AVERAGEIF(Levels!B:B,A3080,Levels!F:F),0)</f>
        <v>7.6050000000000004</v>
      </c>
      <c r="E3080" s="6">
        <f>_xlfn.MAXIFS(Levels!E:E,Levels!B:B,A3080)</f>
        <v>2.97</v>
      </c>
      <c r="F3080" s="6">
        <f>_xlfn.MAXIFS(Levels!F:F,Levels!B:B,A3080)</f>
        <v>7.97</v>
      </c>
    </row>
    <row r="3081" spans="1:6" x14ac:dyDescent="0.3">
      <c r="A3081" t="s">
        <v>13910</v>
      </c>
      <c r="B3081" s="9">
        <f>COUNTIF(Levels!B:B,A3081)</f>
        <v>1</v>
      </c>
      <c r="C3081" s="9">
        <f>IFERROR(AVERAGEIF(Levels!B:B,A3081,Levels!E:E),0)</f>
        <v>18.079999999999998</v>
      </c>
      <c r="D3081" s="9">
        <f>IFERROR(AVERAGEIF(Levels!B:B,A3081,Levels!F:F),0)</f>
        <v>8.33</v>
      </c>
      <c r="E3081" s="9">
        <f>_xlfn.MAXIFS(Levels!E:E,Levels!B:B,A3081)</f>
        <v>18.079999999999998</v>
      </c>
      <c r="F3081" s="9">
        <f>_xlfn.MAXIFS(Levels!F:F,Levels!B:B,A3081)</f>
        <v>8.33</v>
      </c>
    </row>
    <row r="3082" spans="1:6" x14ac:dyDescent="0.3">
      <c r="A3082" t="s">
        <v>13911</v>
      </c>
      <c r="B3082" s="6">
        <f>COUNTIF(Levels!B:B,A3082)</f>
        <v>1</v>
      </c>
      <c r="C3082" s="6">
        <f>IFERROR(AVERAGEIF(Levels!B:B,A3082,Levels!E:E),0)</f>
        <v>12.11</v>
      </c>
      <c r="D3082" s="6">
        <f>IFERROR(AVERAGEIF(Levels!B:B,A3082,Levels!F:F),0)</f>
        <v>5.56</v>
      </c>
      <c r="E3082" s="6">
        <f>_xlfn.MAXIFS(Levels!E:E,Levels!B:B,A3082)</f>
        <v>12.11</v>
      </c>
      <c r="F3082" s="6">
        <f>_xlfn.MAXIFS(Levels!F:F,Levels!B:B,A3082)</f>
        <v>5.56</v>
      </c>
    </row>
    <row r="3083" spans="1:6" x14ac:dyDescent="0.3">
      <c r="A3083" t="s">
        <v>13913</v>
      </c>
      <c r="B3083" s="9">
        <f>COUNTIF(Levels!B:B,A3083)</f>
        <v>2</v>
      </c>
      <c r="C3083" s="9">
        <f>IFERROR(AVERAGEIF(Levels!B:B,A3083,Levels!E:E),0)</f>
        <v>9.24</v>
      </c>
      <c r="D3083" s="9">
        <f>IFERROR(AVERAGEIF(Levels!B:B,A3083,Levels!F:F),0)</f>
        <v>8.14</v>
      </c>
      <c r="E3083" s="9">
        <f>_xlfn.MAXIFS(Levels!E:E,Levels!B:B,A3083)</f>
        <v>9.65</v>
      </c>
      <c r="F3083" s="9">
        <f>_xlfn.MAXIFS(Levels!F:F,Levels!B:B,A3083)</f>
        <v>8.15</v>
      </c>
    </row>
    <row r="3084" spans="1:6" x14ac:dyDescent="0.3">
      <c r="A3084" t="s">
        <v>13915</v>
      </c>
      <c r="B3084" s="6">
        <f>COUNTIF(Levels!B:B,A3084)</f>
        <v>1</v>
      </c>
      <c r="C3084" s="6">
        <f>IFERROR(AVERAGEIF(Levels!B:B,A3084,Levels!E:E),0)</f>
        <v>8.91</v>
      </c>
      <c r="D3084" s="6">
        <f>IFERROR(AVERAGEIF(Levels!B:B,A3084,Levels!F:F),0)</f>
        <v>8.07</v>
      </c>
      <c r="E3084" s="6">
        <f>_xlfn.MAXIFS(Levels!E:E,Levels!B:B,A3084)</f>
        <v>8.91</v>
      </c>
      <c r="F3084" s="6">
        <f>_xlfn.MAXIFS(Levels!F:F,Levels!B:B,A3084)</f>
        <v>8.07</v>
      </c>
    </row>
    <row r="3085" spans="1:6" x14ac:dyDescent="0.3">
      <c r="A3085" t="s">
        <v>13918</v>
      </c>
      <c r="B3085" s="9">
        <f>COUNTIF(Levels!B:B,A3085)</f>
        <v>1</v>
      </c>
      <c r="C3085" s="9">
        <f>IFERROR(AVERAGEIF(Levels!B:B,A3085,Levels!E:E),0)</f>
        <v>2.87</v>
      </c>
      <c r="D3085" s="9">
        <f>IFERROR(AVERAGEIF(Levels!B:B,A3085,Levels!F:F),0)</f>
        <v>6.57</v>
      </c>
      <c r="E3085" s="9">
        <f>_xlfn.MAXIFS(Levels!E:E,Levels!B:B,A3085)</f>
        <v>2.87</v>
      </c>
      <c r="F3085" s="9">
        <f>_xlfn.MAXIFS(Levels!F:F,Levels!B:B,A3085)</f>
        <v>6.57</v>
      </c>
    </row>
    <row r="3086" spans="1:6" x14ac:dyDescent="0.3">
      <c r="A3086" t="s">
        <v>13924</v>
      </c>
      <c r="B3086" s="6">
        <f>COUNTIF(Levels!B:B,A3086)</f>
        <v>1</v>
      </c>
      <c r="C3086" s="6">
        <f>IFERROR(AVERAGEIF(Levels!B:B,A3086,Levels!E:E),0)</f>
        <v>0</v>
      </c>
      <c r="D3086" s="6">
        <f>IFERROR(AVERAGEIF(Levels!B:B,A3086,Levels!F:F),0)</f>
        <v>6.59</v>
      </c>
      <c r="E3086" s="6">
        <f>_xlfn.MAXIFS(Levels!E:E,Levels!B:B,A3086)</f>
        <v>0</v>
      </c>
      <c r="F3086" s="6">
        <f>_xlfn.MAXIFS(Levels!F:F,Levels!B:B,A3086)</f>
        <v>6.59</v>
      </c>
    </row>
    <row r="3087" spans="1:6" x14ac:dyDescent="0.3">
      <c r="A3087" t="s">
        <v>13927</v>
      </c>
      <c r="B3087" s="9">
        <f>COUNTIF(Levels!B:B,A3087)</f>
        <v>1</v>
      </c>
      <c r="C3087" s="9">
        <f>IFERROR(AVERAGEIF(Levels!B:B,A3087,Levels!E:E),0)</f>
        <v>3.9</v>
      </c>
      <c r="D3087" s="9">
        <f>IFERROR(AVERAGEIF(Levels!B:B,A3087,Levels!F:F),0)</f>
        <v>6.16</v>
      </c>
      <c r="E3087" s="9">
        <f>_xlfn.MAXIFS(Levels!E:E,Levels!B:B,A3087)</f>
        <v>3.9</v>
      </c>
      <c r="F3087" s="9">
        <f>_xlfn.MAXIFS(Levels!F:F,Levels!B:B,A3087)</f>
        <v>6.16</v>
      </c>
    </row>
    <row r="3088" spans="1:6" x14ac:dyDescent="0.3">
      <c r="A3088" t="s">
        <v>13931</v>
      </c>
      <c r="B3088" s="6">
        <f>COUNTIF(Levels!B:B,A3088)</f>
        <v>5</v>
      </c>
      <c r="C3088" s="6">
        <f>IFERROR(AVERAGEIF(Levels!B:B,A3088,Levels!E:E),0)</f>
        <v>3.1999999999999997</v>
      </c>
      <c r="D3088" s="6">
        <f>IFERROR(AVERAGEIF(Levels!B:B,A3088,Levels!F:F),0)</f>
        <v>7.1179999999999994</v>
      </c>
      <c r="E3088" s="6">
        <f>_xlfn.MAXIFS(Levels!E:E,Levels!B:B,A3088)</f>
        <v>4</v>
      </c>
      <c r="F3088" s="6">
        <f>_xlfn.MAXIFS(Levels!F:F,Levels!B:B,A3088)</f>
        <v>7.9</v>
      </c>
    </row>
    <row r="3089" spans="1:6" x14ac:dyDescent="0.3">
      <c r="A3089" t="s">
        <v>13933</v>
      </c>
      <c r="B3089" s="9">
        <f>COUNTIF(Levels!B:B,A3089)</f>
        <v>1</v>
      </c>
      <c r="C3089" s="9">
        <f>IFERROR(AVERAGEIF(Levels!B:B,A3089,Levels!E:E),0)</f>
        <v>0</v>
      </c>
      <c r="D3089" s="9">
        <f>IFERROR(AVERAGEIF(Levels!B:B,A3089,Levels!F:F),0)</f>
        <v>8.06</v>
      </c>
      <c r="E3089" s="9">
        <f>_xlfn.MAXIFS(Levels!E:E,Levels!B:B,A3089)</f>
        <v>0</v>
      </c>
      <c r="F3089" s="9">
        <f>_xlfn.MAXIFS(Levels!F:F,Levels!B:B,A3089)</f>
        <v>8.06</v>
      </c>
    </row>
    <row r="3090" spans="1:6" x14ac:dyDescent="0.3">
      <c r="A3090" t="s">
        <v>13942</v>
      </c>
      <c r="B3090" s="6">
        <f>COUNTIF(Levels!B:B,A3090)</f>
        <v>1</v>
      </c>
      <c r="C3090" s="6">
        <f>IFERROR(AVERAGEIF(Levels!B:B,A3090,Levels!E:E),0)</f>
        <v>14.29</v>
      </c>
      <c r="D3090" s="6">
        <f>IFERROR(AVERAGEIF(Levels!B:B,A3090,Levels!F:F),0)</f>
        <v>5.67</v>
      </c>
      <c r="E3090" s="6">
        <f>_xlfn.MAXIFS(Levels!E:E,Levels!B:B,A3090)</f>
        <v>14.29</v>
      </c>
      <c r="F3090" s="6">
        <f>_xlfn.MAXIFS(Levels!F:F,Levels!B:B,A3090)</f>
        <v>5.67</v>
      </c>
    </row>
    <row r="3091" spans="1:6" x14ac:dyDescent="0.3">
      <c r="A3091" t="s">
        <v>13948</v>
      </c>
      <c r="B3091" s="9">
        <f>COUNTIF(Levels!B:B,A3091)</f>
        <v>1</v>
      </c>
      <c r="C3091" s="9">
        <f>IFERROR(AVERAGEIF(Levels!B:B,A3091,Levels!E:E),0)</f>
        <v>5.21</v>
      </c>
      <c r="D3091" s="9">
        <f>IFERROR(AVERAGEIF(Levels!B:B,A3091,Levels!F:F),0)</f>
        <v>7.1</v>
      </c>
      <c r="E3091" s="9">
        <f>_xlfn.MAXIFS(Levels!E:E,Levels!B:B,A3091)</f>
        <v>5.21</v>
      </c>
      <c r="F3091" s="9">
        <f>_xlfn.MAXIFS(Levels!F:F,Levels!B:B,A3091)</f>
        <v>7.1</v>
      </c>
    </row>
    <row r="3092" spans="1:6" x14ac:dyDescent="0.3">
      <c r="A3092" t="s">
        <v>13952</v>
      </c>
      <c r="B3092" s="6">
        <f>COUNTIF(Levels!B:B,A3092)</f>
        <v>2</v>
      </c>
      <c r="C3092" s="6">
        <f>IFERROR(AVERAGEIF(Levels!B:B,A3092,Levels!E:E),0)</f>
        <v>0</v>
      </c>
      <c r="D3092" s="6">
        <f>IFERROR(AVERAGEIF(Levels!B:B,A3092,Levels!F:F),0)</f>
        <v>6.3450000000000006</v>
      </c>
      <c r="E3092" s="6">
        <f>_xlfn.MAXIFS(Levels!E:E,Levels!B:B,A3092)</f>
        <v>0</v>
      </c>
      <c r="F3092" s="6">
        <f>_xlfn.MAXIFS(Levels!F:F,Levels!B:B,A3092)</f>
        <v>6.94</v>
      </c>
    </row>
    <row r="3093" spans="1:6" x14ac:dyDescent="0.3">
      <c r="A3093" t="s">
        <v>13959</v>
      </c>
      <c r="B3093" s="9">
        <f>COUNTIF(Levels!B:B,A3093)</f>
        <v>1</v>
      </c>
      <c r="C3093" s="9">
        <f>IFERROR(AVERAGEIF(Levels!B:B,A3093,Levels!E:E),0)</f>
        <v>0</v>
      </c>
      <c r="D3093" s="9">
        <f>IFERROR(AVERAGEIF(Levels!B:B,A3093,Levels!F:F),0)</f>
        <v>7.67</v>
      </c>
      <c r="E3093" s="9">
        <f>_xlfn.MAXIFS(Levels!E:E,Levels!B:B,A3093)</f>
        <v>0</v>
      </c>
      <c r="F3093" s="9">
        <f>_xlfn.MAXIFS(Levels!F:F,Levels!B:B,A3093)</f>
        <v>7.67</v>
      </c>
    </row>
    <row r="3094" spans="1:6" x14ac:dyDescent="0.3">
      <c r="A3094" t="s">
        <v>13962</v>
      </c>
      <c r="B3094" s="6">
        <f>COUNTIF(Levels!B:B,A3094)</f>
        <v>1</v>
      </c>
      <c r="C3094" s="6">
        <f>IFERROR(AVERAGEIF(Levels!B:B,A3094,Levels!E:E),0)</f>
        <v>1.86</v>
      </c>
      <c r="D3094" s="6">
        <f>IFERROR(AVERAGEIF(Levels!B:B,A3094,Levels!F:F),0)</f>
        <v>8.1</v>
      </c>
      <c r="E3094" s="6">
        <f>_xlfn.MAXIFS(Levels!E:E,Levels!B:B,A3094)</f>
        <v>1.86</v>
      </c>
      <c r="F3094" s="6">
        <f>_xlfn.MAXIFS(Levels!F:F,Levels!B:B,A3094)</f>
        <v>8.1</v>
      </c>
    </row>
    <row r="3095" spans="1:6" x14ac:dyDescent="0.3">
      <c r="A3095" t="s">
        <v>13967</v>
      </c>
      <c r="B3095" s="9">
        <f>COUNTIF(Levels!B:B,A3095)</f>
        <v>1</v>
      </c>
      <c r="C3095" s="9">
        <f>IFERROR(AVERAGEIF(Levels!B:B,A3095,Levels!E:E),0)</f>
        <v>0</v>
      </c>
      <c r="D3095" s="9">
        <f>IFERROR(AVERAGEIF(Levels!B:B,A3095,Levels!F:F),0)</f>
        <v>5</v>
      </c>
      <c r="E3095" s="9">
        <f>_xlfn.MAXIFS(Levels!E:E,Levels!B:B,A3095)</f>
        <v>0</v>
      </c>
      <c r="F3095" s="9">
        <f>_xlfn.MAXIFS(Levels!F:F,Levels!B:B,A3095)</f>
        <v>5</v>
      </c>
    </row>
    <row r="3096" spans="1:6" x14ac:dyDescent="0.3">
      <c r="A3096" t="s">
        <v>13975</v>
      </c>
      <c r="B3096" s="6">
        <f>COUNTIF(Levels!B:B,A3096)</f>
        <v>1</v>
      </c>
      <c r="C3096" s="6">
        <f>IFERROR(AVERAGEIF(Levels!B:B,A3096,Levels!E:E),0)</f>
        <v>2.88</v>
      </c>
      <c r="D3096" s="6">
        <f>IFERROR(AVERAGEIF(Levels!B:B,A3096,Levels!F:F),0)</f>
        <v>6.76</v>
      </c>
      <c r="E3096" s="6">
        <f>_xlfn.MAXIFS(Levels!E:E,Levels!B:B,A3096)</f>
        <v>2.88</v>
      </c>
      <c r="F3096" s="6">
        <f>_xlfn.MAXIFS(Levels!F:F,Levels!B:B,A3096)</f>
        <v>6.76</v>
      </c>
    </row>
    <row r="3097" spans="1:6" x14ac:dyDescent="0.3">
      <c r="A3097" t="s">
        <v>13980</v>
      </c>
      <c r="B3097" s="9">
        <f>COUNTIF(Levels!B:B,A3097)</f>
        <v>1</v>
      </c>
      <c r="C3097" s="9">
        <f>IFERROR(AVERAGEIF(Levels!B:B,A3097,Levels!E:E),0)</f>
        <v>0</v>
      </c>
      <c r="D3097" s="9">
        <f>IFERROR(AVERAGEIF(Levels!B:B,A3097,Levels!F:F),0)</f>
        <v>6.81</v>
      </c>
      <c r="E3097" s="9">
        <f>_xlfn.MAXIFS(Levels!E:E,Levels!B:B,A3097)</f>
        <v>0</v>
      </c>
      <c r="F3097" s="9">
        <f>_xlfn.MAXIFS(Levels!F:F,Levels!B:B,A3097)</f>
        <v>6.81</v>
      </c>
    </row>
    <row r="3098" spans="1:6" x14ac:dyDescent="0.3">
      <c r="A3098" t="s">
        <v>13982</v>
      </c>
      <c r="B3098" s="6">
        <f>COUNTIF(Levels!B:B,A3098)</f>
        <v>1</v>
      </c>
      <c r="C3098" s="6">
        <f>IFERROR(AVERAGEIF(Levels!B:B,A3098,Levels!E:E),0)</f>
        <v>4.3499999999999996</v>
      </c>
      <c r="D3098" s="6">
        <f>IFERROR(AVERAGEIF(Levels!B:B,A3098,Levels!F:F),0)</f>
        <v>5.75</v>
      </c>
      <c r="E3098" s="6">
        <f>_xlfn.MAXIFS(Levels!E:E,Levels!B:B,A3098)</f>
        <v>4.3499999999999996</v>
      </c>
      <c r="F3098" s="6">
        <f>_xlfn.MAXIFS(Levels!F:F,Levels!B:B,A3098)</f>
        <v>5.75</v>
      </c>
    </row>
    <row r="3099" spans="1:6" x14ac:dyDescent="0.3">
      <c r="A3099" t="s">
        <v>13989</v>
      </c>
      <c r="B3099" s="9">
        <f>COUNTIF(Levels!B:B,A3099)</f>
        <v>1</v>
      </c>
      <c r="C3099" s="9">
        <f>IFERROR(AVERAGEIF(Levels!B:B,A3099,Levels!E:E),0)</f>
        <v>6.14</v>
      </c>
      <c r="D3099" s="9">
        <f>IFERROR(AVERAGEIF(Levels!B:B,A3099,Levels!F:F),0)</f>
        <v>6.43</v>
      </c>
      <c r="E3099" s="9">
        <f>_xlfn.MAXIFS(Levels!E:E,Levels!B:B,A3099)</f>
        <v>6.14</v>
      </c>
      <c r="F3099" s="9">
        <f>_xlfn.MAXIFS(Levels!F:F,Levels!B:B,A3099)</f>
        <v>6.43</v>
      </c>
    </row>
    <row r="3100" spans="1:6" x14ac:dyDescent="0.3">
      <c r="A3100" t="s">
        <v>13993</v>
      </c>
      <c r="B3100" s="6">
        <f>COUNTIF(Levels!B:B,A3100)</f>
        <v>1</v>
      </c>
      <c r="C3100" s="6">
        <f>IFERROR(AVERAGEIF(Levels!B:B,A3100,Levels!E:E),0)</f>
        <v>2.19</v>
      </c>
      <c r="D3100" s="6">
        <f>IFERROR(AVERAGEIF(Levels!B:B,A3100,Levels!F:F),0)</f>
        <v>7.11</v>
      </c>
      <c r="E3100" s="6">
        <f>_xlfn.MAXIFS(Levels!E:E,Levels!B:B,A3100)</f>
        <v>2.19</v>
      </c>
      <c r="F3100" s="6">
        <f>_xlfn.MAXIFS(Levels!F:F,Levels!B:B,A3100)</f>
        <v>7.11</v>
      </c>
    </row>
    <row r="3101" spans="1:6" x14ac:dyDescent="0.3">
      <c r="A3101" t="s">
        <v>14004</v>
      </c>
      <c r="B3101" s="9">
        <f>COUNTIF(Levels!B:B,A3101)</f>
        <v>5</v>
      </c>
      <c r="C3101" s="9">
        <f>IFERROR(AVERAGEIF(Levels!B:B,A3101,Levels!E:E),0)</f>
        <v>0</v>
      </c>
      <c r="D3101" s="9">
        <f>IFERROR(AVERAGEIF(Levels!B:B,A3101,Levels!F:F),0)</f>
        <v>7.08</v>
      </c>
      <c r="E3101" s="9">
        <f>_xlfn.MAXIFS(Levels!E:E,Levels!B:B,A3101)</f>
        <v>0</v>
      </c>
      <c r="F3101" s="9">
        <f>_xlfn.MAXIFS(Levels!F:F,Levels!B:B,A3101)</f>
        <v>8.5</v>
      </c>
    </row>
    <row r="3102" spans="1:6" x14ac:dyDescent="0.3">
      <c r="A3102" t="s">
        <v>14012</v>
      </c>
      <c r="B3102" s="6">
        <f>COUNTIF(Levels!B:B,A3102)</f>
        <v>1</v>
      </c>
      <c r="C3102" s="6">
        <f>IFERROR(AVERAGEIF(Levels!B:B,A3102,Levels!E:E),0)</f>
        <v>11.43</v>
      </c>
      <c r="D3102" s="6">
        <f>IFERROR(AVERAGEIF(Levels!B:B,A3102,Levels!F:F),0)</f>
        <v>7</v>
      </c>
      <c r="E3102" s="6">
        <f>_xlfn.MAXIFS(Levels!E:E,Levels!B:B,A3102)</f>
        <v>11.43</v>
      </c>
      <c r="F3102" s="6">
        <f>_xlfn.MAXIFS(Levels!F:F,Levels!B:B,A3102)</f>
        <v>7</v>
      </c>
    </row>
    <row r="3103" spans="1:6" x14ac:dyDescent="0.3">
      <c r="A3103" t="s">
        <v>14015</v>
      </c>
      <c r="B3103" s="9">
        <f>COUNTIF(Levels!B:B,A3103)</f>
        <v>1</v>
      </c>
      <c r="C3103" s="9">
        <f>IFERROR(AVERAGEIF(Levels!B:B,A3103,Levels!E:E),0)</f>
        <v>1.72</v>
      </c>
      <c r="D3103" s="9">
        <f>IFERROR(AVERAGEIF(Levels!B:B,A3103,Levels!F:F),0)</f>
        <v>7.64</v>
      </c>
      <c r="E3103" s="9">
        <f>_xlfn.MAXIFS(Levels!E:E,Levels!B:B,A3103)</f>
        <v>1.72</v>
      </c>
      <c r="F3103" s="9">
        <f>_xlfn.MAXIFS(Levels!F:F,Levels!B:B,A3103)</f>
        <v>7.64</v>
      </c>
    </row>
    <row r="3104" spans="1:6" x14ac:dyDescent="0.3">
      <c r="A3104" t="s">
        <v>14018</v>
      </c>
      <c r="B3104" s="6">
        <f>COUNTIF(Levels!B:B,A3104)</f>
        <v>1</v>
      </c>
      <c r="C3104" s="6">
        <f>IFERROR(AVERAGEIF(Levels!B:B,A3104,Levels!E:E),0)</f>
        <v>9.0500000000000007</v>
      </c>
      <c r="D3104" s="6">
        <f>IFERROR(AVERAGEIF(Levels!B:B,A3104,Levels!F:F),0)</f>
        <v>8.6300000000000008</v>
      </c>
      <c r="E3104" s="6">
        <f>_xlfn.MAXIFS(Levels!E:E,Levels!B:B,A3104)</f>
        <v>9.0500000000000007</v>
      </c>
      <c r="F3104" s="6">
        <f>_xlfn.MAXIFS(Levels!F:F,Levels!B:B,A3104)</f>
        <v>8.6300000000000008</v>
      </c>
    </row>
    <row r="3105" spans="1:6" x14ac:dyDescent="0.3">
      <c r="A3105" t="s">
        <v>14020</v>
      </c>
      <c r="B3105" s="9">
        <f>COUNTIF(Levels!B:B,A3105)</f>
        <v>1</v>
      </c>
      <c r="C3105" s="9">
        <f>IFERROR(AVERAGEIF(Levels!B:B,A3105,Levels!E:E),0)</f>
        <v>3.45</v>
      </c>
      <c r="D3105" s="9">
        <f>IFERROR(AVERAGEIF(Levels!B:B,A3105,Levels!F:F),0)</f>
        <v>8.35</v>
      </c>
      <c r="E3105" s="9">
        <f>_xlfn.MAXIFS(Levels!E:E,Levels!B:B,A3105)</f>
        <v>3.45</v>
      </c>
      <c r="F3105" s="9">
        <f>_xlfn.MAXIFS(Levels!F:F,Levels!B:B,A3105)</f>
        <v>8.35</v>
      </c>
    </row>
    <row r="3106" spans="1:6" x14ac:dyDescent="0.3">
      <c r="A3106" t="s">
        <v>14025</v>
      </c>
      <c r="B3106" s="6">
        <f>COUNTIF(Levels!B:B,A3106)</f>
        <v>1</v>
      </c>
      <c r="C3106" s="6">
        <f>IFERROR(AVERAGEIF(Levels!B:B,A3106,Levels!E:E),0)</f>
        <v>8</v>
      </c>
      <c r="D3106" s="6">
        <f>IFERROR(AVERAGEIF(Levels!B:B,A3106,Levels!F:F),0)</f>
        <v>8.4</v>
      </c>
      <c r="E3106" s="6">
        <f>_xlfn.MAXIFS(Levels!E:E,Levels!B:B,A3106)</f>
        <v>8</v>
      </c>
      <c r="F3106" s="6">
        <f>_xlfn.MAXIFS(Levels!F:F,Levels!B:B,A3106)</f>
        <v>8.4</v>
      </c>
    </row>
    <row r="3107" spans="1:6" x14ac:dyDescent="0.3">
      <c r="A3107" t="s">
        <v>14029</v>
      </c>
      <c r="B3107" s="9">
        <f>COUNTIF(Levels!B:B,A3107)</f>
        <v>1</v>
      </c>
      <c r="C3107" s="9">
        <f>IFERROR(AVERAGEIF(Levels!B:B,A3107,Levels!E:E),0)</f>
        <v>5.96</v>
      </c>
      <c r="D3107" s="9">
        <f>IFERROR(AVERAGEIF(Levels!B:B,A3107,Levels!F:F),0)</f>
        <v>6.14</v>
      </c>
      <c r="E3107" s="9">
        <f>_xlfn.MAXIFS(Levels!E:E,Levels!B:B,A3107)</f>
        <v>5.96</v>
      </c>
      <c r="F3107" s="9">
        <f>_xlfn.MAXIFS(Levels!F:F,Levels!B:B,A3107)</f>
        <v>6.14</v>
      </c>
    </row>
    <row r="3108" spans="1:6" x14ac:dyDescent="0.3">
      <c r="A3108" t="s">
        <v>14032</v>
      </c>
      <c r="B3108" s="6">
        <f>COUNTIF(Levels!B:B,A3108)</f>
        <v>1</v>
      </c>
      <c r="C3108" s="6">
        <f>IFERROR(AVERAGEIF(Levels!B:B,A3108,Levels!E:E),0)</f>
        <v>4.84</v>
      </c>
      <c r="D3108" s="6">
        <f>IFERROR(AVERAGEIF(Levels!B:B,A3108,Levels!F:F),0)</f>
        <v>7.1</v>
      </c>
      <c r="E3108" s="6">
        <f>_xlfn.MAXIFS(Levels!E:E,Levels!B:B,A3108)</f>
        <v>4.84</v>
      </c>
      <c r="F3108" s="6">
        <f>_xlfn.MAXIFS(Levels!F:F,Levels!B:B,A3108)</f>
        <v>7.1</v>
      </c>
    </row>
    <row r="3109" spans="1:6" x14ac:dyDescent="0.3">
      <c r="A3109" t="s">
        <v>14036</v>
      </c>
      <c r="B3109" s="9">
        <f>COUNTIF(Levels!B:B,A3109)</f>
        <v>1</v>
      </c>
      <c r="C3109" s="9">
        <f>IFERROR(AVERAGEIF(Levels!B:B,A3109,Levels!E:E),0)</f>
        <v>0</v>
      </c>
      <c r="D3109" s="9">
        <f>IFERROR(AVERAGEIF(Levels!B:B,A3109,Levels!F:F),0)</f>
        <v>6.37</v>
      </c>
      <c r="E3109" s="9">
        <f>_xlfn.MAXIFS(Levels!E:E,Levels!B:B,A3109)</f>
        <v>0</v>
      </c>
      <c r="F3109" s="9">
        <f>_xlfn.MAXIFS(Levels!F:F,Levels!B:B,A3109)</f>
        <v>6.37</v>
      </c>
    </row>
    <row r="3110" spans="1:6" x14ac:dyDescent="0.3">
      <c r="A3110" t="s">
        <v>14039</v>
      </c>
      <c r="B3110" s="6">
        <f>COUNTIF(Levels!B:B,A3110)</f>
        <v>1</v>
      </c>
      <c r="C3110" s="6">
        <f>IFERROR(AVERAGEIF(Levels!B:B,A3110,Levels!E:E),0)</f>
        <v>0</v>
      </c>
      <c r="D3110" s="6">
        <f>IFERROR(AVERAGEIF(Levels!B:B,A3110,Levels!F:F),0)</f>
        <v>5.94</v>
      </c>
      <c r="E3110" s="6">
        <f>_xlfn.MAXIFS(Levels!E:E,Levels!B:B,A3110)</f>
        <v>0</v>
      </c>
      <c r="F3110" s="6">
        <f>_xlfn.MAXIFS(Levels!F:F,Levels!B:B,A3110)</f>
        <v>5.94</v>
      </c>
    </row>
    <row r="3111" spans="1:6" x14ac:dyDescent="0.3">
      <c r="A3111" t="s">
        <v>14046</v>
      </c>
      <c r="B3111" s="9">
        <f>COUNTIF(Levels!B:B,A3111)</f>
        <v>1</v>
      </c>
      <c r="C3111" s="9">
        <f>IFERROR(AVERAGEIF(Levels!B:B,A3111,Levels!E:E),0)</f>
        <v>32</v>
      </c>
      <c r="D3111" s="9">
        <f>IFERROR(AVERAGEIF(Levels!B:B,A3111,Levels!F:F),0)</f>
        <v>0</v>
      </c>
      <c r="E3111" s="9">
        <f>_xlfn.MAXIFS(Levels!E:E,Levels!B:B,A3111)</f>
        <v>32</v>
      </c>
      <c r="F3111" s="9">
        <f>_xlfn.MAXIFS(Levels!F:F,Levels!B:B,A3111)</f>
        <v>0</v>
      </c>
    </row>
    <row r="3112" spans="1:6" x14ac:dyDescent="0.3">
      <c r="A3112" t="s">
        <v>14048</v>
      </c>
      <c r="B3112" s="6">
        <f>COUNTIF(Levels!B:B,A3112)</f>
        <v>1</v>
      </c>
      <c r="C3112" s="6">
        <f>IFERROR(AVERAGEIF(Levels!B:B,A3112,Levels!E:E),0)</f>
        <v>2.78</v>
      </c>
      <c r="D3112" s="6">
        <f>IFERROR(AVERAGEIF(Levels!B:B,A3112,Levels!F:F),0)</f>
        <v>6.22</v>
      </c>
      <c r="E3112" s="6">
        <f>_xlfn.MAXIFS(Levels!E:E,Levels!B:B,A3112)</f>
        <v>2.78</v>
      </c>
      <c r="F3112" s="6">
        <f>_xlfn.MAXIFS(Levels!F:F,Levels!B:B,A3112)</f>
        <v>6.22</v>
      </c>
    </row>
    <row r="3113" spans="1:6" x14ac:dyDescent="0.3">
      <c r="A3113" t="s">
        <v>14051</v>
      </c>
      <c r="B3113" s="9">
        <f>COUNTIF(Levels!B:B,A3113)</f>
        <v>1</v>
      </c>
      <c r="C3113" s="9">
        <f>IFERROR(AVERAGEIF(Levels!B:B,A3113,Levels!E:E),0)</f>
        <v>3.76</v>
      </c>
      <c r="D3113" s="9">
        <f>IFERROR(AVERAGEIF(Levels!B:B,A3113,Levels!F:F),0)</f>
        <v>6.44</v>
      </c>
      <c r="E3113" s="9">
        <f>_xlfn.MAXIFS(Levels!E:E,Levels!B:B,A3113)</f>
        <v>3.76</v>
      </c>
      <c r="F3113" s="9">
        <f>_xlfn.MAXIFS(Levels!F:F,Levels!B:B,A3113)</f>
        <v>6.44</v>
      </c>
    </row>
    <row r="3114" spans="1:6" x14ac:dyDescent="0.3">
      <c r="A3114" t="s">
        <v>14054</v>
      </c>
      <c r="B3114" s="6">
        <f>COUNTIF(Levels!B:B,A3114)</f>
        <v>1</v>
      </c>
      <c r="C3114" s="6">
        <f>IFERROR(AVERAGEIF(Levels!B:B,A3114,Levels!E:E),0)</f>
        <v>0</v>
      </c>
      <c r="D3114" s="6">
        <f>IFERROR(AVERAGEIF(Levels!B:B,A3114,Levels!F:F),0)</f>
        <v>7.83</v>
      </c>
      <c r="E3114" s="6">
        <f>_xlfn.MAXIFS(Levels!E:E,Levels!B:B,A3114)</f>
        <v>0</v>
      </c>
      <c r="F3114" s="6">
        <f>_xlfn.MAXIFS(Levels!F:F,Levels!B:B,A3114)</f>
        <v>7.83</v>
      </c>
    </row>
    <row r="3115" spans="1:6" x14ac:dyDescent="0.3">
      <c r="A3115" t="s">
        <v>14059</v>
      </c>
      <c r="B3115" s="9">
        <f>COUNTIF(Levels!B:B,A3115)</f>
        <v>1</v>
      </c>
      <c r="C3115" s="9">
        <f>IFERROR(AVERAGEIF(Levels!B:B,A3115,Levels!E:E),0)</f>
        <v>1.01</v>
      </c>
      <c r="D3115" s="9">
        <f>IFERROR(AVERAGEIF(Levels!B:B,A3115,Levels!F:F),0)</f>
        <v>7.35</v>
      </c>
      <c r="E3115" s="9">
        <f>_xlfn.MAXIFS(Levels!E:E,Levels!B:B,A3115)</f>
        <v>1.01</v>
      </c>
      <c r="F3115" s="9">
        <f>_xlfn.MAXIFS(Levels!F:F,Levels!B:B,A3115)</f>
        <v>7.35</v>
      </c>
    </row>
    <row r="3116" spans="1:6" x14ac:dyDescent="0.3">
      <c r="A3116" t="s">
        <v>14066</v>
      </c>
      <c r="B3116" s="6">
        <f>COUNTIF(Levels!B:B,A3116)</f>
        <v>1</v>
      </c>
      <c r="C3116" s="6">
        <f>IFERROR(AVERAGEIF(Levels!B:B,A3116,Levels!E:E),0)</f>
        <v>20</v>
      </c>
      <c r="D3116" s="6">
        <f>IFERROR(AVERAGEIF(Levels!B:B,A3116,Levels!F:F),0)</f>
        <v>4.25</v>
      </c>
      <c r="E3116" s="6">
        <f>_xlfn.MAXIFS(Levels!E:E,Levels!B:B,A3116)</f>
        <v>20</v>
      </c>
      <c r="F3116" s="6">
        <f>_xlfn.MAXIFS(Levels!F:F,Levels!B:B,A3116)</f>
        <v>4.25</v>
      </c>
    </row>
    <row r="3117" spans="1:6" x14ac:dyDescent="0.3">
      <c r="A3117" t="s">
        <v>14071</v>
      </c>
      <c r="B3117" s="9">
        <f>COUNTIF(Levels!B:B,A3117)</f>
        <v>1</v>
      </c>
      <c r="C3117" s="9">
        <f>IFERROR(AVERAGEIF(Levels!B:B,A3117,Levels!E:E),0)</f>
        <v>2.66</v>
      </c>
      <c r="D3117" s="9">
        <f>IFERROR(AVERAGEIF(Levels!B:B,A3117,Levels!F:F),0)</f>
        <v>8.4</v>
      </c>
      <c r="E3117" s="9">
        <f>_xlfn.MAXIFS(Levels!E:E,Levels!B:B,A3117)</f>
        <v>2.66</v>
      </c>
      <c r="F3117" s="9">
        <f>_xlfn.MAXIFS(Levels!F:F,Levels!B:B,A3117)</f>
        <v>8.4</v>
      </c>
    </row>
    <row r="3118" spans="1:6" x14ac:dyDescent="0.3">
      <c r="A3118" t="s">
        <v>14078</v>
      </c>
      <c r="B3118" s="6">
        <f>COUNTIF(Levels!B:B,A3118)</f>
        <v>1</v>
      </c>
      <c r="C3118" s="6">
        <f>IFERROR(AVERAGEIF(Levels!B:B,A3118,Levels!E:E),0)</f>
        <v>12.74</v>
      </c>
      <c r="D3118" s="6">
        <f>IFERROR(AVERAGEIF(Levels!B:B,A3118,Levels!F:F),0)</f>
        <v>8.17</v>
      </c>
      <c r="E3118" s="6">
        <f>_xlfn.MAXIFS(Levels!E:E,Levels!B:B,A3118)</f>
        <v>12.74</v>
      </c>
      <c r="F3118" s="6">
        <f>_xlfn.MAXIFS(Levels!F:F,Levels!B:B,A3118)</f>
        <v>8.17</v>
      </c>
    </row>
    <row r="3119" spans="1:6" x14ac:dyDescent="0.3">
      <c r="A3119" t="s">
        <v>14084</v>
      </c>
      <c r="B3119" s="9">
        <f>COUNTIF(Levels!B:B,A3119)</f>
        <v>1</v>
      </c>
      <c r="C3119" s="9">
        <f>IFERROR(AVERAGEIF(Levels!B:B,A3119,Levels!E:E),0)</f>
        <v>20.329999999999998</v>
      </c>
      <c r="D3119" s="9">
        <f>IFERROR(AVERAGEIF(Levels!B:B,A3119,Levels!F:F),0)</f>
        <v>3</v>
      </c>
      <c r="E3119" s="9">
        <f>_xlfn.MAXIFS(Levels!E:E,Levels!B:B,A3119)</f>
        <v>20.329999999999998</v>
      </c>
      <c r="F3119" s="9">
        <f>_xlfn.MAXIFS(Levels!F:F,Levels!B:B,A3119)</f>
        <v>3</v>
      </c>
    </row>
    <row r="3120" spans="1:6" x14ac:dyDescent="0.3">
      <c r="A3120" t="s">
        <v>14088</v>
      </c>
      <c r="B3120" s="6">
        <f>COUNTIF(Levels!B:B,A3120)</f>
        <v>1</v>
      </c>
      <c r="C3120" s="6">
        <f>IFERROR(AVERAGEIF(Levels!B:B,A3120,Levels!E:E),0)</f>
        <v>9.4</v>
      </c>
      <c r="D3120" s="6">
        <f>IFERROR(AVERAGEIF(Levels!B:B,A3120,Levels!F:F),0)</f>
        <v>5.61</v>
      </c>
      <c r="E3120" s="6">
        <f>_xlfn.MAXIFS(Levels!E:E,Levels!B:B,A3120)</f>
        <v>9.4</v>
      </c>
      <c r="F3120" s="6">
        <f>_xlfn.MAXIFS(Levels!F:F,Levels!B:B,A3120)</f>
        <v>5.61</v>
      </c>
    </row>
    <row r="3121" spans="1:6" x14ac:dyDescent="0.3">
      <c r="A3121" t="s">
        <v>14092</v>
      </c>
      <c r="B3121" s="9">
        <f>COUNTIF(Levels!B:B,A3121)</f>
        <v>1</v>
      </c>
      <c r="C3121" s="9">
        <f>IFERROR(AVERAGEIF(Levels!B:B,A3121,Levels!E:E),0)</f>
        <v>9.36</v>
      </c>
      <c r="D3121" s="9">
        <f>IFERROR(AVERAGEIF(Levels!B:B,A3121,Levels!F:F),0)</f>
        <v>7.27</v>
      </c>
      <c r="E3121" s="9">
        <f>_xlfn.MAXIFS(Levels!E:E,Levels!B:B,A3121)</f>
        <v>9.36</v>
      </c>
      <c r="F3121" s="9">
        <f>_xlfn.MAXIFS(Levels!F:F,Levels!B:B,A3121)</f>
        <v>7.27</v>
      </c>
    </row>
    <row r="3122" spans="1:6" x14ac:dyDescent="0.3">
      <c r="A3122" t="s">
        <v>14099</v>
      </c>
      <c r="B3122" s="6">
        <f>COUNTIF(Levels!B:B,A3122)</f>
        <v>1</v>
      </c>
      <c r="C3122" s="6">
        <f>IFERROR(AVERAGEIF(Levels!B:B,A3122,Levels!E:E),0)</f>
        <v>0</v>
      </c>
      <c r="D3122" s="6">
        <f>IFERROR(AVERAGEIF(Levels!B:B,A3122,Levels!F:F),0)</f>
        <v>5.71</v>
      </c>
      <c r="E3122" s="6">
        <f>_xlfn.MAXIFS(Levels!E:E,Levels!B:B,A3122)</f>
        <v>0</v>
      </c>
      <c r="F3122" s="6">
        <f>_xlfn.MAXIFS(Levels!F:F,Levels!B:B,A3122)</f>
        <v>5.71</v>
      </c>
    </row>
    <row r="3123" spans="1:6" x14ac:dyDescent="0.3">
      <c r="A3123" t="s">
        <v>14105</v>
      </c>
      <c r="B3123" s="9">
        <f>COUNTIF(Levels!B:B,A3123)</f>
        <v>1</v>
      </c>
      <c r="C3123" s="9">
        <f>IFERROR(AVERAGEIF(Levels!B:B,A3123,Levels!E:E),0)</f>
        <v>0</v>
      </c>
      <c r="D3123" s="9">
        <f>IFERROR(AVERAGEIF(Levels!B:B,A3123,Levels!F:F),0)</f>
        <v>4.8899999999999997</v>
      </c>
      <c r="E3123" s="9">
        <f>_xlfn.MAXIFS(Levels!E:E,Levels!B:B,A3123)</f>
        <v>0</v>
      </c>
      <c r="F3123" s="9">
        <f>_xlfn.MAXIFS(Levels!F:F,Levels!B:B,A3123)</f>
        <v>4.8899999999999997</v>
      </c>
    </row>
    <row r="3124" spans="1:6" x14ac:dyDescent="0.3">
      <c r="A3124" t="s">
        <v>14110</v>
      </c>
      <c r="B3124" s="6">
        <f>COUNTIF(Levels!B:B,A3124)</f>
        <v>4</v>
      </c>
      <c r="C3124" s="6">
        <f>IFERROR(AVERAGEIF(Levels!B:B,A3124,Levels!E:E),0)</f>
        <v>0</v>
      </c>
      <c r="D3124" s="6">
        <f>IFERROR(AVERAGEIF(Levels!B:B,A3124,Levels!F:F),0)</f>
        <v>5.17</v>
      </c>
      <c r="E3124" s="6">
        <f>_xlfn.MAXIFS(Levels!E:E,Levels!B:B,A3124)</f>
        <v>0</v>
      </c>
      <c r="F3124" s="6">
        <f>_xlfn.MAXIFS(Levels!F:F,Levels!B:B,A3124)</f>
        <v>7.25</v>
      </c>
    </row>
    <row r="3125" spans="1:6" x14ac:dyDescent="0.3">
      <c r="A3125" t="s">
        <v>14113</v>
      </c>
      <c r="B3125" s="9">
        <f>COUNTIF(Levels!B:B,A3125)</f>
        <v>1</v>
      </c>
      <c r="C3125" s="9">
        <f>IFERROR(AVERAGEIF(Levels!B:B,A3125,Levels!E:E),0)</f>
        <v>17</v>
      </c>
      <c r="D3125" s="9">
        <f>IFERROR(AVERAGEIF(Levels!B:B,A3125,Levels!F:F),0)</f>
        <v>7.43</v>
      </c>
      <c r="E3125" s="9">
        <f>_xlfn.MAXIFS(Levels!E:E,Levels!B:B,A3125)</f>
        <v>17</v>
      </c>
      <c r="F3125" s="9">
        <f>_xlfn.MAXIFS(Levels!F:F,Levels!B:B,A3125)</f>
        <v>7.43</v>
      </c>
    </row>
    <row r="3126" spans="1:6" x14ac:dyDescent="0.3">
      <c r="A3126" t="s">
        <v>14115</v>
      </c>
      <c r="B3126" s="6">
        <f>COUNTIF(Levels!B:B,A3126)</f>
        <v>2</v>
      </c>
      <c r="C3126" s="6">
        <f>IFERROR(AVERAGEIF(Levels!B:B,A3126,Levels!E:E),0)</f>
        <v>0</v>
      </c>
      <c r="D3126" s="6">
        <f>IFERROR(AVERAGEIF(Levels!B:B,A3126,Levels!F:F),0)</f>
        <v>5.5600000000000005</v>
      </c>
      <c r="E3126" s="6">
        <f>_xlfn.MAXIFS(Levels!E:E,Levels!B:B,A3126)</f>
        <v>0</v>
      </c>
      <c r="F3126" s="6">
        <f>_xlfn.MAXIFS(Levels!F:F,Levels!B:B,A3126)</f>
        <v>6.95</v>
      </c>
    </row>
    <row r="3127" spans="1:6" x14ac:dyDescent="0.3">
      <c r="A3127" t="s">
        <v>14119</v>
      </c>
      <c r="B3127" s="9">
        <f>COUNTIF(Levels!B:B,A3127)</f>
        <v>1</v>
      </c>
      <c r="C3127" s="9">
        <f>IFERROR(AVERAGEIF(Levels!B:B,A3127,Levels!E:E),0)</f>
        <v>7.93</v>
      </c>
      <c r="D3127" s="9">
        <f>IFERROR(AVERAGEIF(Levels!B:B,A3127,Levels!F:F),0)</f>
        <v>8</v>
      </c>
      <c r="E3127" s="9">
        <f>_xlfn.MAXIFS(Levels!E:E,Levels!B:B,A3127)</f>
        <v>7.93</v>
      </c>
      <c r="F3127" s="9">
        <f>_xlfn.MAXIFS(Levels!F:F,Levels!B:B,A3127)</f>
        <v>8</v>
      </c>
    </row>
    <row r="3128" spans="1:6" x14ac:dyDescent="0.3">
      <c r="A3128" t="s">
        <v>14122</v>
      </c>
      <c r="B3128" s="6">
        <f>COUNTIF(Levels!B:B,A3128)</f>
        <v>1</v>
      </c>
      <c r="C3128" s="6">
        <f>IFERROR(AVERAGEIF(Levels!B:B,A3128,Levels!E:E),0)</f>
        <v>0</v>
      </c>
      <c r="D3128" s="6">
        <f>IFERROR(AVERAGEIF(Levels!B:B,A3128,Levels!F:F),0)</f>
        <v>6.32</v>
      </c>
      <c r="E3128" s="6">
        <f>_xlfn.MAXIFS(Levels!E:E,Levels!B:B,A3128)</f>
        <v>0</v>
      </c>
      <c r="F3128" s="6">
        <f>_xlfn.MAXIFS(Levels!F:F,Levels!B:B,A3128)</f>
        <v>6.32</v>
      </c>
    </row>
    <row r="3129" spans="1:6" x14ac:dyDescent="0.3">
      <c r="A3129" t="s">
        <v>14139</v>
      </c>
      <c r="B3129" s="9">
        <f>COUNTIF(Levels!B:B,A3129)</f>
        <v>1</v>
      </c>
      <c r="C3129" s="9">
        <f>IFERROR(AVERAGEIF(Levels!B:B,A3129,Levels!E:E),0)</f>
        <v>4.1100000000000003</v>
      </c>
      <c r="D3129" s="9">
        <f>IFERROR(AVERAGEIF(Levels!B:B,A3129,Levels!F:F),0)</f>
        <v>5.89</v>
      </c>
      <c r="E3129" s="9">
        <f>_xlfn.MAXIFS(Levels!E:E,Levels!B:B,A3129)</f>
        <v>4.1100000000000003</v>
      </c>
      <c r="F3129" s="9">
        <f>_xlfn.MAXIFS(Levels!F:F,Levels!B:B,A3129)</f>
        <v>5.89</v>
      </c>
    </row>
    <row r="3130" spans="1:6" x14ac:dyDescent="0.3">
      <c r="A3130" t="s">
        <v>14143</v>
      </c>
      <c r="B3130" s="6">
        <f>COUNTIF(Levels!B:B,A3130)</f>
        <v>4</v>
      </c>
      <c r="C3130" s="6">
        <f>IFERROR(AVERAGEIF(Levels!B:B,A3130,Levels!E:E),0)</f>
        <v>0</v>
      </c>
      <c r="D3130" s="6">
        <f>IFERROR(AVERAGEIF(Levels!B:B,A3130,Levels!F:F),0)</f>
        <v>5.5733333333333333</v>
      </c>
      <c r="E3130" s="6">
        <f>_xlfn.MAXIFS(Levels!E:E,Levels!B:B,A3130)</f>
        <v>0</v>
      </c>
      <c r="F3130" s="6">
        <f>_xlfn.MAXIFS(Levels!F:F,Levels!B:B,A3130)</f>
        <v>5.91</v>
      </c>
    </row>
    <row r="3131" spans="1:6" x14ac:dyDescent="0.3">
      <c r="A3131" t="s">
        <v>14146</v>
      </c>
      <c r="B3131" s="9">
        <f>COUNTIF(Levels!B:B,A3131)</f>
        <v>1</v>
      </c>
      <c r="C3131" s="9">
        <f>IFERROR(AVERAGEIF(Levels!B:B,A3131,Levels!E:E),0)</f>
        <v>19</v>
      </c>
      <c r="D3131" s="9">
        <f>IFERROR(AVERAGEIF(Levels!B:B,A3131,Levels!F:F),0)</f>
        <v>8.58</v>
      </c>
      <c r="E3131" s="9">
        <f>_xlfn.MAXIFS(Levels!E:E,Levels!B:B,A3131)</f>
        <v>19</v>
      </c>
      <c r="F3131" s="9">
        <f>_xlfn.MAXIFS(Levels!F:F,Levels!B:B,A3131)</f>
        <v>8.58</v>
      </c>
    </row>
    <row r="3132" spans="1:6" x14ac:dyDescent="0.3">
      <c r="A3132" t="s">
        <v>14149</v>
      </c>
      <c r="B3132" s="6">
        <f>COUNTIF(Levels!B:B,A3132)</f>
        <v>1</v>
      </c>
      <c r="C3132" s="6">
        <f>IFERROR(AVERAGEIF(Levels!B:B,A3132,Levels!E:E),0)</f>
        <v>4.6900000000000004</v>
      </c>
      <c r="D3132" s="6">
        <f>IFERROR(AVERAGEIF(Levels!B:B,A3132,Levels!F:F),0)</f>
        <v>7</v>
      </c>
      <c r="E3132" s="6">
        <f>_xlfn.MAXIFS(Levels!E:E,Levels!B:B,A3132)</f>
        <v>4.6900000000000004</v>
      </c>
      <c r="F3132" s="6">
        <f>_xlfn.MAXIFS(Levels!F:F,Levels!B:B,A3132)</f>
        <v>7</v>
      </c>
    </row>
    <row r="3133" spans="1:6" x14ac:dyDescent="0.3">
      <c r="A3133" t="s">
        <v>14154</v>
      </c>
      <c r="B3133" s="9">
        <f>COUNTIF(Levels!B:B,A3133)</f>
        <v>2</v>
      </c>
      <c r="C3133" s="9">
        <f>IFERROR(AVERAGEIF(Levels!B:B,A3133,Levels!E:E),0)</f>
        <v>11.84</v>
      </c>
      <c r="D3133" s="9">
        <f>IFERROR(AVERAGEIF(Levels!B:B,A3133,Levels!F:F),0)</f>
        <v>7.67</v>
      </c>
      <c r="E3133" s="9">
        <f>_xlfn.MAXIFS(Levels!E:E,Levels!B:B,A3133)</f>
        <v>20.59</v>
      </c>
      <c r="F3133" s="9">
        <f>_xlfn.MAXIFS(Levels!F:F,Levels!B:B,A3133)</f>
        <v>7.67</v>
      </c>
    </row>
    <row r="3134" spans="1:6" x14ac:dyDescent="0.3">
      <c r="A3134" t="s">
        <v>14160</v>
      </c>
      <c r="B3134" s="6">
        <f>COUNTIF(Levels!B:B,A3134)</f>
        <v>1</v>
      </c>
      <c r="C3134" s="6">
        <f>IFERROR(AVERAGEIF(Levels!B:B,A3134,Levels!E:E),0)</f>
        <v>0</v>
      </c>
      <c r="D3134" s="6">
        <f>IFERROR(AVERAGEIF(Levels!B:B,A3134,Levels!F:F),0)</f>
        <v>5.46</v>
      </c>
      <c r="E3134" s="6">
        <f>_xlfn.MAXIFS(Levels!E:E,Levels!B:B,A3134)</f>
        <v>0</v>
      </c>
      <c r="F3134" s="6">
        <f>_xlfn.MAXIFS(Levels!F:F,Levels!B:B,A3134)</f>
        <v>5.46</v>
      </c>
    </row>
    <row r="3135" spans="1:6" x14ac:dyDescent="0.3">
      <c r="A3135" t="s">
        <v>14166</v>
      </c>
      <c r="B3135" s="9">
        <f>COUNTIF(Levels!B:B,A3135)</f>
        <v>1</v>
      </c>
      <c r="C3135" s="9">
        <f>IFERROR(AVERAGEIF(Levels!B:B,A3135,Levels!E:E),0)</f>
        <v>0</v>
      </c>
      <c r="D3135" s="9">
        <f>IFERROR(AVERAGEIF(Levels!B:B,A3135,Levels!F:F),0)</f>
        <v>6.86</v>
      </c>
      <c r="E3135" s="9">
        <f>_xlfn.MAXIFS(Levels!E:E,Levels!B:B,A3135)</f>
        <v>0</v>
      </c>
      <c r="F3135" s="9">
        <f>_xlfn.MAXIFS(Levels!F:F,Levels!B:B,A3135)</f>
        <v>6.86</v>
      </c>
    </row>
    <row r="3136" spans="1:6" x14ac:dyDescent="0.3">
      <c r="A3136" t="s">
        <v>14174</v>
      </c>
      <c r="B3136" s="6">
        <f>COUNTIF(Levels!B:B,A3136)</f>
        <v>1</v>
      </c>
      <c r="C3136" s="6">
        <f>IFERROR(AVERAGEIF(Levels!B:B,A3136,Levels!E:E),0)</f>
        <v>24</v>
      </c>
      <c r="D3136" s="6">
        <f>IFERROR(AVERAGEIF(Levels!B:B,A3136,Levels!F:F),0)</f>
        <v>10</v>
      </c>
      <c r="E3136" s="6">
        <f>_xlfn.MAXIFS(Levels!E:E,Levels!B:B,A3136)</f>
        <v>24</v>
      </c>
      <c r="F3136" s="6">
        <f>_xlfn.MAXIFS(Levels!F:F,Levels!B:B,A3136)</f>
        <v>10</v>
      </c>
    </row>
    <row r="3137" spans="1:6" x14ac:dyDescent="0.3">
      <c r="A3137" t="s">
        <v>14178</v>
      </c>
      <c r="B3137" s="9">
        <f>COUNTIF(Levels!B:B,A3137)</f>
        <v>3</v>
      </c>
      <c r="C3137" s="9">
        <f>IFERROR(AVERAGEIF(Levels!B:B,A3137,Levels!E:E),0)</f>
        <v>0</v>
      </c>
      <c r="D3137" s="9">
        <f>IFERROR(AVERAGEIF(Levels!B:B,A3137,Levels!F:F),0)</f>
        <v>5.0599999999999996</v>
      </c>
      <c r="E3137" s="9">
        <f>_xlfn.MAXIFS(Levels!E:E,Levels!B:B,A3137)</f>
        <v>0</v>
      </c>
      <c r="F3137" s="9">
        <f>_xlfn.MAXIFS(Levels!F:F,Levels!B:B,A3137)</f>
        <v>8.33</v>
      </c>
    </row>
    <row r="3138" spans="1:6" x14ac:dyDescent="0.3">
      <c r="A3138" t="s">
        <v>14179</v>
      </c>
      <c r="B3138" s="6">
        <f>COUNTIF(Levels!B:B,A3138)</f>
        <v>2</v>
      </c>
      <c r="C3138" s="6">
        <f>IFERROR(AVERAGEIF(Levels!B:B,A3138,Levels!E:E),0)</f>
        <v>0</v>
      </c>
      <c r="D3138" s="6">
        <f>IFERROR(AVERAGEIF(Levels!B:B,A3138,Levels!F:F),0)</f>
        <v>6.54</v>
      </c>
      <c r="E3138" s="6">
        <f>_xlfn.MAXIFS(Levels!E:E,Levels!B:B,A3138)</f>
        <v>0</v>
      </c>
      <c r="F3138" s="6">
        <f>_xlfn.MAXIFS(Levels!F:F,Levels!B:B,A3138)</f>
        <v>7.2</v>
      </c>
    </row>
    <row r="3139" spans="1:6" x14ac:dyDescent="0.3">
      <c r="A3139" t="s">
        <v>14183</v>
      </c>
      <c r="B3139" s="9">
        <f>COUNTIF(Levels!B:B,A3139)</f>
        <v>1</v>
      </c>
      <c r="C3139" s="9">
        <f>IFERROR(AVERAGEIF(Levels!B:B,A3139,Levels!E:E),0)</f>
        <v>3.4</v>
      </c>
      <c r="D3139" s="9">
        <f>IFERROR(AVERAGEIF(Levels!B:B,A3139,Levels!F:F),0)</f>
        <v>6.58</v>
      </c>
      <c r="E3139" s="9">
        <f>_xlfn.MAXIFS(Levels!E:E,Levels!B:B,A3139)</f>
        <v>3.4</v>
      </c>
      <c r="F3139" s="9">
        <f>_xlfn.MAXIFS(Levels!F:F,Levels!B:B,A3139)</f>
        <v>6.58</v>
      </c>
    </row>
    <row r="3140" spans="1:6" x14ac:dyDescent="0.3">
      <c r="A3140" t="s">
        <v>14192</v>
      </c>
      <c r="B3140" s="6">
        <f>COUNTIF(Levels!B:B,A3140)</f>
        <v>1</v>
      </c>
      <c r="C3140" s="6">
        <f>IFERROR(AVERAGEIF(Levels!B:B,A3140,Levels!E:E),0)</f>
        <v>1.8</v>
      </c>
      <c r="D3140" s="6">
        <f>IFERROR(AVERAGEIF(Levels!B:B,A3140,Levels!F:F),0)</f>
        <v>7.97</v>
      </c>
      <c r="E3140" s="6">
        <f>_xlfn.MAXIFS(Levels!E:E,Levels!B:B,A3140)</f>
        <v>1.8</v>
      </c>
      <c r="F3140" s="6">
        <f>_xlfn.MAXIFS(Levels!F:F,Levels!B:B,A3140)</f>
        <v>7.97</v>
      </c>
    </row>
    <row r="3141" spans="1:6" x14ac:dyDescent="0.3">
      <c r="A3141" t="s">
        <v>14195</v>
      </c>
      <c r="B3141" s="9">
        <f>COUNTIF(Levels!B:B,A3141)</f>
        <v>1</v>
      </c>
      <c r="C3141" s="9">
        <f>IFERROR(AVERAGEIF(Levels!B:B,A3141,Levels!E:E),0)</f>
        <v>0</v>
      </c>
      <c r="D3141" s="9">
        <f>IFERROR(AVERAGEIF(Levels!B:B,A3141,Levels!F:F),0)</f>
        <v>7</v>
      </c>
      <c r="E3141" s="9">
        <f>_xlfn.MAXIFS(Levels!E:E,Levels!B:B,A3141)</f>
        <v>0</v>
      </c>
      <c r="F3141" s="9">
        <f>_xlfn.MAXIFS(Levels!F:F,Levels!B:B,A3141)</f>
        <v>7</v>
      </c>
    </row>
    <row r="3142" spans="1:6" x14ac:dyDescent="0.3">
      <c r="A3142" t="s">
        <v>14200</v>
      </c>
      <c r="B3142" s="6">
        <f>COUNTIF(Levels!B:B,A3142)</f>
        <v>3</v>
      </c>
      <c r="C3142" s="6">
        <f>IFERROR(AVERAGEIF(Levels!B:B,A3142,Levels!E:E),0)</f>
        <v>0</v>
      </c>
      <c r="D3142" s="6">
        <f>IFERROR(AVERAGEIF(Levels!B:B,A3142,Levels!F:F),0)</f>
        <v>7.706666666666667</v>
      </c>
      <c r="E3142" s="6">
        <f>_xlfn.MAXIFS(Levels!E:E,Levels!B:B,A3142)</f>
        <v>0</v>
      </c>
      <c r="F3142" s="6">
        <f>_xlfn.MAXIFS(Levels!F:F,Levels!B:B,A3142)</f>
        <v>8</v>
      </c>
    </row>
    <row r="3143" spans="1:6" x14ac:dyDescent="0.3">
      <c r="A3143" t="s">
        <v>14203</v>
      </c>
      <c r="B3143" s="9">
        <f>COUNTIF(Levels!B:B,A3143)</f>
        <v>1</v>
      </c>
      <c r="C3143" s="9">
        <f>IFERROR(AVERAGEIF(Levels!B:B,A3143,Levels!E:E),0)</f>
        <v>4.1900000000000004</v>
      </c>
      <c r="D3143" s="9">
        <f>IFERROR(AVERAGEIF(Levels!B:B,A3143,Levels!F:F),0)</f>
        <v>8.6999999999999993</v>
      </c>
      <c r="E3143" s="9">
        <f>_xlfn.MAXIFS(Levels!E:E,Levels!B:B,A3143)</f>
        <v>4.1900000000000004</v>
      </c>
      <c r="F3143" s="9">
        <f>_xlfn.MAXIFS(Levels!F:F,Levels!B:B,A3143)</f>
        <v>8.6999999999999993</v>
      </c>
    </row>
    <row r="3144" spans="1:6" x14ac:dyDescent="0.3">
      <c r="A3144" t="s">
        <v>14207</v>
      </c>
      <c r="B3144" s="6">
        <f>COUNTIF(Levels!B:B,A3144)</f>
        <v>1</v>
      </c>
      <c r="C3144" s="6">
        <f>IFERROR(AVERAGEIF(Levels!B:B,A3144,Levels!E:E),0)</f>
        <v>12</v>
      </c>
      <c r="D3144" s="6">
        <f>IFERROR(AVERAGEIF(Levels!B:B,A3144,Levels!F:F),0)</f>
        <v>7.25</v>
      </c>
      <c r="E3144" s="6">
        <f>_xlfn.MAXIFS(Levels!E:E,Levels!B:B,A3144)</f>
        <v>12</v>
      </c>
      <c r="F3144" s="6">
        <f>_xlfn.MAXIFS(Levels!F:F,Levels!B:B,A3144)</f>
        <v>7.25</v>
      </c>
    </row>
    <row r="3145" spans="1:6" x14ac:dyDescent="0.3">
      <c r="A3145" t="s">
        <v>14209</v>
      </c>
      <c r="B3145" s="9">
        <f>COUNTIF(Levels!B:B,A3145)</f>
        <v>2</v>
      </c>
      <c r="C3145" s="9">
        <f>IFERROR(AVERAGEIF(Levels!B:B,A3145,Levels!E:E),0)</f>
        <v>1.68</v>
      </c>
      <c r="D3145" s="9">
        <f>IFERROR(AVERAGEIF(Levels!B:B,A3145,Levels!F:F),0)</f>
        <v>7.57</v>
      </c>
      <c r="E3145" s="9">
        <f>_xlfn.MAXIFS(Levels!E:E,Levels!B:B,A3145)</f>
        <v>1.68</v>
      </c>
      <c r="F3145" s="9">
        <f>_xlfn.MAXIFS(Levels!F:F,Levels!B:B,A3145)</f>
        <v>7.57</v>
      </c>
    </row>
    <row r="3146" spans="1:6" x14ac:dyDescent="0.3">
      <c r="A3146" t="s">
        <v>14211</v>
      </c>
      <c r="B3146" s="6">
        <f>COUNTIF(Levels!B:B,A3146)</f>
        <v>2</v>
      </c>
      <c r="C3146" s="6">
        <f>IFERROR(AVERAGEIF(Levels!B:B,A3146,Levels!E:E),0)</f>
        <v>4.33</v>
      </c>
      <c r="D3146" s="6">
        <f>IFERROR(AVERAGEIF(Levels!B:B,A3146,Levels!F:F),0)</f>
        <v>7.6099999999999994</v>
      </c>
      <c r="E3146" s="6">
        <f>_xlfn.MAXIFS(Levels!E:E,Levels!B:B,A3146)</f>
        <v>4.95</v>
      </c>
      <c r="F3146" s="6">
        <f>_xlfn.MAXIFS(Levels!F:F,Levels!B:B,A3146)</f>
        <v>8</v>
      </c>
    </row>
    <row r="3147" spans="1:6" x14ac:dyDescent="0.3">
      <c r="A3147" t="s">
        <v>14222</v>
      </c>
      <c r="B3147" s="9">
        <f>COUNTIF(Levels!B:B,A3147)</f>
        <v>1</v>
      </c>
      <c r="C3147" s="9">
        <f>IFERROR(AVERAGEIF(Levels!B:B,A3147,Levels!E:E),0)</f>
        <v>0</v>
      </c>
      <c r="D3147" s="9">
        <f>IFERROR(AVERAGEIF(Levels!B:B,A3147,Levels!F:F),0)</f>
        <v>7.97</v>
      </c>
      <c r="E3147" s="9">
        <f>_xlfn.MAXIFS(Levels!E:E,Levels!B:B,A3147)</f>
        <v>0</v>
      </c>
      <c r="F3147" s="9">
        <f>_xlfn.MAXIFS(Levels!F:F,Levels!B:B,A3147)</f>
        <v>7.97</v>
      </c>
    </row>
    <row r="3148" spans="1:6" x14ac:dyDescent="0.3">
      <c r="A3148" t="s">
        <v>14223</v>
      </c>
      <c r="B3148" s="6">
        <f>COUNTIF(Levels!B:B,A3148)</f>
        <v>1</v>
      </c>
      <c r="C3148" s="6">
        <f>IFERROR(AVERAGEIF(Levels!B:B,A3148,Levels!E:E),0)</f>
        <v>0</v>
      </c>
      <c r="D3148" s="6">
        <f>IFERROR(AVERAGEIF(Levels!B:B,A3148,Levels!F:F),0)</f>
        <v>6.71</v>
      </c>
      <c r="E3148" s="6">
        <f>_xlfn.MAXIFS(Levels!E:E,Levels!B:B,A3148)</f>
        <v>0</v>
      </c>
      <c r="F3148" s="6">
        <f>_xlfn.MAXIFS(Levels!F:F,Levels!B:B,A3148)</f>
        <v>6.71</v>
      </c>
    </row>
    <row r="3149" spans="1:6" x14ac:dyDescent="0.3">
      <c r="A3149" t="s">
        <v>14226</v>
      </c>
      <c r="B3149" s="9">
        <f>COUNTIF(Levels!B:B,A3149)</f>
        <v>1</v>
      </c>
      <c r="C3149" s="9">
        <f>IFERROR(AVERAGEIF(Levels!B:B,A3149,Levels!E:E),0)</f>
        <v>9.3800000000000008</v>
      </c>
      <c r="D3149" s="9">
        <f>IFERROR(AVERAGEIF(Levels!B:B,A3149,Levels!F:F),0)</f>
        <v>6.77</v>
      </c>
      <c r="E3149" s="9">
        <f>_xlfn.MAXIFS(Levels!E:E,Levels!B:B,A3149)</f>
        <v>9.3800000000000008</v>
      </c>
      <c r="F3149" s="9">
        <f>_xlfn.MAXIFS(Levels!F:F,Levels!B:B,A3149)</f>
        <v>6.77</v>
      </c>
    </row>
    <row r="3150" spans="1:6" x14ac:dyDescent="0.3">
      <c r="A3150" t="s">
        <v>14237</v>
      </c>
      <c r="B3150" s="6">
        <f>COUNTIF(Levels!B:B,A3150)</f>
        <v>1</v>
      </c>
      <c r="C3150" s="6">
        <f>IFERROR(AVERAGEIF(Levels!B:B,A3150,Levels!E:E),0)</f>
        <v>10.25</v>
      </c>
      <c r="D3150" s="6">
        <f>IFERROR(AVERAGEIF(Levels!B:B,A3150,Levels!F:F),0)</f>
        <v>8.3800000000000008</v>
      </c>
      <c r="E3150" s="6">
        <f>_xlfn.MAXIFS(Levels!E:E,Levels!B:B,A3150)</f>
        <v>10.25</v>
      </c>
      <c r="F3150" s="6">
        <f>_xlfn.MAXIFS(Levels!F:F,Levels!B:B,A3150)</f>
        <v>8.3800000000000008</v>
      </c>
    </row>
    <row r="3151" spans="1:6" x14ac:dyDescent="0.3">
      <c r="A3151" t="s">
        <v>14245</v>
      </c>
      <c r="B3151" s="9">
        <f>COUNTIF(Levels!B:B,A3151)</f>
        <v>2</v>
      </c>
      <c r="C3151" s="9">
        <f>IFERROR(AVERAGEIF(Levels!B:B,A3151,Levels!E:E),0)</f>
        <v>2.2400000000000002</v>
      </c>
      <c r="D3151" s="9">
        <f>IFERROR(AVERAGEIF(Levels!B:B,A3151,Levels!F:F),0)</f>
        <v>6.92</v>
      </c>
      <c r="E3151" s="9">
        <f>_xlfn.MAXIFS(Levels!E:E,Levels!B:B,A3151)</f>
        <v>2.2400000000000002</v>
      </c>
      <c r="F3151" s="9">
        <f>_xlfn.MAXIFS(Levels!F:F,Levels!B:B,A3151)</f>
        <v>8.3699999999999992</v>
      </c>
    </row>
    <row r="3152" spans="1:6" x14ac:dyDescent="0.3">
      <c r="A3152" t="s">
        <v>14257</v>
      </c>
      <c r="B3152" s="6">
        <f>COUNTIF(Levels!B:B,A3152)</f>
        <v>1</v>
      </c>
      <c r="C3152" s="6">
        <f>IFERROR(AVERAGEIF(Levels!B:B,A3152,Levels!E:E),0)</f>
        <v>11.67</v>
      </c>
      <c r="D3152" s="6">
        <f>IFERROR(AVERAGEIF(Levels!B:B,A3152,Levels!F:F),0)</f>
        <v>3.67</v>
      </c>
      <c r="E3152" s="6">
        <f>_xlfn.MAXIFS(Levels!E:E,Levels!B:B,A3152)</f>
        <v>11.67</v>
      </c>
      <c r="F3152" s="6">
        <f>_xlfn.MAXIFS(Levels!F:F,Levels!B:B,A3152)</f>
        <v>3.67</v>
      </c>
    </row>
    <row r="3153" spans="1:6" x14ac:dyDescent="0.3">
      <c r="A3153" t="s">
        <v>14260</v>
      </c>
      <c r="B3153" s="9">
        <f>COUNTIF(Levels!B:B,A3153)</f>
        <v>1</v>
      </c>
      <c r="C3153" s="9">
        <f>IFERROR(AVERAGEIF(Levels!B:B,A3153,Levels!E:E),0)</f>
        <v>0</v>
      </c>
      <c r="D3153" s="9">
        <f>IFERROR(AVERAGEIF(Levels!B:B,A3153,Levels!F:F),0)</f>
        <v>6.09</v>
      </c>
      <c r="E3153" s="9">
        <f>_xlfn.MAXIFS(Levels!E:E,Levels!B:B,A3153)</f>
        <v>0</v>
      </c>
      <c r="F3153" s="9">
        <f>_xlfn.MAXIFS(Levels!F:F,Levels!B:B,A3153)</f>
        <v>6.09</v>
      </c>
    </row>
    <row r="3154" spans="1:6" x14ac:dyDescent="0.3">
      <c r="A3154" t="s">
        <v>14270</v>
      </c>
      <c r="B3154" s="6">
        <f>COUNTIF(Levels!B:B,A3154)</f>
        <v>1</v>
      </c>
      <c r="C3154" s="6">
        <f>IFERROR(AVERAGEIF(Levels!B:B,A3154,Levels!E:E),0)</f>
        <v>6.01</v>
      </c>
      <c r="D3154" s="6">
        <f>IFERROR(AVERAGEIF(Levels!B:B,A3154,Levels!F:F),0)</f>
        <v>7.15</v>
      </c>
      <c r="E3154" s="6">
        <f>_xlfn.MAXIFS(Levels!E:E,Levels!B:B,A3154)</f>
        <v>6.01</v>
      </c>
      <c r="F3154" s="6">
        <f>_xlfn.MAXIFS(Levels!F:F,Levels!B:B,A3154)</f>
        <v>7.15</v>
      </c>
    </row>
    <row r="3155" spans="1:6" x14ac:dyDescent="0.3">
      <c r="A3155" t="s">
        <v>14275</v>
      </c>
      <c r="B3155" s="9">
        <f>COUNTIF(Levels!B:B,A3155)</f>
        <v>1</v>
      </c>
      <c r="C3155" s="9">
        <f>IFERROR(AVERAGEIF(Levels!B:B,A3155,Levels!E:E),0)</f>
        <v>2.94</v>
      </c>
      <c r="D3155" s="9">
        <f>IFERROR(AVERAGEIF(Levels!B:B,A3155,Levels!F:F),0)</f>
        <v>7.97</v>
      </c>
      <c r="E3155" s="9">
        <f>_xlfn.MAXIFS(Levels!E:E,Levels!B:B,A3155)</f>
        <v>2.94</v>
      </c>
      <c r="F3155" s="9">
        <f>_xlfn.MAXIFS(Levels!F:F,Levels!B:B,A3155)</f>
        <v>7.97</v>
      </c>
    </row>
    <row r="3156" spans="1:6" x14ac:dyDescent="0.3">
      <c r="A3156" t="s">
        <v>14281</v>
      </c>
      <c r="B3156" s="6">
        <f>COUNTIF(Levels!B:B,A3156)</f>
        <v>1</v>
      </c>
      <c r="C3156" s="6">
        <f>IFERROR(AVERAGEIF(Levels!B:B,A3156,Levels!E:E),0)</f>
        <v>5.7</v>
      </c>
      <c r="D3156" s="6">
        <f>IFERROR(AVERAGEIF(Levels!B:B,A3156,Levels!F:F),0)</f>
        <v>5.5</v>
      </c>
      <c r="E3156" s="6">
        <f>_xlfn.MAXIFS(Levels!E:E,Levels!B:B,A3156)</f>
        <v>5.7</v>
      </c>
      <c r="F3156" s="6">
        <f>_xlfn.MAXIFS(Levels!F:F,Levels!B:B,A3156)</f>
        <v>5.5</v>
      </c>
    </row>
    <row r="3157" spans="1:6" x14ac:dyDescent="0.3">
      <c r="A3157" t="s">
        <v>14283</v>
      </c>
      <c r="B3157" s="9">
        <f>COUNTIF(Levels!B:B,A3157)</f>
        <v>1</v>
      </c>
      <c r="C3157" s="9">
        <f>IFERROR(AVERAGEIF(Levels!B:B,A3157,Levels!E:E),0)</f>
        <v>0</v>
      </c>
      <c r="D3157" s="9">
        <f>IFERROR(AVERAGEIF(Levels!B:B,A3157,Levels!F:F),0)</f>
        <v>6.67</v>
      </c>
      <c r="E3157" s="9">
        <f>_xlfn.MAXIFS(Levels!E:E,Levels!B:B,A3157)</f>
        <v>0</v>
      </c>
      <c r="F3157" s="9">
        <f>_xlfn.MAXIFS(Levels!F:F,Levels!B:B,A3157)</f>
        <v>6.67</v>
      </c>
    </row>
    <row r="3158" spans="1:6" x14ac:dyDescent="0.3">
      <c r="A3158" t="s">
        <v>14286</v>
      </c>
      <c r="B3158" s="6">
        <f>COUNTIF(Levels!B:B,A3158)</f>
        <v>1</v>
      </c>
      <c r="C3158" s="6">
        <f>IFERROR(AVERAGEIF(Levels!B:B,A3158,Levels!E:E),0)</f>
        <v>5.23</v>
      </c>
      <c r="D3158" s="6">
        <f>IFERROR(AVERAGEIF(Levels!B:B,A3158,Levels!F:F),0)</f>
        <v>7</v>
      </c>
      <c r="E3158" s="6">
        <f>_xlfn.MAXIFS(Levels!E:E,Levels!B:B,A3158)</f>
        <v>5.23</v>
      </c>
      <c r="F3158" s="6">
        <f>_xlfn.MAXIFS(Levels!F:F,Levels!B:B,A3158)</f>
        <v>7</v>
      </c>
    </row>
    <row r="3159" spans="1:6" x14ac:dyDescent="0.3">
      <c r="A3159" t="s">
        <v>14288</v>
      </c>
      <c r="B3159" s="9">
        <f>COUNTIF(Levels!B:B,A3159)</f>
        <v>1</v>
      </c>
      <c r="C3159" s="9">
        <f>IFERROR(AVERAGEIF(Levels!B:B,A3159,Levels!E:E),0)</f>
        <v>2.09</v>
      </c>
      <c r="D3159" s="9">
        <f>IFERROR(AVERAGEIF(Levels!B:B,A3159,Levels!F:F),0)</f>
        <v>7.67</v>
      </c>
      <c r="E3159" s="9">
        <f>_xlfn.MAXIFS(Levels!E:E,Levels!B:B,A3159)</f>
        <v>2.09</v>
      </c>
      <c r="F3159" s="9">
        <f>_xlfn.MAXIFS(Levels!F:F,Levels!B:B,A3159)</f>
        <v>7.67</v>
      </c>
    </row>
    <row r="3160" spans="1:6" x14ac:dyDescent="0.3">
      <c r="A3160" t="s">
        <v>14290</v>
      </c>
      <c r="B3160" s="6">
        <f>COUNTIF(Levels!B:B,A3160)</f>
        <v>1</v>
      </c>
      <c r="C3160" s="6">
        <f>IFERROR(AVERAGEIF(Levels!B:B,A3160,Levels!E:E),0)</f>
        <v>6.92</v>
      </c>
      <c r="D3160" s="6">
        <f>IFERROR(AVERAGEIF(Levels!B:B,A3160,Levels!F:F),0)</f>
        <v>7.57</v>
      </c>
      <c r="E3160" s="6">
        <f>_xlfn.MAXIFS(Levels!E:E,Levels!B:B,A3160)</f>
        <v>6.92</v>
      </c>
      <c r="F3160" s="6">
        <f>_xlfn.MAXIFS(Levels!F:F,Levels!B:B,A3160)</f>
        <v>7.57</v>
      </c>
    </row>
    <row r="3161" spans="1:6" x14ac:dyDescent="0.3">
      <c r="A3161" t="s">
        <v>14293</v>
      </c>
      <c r="B3161" s="9">
        <f>COUNTIF(Levels!B:B,A3161)</f>
        <v>1</v>
      </c>
      <c r="C3161" s="9">
        <f>IFERROR(AVERAGEIF(Levels!B:B,A3161,Levels!E:E),0)</f>
        <v>2.95</v>
      </c>
      <c r="D3161" s="9">
        <f>IFERROR(AVERAGEIF(Levels!B:B,A3161,Levels!F:F),0)</f>
        <v>8.25</v>
      </c>
      <c r="E3161" s="9">
        <f>_xlfn.MAXIFS(Levels!E:E,Levels!B:B,A3161)</f>
        <v>2.95</v>
      </c>
      <c r="F3161" s="9">
        <f>_xlfn.MAXIFS(Levels!F:F,Levels!B:B,A3161)</f>
        <v>8.25</v>
      </c>
    </row>
    <row r="3162" spans="1:6" x14ac:dyDescent="0.3">
      <c r="A3162" t="s">
        <v>14295</v>
      </c>
      <c r="B3162" s="6">
        <f>COUNTIF(Levels!B:B,A3162)</f>
        <v>1</v>
      </c>
      <c r="C3162" s="6">
        <f>IFERROR(AVERAGEIF(Levels!B:B,A3162,Levels!E:E),0)</f>
        <v>26.5</v>
      </c>
      <c r="D3162" s="6">
        <f>IFERROR(AVERAGEIF(Levels!B:B,A3162,Levels!F:F),0)</f>
        <v>8.5</v>
      </c>
      <c r="E3162" s="6">
        <f>_xlfn.MAXIFS(Levels!E:E,Levels!B:B,A3162)</f>
        <v>26.5</v>
      </c>
      <c r="F3162" s="6">
        <f>_xlfn.MAXIFS(Levels!F:F,Levels!B:B,A3162)</f>
        <v>8.5</v>
      </c>
    </row>
    <row r="3163" spans="1:6" x14ac:dyDescent="0.3">
      <c r="A3163" t="s">
        <v>14303</v>
      </c>
      <c r="B3163" s="9">
        <f>COUNTIF(Levels!B:B,A3163)</f>
        <v>1</v>
      </c>
      <c r="C3163" s="9">
        <f>IFERROR(AVERAGEIF(Levels!B:B,A3163,Levels!E:E),0)</f>
        <v>5.58</v>
      </c>
      <c r="D3163" s="9">
        <f>IFERROR(AVERAGEIF(Levels!B:B,A3163,Levels!F:F),0)</f>
        <v>6.93</v>
      </c>
      <c r="E3163" s="9">
        <f>_xlfn.MAXIFS(Levels!E:E,Levels!B:B,A3163)</f>
        <v>5.58</v>
      </c>
      <c r="F3163" s="9">
        <f>_xlfn.MAXIFS(Levels!F:F,Levels!B:B,A3163)</f>
        <v>6.93</v>
      </c>
    </row>
    <row r="3164" spans="1:6" x14ac:dyDescent="0.3">
      <c r="A3164" t="s">
        <v>14307</v>
      </c>
      <c r="B3164" s="6">
        <f>COUNTIF(Levels!B:B,A3164)</f>
        <v>1</v>
      </c>
      <c r="C3164" s="6">
        <f>IFERROR(AVERAGEIF(Levels!B:B,A3164,Levels!E:E),0)</f>
        <v>2.27</v>
      </c>
      <c r="D3164" s="6">
        <f>IFERROR(AVERAGEIF(Levels!B:B,A3164,Levels!F:F),0)</f>
        <v>7.3</v>
      </c>
      <c r="E3164" s="6">
        <f>_xlfn.MAXIFS(Levels!E:E,Levels!B:B,A3164)</f>
        <v>2.27</v>
      </c>
      <c r="F3164" s="6">
        <f>_xlfn.MAXIFS(Levels!F:F,Levels!B:B,A3164)</f>
        <v>7.3</v>
      </c>
    </row>
    <row r="3165" spans="1:6" x14ac:dyDescent="0.3">
      <c r="A3165" t="s">
        <v>14311</v>
      </c>
      <c r="B3165" s="9">
        <f>COUNTIF(Levels!B:B,A3165)</f>
        <v>1</v>
      </c>
      <c r="C3165" s="9">
        <f>IFERROR(AVERAGEIF(Levels!B:B,A3165,Levels!E:E),0)</f>
        <v>8.6199999999999992</v>
      </c>
      <c r="D3165" s="9">
        <f>IFERROR(AVERAGEIF(Levels!B:B,A3165,Levels!F:F),0)</f>
        <v>6.47</v>
      </c>
      <c r="E3165" s="9">
        <f>_xlfn.MAXIFS(Levels!E:E,Levels!B:B,A3165)</f>
        <v>8.6199999999999992</v>
      </c>
      <c r="F3165" s="9">
        <f>_xlfn.MAXIFS(Levels!F:F,Levels!B:B,A3165)</f>
        <v>6.47</v>
      </c>
    </row>
    <row r="3166" spans="1:6" x14ac:dyDescent="0.3">
      <c r="A3166" t="s">
        <v>14314</v>
      </c>
      <c r="B3166" s="6">
        <f>COUNTIF(Levels!B:B,A3166)</f>
        <v>1</v>
      </c>
      <c r="C3166" s="6">
        <f>IFERROR(AVERAGEIF(Levels!B:B,A3166,Levels!E:E),0)</f>
        <v>5.0999999999999996</v>
      </c>
      <c r="D3166" s="6">
        <f>IFERROR(AVERAGEIF(Levels!B:B,A3166,Levels!F:F),0)</f>
        <v>5.8</v>
      </c>
      <c r="E3166" s="6">
        <f>_xlfn.MAXIFS(Levels!E:E,Levels!B:B,A3166)</f>
        <v>5.0999999999999996</v>
      </c>
      <c r="F3166" s="6">
        <f>_xlfn.MAXIFS(Levels!F:F,Levels!B:B,A3166)</f>
        <v>5.8</v>
      </c>
    </row>
    <row r="3167" spans="1:6" x14ac:dyDescent="0.3">
      <c r="A3167" t="s">
        <v>14317</v>
      </c>
      <c r="B3167" s="9">
        <f>COUNTIF(Levels!B:B,A3167)</f>
        <v>1</v>
      </c>
      <c r="C3167" s="9">
        <f>IFERROR(AVERAGEIF(Levels!B:B,A3167,Levels!E:E),0)</f>
        <v>3.85</v>
      </c>
      <c r="D3167" s="9">
        <f>IFERROR(AVERAGEIF(Levels!B:B,A3167,Levels!F:F),0)</f>
        <v>7.77</v>
      </c>
      <c r="E3167" s="9">
        <f>_xlfn.MAXIFS(Levels!E:E,Levels!B:B,A3167)</f>
        <v>3.85</v>
      </c>
      <c r="F3167" s="9">
        <f>_xlfn.MAXIFS(Levels!F:F,Levels!B:B,A3167)</f>
        <v>7.77</v>
      </c>
    </row>
    <row r="3168" spans="1:6" x14ac:dyDescent="0.3">
      <c r="A3168" t="s">
        <v>14320</v>
      </c>
      <c r="B3168" s="6">
        <f>COUNTIF(Levels!B:B,A3168)</f>
        <v>1</v>
      </c>
      <c r="C3168" s="6">
        <f>IFERROR(AVERAGEIF(Levels!B:B,A3168,Levels!E:E),0)</f>
        <v>0</v>
      </c>
      <c r="D3168" s="6">
        <f>IFERROR(AVERAGEIF(Levels!B:B,A3168,Levels!F:F),0)</f>
        <v>6.58</v>
      </c>
      <c r="E3168" s="6">
        <f>_xlfn.MAXIFS(Levels!E:E,Levels!B:B,A3168)</f>
        <v>0</v>
      </c>
      <c r="F3168" s="6">
        <f>_xlfn.MAXIFS(Levels!F:F,Levels!B:B,A3168)</f>
        <v>6.58</v>
      </c>
    </row>
    <row r="3169" spans="1:6" x14ac:dyDescent="0.3">
      <c r="A3169" t="s">
        <v>14322</v>
      </c>
      <c r="B3169" s="9">
        <f>COUNTIF(Levels!B:B,A3169)</f>
        <v>1</v>
      </c>
      <c r="C3169" s="9">
        <f>IFERROR(AVERAGEIF(Levels!B:B,A3169,Levels!E:E),0)</f>
        <v>21</v>
      </c>
      <c r="D3169" s="9">
        <f>IFERROR(AVERAGEIF(Levels!B:B,A3169,Levels!F:F),0)</f>
        <v>9</v>
      </c>
      <c r="E3169" s="9">
        <f>_xlfn.MAXIFS(Levels!E:E,Levels!B:B,A3169)</f>
        <v>21</v>
      </c>
      <c r="F3169" s="9">
        <f>_xlfn.MAXIFS(Levels!F:F,Levels!B:B,A3169)</f>
        <v>9</v>
      </c>
    </row>
    <row r="3170" spans="1:6" x14ac:dyDescent="0.3">
      <c r="A3170" t="s">
        <v>14325</v>
      </c>
      <c r="B3170" s="6">
        <f>COUNTIF(Levels!B:B,A3170)</f>
        <v>1</v>
      </c>
      <c r="C3170" s="6">
        <f>IFERROR(AVERAGEIF(Levels!B:B,A3170,Levels!E:E),0)</f>
        <v>0</v>
      </c>
      <c r="D3170" s="6">
        <f>IFERROR(AVERAGEIF(Levels!B:B,A3170,Levels!F:F),0)</f>
        <v>0</v>
      </c>
      <c r="E3170" s="6">
        <f>_xlfn.MAXIFS(Levels!E:E,Levels!B:B,A3170)</f>
        <v>0</v>
      </c>
      <c r="F3170" s="6">
        <f>_xlfn.MAXIFS(Levels!F:F,Levels!B:B,A3170)</f>
        <v>0</v>
      </c>
    </row>
    <row r="3171" spans="1:6" x14ac:dyDescent="0.3">
      <c r="A3171" t="s">
        <v>14334</v>
      </c>
      <c r="B3171" s="9">
        <f>COUNTIF(Levels!B:B,A3171)</f>
        <v>1</v>
      </c>
      <c r="C3171" s="9">
        <f>IFERROR(AVERAGEIF(Levels!B:B,A3171,Levels!E:E),0)</f>
        <v>14.82</v>
      </c>
      <c r="D3171" s="9">
        <f>IFERROR(AVERAGEIF(Levels!B:B,A3171,Levels!F:F),0)</f>
        <v>7.65</v>
      </c>
      <c r="E3171" s="9">
        <f>_xlfn.MAXIFS(Levels!E:E,Levels!B:B,A3171)</f>
        <v>14.82</v>
      </c>
      <c r="F3171" s="9">
        <f>_xlfn.MAXIFS(Levels!F:F,Levels!B:B,A3171)</f>
        <v>7.65</v>
      </c>
    </row>
    <row r="3172" spans="1:6" x14ac:dyDescent="0.3">
      <c r="A3172" t="s">
        <v>14348</v>
      </c>
      <c r="B3172" s="6">
        <f>COUNTIF(Levels!B:B,A3172)</f>
        <v>1</v>
      </c>
      <c r="C3172" s="6">
        <f>IFERROR(AVERAGEIF(Levels!B:B,A3172,Levels!E:E),0)</f>
        <v>5.56</v>
      </c>
      <c r="D3172" s="6">
        <f>IFERROR(AVERAGEIF(Levels!B:B,A3172,Levels!F:F),0)</f>
        <v>8.18</v>
      </c>
      <c r="E3172" s="6">
        <f>_xlfn.MAXIFS(Levels!E:E,Levels!B:B,A3172)</f>
        <v>5.56</v>
      </c>
      <c r="F3172" s="6">
        <f>_xlfn.MAXIFS(Levels!F:F,Levels!B:B,A3172)</f>
        <v>8.18</v>
      </c>
    </row>
    <row r="3173" spans="1:6" x14ac:dyDescent="0.3">
      <c r="A3173" t="s">
        <v>14355</v>
      </c>
      <c r="B3173" s="9">
        <f>COUNTIF(Levels!B:B,A3173)</f>
        <v>2</v>
      </c>
      <c r="C3173" s="9">
        <f>IFERROR(AVERAGEIF(Levels!B:B,A3173,Levels!E:E),0)</f>
        <v>10.654999999999999</v>
      </c>
      <c r="D3173" s="9">
        <f>IFERROR(AVERAGEIF(Levels!B:B,A3173,Levels!F:F),0)</f>
        <v>8.7349999999999994</v>
      </c>
      <c r="E3173" s="9">
        <f>_xlfn.MAXIFS(Levels!E:E,Levels!B:B,A3173)</f>
        <v>11.02</v>
      </c>
      <c r="F3173" s="9">
        <f>_xlfn.MAXIFS(Levels!F:F,Levels!B:B,A3173)</f>
        <v>9.14</v>
      </c>
    </row>
    <row r="3174" spans="1:6" x14ac:dyDescent="0.3">
      <c r="A3174" t="s">
        <v>14359</v>
      </c>
      <c r="B3174" s="6">
        <f>COUNTIF(Levels!B:B,A3174)</f>
        <v>1</v>
      </c>
      <c r="C3174" s="6">
        <f>IFERROR(AVERAGEIF(Levels!B:B,A3174,Levels!E:E),0)</f>
        <v>2.79</v>
      </c>
      <c r="D3174" s="6">
        <f>IFERROR(AVERAGEIF(Levels!B:B,A3174,Levels!F:F),0)</f>
        <v>7.6</v>
      </c>
      <c r="E3174" s="6">
        <f>_xlfn.MAXIFS(Levels!E:E,Levels!B:B,A3174)</f>
        <v>2.79</v>
      </c>
      <c r="F3174" s="6">
        <f>_xlfn.MAXIFS(Levels!F:F,Levels!B:B,A3174)</f>
        <v>7.6</v>
      </c>
    </row>
    <row r="3175" spans="1:6" x14ac:dyDescent="0.3">
      <c r="A3175" t="s">
        <v>14364</v>
      </c>
      <c r="B3175" s="9">
        <f>COUNTIF(Levels!B:B,A3175)</f>
        <v>1</v>
      </c>
      <c r="C3175" s="9">
        <f>IFERROR(AVERAGEIF(Levels!B:B,A3175,Levels!E:E),0)</f>
        <v>0</v>
      </c>
      <c r="D3175" s="9">
        <f>IFERROR(AVERAGEIF(Levels!B:B,A3175,Levels!F:F),0)</f>
        <v>6.52</v>
      </c>
      <c r="E3175" s="9">
        <f>_xlfn.MAXIFS(Levels!E:E,Levels!B:B,A3175)</f>
        <v>0</v>
      </c>
      <c r="F3175" s="9">
        <f>_xlfn.MAXIFS(Levels!F:F,Levels!B:B,A3175)</f>
        <v>6.52</v>
      </c>
    </row>
    <row r="3176" spans="1:6" x14ac:dyDescent="0.3">
      <c r="A3176" t="s">
        <v>14369</v>
      </c>
      <c r="B3176" s="6">
        <f>COUNTIF(Levels!B:B,A3176)</f>
        <v>1</v>
      </c>
      <c r="C3176" s="6">
        <f>IFERROR(AVERAGEIF(Levels!B:B,A3176,Levels!E:E),0)</f>
        <v>0</v>
      </c>
      <c r="D3176" s="6">
        <f>IFERROR(AVERAGEIF(Levels!B:B,A3176,Levels!F:F),0)</f>
        <v>6.45</v>
      </c>
      <c r="E3176" s="6">
        <f>_xlfn.MAXIFS(Levels!E:E,Levels!B:B,A3176)</f>
        <v>0</v>
      </c>
      <c r="F3176" s="6">
        <f>_xlfn.MAXIFS(Levels!F:F,Levels!B:B,A3176)</f>
        <v>6.45</v>
      </c>
    </row>
    <row r="3177" spans="1:6" x14ac:dyDescent="0.3">
      <c r="A3177" t="s">
        <v>14377</v>
      </c>
      <c r="B3177" s="9">
        <f>COUNTIF(Levels!B:B,A3177)</f>
        <v>1</v>
      </c>
      <c r="C3177" s="9">
        <f>IFERROR(AVERAGEIF(Levels!B:B,A3177,Levels!E:E),0)</f>
        <v>0</v>
      </c>
      <c r="D3177" s="9">
        <f>IFERROR(AVERAGEIF(Levels!B:B,A3177,Levels!F:F),0)</f>
        <v>5</v>
      </c>
      <c r="E3177" s="9">
        <f>_xlfn.MAXIFS(Levels!E:E,Levels!B:B,A3177)</f>
        <v>0</v>
      </c>
      <c r="F3177" s="9">
        <f>_xlfn.MAXIFS(Levels!F:F,Levels!B:B,A3177)</f>
        <v>5</v>
      </c>
    </row>
    <row r="3178" spans="1:6" x14ac:dyDescent="0.3">
      <c r="A3178" t="s">
        <v>14379</v>
      </c>
      <c r="B3178" s="6">
        <f>COUNTIF(Levels!B:B,A3178)</f>
        <v>1</v>
      </c>
      <c r="C3178" s="6">
        <f>IFERROR(AVERAGEIF(Levels!B:B,A3178,Levels!E:E),0)</f>
        <v>3.67</v>
      </c>
      <c r="D3178" s="6">
        <f>IFERROR(AVERAGEIF(Levels!B:B,A3178,Levels!F:F),0)</f>
        <v>7.18</v>
      </c>
      <c r="E3178" s="6">
        <f>_xlfn.MAXIFS(Levels!E:E,Levels!B:B,A3178)</f>
        <v>3.67</v>
      </c>
      <c r="F3178" s="6">
        <f>_xlfn.MAXIFS(Levels!F:F,Levels!B:B,A3178)</f>
        <v>7.18</v>
      </c>
    </row>
    <row r="3179" spans="1:6" x14ac:dyDescent="0.3">
      <c r="A3179" t="s">
        <v>14385</v>
      </c>
      <c r="B3179" s="9">
        <f>COUNTIF(Levels!B:B,A3179)</f>
        <v>1</v>
      </c>
      <c r="C3179" s="9">
        <f>IFERROR(AVERAGEIF(Levels!B:B,A3179,Levels!E:E),0)</f>
        <v>3.3</v>
      </c>
      <c r="D3179" s="9">
        <f>IFERROR(AVERAGEIF(Levels!B:B,A3179,Levels!F:F),0)</f>
        <v>8.24</v>
      </c>
      <c r="E3179" s="9">
        <f>_xlfn.MAXIFS(Levels!E:E,Levels!B:B,A3179)</f>
        <v>3.3</v>
      </c>
      <c r="F3179" s="9">
        <f>_xlfn.MAXIFS(Levels!F:F,Levels!B:B,A3179)</f>
        <v>8.24</v>
      </c>
    </row>
    <row r="3180" spans="1:6" x14ac:dyDescent="0.3">
      <c r="A3180" t="s">
        <v>14387</v>
      </c>
      <c r="B3180" s="6">
        <f>COUNTIF(Levels!B:B,A3180)</f>
        <v>1</v>
      </c>
      <c r="C3180" s="6">
        <f>IFERROR(AVERAGEIF(Levels!B:B,A3180,Levels!E:E),0)</f>
        <v>0</v>
      </c>
      <c r="D3180" s="6">
        <f>IFERROR(AVERAGEIF(Levels!B:B,A3180,Levels!F:F),0)</f>
        <v>7.06</v>
      </c>
      <c r="E3180" s="6">
        <f>_xlfn.MAXIFS(Levels!E:E,Levels!B:B,A3180)</f>
        <v>0</v>
      </c>
      <c r="F3180" s="6">
        <f>_xlfn.MAXIFS(Levels!F:F,Levels!B:B,A3180)</f>
        <v>7.06</v>
      </c>
    </row>
    <row r="3181" spans="1:6" x14ac:dyDescent="0.3">
      <c r="A3181" t="s">
        <v>14392</v>
      </c>
      <c r="B3181" s="9">
        <f>COUNTIF(Levels!B:B,A3181)</f>
        <v>1</v>
      </c>
      <c r="C3181" s="9">
        <f>IFERROR(AVERAGEIF(Levels!B:B,A3181,Levels!E:E),0)</f>
        <v>5.28</v>
      </c>
      <c r="D3181" s="9">
        <f>IFERROR(AVERAGEIF(Levels!B:B,A3181,Levels!F:F),0)</f>
        <v>8.39</v>
      </c>
      <c r="E3181" s="9">
        <f>_xlfn.MAXIFS(Levels!E:E,Levels!B:B,A3181)</f>
        <v>5.28</v>
      </c>
      <c r="F3181" s="9">
        <f>_xlfn.MAXIFS(Levels!F:F,Levels!B:B,A3181)</f>
        <v>8.39</v>
      </c>
    </row>
    <row r="3182" spans="1:6" x14ac:dyDescent="0.3">
      <c r="A3182" t="s">
        <v>14395</v>
      </c>
      <c r="B3182" s="6">
        <f>COUNTIF(Levels!B:B,A3182)</f>
        <v>1</v>
      </c>
      <c r="C3182" s="6">
        <f>IFERROR(AVERAGEIF(Levels!B:B,A3182,Levels!E:E),0)</f>
        <v>0</v>
      </c>
      <c r="D3182" s="6">
        <f>IFERROR(AVERAGEIF(Levels!B:B,A3182,Levels!F:F),0)</f>
        <v>10</v>
      </c>
      <c r="E3182" s="6">
        <f>_xlfn.MAXIFS(Levels!E:E,Levels!B:B,A3182)</f>
        <v>0</v>
      </c>
      <c r="F3182" s="6">
        <f>_xlfn.MAXIFS(Levels!F:F,Levels!B:B,A3182)</f>
        <v>10</v>
      </c>
    </row>
    <row r="3183" spans="1:6" x14ac:dyDescent="0.3">
      <c r="A3183" t="s">
        <v>14398</v>
      </c>
      <c r="B3183" s="9">
        <f>COUNTIF(Levels!B:B,A3183)</f>
        <v>1</v>
      </c>
      <c r="C3183" s="9">
        <f>IFERROR(AVERAGEIF(Levels!B:B,A3183,Levels!E:E),0)</f>
        <v>7.61</v>
      </c>
      <c r="D3183" s="9">
        <f>IFERROR(AVERAGEIF(Levels!B:B,A3183,Levels!F:F),0)</f>
        <v>7.33</v>
      </c>
      <c r="E3183" s="9">
        <f>_xlfn.MAXIFS(Levels!E:E,Levels!B:B,A3183)</f>
        <v>7.61</v>
      </c>
      <c r="F3183" s="9">
        <f>_xlfn.MAXIFS(Levels!F:F,Levels!B:B,A3183)</f>
        <v>7.33</v>
      </c>
    </row>
    <row r="3184" spans="1:6" x14ac:dyDescent="0.3">
      <c r="A3184" t="s">
        <v>14404</v>
      </c>
      <c r="B3184" s="6">
        <f>COUNTIF(Levels!B:B,A3184)</f>
        <v>1</v>
      </c>
      <c r="C3184" s="6">
        <f>IFERROR(AVERAGEIF(Levels!B:B,A3184,Levels!E:E),0)</f>
        <v>0</v>
      </c>
      <c r="D3184" s="6">
        <f>IFERROR(AVERAGEIF(Levels!B:B,A3184,Levels!F:F),0)</f>
        <v>8.17</v>
      </c>
      <c r="E3184" s="6">
        <f>_xlfn.MAXIFS(Levels!E:E,Levels!B:B,A3184)</f>
        <v>0</v>
      </c>
      <c r="F3184" s="6">
        <f>_xlfn.MAXIFS(Levels!F:F,Levels!B:B,A3184)</f>
        <v>8.17</v>
      </c>
    </row>
    <row r="3185" spans="1:6" x14ac:dyDescent="0.3">
      <c r="A3185" t="s">
        <v>14407</v>
      </c>
      <c r="B3185" s="9">
        <f>COUNTIF(Levels!B:B,A3185)</f>
        <v>1</v>
      </c>
      <c r="C3185" s="9">
        <f>IFERROR(AVERAGEIF(Levels!B:B,A3185,Levels!E:E),0)</f>
        <v>9.2899999999999991</v>
      </c>
      <c r="D3185" s="9">
        <f>IFERROR(AVERAGEIF(Levels!B:B,A3185,Levels!F:F),0)</f>
        <v>4.8600000000000003</v>
      </c>
      <c r="E3185" s="9">
        <f>_xlfn.MAXIFS(Levels!E:E,Levels!B:B,A3185)</f>
        <v>9.2899999999999991</v>
      </c>
      <c r="F3185" s="9">
        <f>_xlfn.MAXIFS(Levels!F:F,Levels!B:B,A3185)</f>
        <v>4.8600000000000003</v>
      </c>
    </row>
    <row r="3186" spans="1:6" x14ac:dyDescent="0.3">
      <c r="A3186" t="s">
        <v>14413</v>
      </c>
      <c r="B3186" s="6">
        <f>COUNTIF(Levels!B:B,A3186)</f>
        <v>1</v>
      </c>
      <c r="C3186" s="6">
        <f>IFERROR(AVERAGEIF(Levels!B:B,A3186,Levels!E:E),0)</f>
        <v>0</v>
      </c>
      <c r="D3186" s="6">
        <f>IFERROR(AVERAGEIF(Levels!B:B,A3186,Levels!F:F),0)</f>
        <v>6.93</v>
      </c>
      <c r="E3186" s="6">
        <f>_xlfn.MAXIFS(Levels!E:E,Levels!B:B,A3186)</f>
        <v>0</v>
      </c>
      <c r="F3186" s="6">
        <f>_xlfn.MAXIFS(Levels!F:F,Levels!B:B,A3186)</f>
        <v>6.93</v>
      </c>
    </row>
    <row r="3187" spans="1:6" x14ac:dyDescent="0.3">
      <c r="A3187" t="s">
        <v>14417</v>
      </c>
      <c r="B3187" s="9">
        <f>COUNTIF(Levels!B:B,A3187)</f>
        <v>2</v>
      </c>
      <c r="C3187" s="9">
        <f>IFERROR(AVERAGEIF(Levels!B:B,A3187,Levels!E:E),0)</f>
        <v>0</v>
      </c>
      <c r="D3187" s="9">
        <f>IFERROR(AVERAGEIF(Levels!B:B,A3187,Levels!F:F),0)</f>
        <v>7.1050000000000004</v>
      </c>
      <c r="E3187" s="9">
        <f>_xlfn.MAXIFS(Levels!E:E,Levels!B:B,A3187)</f>
        <v>0</v>
      </c>
      <c r="F3187" s="9">
        <f>_xlfn.MAXIFS(Levels!F:F,Levels!B:B,A3187)</f>
        <v>7.31</v>
      </c>
    </row>
    <row r="3188" spans="1:6" x14ac:dyDescent="0.3">
      <c r="A3188" t="s">
        <v>14426</v>
      </c>
      <c r="B3188" s="6">
        <f>COUNTIF(Levels!B:B,A3188)</f>
        <v>3</v>
      </c>
      <c r="C3188" s="6">
        <f>IFERROR(AVERAGEIF(Levels!B:B,A3188,Levels!E:E),0)</f>
        <v>0</v>
      </c>
      <c r="D3188" s="6">
        <f>IFERROR(AVERAGEIF(Levels!B:B,A3188,Levels!F:F),0)</f>
        <v>6.5633333333333335</v>
      </c>
      <c r="E3188" s="6">
        <f>_xlfn.MAXIFS(Levels!E:E,Levels!B:B,A3188)</f>
        <v>0</v>
      </c>
      <c r="F3188" s="6">
        <f>_xlfn.MAXIFS(Levels!F:F,Levels!B:B,A3188)</f>
        <v>6.78</v>
      </c>
    </row>
    <row r="3189" spans="1:6" x14ac:dyDescent="0.3">
      <c r="A3189" t="s">
        <v>14430</v>
      </c>
      <c r="B3189" s="9">
        <f>COUNTIF(Levels!B:B,A3189)</f>
        <v>2</v>
      </c>
      <c r="C3189" s="9">
        <f>IFERROR(AVERAGEIF(Levels!B:B,A3189,Levels!E:E),0)</f>
        <v>12.120000000000001</v>
      </c>
      <c r="D3189" s="9">
        <f>IFERROR(AVERAGEIF(Levels!B:B,A3189,Levels!F:F),0)</f>
        <v>6.7200000000000006</v>
      </c>
      <c r="E3189" s="9">
        <f>_xlfn.MAXIFS(Levels!E:E,Levels!B:B,A3189)</f>
        <v>21</v>
      </c>
      <c r="F3189" s="9">
        <f>_xlfn.MAXIFS(Levels!F:F,Levels!B:B,A3189)</f>
        <v>6.75</v>
      </c>
    </row>
    <row r="3190" spans="1:6" x14ac:dyDescent="0.3">
      <c r="A3190" t="s">
        <v>14434</v>
      </c>
      <c r="B3190" s="6">
        <f>COUNTIF(Levels!B:B,A3190)</f>
        <v>1</v>
      </c>
      <c r="C3190" s="6">
        <f>IFERROR(AVERAGEIF(Levels!B:B,A3190,Levels!E:E),0)</f>
        <v>5.31</v>
      </c>
      <c r="D3190" s="6">
        <f>IFERROR(AVERAGEIF(Levels!B:B,A3190,Levels!F:F),0)</f>
        <v>7.23</v>
      </c>
      <c r="E3190" s="6">
        <f>_xlfn.MAXIFS(Levels!E:E,Levels!B:B,A3190)</f>
        <v>5.31</v>
      </c>
      <c r="F3190" s="6">
        <f>_xlfn.MAXIFS(Levels!F:F,Levels!B:B,A3190)</f>
        <v>7.23</v>
      </c>
    </row>
    <row r="3191" spans="1:6" x14ac:dyDescent="0.3">
      <c r="A3191" t="s">
        <v>14440</v>
      </c>
      <c r="B3191" s="9">
        <f>COUNTIF(Levels!B:B,A3191)</f>
        <v>1</v>
      </c>
      <c r="C3191" s="9">
        <f>IFERROR(AVERAGEIF(Levels!B:B,A3191,Levels!E:E),0)</f>
        <v>4.26</v>
      </c>
      <c r="D3191" s="9">
        <f>IFERROR(AVERAGEIF(Levels!B:B,A3191,Levels!F:F),0)</f>
        <v>6.83</v>
      </c>
      <c r="E3191" s="9">
        <f>_xlfn.MAXIFS(Levels!E:E,Levels!B:B,A3191)</f>
        <v>4.26</v>
      </c>
      <c r="F3191" s="9">
        <f>_xlfn.MAXIFS(Levels!F:F,Levels!B:B,A3191)</f>
        <v>6.83</v>
      </c>
    </row>
    <row r="3192" spans="1:6" x14ac:dyDescent="0.3">
      <c r="A3192" t="s">
        <v>14446</v>
      </c>
      <c r="B3192" s="6">
        <f>COUNTIF(Levels!B:B,A3192)</f>
        <v>1</v>
      </c>
      <c r="C3192" s="6">
        <f>IFERROR(AVERAGEIF(Levels!B:B,A3192,Levels!E:E),0)</f>
        <v>8.17</v>
      </c>
      <c r="D3192" s="6">
        <f>IFERROR(AVERAGEIF(Levels!B:B,A3192,Levels!F:F),0)</f>
        <v>7.33</v>
      </c>
      <c r="E3192" s="6">
        <f>_xlfn.MAXIFS(Levels!E:E,Levels!B:B,A3192)</f>
        <v>8.17</v>
      </c>
      <c r="F3192" s="6">
        <f>_xlfn.MAXIFS(Levels!F:F,Levels!B:B,A3192)</f>
        <v>7.33</v>
      </c>
    </row>
    <row r="3193" spans="1:6" x14ac:dyDescent="0.3">
      <c r="A3193" t="s">
        <v>14455</v>
      </c>
      <c r="B3193" s="9">
        <f>COUNTIF(Levels!B:B,A3193)</f>
        <v>2</v>
      </c>
      <c r="C3193" s="9">
        <f>IFERROR(AVERAGEIF(Levels!B:B,A3193,Levels!E:E),0)</f>
        <v>4.87</v>
      </c>
      <c r="D3193" s="9">
        <f>IFERROR(AVERAGEIF(Levels!B:B,A3193,Levels!F:F),0)</f>
        <v>7.57</v>
      </c>
      <c r="E3193" s="9">
        <f>_xlfn.MAXIFS(Levels!E:E,Levels!B:B,A3193)</f>
        <v>4.87</v>
      </c>
      <c r="F3193" s="9">
        <f>_xlfn.MAXIFS(Levels!F:F,Levels!B:B,A3193)</f>
        <v>7.75</v>
      </c>
    </row>
    <row r="3194" spans="1:6" x14ac:dyDescent="0.3">
      <c r="A3194" t="s">
        <v>14463</v>
      </c>
      <c r="B3194" s="6">
        <f>COUNTIF(Levels!B:B,A3194)</f>
        <v>1</v>
      </c>
      <c r="C3194" s="6">
        <f>IFERROR(AVERAGEIF(Levels!B:B,A3194,Levels!E:E),0)</f>
        <v>0</v>
      </c>
      <c r="D3194" s="6">
        <f>IFERROR(AVERAGEIF(Levels!B:B,A3194,Levels!F:F),0)</f>
        <v>8</v>
      </c>
      <c r="E3194" s="6">
        <f>_xlfn.MAXIFS(Levels!E:E,Levels!B:B,A3194)</f>
        <v>0</v>
      </c>
      <c r="F3194" s="6">
        <f>_xlfn.MAXIFS(Levels!F:F,Levels!B:B,A3194)</f>
        <v>8</v>
      </c>
    </row>
    <row r="3195" spans="1:6" x14ac:dyDescent="0.3">
      <c r="A3195" t="s">
        <v>14466</v>
      </c>
      <c r="B3195" s="9">
        <f>COUNTIF(Levels!B:B,A3195)</f>
        <v>1</v>
      </c>
      <c r="C3195" s="9">
        <f>IFERROR(AVERAGEIF(Levels!B:B,A3195,Levels!E:E),0)</f>
        <v>0</v>
      </c>
      <c r="D3195" s="9">
        <f>IFERROR(AVERAGEIF(Levels!B:B,A3195,Levels!F:F),0)</f>
        <v>7.88</v>
      </c>
      <c r="E3195" s="9">
        <f>_xlfn.MAXIFS(Levels!E:E,Levels!B:B,A3195)</f>
        <v>0</v>
      </c>
      <c r="F3195" s="9">
        <f>_xlfn.MAXIFS(Levels!F:F,Levels!B:B,A3195)</f>
        <v>7.88</v>
      </c>
    </row>
    <row r="3196" spans="1:6" x14ac:dyDescent="0.3">
      <c r="A3196" t="s">
        <v>14468</v>
      </c>
      <c r="B3196" s="6">
        <f>COUNTIF(Levels!B:B,A3196)</f>
        <v>1</v>
      </c>
      <c r="C3196" s="6">
        <f>IFERROR(AVERAGEIF(Levels!B:B,A3196,Levels!E:E),0)</f>
        <v>29</v>
      </c>
      <c r="D3196" s="6">
        <f>IFERROR(AVERAGEIF(Levels!B:B,A3196,Levels!F:F),0)</f>
        <v>6.5</v>
      </c>
      <c r="E3196" s="6">
        <f>_xlfn.MAXIFS(Levels!E:E,Levels!B:B,A3196)</f>
        <v>29</v>
      </c>
      <c r="F3196" s="6">
        <f>_xlfn.MAXIFS(Levels!F:F,Levels!B:B,A3196)</f>
        <v>6.5</v>
      </c>
    </row>
    <row r="3197" spans="1:6" x14ac:dyDescent="0.3">
      <c r="A3197" t="s">
        <v>14471</v>
      </c>
      <c r="B3197" s="9">
        <f>COUNTIF(Levels!B:B,A3197)</f>
        <v>1</v>
      </c>
      <c r="C3197" s="9">
        <f>IFERROR(AVERAGEIF(Levels!B:B,A3197,Levels!E:E),0)</f>
        <v>0</v>
      </c>
      <c r="D3197" s="9">
        <f>IFERROR(AVERAGEIF(Levels!B:B,A3197,Levels!F:F),0)</f>
        <v>7</v>
      </c>
      <c r="E3197" s="9">
        <f>_xlfn.MAXIFS(Levels!E:E,Levels!B:B,A3197)</f>
        <v>0</v>
      </c>
      <c r="F3197" s="9">
        <f>_xlfn.MAXIFS(Levels!F:F,Levels!B:B,A3197)</f>
        <v>7</v>
      </c>
    </row>
    <row r="3198" spans="1:6" x14ac:dyDescent="0.3">
      <c r="A3198" t="s">
        <v>14473</v>
      </c>
      <c r="B3198" s="6">
        <f>COUNTIF(Levels!B:B,A3198)</f>
        <v>1</v>
      </c>
      <c r="C3198" s="6">
        <f>IFERROR(AVERAGEIF(Levels!B:B,A3198,Levels!E:E),0)</f>
        <v>3.79</v>
      </c>
      <c r="D3198" s="6">
        <f>IFERROR(AVERAGEIF(Levels!B:B,A3198,Levels!F:F),0)</f>
        <v>6.61</v>
      </c>
      <c r="E3198" s="6">
        <f>_xlfn.MAXIFS(Levels!E:E,Levels!B:B,A3198)</f>
        <v>3.79</v>
      </c>
      <c r="F3198" s="6">
        <f>_xlfn.MAXIFS(Levels!F:F,Levels!B:B,A3198)</f>
        <v>6.61</v>
      </c>
    </row>
    <row r="3199" spans="1:6" x14ac:dyDescent="0.3">
      <c r="A3199" t="s">
        <v>14480</v>
      </c>
      <c r="B3199" s="9">
        <f>COUNTIF(Levels!B:B,A3199)</f>
        <v>1</v>
      </c>
      <c r="C3199" s="9">
        <f>IFERROR(AVERAGEIF(Levels!B:B,A3199,Levels!E:E),0)</f>
        <v>15.07</v>
      </c>
      <c r="D3199" s="9">
        <f>IFERROR(AVERAGEIF(Levels!B:B,A3199,Levels!F:F),0)</f>
        <v>7.86</v>
      </c>
      <c r="E3199" s="9">
        <f>_xlfn.MAXIFS(Levels!E:E,Levels!B:B,A3199)</f>
        <v>15.07</v>
      </c>
      <c r="F3199" s="9">
        <f>_xlfn.MAXIFS(Levels!F:F,Levels!B:B,A3199)</f>
        <v>7.86</v>
      </c>
    </row>
    <row r="3200" spans="1:6" x14ac:dyDescent="0.3">
      <c r="A3200" t="s">
        <v>14483</v>
      </c>
      <c r="B3200" s="6">
        <f>COUNTIF(Levels!B:B,A3200)</f>
        <v>2</v>
      </c>
      <c r="C3200" s="6">
        <f>IFERROR(AVERAGEIF(Levels!B:B,A3200,Levels!E:E),0)</f>
        <v>17.63</v>
      </c>
      <c r="D3200" s="6">
        <f>IFERROR(AVERAGEIF(Levels!B:B,A3200,Levels!F:F),0)</f>
        <v>8.3849999999999998</v>
      </c>
      <c r="E3200" s="6">
        <f>_xlfn.MAXIFS(Levels!E:E,Levels!B:B,A3200)</f>
        <v>18.2</v>
      </c>
      <c r="F3200" s="6">
        <f>_xlfn.MAXIFS(Levels!F:F,Levels!B:B,A3200)</f>
        <v>8.77</v>
      </c>
    </row>
    <row r="3201" spans="1:6" x14ac:dyDescent="0.3">
      <c r="A3201" t="s">
        <v>14489</v>
      </c>
      <c r="B3201" s="9">
        <f>COUNTIF(Levels!B:B,A3201)</f>
        <v>1</v>
      </c>
      <c r="C3201" s="9">
        <f>IFERROR(AVERAGEIF(Levels!B:B,A3201,Levels!E:E),0)</f>
        <v>1</v>
      </c>
      <c r="D3201" s="9">
        <f>IFERROR(AVERAGEIF(Levels!B:B,A3201,Levels!F:F),0)</f>
        <v>7.84</v>
      </c>
      <c r="E3201" s="9">
        <f>_xlfn.MAXIFS(Levels!E:E,Levels!B:B,A3201)</f>
        <v>1</v>
      </c>
      <c r="F3201" s="9">
        <f>_xlfn.MAXIFS(Levels!F:F,Levels!B:B,A3201)</f>
        <v>7.84</v>
      </c>
    </row>
    <row r="3202" spans="1:6" x14ac:dyDescent="0.3">
      <c r="A3202" t="s">
        <v>14498</v>
      </c>
      <c r="B3202" s="6">
        <f>COUNTIF(Levels!B:B,A3202)</f>
        <v>1</v>
      </c>
      <c r="C3202" s="6">
        <f>IFERROR(AVERAGEIF(Levels!B:B,A3202,Levels!E:E),0)</f>
        <v>1.97</v>
      </c>
      <c r="D3202" s="6">
        <f>IFERROR(AVERAGEIF(Levels!B:B,A3202,Levels!F:F),0)</f>
        <v>7.88</v>
      </c>
      <c r="E3202" s="6">
        <f>_xlfn.MAXIFS(Levels!E:E,Levels!B:B,A3202)</f>
        <v>1.97</v>
      </c>
      <c r="F3202" s="6">
        <f>_xlfn.MAXIFS(Levels!F:F,Levels!B:B,A3202)</f>
        <v>7.88</v>
      </c>
    </row>
    <row r="3203" spans="1:6" x14ac:dyDescent="0.3">
      <c r="A3203" t="s">
        <v>14501</v>
      </c>
      <c r="B3203" s="9">
        <f>COUNTIF(Levels!B:B,A3203)</f>
        <v>1</v>
      </c>
      <c r="C3203" s="9">
        <f>IFERROR(AVERAGEIF(Levels!B:B,A3203,Levels!E:E),0)</f>
        <v>0</v>
      </c>
      <c r="D3203" s="9">
        <f>IFERROR(AVERAGEIF(Levels!B:B,A3203,Levels!F:F),0)</f>
        <v>5.9</v>
      </c>
      <c r="E3203" s="9">
        <f>_xlfn.MAXIFS(Levels!E:E,Levels!B:B,A3203)</f>
        <v>0</v>
      </c>
      <c r="F3203" s="9">
        <f>_xlfn.MAXIFS(Levels!F:F,Levels!B:B,A3203)</f>
        <v>5.9</v>
      </c>
    </row>
    <row r="3204" spans="1:6" x14ac:dyDescent="0.3">
      <c r="A3204" t="s">
        <v>14510</v>
      </c>
      <c r="B3204" s="6">
        <f>COUNTIF(Levels!B:B,A3204)</f>
        <v>1</v>
      </c>
      <c r="C3204" s="6">
        <f>IFERROR(AVERAGEIF(Levels!B:B,A3204,Levels!E:E),0)</f>
        <v>2.4300000000000002</v>
      </c>
      <c r="D3204" s="6">
        <f>IFERROR(AVERAGEIF(Levels!B:B,A3204,Levels!F:F),0)</f>
        <v>6.52</v>
      </c>
      <c r="E3204" s="6">
        <f>_xlfn.MAXIFS(Levels!E:E,Levels!B:B,A3204)</f>
        <v>2.4300000000000002</v>
      </c>
      <c r="F3204" s="6">
        <f>_xlfn.MAXIFS(Levels!F:F,Levels!B:B,A3204)</f>
        <v>6.52</v>
      </c>
    </row>
    <row r="3205" spans="1:6" x14ac:dyDescent="0.3">
      <c r="A3205" t="s">
        <v>14513</v>
      </c>
      <c r="B3205" s="9">
        <f>COUNTIF(Levels!B:B,A3205)</f>
        <v>1</v>
      </c>
      <c r="C3205" s="9">
        <f>IFERROR(AVERAGEIF(Levels!B:B,A3205,Levels!E:E),0)</f>
        <v>6.04</v>
      </c>
      <c r="D3205" s="9">
        <f>IFERROR(AVERAGEIF(Levels!B:B,A3205,Levels!F:F),0)</f>
        <v>6.53</v>
      </c>
      <c r="E3205" s="9">
        <f>_xlfn.MAXIFS(Levels!E:E,Levels!B:B,A3205)</f>
        <v>6.04</v>
      </c>
      <c r="F3205" s="9">
        <f>_xlfn.MAXIFS(Levels!F:F,Levels!B:B,A3205)</f>
        <v>6.53</v>
      </c>
    </row>
    <row r="3206" spans="1:6" x14ac:dyDescent="0.3">
      <c r="A3206" t="s">
        <v>14515</v>
      </c>
      <c r="B3206" s="6">
        <f>COUNTIF(Levels!B:B,A3206)</f>
        <v>1</v>
      </c>
      <c r="C3206" s="6">
        <f>IFERROR(AVERAGEIF(Levels!B:B,A3206,Levels!E:E),0)</f>
        <v>0</v>
      </c>
      <c r="D3206" s="6">
        <f>IFERROR(AVERAGEIF(Levels!B:B,A3206,Levels!F:F),0)</f>
        <v>3.92</v>
      </c>
      <c r="E3206" s="6">
        <f>_xlfn.MAXIFS(Levels!E:E,Levels!B:B,A3206)</f>
        <v>0</v>
      </c>
      <c r="F3206" s="6">
        <f>_xlfn.MAXIFS(Levels!F:F,Levels!B:B,A3206)</f>
        <v>3.92</v>
      </c>
    </row>
    <row r="3207" spans="1:6" x14ac:dyDescent="0.3">
      <c r="A3207" t="s">
        <v>14519</v>
      </c>
      <c r="B3207" s="9">
        <f>COUNTIF(Levels!B:B,A3207)</f>
        <v>1</v>
      </c>
      <c r="C3207" s="9">
        <f>IFERROR(AVERAGEIF(Levels!B:B,A3207,Levels!E:E),0)</f>
        <v>2</v>
      </c>
      <c r="D3207" s="9">
        <f>IFERROR(AVERAGEIF(Levels!B:B,A3207,Levels!F:F),0)</f>
        <v>7.93</v>
      </c>
      <c r="E3207" s="9">
        <f>_xlfn.MAXIFS(Levels!E:E,Levels!B:B,A3207)</f>
        <v>2</v>
      </c>
      <c r="F3207" s="9">
        <f>_xlfn.MAXIFS(Levels!F:F,Levels!B:B,A3207)</f>
        <v>7.93</v>
      </c>
    </row>
    <row r="3208" spans="1:6" x14ac:dyDescent="0.3">
      <c r="A3208" t="s">
        <v>14520</v>
      </c>
      <c r="B3208" s="6">
        <f>COUNTIF(Levels!B:B,A3208)</f>
        <v>1</v>
      </c>
      <c r="C3208" s="6">
        <f>IFERROR(AVERAGEIF(Levels!B:B,A3208,Levels!E:E),0)</f>
        <v>24</v>
      </c>
      <c r="D3208" s="6">
        <f>IFERROR(AVERAGEIF(Levels!B:B,A3208,Levels!F:F),0)</f>
        <v>8</v>
      </c>
      <c r="E3208" s="6">
        <f>_xlfn.MAXIFS(Levels!E:E,Levels!B:B,A3208)</f>
        <v>24</v>
      </c>
      <c r="F3208" s="6">
        <f>_xlfn.MAXIFS(Levels!F:F,Levels!B:B,A3208)</f>
        <v>8</v>
      </c>
    </row>
    <row r="3209" spans="1:6" x14ac:dyDescent="0.3">
      <c r="A3209" t="s">
        <v>14533</v>
      </c>
      <c r="B3209" s="9">
        <f>COUNTIF(Levels!B:B,A3209)</f>
        <v>1</v>
      </c>
      <c r="C3209" s="9">
        <f>IFERROR(AVERAGEIF(Levels!B:B,A3209,Levels!E:E),0)</f>
        <v>0</v>
      </c>
      <c r="D3209" s="9">
        <f>IFERROR(AVERAGEIF(Levels!B:B,A3209,Levels!F:F),0)</f>
        <v>7.45</v>
      </c>
      <c r="E3209" s="9">
        <f>_xlfn.MAXIFS(Levels!E:E,Levels!B:B,A3209)</f>
        <v>0</v>
      </c>
      <c r="F3209" s="9">
        <f>_xlfn.MAXIFS(Levels!F:F,Levels!B:B,A3209)</f>
        <v>7.45</v>
      </c>
    </row>
    <row r="3210" spans="1:6" x14ac:dyDescent="0.3">
      <c r="A3210" t="s">
        <v>14536</v>
      </c>
      <c r="B3210" s="6">
        <f>COUNTIF(Levels!B:B,A3210)</f>
        <v>1</v>
      </c>
      <c r="C3210" s="6">
        <f>IFERROR(AVERAGEIF(Levels!B:B,A3210,Levels!E:E),0)</f>
        <v>0</v>
      </c>
      <c r="D3210" s="6">
        <f>IFERROR(AVERAGEIF(Levels!B:B,A3210,Levels!F:F),0)</f>
        <v>7.83</v>
      </c>
      <c r="E3210" s="6">
        <f>_xlfn.MAXIFS(Levels!E:E,Levels!B:B,A3210)</f>
        <v>0</v>
      </c>
      <c r="F3210" s="6">
        <f>_xlfn.MAXIFS(Levels!F:F,Levels!B:B,A3210)</f>
        <v>7.83</v>
      </c>
    </row>
    <row r="3211" spans="1:6" x14ac:dyDescent="0.3">
      <c r="A3211" t="s">
        <v>14543</v>
      </c>
      <c r="B3211" s="9">
        <f>COUNTIF(Levels!B:B,A3211)</f>
        <v>1</v>
      </c>
      <c r="C3211" s="9">
        <f>IFERROR(AVERAGEIF(Levels!B:B,A3211,Levels!E:E),0)</f>
        <v>15.5</v>
      </c>
      <c r="D3211" s="9">
        <f>IFERROR(AVERAGEIF(Levels!B:B,A3211,Levels!F:F),0)</f>
        <v>3</v>
      </c>
      <c r="E3211" s="9">
        <f>_xlfn.MAXIFS(Levels!E:E,Levels!B:B,A3211)</f>
        <v>15.5</v>
      </c>
      <c r="F3211" s="9">
        <f>_xlfn.MAXIFS(Levels!F:F,Levels!B:B,A3211)</f>
        <v>3</v>
      </c>
    </row>
    <row r="3212" spans="1:6" x14ac:dyDescent="0.3">
      <c r="A3212" t="s">
        <v>14548</v>
      </c>
      <c r="B3212" s="6">
        <f>COUNTIF(Levels!B:B,A3212)</f>
        <v>1</v>
      </c>
      <c r="C3212" s="6">
        <f>IFERROR(AVERAGEIF(Levels!B:B,A3212,Levels!E:E),0)</f>
        <v>10.92</v>
      </c>
      <c r="D3212" s="6">
        <f>IFERROR(AVERAGEIF(Levels!B:B,A3212,Levels!F:F),0)</f>
        <v>6.82</v>
      </c>
      <c r="E3212" s="6">
        <f>_xlfn.MAXIFS(Levels!E:E,Levels!B:B,A3212)</f>
        <v>10.92</v>
      </c>
      <c r="F3212" s="6">
        <f>_xlfn.MAXIFS(Levels!F:F,Levels!B:B,A3212)</f>
        <v>6.82</v>
      </c>
    </row>
    <row r="3213" spans="1:6" x14ac:dyDescent="0.3">
      <c r="A3213" t="s">
        <v>14550</v>
      </c>
      <c r="B3213" s="9">
        <f>COUNTIF(Levels!B:B,A3213)</f>
        <v>1</v>
      </c>
      <c r="C3213" s="9">
        <f>IFERROR(AVERAGEIF(Levels!B:B,A3213,Levels!E:E),0)</f>
        <v>4.66</v>
      </c>
      <c r="D3213" s="9">
        <f>IFERROR(AVERAGEIF(Levels!B:B,A3213,Levels!F:F),0)</f>
        <v>7.8</v>
      </c>
      <c r="E3213" s="9">
        <f>_xlfn.MAXIFS(Levels!E:E,Levels!B:B,A3213)</f>
        <v>4.66</v>
      </c>
      <c r="F3213" s="9">
        <f>_xlfn.MAXIFS(Levels!F:F,Levels!B:B,A3213)</f>
        <v>7.8</v>
      </c>
    </row>
    <row r="3214" spans="1:6" x14ac:dyDescent="0.3">
      <c r="A3214" t="s">
        <v>14552</v>
      </c>
      <c r="B3214" s="6">
        <f>COUNTIF(Levels!B:B,A3214)</f>
        <v>1</v>
      </c>
      <c r="C3214" s="6">
        <f>IFERROR(AVERAGEIF(Levels!B:B,A3214,Levels!E:E),0)</f>
        <v>0</v>
      </c>
      <c r="D3214" s="6">
        <f>IFERROR(AVERAGEIF(Levels!B:B,A3214,Levels!F:F),0)</f>
        <v>7.19</v>
      </c>
      <c r="E3214" s="6">
        <f>_xlfn.MAXIFS(Levels!E:E,Levels!B:B,A3214)</f>
        <v>0</v>
      </c>
      <c r="F3214" s="6">
        <f>_xlfn.MAXIFS(Levels!F:F,Levels!B:B,A3214)</f>
        <v>7.19</v>
      </c>
    </row>
    <row r="3215" spans="1:6" x14ac:dyDescent="0.3">
      <c r="A3215" t="s">
        <v>14556</v>
      </c>
      <c r="B3215" s="9">
        <f>COUNTIF(Levels!B:B,A3215)</f>
        <v>2</v>
      </c>
      <c r="C3215" s="9">
        <f>IFERROR(AVERAGEIF(Levels!B:B,A3215,Levels!E:E),0)</f>
        <v>2.4550000000000001</v>
      </c>
      <c r="D3215" s="9">
        <f>IFERROR(AVERAGEIF(Levels!B:B,A3215,Levels!F:F),0)</f>
        <v>7.1150000000000002</v>
      </c>
      <c r="E3215" s="9">
        <f>_xlfn.MAXIFS(Levels!E:E,Levels!B:B,A3215)</f>
        <v>2.95</v>
      </c>
      <c r="F3215" s="9">
        <f>_xlfn.MAXIFS(Levels!F:F,Levels!B:B,A3215)</f>
        <v>7.3</v>
      </c>
    </row>
    <row r="3216" spans="1:6" x14ac:dyDescent="0.3">
      <c r="A3216" t="s">
        <v>14559</v>
      </c>
      <c r="B3216" s="6">
        <f>COUNTIF(Levels!B:B,A3216)</f>
        <v>1</v>
      </c>
      <c r="C3216" s="6">
        <f>IFERROR(AVERAGEIF(Levels!B:B,A3216,Levels!E:E),0)</f>
        <v>0</v>
      </c>
      <c r="D3216" s="6">
        <f>IFERROR(AVERAGEIF(Levels!B:B,A3216,Levels!F:F),0)</f>
        <v>7.83</v>
      </c>
      <c r="E3216" s="6">
        <f>_xlfn.MAXIFS(Levels!E:E,Levels!B:B,A3216)</f>
        <v>0</v>
      </c>
      <c r="F3216" s="6">
        <f>_xlfn.MAXIFS(Levels!F:F,Levels!B:B,A3216)</f>
        <v>7.83</v>
      </c>
    </row>
    <row r="3217" spans="1:6" x14ac:dyDescent="0.3">
      <c r="A3217" t="s">
        <v>14561</v>
      </c>
      <c r="B3217" s="9">
        <f>COUNTIF(Levels!B:B,A3217)</f>
        <v>1</v>
      </c>
      <c r="C3217" s="9">
        <f>IFERROR(AVERAGEIF(Levels!B:B,A3217,Levels!E:E),0)</f>
        <v>0</v>
      </c>
      <c r="D3217" s="9">
        <f>IFERROR(AVERAGEIF(Levels!B:B,A3217,Levels!F:F),0)</f>
        <v>2.57</v>
      </c>
      <c r="E3217" s="9">
        <f>_xlfn.MAXIFS(Levels!E:E,Levels!B:B,A3217)</f>
        <v>0</v>
      </c>
      <c r="F3217" s="9">
        <f>_xlfn.MAXIFS(Levels!F:F,Levels!B:B,A3217)</f>
        <v>2.57</v>
      </c>
    </row>
    <row r="3218" spans="1:6" x14ac:dyDescent="0.3">
      <c r="A3218" t="s">
        <v>14567</v>
      </c>
      <c r="B3218" s="6">
        <f>COUNTIF(Levels!B:B,A3218)</f>
        <v>1</v>
      </c>
      <c r="C3218" s="6">
        <f>IFERROR(AVERAGEIF(Levels!B:B,A3218,Levels!E:E),0)</f>
        <v>0</v>
      </c>
      <c r="D3218" s="6">
        <f>IFERROR(AVERAGEIF(Levels!B:B,A3218,Levels!F:F),0)</f>
        <v>6.95</v>
      </c>
      <c r="E3218" s="6">
        <f>_xlfn.MAXIFS(Levels!E:E,Levels!B:B,A3218)</f>
        <v>0</v>
      </c>
      <c r="F3218" s="6">
        <f>_xlfn.MAXIFS(Levels!F:F,Levels!B:B,A3218)</f>
        <v>6.95</v>
      </c>
    </row>
    <row r="3219" spans="1:6" x14ac:dyDescent="0.3">
      <c r="A3219" t="s">
        <v>14579</v>
      </c>
      <c r="B3219" s="9">
        <f>COUNTIF(Levels!B:B,A3219)</f>
        <v>1</v>
      </c>
      <c r="C3219" s="9">
        <f>IFERROR(AVERAGEIF(Levels!B:B,A3219,Levels!E:E),0)</f>
        <v>20</v>
      </c>
      <c r="D3219" s="9">
        <f>IFERROR(AVERAGEIF(Levels!B:B,A3219,Levels!F:F),0)</f>
        <v>9</v>
      </c>
      <c r="E3219" s="9">
        <f>_xlfn.MAXIFS(Levels!E:E,Levels!B:B,A3219)</f>
        <v>20</v>
      </c>
      <c r="F3219" s="9">
        <f>_xlfn.MAXIFS(Levels!F:F,Levels!B:B,A3219)</f>
        <v>9</v>
      </c>
    </row>
    <row r="3220" spans="1:6" x14ac:dyDescent="0.3">
      <c r="A3220" t="s">
        <v>14581</v>
      </c>
      <c r="B3220" s="6">
        <f>COUNTIF(Levels!B:B,A3220)</f>
        <v>2</v>
      </c>
      <c r="C3220" s="6">
        <f>IFERROR(AVERAGEIF(Levels!B:B,A3220,Levels!E:E),0)</f>
        <v>10.33</v>
      </c>
      <c r="D3220" s="6">
        <f>IFERROR(AVERAGEIF(Levels!B:B,A3220,Levels!F:F),0)</f>
        <v>5.58</v>
      </c>
      <c r="E3220" s="6">
        <f>_xlfn.MAXIFS(Levels!E:E,Levels!B:B,A3220)</f>
        <v>10.33</v>
      </c>
      <c r="F3220" s="6">
        <f>_xlfn.MAXIFS(Levels!F:F,Levels!B:B,A3220)</f>
        <v>5.58</v>
      </c>
    </row>
    <row r="3221" spans="1:6" x14ac:dyDescent="0.3">
      <c r="A3221" t="s">
        <v>14588</v>
      </c>
      <c r="B3221" s="9">
        <f>COUNTIF(Levels!B:B,A3221)</f>
        <v>1</v>
      </c>
      <c r="C3221" s="9">
        <f>IFERROR(AVERAGEIF(Levels!B:B,A3221,Levels!E:E),0)</f>
        <v>1.33</v>
      </c>
      <c r="D3221" s="9">
        <f>IFERROR(AVERAGEIF(Levels!B:B,A3221,Levels!F:F),0)</f>
        <v>7.54</v>
      </c>
      <c r="E3221" s="9">
        <f>_xlfn.MAXIFS(Levels!E:E,Levels!B:B,A3221)</f>
        <v>1.33</v>
      </c>
      <c r="F3221" s="9">
        <f>_xlfn.MAXIFS(Levels!F:F,Levels!B:B,A3221)</f>
        <v>7.54</v>
      </c>
    </row>
    <row r="3222" spans="1:6" x14ac:dyDescent="0.3">
      <c r="A3222" t="s">
        <v>14605</v>
      </c>
      <c r="B3222" s="6">
        <f>COUNTIF(Levels!B:B,A3222)</f>
        <v>1</v>
      </c>
      <c r="C3222" s="6">
        <f>IFERROR(AVERAGEIF(Levels!B:B,A3222,Levels!E:E),0)</f>
        <v>0</v>
      </c>
      <c r="D3222" s="6">
        <f>IFERROR(AVERAGEIF(Levels!B:B,A3222,Levels!F:F),0)</f>
        <v>0</v>
      </c>
      <c r="E3222" s="6">
        <f>_xlfn.MAXIFS(Levels!E:E,Levels!B:B,A3222)</f>
        <v>0</v>
      </c>
      <c r="F3222" s="6">
        <f>_xlfn.MAXIFS(Levels!F:F,Levels!B:B,A3222)</f>
        <v>0</v>
      </c>
    </row>
    <row r="3223" spans="1:6" x14ac:dyDescent="0.3">
      <c r="A3223" t="s">
        <v>14611</v>
      </c>
      <c r="B3223" s="9">
        <f>COUNTIF(Levels!B:B,A3223)</f>
        <v>1</v>
      </c>
      <c r="C3223" s="9">
        <f>IFERROR(AVERAGEIF(Levels!B:B,A3223,Levels!E:E),0)</f>
        <v>0</v>
      </c>
      <c r="D3223" s="9">
        <f>IFERROR(AVERAGEIF(Levels!B:B,A3223,Levels!F:F),0)</f>
        <v>7.57</v>
      </c>
      <c r="E3223" s="9">
        <f>_xlfn.MAXIFS(Levels!E:E,Levels!B:B,A3223)</f>
        <v>0</v>
      </c>
      <c r="F3223" s="9">
        <f>_xlfn.MAXIFS(Levels!F:F,Levels!B:B,A3223)</f>
        <v>7.57</v>
      </c>
    </row>
    <row r="3224" spans="1:6" x14ac:dyDescent="0.3">
      <c r="A3224" t="s">
        <v>9383</v>
      </c>
      <c r="B3224" s="6">
        <f>COUNTIF(Levels!B:B,A3224)</f>
        <v>2</v>
      </c>
      <c r="C3224" s="6">
        <f>IFERROR(AVERAGEIF(Levels!B:B,A3224,Levels!E:E),0)</f>
        <v>22.895</v>
      </c>
      <c r="D3224" s="6">
        <f>IFERROR(AVERAGEIF(Levels!B:B,A3224,Levels!F:F),0)</f>
        <v>8.2650000000000006</v>
      </c>
      <c r="E3224" s="6">
        <f>_xlfn.MAXIFS(Levels!E:E,Levels!B:B,A3224)</f>
        <v>25</v>
      </c>
      <c r="F3224" s="6">
        <f>_xlfn.MAXIFS(Levels!F:F,Levels!B:B,A3224)</f>
        <v>8.4</v>
      </c>
    </row>
    <row r="3225" spans="1:6" x14ac:dyDescent="0.3">
      <c r="A3225" t="s">
        <v>14616</v>
      </c>
      <c r="B3225" s="9">
        <f>COUNTIF(Levels!B:B,A3225)</f>
        <v>1</v>
      </c>
      <c r="C3225" s="9">
        <f>IFERROR(AVERAGEIF(Levels!B:B,A3225,Levels!E:E),0)</f>
        <v>3</v>
      </c>
      <c r="D3225" s="9">
        <f>IFERROR(AVERAGEIF(Levels!B:B,A3225,Levels!F:F),0)</f>
        <v>7.61</v>
      </c>
      <c r="E3225" s="9">
        <f>_xlfn.MAXIFS(Levels!E:E,Levels!B:B,A3225)</f>
        <v>3</v>
      </c>
      <c r="F3225" s="9">
        <f>_xlfn.MAXIFS(Levels!F:F,Levels!B:B,A3225)</f>
        <v>7.61</v>
      </c>
    </row>
    <row r="3226" spans="1:6" x14ac:dyDescent="0.3">
      <c r="A3226" t="s">
        <v>14622</v>
      </c>
      <c r="B3226" s="6">
        <f>COUNTIF(Levels!B:B,A3226)</f>
        <v>2</v>
      </c>
      <c r="C3226" s="6">
        <f>IFERROR(AVERAGEIF(Levels!B:B,A3226,Levels!E:E),0)</f>
        <v>0</v>
      </c>
      <c r="D3226" s="6">
        <f>IFERROR(AVERAGEIF(Levels!B:B,A3226,Levels!F:F),0)</f>
        <v>4.45</v>
      </c>
      <c r="E3226" s="6">
        <f>_xlfn.MAXIFS(Levels!E:E,Levels!B:B,A3226)</f>
        <v>0</v>
      </c>
      <c r="F3226" s="6">
        <f>_xlfn.MAXIFS(Levels!F:F,Levels!B:B,A3226)</f>
        <v>5.7</v>
      </c>
    </row>
    <row r="3227" spans="1:6" x14ac:dyDescent="0.3">
      <c r="A3227" t="s">
        <v>14625</v>
      </c>
      <c r="B3227" s="9">
        <f>COUNTIF(Levels!B:B,A3227)</f>
        <v>1</v>
      </c>
      <c r="C3227" s="9">
        <f>IFERROR(AVERAGEIF(Levels!B:B,A3227,Levels!E:E),0)</f>
        <v>0</v>
      </c>
      <c r="D3227" s="9">
        <f>IFERROR(AVERAGEIF(Levels!B:B,A3227,Levels!F:F),0)</f>
        <v>0</v>
      </c>
      <c r="E3227" s="9">
        <f>_xlfn.MAXIFS(Levels!E:E,Levels!B:B,A3227)</f>
        <v>0</v>
      </c>
      <c r="F3227" s="9">
        <f>_xlfn.MAXIFS(Levels!F:F,Levels!B:B,A3227)</f>
        <v>0</v>
      </c>
    </row>
    <row r="3228" spans="1:6" x14ac:dyDescent="0.3">
      <c r="A3228" t="s">
        <v>14631</v>
      </c>
      <c r="B3228" s="6">
        <f>COUNTIF(Levels!B:B,A3228)</f>
        <v>1</v>
      </c>
      <c r="C3228" s="6">
        <f>IFERROR(AVERAGEIF(Levels!B:B,A3228,Levels!E:E),0)</f>
        <v>0</v>
      </c>
      <c r="D3228" s="6">
        <f>IFERROR(AVERAGEIF(Levels!B:B,A3228,Levels!F:F),0)</f>
        <v>4.5999999999999996</v>
      </c>
      <c r="E3228" s="6">
        <f>_xlfn.MAXIFS(Levels!E:E,Levels!B:B,A3228)</f>
        <v>0</v>
      </c>
      <c r="F3228" s="6">
        <f>_xlfn.MAXIFS(Levels!F:F,Levels!B:B,A3228)</f>
        <v>4.5999999999999996</v>
      </c>
    </row>
    <row r="3229" spans="1:6" x14ac:dyDescent="0.3">
      <c r="A3229" t="s">
        <v>14634</v>
      </c>
      <c r="B3229" s="9">
        <f>COUNTIF(Levels!B:B,A3229)</f>
        <v>1</v>
      </c>
      <c r="C3229" s="9">
        <f>IFERROR(AVERAGEIF(Levels!B:B,A3229,Levels!E:E),0)</f>
        <v>0</v>
      </c>
      <c r="D3229" s="9">
        <f>IFERROR(AVERAGEIF(Levels!B:B,A3229,Levels!F:F),0)</f>
        <v>0</v>
      </c>
      <c r="E3229" s="9">
        <f>_xlfn.MAXIFS(Levels!E:E,Levels!B:B,A3229)</f>
        <v>0</v>
      </c>
      <c r="F3229" s="9">
        <f>_xlfn.MAXIFS(Levels!F:F,Levels!B:B,A3229)</f>
        <v>0</v>
      </c>
    </row>
    <row r="3230" spans="1:6" x14ac:dyDescent="0.3">
      <c r="A3230" t="s">
        <v>14645</v>
      </c>
      <c r="B3230" s="6">
        <f>COUNTIF(Levels!B:B,A3230)</f>
        <v>1</v>
      </c>
      <c r="C3230" s="6">
        <f>IFERROR(AVERAGEIF(Levels!B:B,A3230,Levels!E:E),0)</f>
        <v>4.13</v>
      </c>
      <c r="D3230" s="6">
        <f>IFERROR(AVERAGEIF(Levels!B:B,A3230,Levels!F:F),0)</f>
        <v>8.6300000000000008</v>
      </c>
      <c r="E3230" s="6">
        <f>_xlfn.MAXIFS(Levels!E:E,Levels!B:B,A3230)</f>
        <v>4.13</v>
      </c>
      <c r="F3230" s="6">
        <f>_xlfn.MAXIFS(Levels!F:F,Levels!B:B,A3230)</f>
        <v>8.6300000000000008</v>
      </c>
    </row>
    <row r="3231" spans="1:6" x14ac:dyDescent="0.3">
      <c r="A3231" t="s">
        <v>14647</v>
      </c>
      <c r="B3231" s="9">
        <f>COUNTIF(Levels!B:B,A3231)</f>
        <v>1</v>
      </c>
      <c r="C3231" s="9">
        <f>IFERROR(AVERAGEIF(Levels!B:B,A3231,Levels!E:E),0)</f>
        <v>0</v>
      </c>
      <c r="D3231" s="9">
        <f>IFERROR(AVERAGEIF(Levels!B:B,A3231,Levels!F:F),0)</f>
        <v>5.64</v>
      </c>
      <c r="E3231" s="9">
        <f>_xlfn.MAXIFS(Levels!E:E,Levels!B:B,A3231)</f>
        <v>0</v>
      </c>
      <c r="F3231" s="9">
        <f>_xlfn.MAXIFS(Levels!F:F,Levels!B:B,A3231)</f>
        <v>5.64</v>
      </c>
    </row>
    <row r="3232" spans="1:6" x14ac:dyDescent="0.3">
      <c r="A3232" t="s">
        <v>14664</v>
      </c>
      <c r="B3232" s="6">
        <f>COUNTIF(Levels!B:B,A3232)</f>
        <v>1</v>
      </c>
      <c r="C3232" s="6">
        <f>IFERROR(AVERAGEIF(Levels!B:B,A3232,Levels!E:E),0)</f>
        <v>23</v>
      </c>
      <c r="D3232" s="6">
        <f>IFERROR(AVERAGEIF(Levels!B:B,A3232,Levels!F:F),0)</f>
        <v>10</v>
      </c>
      <c r="E3232" s="6">
        <f>_xlfn.MAXIFS(Levels!E:E,Levels!B:B,A3232)</f>
        <v>23</v>
      </c>
      <c r="F3232" s="6">
        <f>_xlfn.MAXIFS(Levels!F:F,Levels!B:B,A3232)</f>
        <v>10</v>
      </c>
    </row>
    <row r="3233" spans="1:6" x14ac:dyDescent="0.3">
      <c r="A3233" t="s">
        <v>14666</v>
      </c>
      <c r="B3233" s="9">
        <f>COUNTIF(Levels!B:B,A3233)</f>
        <v>1</v>
      </c>
      <c r="C3233" s="9">
        <f>IFERROR(AVERAGEIF(Levels!B:B,A3233,Levels!E:E),0)</f>
        <v>0</v>
      </c>
      <c r="D3233" s="9">
        <f>IFERROR(AVERAGEIF(Levels!B:B,A3233,Levels!F:F),0)</f>
        <v>6.57</v>
      </c>
      <c r="E3233" s="9">
        <f>_xlfn.MAXIFS(Levels!E:E,Levels!B:B,A3233)</f>
        <v>0</v>
      </c>
      <c r="F3233" s="9">
        <f>_xlfn.MAXIFS(Levels!F:F,Levels!B:B,A3233)</f>
        <v>6.57</v>
      </c>
    </row>
    <row r="3234" spans="1:6" x14ac:dyDescent="0.3">
      <c r="A3234" t="s">
        <v>14670</v>
      </c>
      <c r="B3234" s="6">
        <f>COUNTIF(Levels!B:B,A3234)</f>
        <v>1</v>
      </c>
      <c r="C3234" s="6">
        <f>IFERROR(AVERAGEIF(Levels!B:B,A3234,Levels!E:E),0)</f>
        <v>0</v>
      </c>
      <c r="D3234" s="6">
        <f>IFERROR(AVERAGEIF(Levels!B:B,A3234,Levels!F:F),0)</f>
        <v>7.46</v>
      </c>
      <c r="E3234" s="6">
        <f>_xlfn.MAXIFS(Levels!E:E,Levels!B:B,A3234)</f>
        <v>0</v>
      </c>
      <c r="F3234" s="6">
        <f>_xlfn.MAXIFS(Levels!F:F,Levels!B:B,A3234)</f>
        <v>7.46</v>
      </c>
    </row>
    <row r="3235" spans="1:6" x14ac:dyDescent="0.3">
      <c r="A3235" t="s">
        <v>14677</v>
      </c>
      <c r="B3235" s="9">
        <f>COUNTIF(Levels!B:B,A3235)</f>
        <v>1</v>
      </c>
      <c r="C3235" s="9">
        <f>IFERROR(AVERAGEIF(Levels!B:B,A3235,Levels!E:E),0)</f>
        <v>0</v>
      </c>
      <c r="D3235" s="9">
        <f>IFERROR(AVERAGEIF(Levels!B:B,A3235,Levels!F:F),0)</f>
        <v>9.24</v>
      </c>
      <c r="E3235" s="9">
        <f>_xlfn.MAXIFS(Levels!E:E,Levels!B:B,A3235)</f>
        <v>0</v>
      </c>
      <c r="F3235" s="9">
        <f>_xlfn.MAXIFS(Levels!F:F,Levels!B:B,A3235)</f>
        <v>9.24</v>
      </c>
    </row>
    <row r="3236" spans="1:6" x14ac:dyDescent="0.3">
      <c r="A3236" t="s">
        <v>14680</v>
      </c>
      <c r="B3236" s="6">
        <f>COUNTIF(Levels!B:B,A3236)</f>
        <v>1</v>
      </c>
      <c r="C3236" s="6">
        <f>IFERROR(AVERAGEIF(Levels!B:B,A3236,Levels!E:E),0)</f>
        <v>1.06</v>
      </c>
      <c r="D3236" s="6">
        <f>IFERROR(AVERAGEIF(Levels!B:B,A3236,Levels!F:F),0)</f>
        <v>7.04</v>
      </c>
      <c r="E3236" s="6">
        <f>_xlfn.MAXIFS(Levels!E:E,Levels!B:B,A3236)</f>
        <v>1.06</v>
      </c>
      <c r="F3236" s="6">
        <f>_xlfn.MAXIFS(Levels!F:F,Levels!B:B,A3236)</f>
        <v>7.04</v>
      </c>
    </row>
    <row r="3237" spans="1:6" x14ac:dyDescent="0.3">
      <c r="A3237" t="s">
        <v>14698</v>
      </c>
      <c r="B3237" s="9">
        <f>COUNTIF(Levels!B:B,A3237)</f>
        <v>1</v>
      </c>
      <c r="C3237" s="9">
        <f>IFERROR(AVERAGEIF(Levels!B:B,A3237,Levels!E:E),0)</f>
        <v>0</v>
      </c>
      <c r="D3237" s="9">
        <f>IFERROR(AVERAGEIF(Levels!B:B,A3237,Levels!F:F),0)</f>
        <v>5.2</v>
      </c>
      <c r="E3237" s="9">
        <f>_xlfn.MAXIFS(Levels!E:E,Levels!B:B,A3237)</f>
        <v>0</v>
      </c>
      <c r="F3237" s="9">
        <f>_xlfn.MAXIFS(Levels!F:F,Levels!B:B,A3237)</f>
        <v>5.2</v>
      </c>
    </row>
    <row r="3238" spans="1:6" x14ac:dyDescent="0.3">
      <c r="A3238" t="s">
        <v>14700</v>
      </c>
      <c r="B3238" s="6">
        <f>COUNTIF(Levels!B:B,A3238)</f>
        <v>1</v>
      </c>
      <c r="C3238" s="6">
        <f>IFERROR(AVERAGEIF(Levels!B:B,A3238,Levels!E:E),0)</f>
        <v>2.6</v>
      </c>
      <c r="D3238" s="6">
        <f>IFERROR(AVERAGEIF(Levels!B:B,A3238,Levels!F:F),0)</f>
        <v>6.92</v>
      </c>
      <c r="E3238" s="6">
        <f>_xlfn.MAXIFS(Levels!E:E,Levels!B:B,A3238)</f>
        <v>2.6</v>
      </c>
      <c r="F3238" s="6">
        <f>_xlfn.MAXIFS(Levels!F:F,Levels!B:B,A3238)</f>
        <v>6.92</v>
      </c>
    </row>
    <row r="3239" spans="1:6" x14ac:dyDescent="0.3">
      <c r="A3239" t="s">
        <v>14703</v>
      </c>
      <c r="B3239" s="9">
        <f>COUNTIF(Levels!B:B,A3239)</f>
        <v>1</v>
      </c>
      <c r="C3239" s="9">
        <f>IFERROR(AVERAGEIF(Levels!B:B,A3239,Levels!E:E),0)</f>
        <v>1.08</v>
      </c>
      <c r="D3239" s="9">
        <f>IFERROR(AVERAGEIF(Levels!B:B,A3239,Levels!F:F),0)</f>
        <v>6.66</v>
      </c>
      <c r="E3239" s="9">
        <f>_xlfn.MAXIFS(Levels!E:E,Levels!B:B,A3239)</f>
        <v>1.08</v>
      </c>
      <c r="F3239" s="9">
        <f>_xlfn.MAXIFS(Levels!F:F,Levels!B:B,A3239)</f>
        <v>6.66</v>
      </c>
    </row>
    <row r="3240" spans="1:6" x14ac:dyDescent="0.3">
      <c r="A3240" t="s">
        <v>14707</v>
      </c>
      <c r="B3240" s="6">
        <f>COUNTIF(Levels!B:B,A3240)</f>
        <v>1</v>
      </c>
      <c r="C3240" s="6">
        <f>IFERROR(AVERAGEIF(Levels!B:B,A3240,Levels!E:E),0)</f>
        <v>2.71</v>
      </c>
      <c r="D3240" s="6">
        <f>IFERROR(AVERAGEIF(Levels!B:B,A3240,Levels!F:F),0)</f>
        <v>7.5</v>
      </c>
      <c r="E3240" s="6">
        <f>_xlfn.MAXIFS(Levels!E:E,Levels!B:B,A3240)</f>
        <v>2.71</v>
      </c>
      <c r="F3240" s="6">
        <f>_xlfn.MAXIFS(Levels!F:F,Levels!B:B,A3240)</f>
        <v>7.5</v>
      </c>
    </row>
    <row r="3241" spans="1:6" x14ac:dyDescent="0.3">
      <c r="A3241" t="s">
        <v>14713</v>
      </c>
      <c r="B3241" s="9">
        <f>COUNTIF(Levels!B:B,A3241)</f>
        <v>1</v>
      </c>
      <c r="C3241" s="9">
        <f>IFERROR(AVERAGEIF(Levels!B:B,A3241,Levels!E:E),0)</f>
        <v>0</v>
      </c>
      <c r="D3241" s="9">
        <f>IFERROR(AVERAGEIF(Levels!B:B,A3241,Levels!F:F),0)</f>
        <v>6.14</v>
      </c>
      <c r="E3241" s="9">
        <f>_xlfn.MAXIFS(Levels!E:E,Levels!B:B,A3241)</f>
        <v>0</v>
      </c>
      <c r="F3241" s="9">
        <f>_xlfn.MAXIFS(Levels!F:F,Levels!B:B,A3241)</f>
        <v>6.14</v>
      </c>
    </row>
    <row r="3242" spans="1:6" x14ac:dyDescent="0.3">
      <c r="A3242" t="s">
        <v>14719</v>
      </c>
      <c r="B3242" s="6">
        <f>COUNTIF(Levels!B:B,A3242)</f>
        <v>1</v>
      </c>
      <c r="C3242" s="6">
        <f>IFERROR(AVERAGEIF(Levels!B:B,A3242,Levels!E:E),0)</f>
        <v>13.86</v>
      </c>
      <c r="D3242" s="6">
        <f>IFERROR(AVERAGEIF(Levels!B:B,A3242,Levels!F:F),0)</f>
        <v>7.14</v>
      </c>
      <c r="E3242" s="6">
        <f>_xlfn.MAXIFS(Levels!E:E,Levels!B:B,A3242)</f>
        <v>13.86</v>
      </c>
      <c r="F3242" s="6">
        <f>_xlfn.MAXIFS(Levels!F:F,Levels!B:B,A3242)</f>
        <v>7.14</v>
      </c>
    </row>
    <row r="3243" spans="1:6" x14ac:dyDescent="0.3">
      <c r="A3243" t="s">
        <v>14727</v>
      </c>
      <c r="B3243" s="9">
        <f>COUNTIF(Levels!B:B,A3243)</f>
        <v>1</v>
      </c>
      <c r="C3243" s="9">
        <f>IFERROR(AVERAGEIF(Levels!B:B,A3243,Levels!E:E),0)</f>
        <v>0</v>
      </c>
      <c r="D3243" s="9">
        <f>IFERROR(AVERAGEIF(Levels!B:B,A3243,Levels!F:F),0)</f>
        <v>0</v>
      </c>
      <c r="E3243" s="9">
        <f>_xlfn.MAXIFS(Levels!E:E,Levels!B:B,A3243)</f>
        <v>0</v>
      </c>
      <c r="F3243" s="9">
        <f>_xlfn.MAXIFS(Levels!F:F,Levels!B:B,A3243)</f>
        <v>0</v>
      </c>
    </row>
    <row r="3244" spans="1:6" x14ac:dyDescent="0.3">
      <c r="A3244" t="s">
        <v>14731</v>
      </c>
      <c r="B3244" s="6">
        <f>COUNTIF(Levels!B:B,A3244)</f>
        <v>1</v>
      </c>
      <c r="C3244" s="6">
        <f>IFERROR(AVERAGEIF(Levels!B:B,A3244,Levels!E:E),0)</f>
        <v>12.25</v>
      </c>
      <c r="D3244" s="6">
        <f>IFERROR(AVERAGEIF(Levels!B:B,A3244,Levels!F:F),0)</f>
        <v>4.5</v>
      </c>
      <c r="E3244" s="6">
        <f>_xlfn.MAXIFS(Levels!E:E,Levels!B:B,A3244)</f>
        <v>12.25</v>
      </c>
      <c r="F3244" s="6">
        <f>_xlfn.MAXIFS(Levels!F:F,Levels!B:B,A3244)</f>
        <v>4.5</v>
      </c>
    </row>
    <row r="3245" spans="1:6" x14ac:dyDescent="0.3">
      <c r="A3245" t="s">
        <v>14734</v>
      </c>
      <c r="B3245" s="9">
        <f>COUNTIF(Levels!B:B,A3245)</f>
        <v>1</v>
      </c>
      <c r="C3245" s="9">
        <f>IFERROR(AVERAGEIF(Levels!B:B,A3245,Levels!E:E),0)</f>
        <v>0</v>
      </c>
      <c r="D3245" s="9">
        <f>IFERROR(AVERAGEIF(Levels!B:B,A3245,Levels!F:F),0)</f>
        <v>6.13</v>
      </c>
      <c r="E3245" s="9">
        <f>_xlfn.MAXIFS(Levels!E:E,Levels!B:B,A3245)</f>
        <v>0</v>
      </c>
      <c r="F3245" s="9">
        <f>_xlfn.MAXIFS(Levels!F:F,Levels!B:B,A3245)</f>
        <v>6.13</v>
      </c>
    </row>
    <row r="3246" spans="1:6" x14ac:dyDescent="0.3">
      <c r="A3246" t="s">
        <v>14740</v>
      </c>
      <c r="B3246" s="6">
        <f>COUNTIF(Levels!B:B,A3246)</f>
        <v>1</v>
      </c>
      <c r="C3246" s="6">
        <f>IFERROR(AVERAGEIF(Levels!B:B,A3246,Levels!E:E),0)</f>
        <v>8.06</v>
      </c>
      <c r="D3246" s="6">
        <f>IFERROR(AVERAGEIF(Levels!B:B,A3246,Levels!F:F),0)</f>
        <v>7.93</v>
      </c>
      <c r="E3246" s="6">
        <f>_xlfn.MAXIFS(Levels!E:E,Levels!B:B,A3246)</f>
        <v>8.06</v>
      </c>
      <c r="F3246" s="6">
        <f>_xlfn.MAXIFS(Levels!F:F,Levels!B:B,A3246)</f>
        <v>7.93</v>
      </c>
    </row>
    <row r="3247" spans="1:6" x14ac:dyDescent="0.3">
      <c r="A3247" t="s">
        <v>14743</v>
      </c>
      <c r="B3247" s="9">
        <f>COUNTIF(Levels!B:B,A3247)</f>
        <v>1</v>
      </c>
      <c r="C3247" s="9">
        <f>IFERROR(AVERAGEIF(Levels!B:B,A3247,Levels!E:E),0)</f>
        <v>0</v>
      </c>
      <c r="D3247" s="9">
        <f>IFERROR(AVERAGEIF(Levels!B:B,A3247,Levels!F:F),0)</f>
        <v>8.1300000000000008</v>
      </c>
      <c r="E3247" s="9">
        <f>_xlfn.MAXIFS(Levels!E:E,Levels!B:B,A3247)</f>
        <v>0</v>
      </c>
      <c r="F3247" s="9">
        <f>_xlfn.MAXIFS(Levels!F:F,Levels!B:B,A3247)</f>
        <v>8.1300000000000008</v>
      </c>
    </row>
    <row r="3248" spans="1:6" x14ac:dyDescent="0.3">
      <c r="A3248" t="s">
        <v>14746</v>
      </c>
      <c r="B3248" s="6">
        <f>COUNTIF(Levels!B:B,A3248)</f>
        <v>1</v>
      </c>
      <c r="C3248" s="6">
        <f>IFERROR(AVERAGEIF(Levels!B:B,A3248,Levels!E:E),0)</f>
        <v>0</v>
      </c>
      <c r="D3248" s="6">
        <f>IFERROR(AVERAGEIF(Levels!B:B,A3248,Levels!F:F),0)</f>
        <v>0</v>
      </c>
      <c r="E3248" s="6">
        <f>_xlfn.MAXIFS(Levels!E:E,Levels!B:B,A3248)</f>
        <v>0</v>
      </c>
      <c r="F3248" s="6">
        <f>_xlfn.MAXIFS(Levels!F:F,Levels!B:B,A3248)</f>
        <v>0</v>
      </c>
    </row>
    <row r="3249" spans="1:6" x14ac:dyDescent="0.3">
      <c r="A3249" t="s">
        <v>14752</v>
      </c>
      <c r="B3249" s="9">
        <f>COUNTIF(Levels!B:B,A3249)</f>
        <v>1</v>
      </c>
      <c r="C3249" s="9">
        <f>IFERROR(AVERAGEIF(Levels!B:B,A3249,Levels!E:E),0)</f>
        <v>7.97</v>
      </c>
      <c r="D3249" s="9">
        <f>IFERROR(AVERAGEIF(Levels!B:B,A3249,Levels!F:F),0)</f>
        <v>7.43</v>
      </c>
      <c r="E3249" s="9">
        <f>_xlfn.MAXIFS(Levels!E:E,Levels!B:B,A3249)</f>
        <v>7.97</v>
      </c>
      <c r="F3249" s="9">
        <f>_xlfn.MAXIFS(Levels!F:F,Levels!B:B,A3249)</f>
        <v>7.43</v>
      </c>
    </row>
    <row r="3250" spans="1:6" x14ac:dyDescent="0.3">
      <c r="A3250" t="s">
        <v>14757</v>
      </c>
      <c r="B3250" s="6">
        <f>COUNTIF(Levels!B:B,A3250)</f>
        <v>1</v>
      </c>
      <c r="C3250" s="6">
        <f>IFERROR(AVERAGEIF(Levels!B:B,A3250,Levels!E:E),0)</f>
        <v>0</v>
      </c>
      <c r="D3250" s="6">
        <f>IFERROR(AVERAGEIF(Levels!B:B,A3250,Levels!F:F),0)</f>
        <v>0</v>
      </c>
      <c r="E3250" s="6">
        <f>_xlfn.MAXIFS(Levels!E:E,Levels!B:B,A3250)</f>
        <v>0</v>
      </c>
      <c r="F3250" s="6">
        <f>_xlfn.MAXIFS(Levels!F:F,Levels!B:B,A3250)</f>
        <v>0</v>
      </c>
    </row>
    <row r="3251" spans="1:6" x14ac:dyDescent="0.3">
      <c r="A3251" t="s">
        <v>14760</v>
      </c>
      <c r="B3251" s="9">
        <f>COUNTIF(Levels!B:B,A3251)</f>
        <v>1</v>
      </c>
      <c r="C3251" s="9">
        <f>IFERROR(AVERAGEIF(Levels!B:B,A3251,Levels!E:E),0)</f>
        <v>1.67</v>
      </c>
      <c r="D3251" s="9">
        <f>IFERROR(AVERAGEIF(Levels!B:B,A3251,Levels!F:F),0)</f>
        <v>8.02</v>
      </c>
      <c r="E3251" s="9">
        <f>_xlfn.MAXIFS(Levels!E:E,Levels!B:B,A3251)</f>
        <v>1.67</v>
      </c>
      <c r="F3251" s="9">
        <f>_xlfn.MAXIFS(Levels!F:F,Levels!B:B,A3251)</f>
        <v>8.02</v>
      </c>
    </row>
    <row r="3252" spans="1:6" x14ac:dyDescent="0.3">
      <c r="A3252" t="s">
        <v>14772</v>
      </c>
      <c r="B3252" s="6">
        <f>COUNTIF(Levels!B:B,A3252)</f>
        <v>1</v>
      </c>
      <c r="C3252" s="6">
        <f>IFERROR(AVERAGEIF(Levels!B:B,A3252,Levels!E:E),0)</f>
        <v>0</v>
      </c>
      <c r="D3252" s="6">
        <f>IFERROR(AVERAGEIF(Levels!B:B,A3252,Levels!F:F),0)</f>
        <v>7.89</v>
      </c>
      <c r="E3252" s="6">
        <f>_xlfn.MAXIFS(Levels!E:E,Levels!B:B,A3252)</f>
        <v>0</v>
      </c>
      <c r="F3252" s="6">
        <f>_xlfn.MAXIFS(Levels!F:F,Levels!B:B,A3252)</f>
        <v>7.89</v>
      </c>
    </row>
    <row r="3253" spans="1:6" x14ac:dyDescent="0.3">
      <c r="A3253" t="s">
        <v>14778</v>
      </c>
      <c r="B3253" s="9">
        <f>COUNTIF(Levels!B:B,A3253)</f>
        <v>1</v>
      </c>
      <c r="C3253" s="9">
        <f>IFERROR(AVERAGEIF(Levels!B:B,A3253,Levels!E:E),0)</f>
        <v>0</v>
      </c>
      <c r="D3253" s="9">
        <f>IFERROR(AVERAGEIF(Levels!B:B,A3253,Levels!F:F),0)</f>
        <v>6.64</v>
      </c>
      <c r="E3253" s="9">
        <f>_xlfn.MAXIFS(Levels!E:E,Levels!B:B,A3253)</f>
        <v>0</v>
      </c>
      <c r="F3253" s="9">
        <f>_xlfn.MAXIFS(Levels!F:F,Levels!B:B,A3253)</f>
        <v>6.64</v>
      </c>
    </row>
    <row r="3254" spans="1:6" x14ac:dyDescent="0.3">
      <c r="A3254" t="s">
        <v>14780</v>
      </c>
      <c r="B3254" s="6">
        <f>COUNTIF(Levels!B:B,A3254)</f>
        <v>1</v>
      </c>
      <c r="C3254" s="6">
        <f>IFERROR(AVERAGEIF(Levels!B:B,A3254,Levels!E:E),0)</f>
        <v>0</v>
      </c>
      <c r="D3254" s="6">
        <f>IFERROR(AVERAGEIF(Levels!B:B,A3254,Levels!F:F),0)</f>
        <v>7.8</v>
      </c>
      <c r="E3254" s="6">
        <f>_xlfn.MAXIFS(Levels!E:E,Levels!B:B,A3254)</f>
        <v>0</v>
      </c>
      <c r="F3254" s="6">
        <f>_xlfn.MAXIFS(Levels!F:F,Levels!B:B,A3254)</f>
        <v>7.8</v>
      </c>
    </row>
    <row r="3255" spans="1:6" x14ac:dyDescent="0.3">
      <c r="A3255" t="s">
        <v>14788</v>
      </c>
      <c r="B3255" s="9">
        <f>COUNTIF(Levels!B:B,A3255)</f>
        <v>1</v>
      </c>
      <c r="C3255" s="9">
        <f>IFERROR(AVERAGEIF(Levels!B:B,A3255,Levels!E:E),0)</f>
        <v>3.02</v>
      </c>
      <c r="D3255" s="9">
        <f>IFERROR(AVERAGEIF(Levels!B:B,A3255,Levels!F:F),0)</f>
        <v>8.68</v>
      </c>
      <c r="E3255" s="9">
        <f>_xlfn.MAXIFS(Levels!E:E,Levels!B:B,A3255)</f>
        <v>3.02</v>
      </c>
      <c r="F3255" s="9">
        <f>_xlfn.MAXIFS(Levels!F:F,Levels!B:B,A3255)</f>
        <v>8.68</v>
      </c>
    </row>
    <row r="3256" spans="1:6" x14ac:dyDescent="0.3">
      <c r="A3256" t="s">
        <v>14793</v>
      </c>
      <c r="B3256" s="6">
        <f>COUNTIF(Levels!B:B,A3256)</f>
        <v>1</v>
      </c>
      <c r="C3256" s="6">
        <f>IFERROR(AVERAGEIF(Levels!B:B,A3256,Levels!E:E),0)</f>
        <v>0</v>
      </c>
      <c r="D3256" s="6">
        <f>IFERROR(AVERAGEIF(Levels!B:B,A3256,Levels!F:F),0)</f>
        <v>4</v>
      </c>
      <c r="E3256" s="6">
        <f>_xlfn.MAXIFS(Levels!E:E,Levels!B:B,A3256)</f>
        <v>0</v>
      </c>
      <c r="F3256" s="6">
        <f>_xlfn.MAXIFS(Levels!F:F,Levels!B:B,A3256)</f>
        <v>4</v>
      </c>
    </row>
    <row r="3257" spans="1:6" x14ac:dyDescent="0.3">
      <c r="A3257" t="s">
        <v>14797</v>
      </c>
      <c r="B3257" s="9">
        <f>COUNTIF(Levels!B:B,A3257)</f>
        <v>1</v>
      </c>
      <c r="C3257" s="9">
        <f>IFERROR(AVERAGEIF(Levels!B:B,A3257,Levels!E:E),0)</f>
        <v>1.24</v>
      </c>
      <c r="D3257" s="9">
        <f>IFERROR(AVERAGEIF(Levels!B:B,A3257,Levels!F:F),0)</f>
        <v>7.05</v>
      </c>
      <c r="E3257" s="9">
        <f>_xlfn.MAXIFS(Levels!E:E,Levels!B:B,A3257)</f>
        <v>1.24</v>
      </c>
      <c r="F3257" s="9">
        <f>_xlfn.MAXIFS(Levels!F:F,Levels!B:B,A3257)</f>
        <v>7.05</v>
      </c>
    </row>
    <row r="3258" spans="1:6" x14ac:dyDescent="0.3">
      <c r="A3258" t="s">
        <v>14799</v>
      </c>
      <c r="B3258" s="6">
        <f>COUNTIF(Levels!B:B,A3258)</f>
        <v>1</v>
      </c>
      <c r="C3258" s="6">
        <f>IFERROR(AVERAGEIF(Levels!B:B,A3258,Levels!E:E),0)</f>
        <v>8.0399999999999991</v>
      </c>
      <c r="D3258" s="6">
        <f>IFERROR(AVERAGEIF(Levels!B:B,A3258,Levels!F:F),0)</f>
        <v>7.85</v>
      </c>
      <c r="E3258" s="6">
        <f>_xlfn.MAXIFS(Levels!E:E,Levels!B:B,A3258)</f>
        <v>8.0399999999999991</v>
      </c>
      <c r="F3258" s="6">
        <f>_xlfn.MAXIFS(Levels!F:F,Levels!B:B,A3258)</f>
        <v>7.85</v>
      </c>
    </row>
    <row r="3259" spans="1:6" x14ac:dyDescent="0.3">
      <c r="A3259" t="s">
        <v>14801</v>
      </c>
      <c r="B3259" s="9">
        <f>COUNTIF(Levels!B:B,A3259)</f>
        <v>1</v>
      </c>
      <c r="C3259" s="9">
        <f>IFERROR(AVERAGEIF(Levels!B:B,A3259,Levels!E:E),0)</f>
        <v>25</v>
      </c>
      <c r="D3259" s="9">
        <f>IFERROR(AVERAGEIF(Levels!B:B,A3259,Levels!F:F),0)</f>
        <v>7.5</v>
      </c>
      <c r="E3259" s="9">
        <f>_xlfn.MAXIFS(Levels!E:E,Levels!B:B,A3259)</f>
        <v>25</v>
      </c>
      <c r="F3259" s="9">
        <f>_xlfn.MAXIFS(Levels!F:F,Levels!B:B,A3259)</f>
        <v>7.5</v>
      </c>
    </row>
    <row r="3260" spans="1:6" x14ac:dyDescent="0.3">
      <c r="A3260" t="s">
        <v>14804</v>
      </c>
      <c r="B3260" s="6">
        <f>COUNTIF(Levels!B:B,A3260)</f>
        <v>1</v>
      </c>
      <c r="C3260" s="6">
        <f>IFERROR(AVERAGEIF(Levels!B:B,A3260,Levels!E:E),0)</f>
        <v>18.829999999999998</v>
      </c>
      <c r="D3260" s="6">
        <f>IFERROR(AVERAGEIF(Levels!B:B,A3260,Levels!F:F),0)</f>
        <v>3.33</v>
      </c>
      <c r="E3260" s="6">
        <f>_xlfn.MAXIFS(Levels!E:E,Levels!B:B,A3260)</f>
        <v>18.829999999999998</v>
      </c>
      <c r="F3260" s="6">
        <f>_xlfn.MAXIFS(Levels!F:F,Levels!B:B,A3260)</f>
        <v>3.33</v>
      </c>
    </row>
    <row r="3261" spans="1:6" x14ac:dyDescent="0.3">
      <c r="A3261" t="s">
        <v>14816</v>
      </c>
      <c r="B3261" s="9">
        <f>COUNTIF(Levels!B:B,A3261)</f>
        <v>1</v>
      </c>
      <c r="C3261" s="9">
        <f>IFERROR(AVERAGEIF(Levels!B:B,A3261,Levels!E:E),0)</f>
        <v>14</v>
      </c>
      <c r="D3261" s="9">
        <f>IFERROR(AVERAGEIF(Levels!B:B,A3261,Levels!F:F),0)</f>
        <v>7.6</v>
      </c>
      <c r="E3261" s="9">
        <f>_xlfn.MAXIFS(Levels!E:E,Levels!B:B,A3261)</f>
        <v>14</v>
      </c>
      <c r="F3261" s="9">
        <f>_xlfn.MAXIFS(Levels!F:F,Levels!B:B,A3261)</f>
        <v>7.6</v>
      </c>
    </row>
    <row r="3262" spans="1:6" x14ac:dyDescent="0.3">
      <c r="A3262" t="s">
        <v>14823</v>
      </c>
      <c r="B3262" s="6">
        <f>COUNTIF(Levels!B:B,A3262)</f>
        <v>1</v>
      </c>
      <c r="C3262" s="6">
        <f>IFERROR(AVERAGEIF(Levels!B:B,A3262,Levels!E:E),0)</f>
        <v>22</v>
      </c>
      <c r="D3262" s="6">
        <f>IFERROR(AVERAGEIF(Levels!B:B,A3262,Levels!F:F),0)</f>
        <v>8</v>
      </c>
      <c r="E3262" s="6">
        <f>_xlfn.MAXIFS(Levels!E:E,Levels!B:B,A3262)</f>
        <v>22</v>
      </c>
      <c r="F3262" s="6">
        <f>_xlfn.MAXIFS(Levels!F:F,Levels!B:B,A3262)</f>
        <v>8</v>
      </c>
    </row>
    <row r="3263" spans="1:6" x14ac:dyDescent="0.3">
      <c r="A3263" t="s">
        <v>14832</v>
      </c>
      <c r="B3263" s="9">
        <f>COUNTIF(Levels!B:B,A3263)</f>
        <v>1</v>
      </c>
      <c r="C3263" s="9">
        <f>IFERROR(AVERAGEIF(Levels!B:B,A3263,Levels!E:E),0)</f>
        <v>21</v>
      </c>
      <c r="D3263" s="9">
        <f>IFERROR(AVERAGEIF(Levels!B:B,A3263,Levels!F:F),0)</f>
        <v>7</v>
      </c>
      <c r="E3263" s="9">
        <f>_xlfn.MAXIFS(Levels!E:E,Levels!B:B,A3263)</f>
        <v>21</v>
      </c>
      <c r="F3263" s="9">
        <f>_xlfn.MAXIFS(Levels!F:F,Levels!B:B,A3263)</f>
        <v>7</v>
      </c>
    </row>
    <row r="3264" spans="1:6" x14ac:dyDescent="0.3">
      <c r="A3264" t="s">
        <v>14837</v>
      </c>
      <c r="B3264" s="6">
        <f>COUNTIF(Levels!B:B,A3264)</f>
        <v>1</v>
      </c>
      <c r="C3264" s="6">
        <f>IFERROR(AVERAGEIF(Levels!B:B,A3264,Levels!E:E),0)</f>
        <v>0</v>
      </c>
      <c r="D3264" s="6">
        <f>IFERROR(AVERAGEIF(Levels!B:B,A3264,Levels!F:F),0)</f>
        <v>8.14</v>
      </c>
      <c r="E3264" s="6">
        <f>_xlfn.MAXIFS(Levels!E:E,Levels!B:B,A3264)</f>
        <v>0</v>
      </c>
      <c r="F3264" s="6">
        <f>_xlfn.MAXIFS(Levels!F:F,Levels!B:B,A3264)</f>
        <v>8.14</v>
      </c>
    </row>
    <row r="3265" spans="1:6" x14ac:dyDescent="0.3">
      <c r="A3265" t="s">
        <v>14844</v>
      </c>
      <c r="B3265" s="9">
        <f>COUNTIF(Levels!B:B,A3265)</f>
        <v>1</v>
      </c>
      <c r="C3265" s="9">
        <f>IFERROR(AVERAGEIF(Levels!B:B,A3265,Levels!E:E),0)</f>
        <v>0</v>
      </c>
      <c r="D3265" s="9">
        <f>IFERROR(AVERAGEIF(Levels!B:B,A3265,Levels!F:F),0)</f>
        <v>6.8</v>
      </c>
      <c r="E3265" s="9">
        <f>_xlfn.MAXIFS(Levels!E:E,Levels!B:B,A3265)</f>
        <v>0</v>
      </c>
      <c r="F3265" s="9">
        <f>_xlfn.MAXIFS(Levels!F:F,Levels!B:B,A3265)</f>
        <v>6.8</v>
      </c>
    </row>
    <row r="3266" spans="1:6" x14ac:dyDescent="0.3">
      <c r="A3266" t="s">
        <v>14848</v>
      </c>
      <c r="B3266" s="6">
        <f>COUNTIF(Levels!B:B,A3266)</f>
        <v>1</v>
      </c>
      <c r="C3266" s="6">
        <f>IFERROR(AVERAGEIF(Levels!B:B,A3266,Levels!E:E),0)</f>
        <v>0</v>
      </c>
      <c r="D3266" s="6">
        <f>IFERROR(AVERAGEIF(Levels!B:B,A3266,Levels!F:F),0)</f>
        <v>5.83</v>
      </c>
      <c r="E3266" s="6">
        <f>_xlfn.MAXIFS(Levels!E:E,Levels!B:B,A3266)</f>
        <v>0</v>
      </c>
      <c r="F3266" s="6">
        <f>_xlfn.MAXIFS(Levels!F:F,Levels!B:B,A3266)</f>
        <v>5.83</v>
      </c>
    </row>
    <row r="3267" spans="1:6" x14ac:dyDescent="0.3">
      <c r="A3267" t="s">
        <v>14855</v>
      </c>
      <c r="B3267" s="9">
        <f>COUNTIF(Levels!B:B,A3267)</f>
        <v>1</v>
      </c>
      <c r="C3267" s="9">
        <f>IFERROR(AVERAGEIF(Levels!B:B,A3267,Levels!E:E),0)</f>
        <v>0</v>
      </c>
      <c r="D3267" s="9">
        <f>IFERROR(AVERAGEIF(Levels!B:B,A3267,Levels!F:F),0)</f>
        <v>5.94</v>
      </c>
      <c r="E3267" s="9">
        <f>_xlfn.MAXIFS(Levels!E:E,Levels!B:B,A3267)</f>
        <v>0</v>
      </c>
      <c r="F3267" s="9">
        <f>_xlfn.MAXIFS(Levels!F:F,Levels!B:B,A3267)</f>
        <v>5.94</v>
      </c>
    </row>
    <row r="3268" spans="1:6" x14ac:dyDescent="0.3">
      <c r="A3268" t="s">
        <v>14860</v>
      </c>
      <c r="B3268" s="6">
        <f>COUNTIF(Levels!B:B,A3268)</f>
        <v>1</v>
      </c>
      <c r="C3268" s="6">
        <f>IFERROR(AVERAGEIF(Levels!B:B,A3268,Levels!E:E),0)</f>
        <v>12.74</v>
      </c>
      <c r="D3268" s="6">
        <f>IFERROR(AVERAGEIF(Levels!B:B,A3268,Levels!F:F),0)</f>
        <v>8.68</v>
      </c>
      <c r="E3268" s="6">
        <f>_xlfn.MAXIFS(Levels!E:E,Levels!B:B,A3268)</f>
        <v>12.74</v>
      </c>
      <c r="F3268" s="6">
        <f>_xlfn.MAXIFS(Levels!F:F,Levels!B:B,A3268)</f>
        <v>8.68</v>
      </c>
    </row>
    <row r="3269" spans="1:6" x14ac:dyDescent="0.3">
      <c r="A3269" t="s">
        <v>14863</v>
      </c>
      <c r="B3269" s="9">
        <f>COUNTIF(Levels!B:B,A3269)</f>
        <v>1</v>
      </c>
      <c r="C3269" s="9">
        <f>IFERROR(AVERAGEIF(Levels!B:B,A3269,Levels!E:E),0)</f>
        <v>0</v>
      </c>
      <c r="D3269" s="9">
        <f>IFERROR(AVERAGEIF(Levels!B:B,A3269,Levels!F:F),0)</f>
        <v>8.67</v>
      </c>
      <c r="E3269" s="9">
        <f>_xlfn.MAXIFS(Levels!E:E,Levels!B:B,A3269)</f>
        <v>0</v>
      </c>
      <c r="F3269" s="9">
        <f>_xlfn.MAXIFS(Levels!F:F,Levels!B:B,A3269)</f>
        <v>8.67</v>
      </c>
    </row>
    <row r="3270" spans="1:6" x14ac:dyDescent="0.3">
      <c r="A3270" t="s">
        <v>14866</v>
      </c>
      <c r="B3270" s="6">
        <f>COUNTIF(Levels!B:B,A3270)</f>
        <v>1</v>
      </c>
      <c r="C3270" s="6">
        <f>IFERROR(AVERAGEIF(Levels!B:B,A3270,Levels!E:E),0)</f>
        <v>0</v>
      </c>
      <c r="D3270" s="6">
        <f>IFERROR(AVERAGEIF(Levels!B:B,A3270,Levels!F:F),0)</f>
        <v>7</v>
      </c>
      <c r="E3270" s="6">
        <f>_xlfn.MAXIFS(Levels!E:E,Levels!B:B,A3270)</f>
        <v>0</v>
      </c>
      <c r="F3270" s="6">
        <f>_xlfn.MAXIFS(Levels!F:F,Levels!B:B,A3270)</f>
        <v>7</v>
      </c>
    </row>
    <row r="3271" spans="1:6" x14ac:dyDescent="0.3">
      <c r="A3271" t="s">
        <v>14871</v>
      </c>
      <c r="B3271" s="9">
        <f>COUNTIF(Levels!B:B,A3271)</f>
        <v>1</v>
      </c>
      <c r="C3271" s="9">
        <f>IFERROR(AVERAGEIF(Levels!B:B,A3271,Levels!E:E),0)</f>
        <v>0</v>
      </c>
      <c r="D3271" s="9">
        <f>IFERROR(AVERAGEIF(Levels!B:B,A3271,Levels!F:F),0)</f>
        <v>6.83</v>
      </c>
      <c r="E3271" s="9">
        <f>_xlfn.MAXIFS(Levels!E:E,Levels!B:B,A3271)</f>
        <v>0</v>
      </c>
      <c r="F3271" s="9">
        <f>_xlfn.MAXIFS(Levels!F:F,Levels!B:B,A3271)</f>
        <v>6.83</v>
      </c>
    </row>
    <row r="3272" spans="1:6" x14ac:dyDescent="0.3">
      <c r="A3272" t="s">
        <v>14873</v>
      </c>
      <c r="B3272" s="6">
        <f>COUNTIF(Levels!B:B,A3272)</f>
        <v>1</v>
      </c>
      <c r="C3272" s="6">
        <f>IFERROR(AVERAGEIF(Levels!B:B,A3272,Levels!E:E),0)</f>
        <v>9.48</v>
      </c>
      <c r="D3272" s="6">
        <f>IFERROR(AVERAGEIF(Levels!B:B,A3272,Levels!F:F),0)</f>
        <v>8</v>
      </c>
      <c r="E3272" s="6">
        <f>_xlfn.MAXIFS(Levels!E:E,Levels!B:B,A3272)</f>
        <v>9.48</v>
      </c>
      <c r="F3272" s="6">
        <f>_xlfn.MAXIFS(Levels!F:F,Levels!B:B,A3272)</f>
        <v>8</v>
      </c>
    </row>
    <row r="3273" spans="1:6" x14ac:dyDescent="0.3">
      <c r="A3273" t="s">
        <v>14876</v>
      </c>
      <c r="B3273" s="9">
        <f>COUNTIF(Levels!B:B,A3273)</f>
        <v>2</v>
      </c>
      <c r="C3273" s="9">
        <f>IFERROR(AVERAGEIF(Levels!B:B,A3273,Levels!E:E),0)</f>
        <v>12.41</v>
      </c>
      <c r="D3273" s="9">
        <f>IFERROR(AVERAGEIF(Levels!B:B,A3273,Levels!F:F),0)</f>
        <v>9</v>
      </c>
      <c r="E3273" s="9">
        <f>_xlfn.MAXIFS(Levels!E:E,Levels!B:B,A3273)</f>
        <v>13.67</v>
      </c>
      <c r="F3273" s="9">
        <f>_xlfn.MAXIFS(Levels!F:F,Levels!B:B,A3273)</f>
        <v>10</v>
      </c>
    </row>
    <row r="3274" spans="1:6" x14ac:dyDescent="0.3">
      <c r="A3274" t="s">
        <v>14880</v>
      </c>
      <c r="B3274" s="6">
        <f>COUNTIF(Levels!B:B,A3274)</f>
        <v>1</v>
      </c>
      <c r="C3274" s="6">
        <f>IFERROR(AVERAGEIF(Levels!B:B,A3274,Levels!E:E),0)</f>
        <v>11</v>
      </c>
      <c r="D3274" s="6">
        <f>IFERROR(AVERAGEIF(Levels!B:B,A3274,Levels!F:F),0)</f>
        <v>5.08</v>
      </c>
      <c r="E3274" s="6">
        <f>_xlfn.MAXIFS(Levels!E:E,Levels!B:B,A3274)</f>
        <v>11</v>
      </c>
      <c r="F3274" s="6">
        <f>_xlfn.MAXIFS(Levels!F:F,Levels!B:B,A3274)</f>
        <v>5.08</v>
      </c>
    </row>
    <row r="3275" spans="1:6" x14ac:dyDescent="0.3">
      <c r="A3275" t="s">
        <v>14884</v>
      </c>
      <c r="B3275" s="9">
        <f>COUNTIF(Levels!B:B,A3275)</f>
        <v>1</v>
      </c>
      <c r="C3275" s="9">
        <f>IFERROR(AVERAGEIF(Levels!B:B,A3275,Levels!E:E),0)</f>
        <v>0</v>
      </c>
      <c r="D3275" s="9">
        <f>IFERROR(AVERAGEIF(Levels!B:B,A3275,Levels!F:F),0)</f>
        <v>8</v>
      </c>
      <c r="E3275" s="9">
        <f>_xlfn.MAXIFS(Levels!E:E,Levels!B:B,A3275)</f>
        <v>0</v>
      </c>
      <c r="F3275" s="9">
        <f>_xlfn.MAXIFS(Levels!F:F,Levels!B:B,A3275)</f>
        <v>8</v>
      </c>
    </row>
    <row r="3276" spans="1:6" x14ac:dyDescent="0.3">
      <c r="A3276" t="s">
        <v>14888</v>
      </c>
      <c r="B3276" s="6">
        <f>COUNTIF(Levels!B:B,A3276)</f>
        <v>1</v>
      </c>
      <c r="C3276" s="6">
        <f>IFERROR(AVERAGEIF(Levels!B:B,A3276,Levels!E:E),0)</f>
        <v>0</v>
      </c>
      <c r="D3276" s="6">
        <f>IFERROR(AVERAGEIF(Levels!B:B,A3276,Levels!F:F),0)</f>
        <v>6.42</v>
      </c>
      <c r="E3276" s="6">
        <f>_xlfn.MAXIFS(Levels!E:E,Levels!B:B,A3276)</f>
        <v>0</v>
      </c>
      <c r="F3276" s="6">
        <f>_xlfn.MAXIFS(Levels!F:F,Levels!B:B,A3276)</f>
        <v>6.42</v>
      </c>
    </row>
    <row r="3277" spans="1:6" x14ac:dyDescent="0.3">
      <c r="A3277" t="s">
        <v>14890</v>
      </c>
      <c r="B3277" s="9">
        <f>COUNTIF(Levels!B:B,A3277)</f>
        <v>1</v>
      </c>
      <c r="C3277" s="9">
        <f>IFERROR(AVERAGEIF(Levels!B:B,A3277,Levels!E:E),0)</f>
        <v>0</v>
      </c>
      <c r="D3277" s="9">
        <f>IFERROR(AVERAGEIF(Levels!B:B,A3277,Levels!F:F),0)</f>
        <v>7.58</v>
      </c>
      <c r="E3277" s="9">
        <f>_xlfn.MAXIFS(Levels!E:E,Levels!B:B,A3277)</f>
        <v>0</v>
      </c>
      <c r="F3277" s="9">
        <f>_xlfn.MAXIFS(Levels!F:F,Levels!B:B,A3277)</f>
        <v>7.58</v>
      </c>
    </row>
    <row r="3278" spans="1:6" x14ac:dyDescent="0.3">
      <c r="A3278" t="s">
        <v>14893</v>
      </c>
      <c r="B3278" s="6">
        <f>COUNTIF(Levels!B:B,A3278)</f>
        <v>1</v>
      </c>
      <c r="C3278" s="6">
        <f>IFERROR(AVERAGEIF(Levels!B:B,A3278,Levels!E:E),0)</f>
        <v>2.42</v>
      </c>
      <c r="D3278" s="6">
        <f>IFERROR(AVERAGEIF(Levels!B:B,A3278,Levels!F:F),0)</f>
        <v>8.19</v>
      </c>
      <c r="E3278" s="6">
        <f>_xlfn.MAXIFS(Levels!E:E,Levels!B:B,A3278)</f>
        <v>2.42</v>
      </c>
      <c r="F3278" s="6">
        <f>_xlfn.MAXIFS(Levels!F:F,Levels!B:B,A3278)</f>
        <v>8.19</v>
      </c>
    </row>
    <row r="3279" spans="1:6" x14ac:dyDescent="0.3">
      <c r="A3279" t="s">
        <v>14899</v>
      </c>
      <c r="B3279" s="9">
        <f>COUNTIF(Levels!B:B,A3279)</f>
        <v>1</v>
      </c>
      <c r="C3279" s="9">
        <f>IFERROR(AVERAGEIF(Levels!B:B,A3279,Levels!E:E),0)</f>
        <v>20.28</v>
      </c>
      <c r="D3279" s="9">
        <f>IFERROR(AVERAGEIF(Levels!B:B,A3279,Levels!F:F),0)</f>
        <v>9</v>
      </c>
      <c r="E3279" s="9">
        <f>_xlfn.MAXIFS(Levels!E:E,Levels!B:B,A3279)</f>
        <v>20.28</v>
      </c>
      <c r="F3279" s="9">
        <f>_xlfn.MAXIFS(Levels!F:F,Levels!B:B,A3279)</f>
        <v>9</v>
      </c>
    </row>
    <row r="3280" spans="1:6" x14ac:dyDescent="0.3">
      <c r="A3280" t="s">
        <v>14902</v>
      </c>
      <c r="B3280" s="6">
        <f>COUNTIF(Levels!B:B,A3280)</f>
        <v>1</v>
      </c>
      <c r="C3280" s="6">
        <f>IFERROR(AVERAGEIF(Levels!B:B,A3280,Levels!E:E),0)</f>
        <v>0</v>
      </c>
      <c r="D3280" s="6">
        <f>IFERROR(AVERAGEIF(Levels!B:B,A3280,Levels!F:F),0)</f>
        <v>5.25</v>
      </c>
      <c r="E3280" s="6">
        <f>_xlfn.MAXIFS(Levels!E:E,Levels!B:B,A3280)</f>
        <v>0</v>
      </c>
      <c r="F3280" s="6">
        <f>_xlfn.MAXIFS(Levels!F:F,Levels!B:B,A3280)</f>
        <v>5.25</v>
      </c>
    </row>
    <row r="3281" spans="1:6" x14ac:dyDescent="0.3">
      <c r="A3281" t="s">
        <v>14906</v>
      </c>
      <c r="B3281" s="9">
        <f>COUNTIF(Levels!B:B,A3281)</f>
        <v>1</v>
      </c>
      <c r="C3281" s="9">
        <f>IFERROR(AVERAGEIF(Levels!B:B,A3281,Levels!E:E),0)</f>
        <v>21</v>
      </c>
      <c r="D3281" s="9">
        <f>IFERROR(AVERAGEIF(Levels!B:B,A3281,Levels!F:F),0)</f>
        <v>8</v>
      </c>
      <c r="E3281" s="9">
        <f>_xlfn.MAXIFS(Levels!E:E,Levels!B:B,A3281)</f>
        <v>21</v>
      </c>
      <c r="F3281" s="9">
        <f>_xlfn.MAXIFS(Levels!F:F,Levels!B:B,A3281)</f>
        <v>8</v>
      </c>
    </row>
    <row r="3282" spans="1:6" x14ac:dyDescent="0.3">
      <c r="A3282" t="s">
        <v>14907</v>
      </c>
      <c r="B3282" s="6">
        <f>COUNTIF(Levels!B:B,A3282)</f>
        <v>1</v>
      </c>
      <c r="C3282" s="6">
        <f>IFERROR(AVERAGEIF(Levels!B:B,A3282,Levels!E:E),0)</f>
        <v>2.59</v>
      </c>
      <c r="D3282" s="6">
        <f>IFERROR(AVERAGEIF(Levels!B:B,A3282,Levels!F:F),0)</f>
        <v>7.72</v>
      </c>
      <c r="E3282" s="6">
        <f>_xlfn.MAXIFS(Levels!E:E,Levels!B:B,A3282)</f>
        <v>2.59</v>
      </c>
      <c r="F3282" s="6">
        <f>_xlfn.MAXIFS(Levels!F:F,Levels!B:B,A3282)</f>
        <v>7.72</v>
      </c>
    </row>
    <row r="3283" spans="1:6" x14ac:dyDescent="0.3">
      <c r="A3283" t="s">
        <v>14909</v>
      </c>
      <c r="B3283" s="9">
        <f>COUNTIF(Levels!B:B,A3283)</f>
        <v>1</v>
      </c>
      <c r="C3283" s="9">
        <f>IFERROR(AVERAGEIF(Levels!B:B,A3283,Levels!E:E),0)</f>
        <v>6.15</v>
      </c>
      <c r="D3283" s="9">
        <f>IFERROR(AVERAGEIF(Levels!B:B,A3283,Levels!F:F),0)</f>
        <v>8.6300000000000008</v>
      </c>
      <c r="E3283" s="9">
        <f>_xlfn.MAXIFS(Levels!E:E,Levels!B:B,A3283)</f>
        <v>6.15</v>
      </c>
      <c r="F3283" s="9">
        <f>_xlfn.MAXIFS(Levels!F:F,Levels!B:B,A3283)</f>
        <v>8.6300000000000008</v>
      </c>
    </row>
    <row r="3284" spans="1:6" x14ac:dyDescent="0.3">
      <c r="A3284" t="s">
        <v>14912</v>
      </c>
      <c r="B3284" s="6">
        <f>COUNTIF(Levels!B:B,A3284)</f>
        <v>1</v>
      </c>
      <c r="C3284" s="6">
        <f>IFERROR(AVERAGEIF(Levels!B:B,A3284,Levels!E:E),0)</f>
        <v>0</v>
      </c>
      <c r="D3284" s="6">
        <f>IFERROR(AVERAGEIF(Levels!B:B,A3284,Levels!F:F),0)</f>
        <v>0</v>
      </c>
      <c r="E3284" s="6">
        <f>_xlfn.MAXIFS(Levels!E:E,Levels!B:B,A3284)</f>
        <v>0</v>
      </c>
      <c r="F3284" s="6">
        <f>_xlfn.MAXIFS(Levels!F:F,Levels!B:B,A3284)</f>
        <v>0</v>
      </c>
    </row>
    <row r="3285" spans="1:6" x14ac:dyDescent="0.3">
      <c r="A3285" t="s">
        <v>14919</v>
      </c>
      <c r="B3285" s="9">
        <f>COUNTIF(Levels!B:B,A3285)</f>
        <v>1</v>
      </c>
      <c r="C3285" s="9">
        <f>IFERROR(AVERAGEIF(Levels!B:B,A3285,Levels!E:E),0)</f>
        <v>1.06</v>
      </c>
      <c r="D3285" s="9">
        <f>IFERROR(AVERAGEIF(Levels!B:B,A3285,Levels!F:F),0)</f>
        <v>8.5399999999999991</v>
      </c>
      <c r="E3285" s="9">
        <f>_xlfn.MAXIFS(Levels!E:E,Levels!B:B,A3285)</f>
        <v>1.06</v>
      </c>
      <c r="F3285" s="9">
        <f>_xlfn.MAXIFS(Levels!F:F,Levels!B:B,A3285)</f>
        <v>8.5399999999999991</v>
      </c>
    </row>
    <row r="3286" spans="1:6" x14ac:dyDescent="0.3">
      <c r="A3286" t="s">
        <v>14924</v>
      </c>
      <c r="B3286" s="6">
        <f>COUNTIF(Levels!B:B,A3286)</f>
        <v>1</v>
      </c>
      <c r="C3286" s="6">
        <f>IFERROR(AVERAGEIF(Levels!B:B,A3286,Levels!E:E),0)</f>
        <v>0</v>
      </c>
      <c r="D3286" s="6">
        <f>IFERROR(AVERAGEIF(Levels!B:B,A3286,Levels!F:F),0)</f>
        <v>4.8</v>
      </c>
      <c r="E3286" s="6">
        <f>_xlfn.MAXIFS(Levels!E:E,Levels!B:B,A3286)</f>
        <v>0</v>
      </c>
      <c r="F3286" s="6">
        <f>_xlfn.MAXIFS(Levels!F:F,Levels!B:B,A3286)</f>
        <v>4.8</v>
      </c>
    </row>
    <row r="3287" spans="1:6" x14ac:dyDescent="0.3">
      <c r="A3287" t="s">
        <v>14933</v>
      </c>
      <c r="B3287" s="9">
        <f>COUNTIF(Levels!B:B,A3287)</f>
        <v>1</v>
      </c>
      <c r="C3287" s="9">
        <f>IFERROR(AVERAGEIF(Levels!B:B,A3287,Levels!E:E),0)</f>
        <v>11.41</v>
      </c>
      <c r="D3287" s="9">
        <f>IFERROR(AVERAGEIF(Levels!B:B,A3287,Levels!F:F),0)</f>
        <v>7.94</v>
      </c>
      <c r="E3287" s="9">
        <f>_xlfn.MAXIFS(Levels!E:E,Levels!B:B,A3287)</f>
        <v>11.41</v>
      </c>
      <c r="F3287" s="9">
        <f>_xlfn.MAXIFS(Levels!F:F,Levels!B:B,A3287)</f>
        <v>7.94</v>
      </c>
    </row>
    <row r="3288" spans="1:6" x14ac:dyDescent="0.3">
      <c r="A3288" t="s">
        <v>14937</v>
      </c>
      <c r="B3288" s="6">
        <f>COUNTIF(Levels!B:B,A3288)</f>
        <v>1</v>
      </c>
      <c r="C3288" s="6">
        <f>IFERROR(AVERAGEIF(Levels!B:B,A3288,Levels!E:E),0)</f>
        <v>1.84</v>
      </c>
      <c r="D3288" s="6">
        <f>IFERROR(AVERAGEIF(Levels!B:B,A3288,Levels!F:F),0)</f>
        <v>6.37</v>
      </c>
      <c r="E3288" s="6">
        <f>_xlfn.MAXIFS(Levels!E:E,Levels!B:B,A3288)</f>
        <v>1.84</v>
      </c>
      <c r="F3288" s="6">
        <f>_xlfn.MAXIFS(Levels!F:F,Levels!B:B,A3288)</f>
        <v>6.37</v>
      </c>
    </row>
    <row r="3289" spans="1:6" x14ac:dyDescent="0.3">
      <c r="A3289" t="s">
        <v>14943</v>
      </c>
      <c r="B3289" s="9">
        <f>COUNTIF(Levels!B:B,A3289)</f>
        <v>1</v>
      </c>
      <c r="C3289" s="9">
        <f>IFERROR(AVERAGEIF(Levels!B:B,A3289,Levels!E:E),0)</f>
        <v>2.33</v>
      </c>
      <c r="D3289" s="9">
        <f>IFERROR(AVERAGEIF(Levels!B:B,A3289,Levels!F:F),0)</f>
        <v>6.45</v>
      </c>
      <c r="E3289" s="9">
        <f>_xlfn.MAXIFS(Levels!E:E,Levels!B:B,A3289)</f>
        <v>2.33</v>
      </c>
      <c r="F3289" s="9">
        <f>_xlfn.MAXIFS(Levels!F:F,Levels!B:B,A3289)</f>
        <v>6.45</v>
      </c>
    </row>
    <row r="3290" spans="1:6" x14ac:dyDescent="0.3">
      <c r="A3290" t="s">
        <v>14946</v>
      </c>
      <c r="B3290" s="6">
        <f>COUNTIF(Levels!B:B,A3290)</f>
        <v>1</v>
      </c>
      <c r="C3290" s="6">
        <f>IFERROR(AVERAGEIF(Levels!B:B,A3290,Levels!E:E),0)</f>
        <v>4.68</v>
      </c>
      <c r="D3290" s="6">
        <f>IFERROR(AVERAGEIF(Levels!B:B,A3290,Levels!F:F),0)</f>
        <v>7.43</v>
      </c>
      <c r="E3290" s="6">
        <f>_xlfn.MAXIFS(Levels!E:E,Levels!B:B,A3290)</f>
        <v>4.68</v>
      </c>
      <c r="F3290" s="6">
        <f>_xlfn.MAXIFS(Levels!F:F,Levels!B:B,A3290)</f>
        <v>7.43</v>
      </c>
    </row>
    <row r="3291" spans="1:6" x14ac:dyDescent="0.3">
      <c r="A3291" t="s">
        <v>14951</v>
      </c>
      <c r="B3291" s="9">
        <f>COUNTIF(Levels!B:B,A3291)</f>
        <v>1</v>
      </c>
      <c r="C3291" s="9">
        <f>IFERROR(AVERAGEIF(Levels!B:B,A3291,Levels!E:E),0)</f>
        <v>1.32</v>
      </c>
      <c r="D3291" s="9">
        <f>IFERROR(AVERAGEIF(Levels!B:B,A3291,Levels!F:F),0)</f>
        <v>7.64</v>
      </c>
      <c r="E3291" s="9">
        <f>_xlfn.MAXIFS(Levels!E:E,Levels!B:B,A3291)</f>
        <v>1.32</v>
      </c>
      <c r="F3291" s="9">
        <f>_xlfn.MAXIFS(Levels!F:F,Levels!B:B,A3291)</f>
        <v>7.64</v>
      </c>
    </row>
    <row r="3292" spans="1:6" x14ac:dyDescent="0.3">
      <c r="A3292" t="s">
        <v>14954</v>
      </c>
      <c r="B3292" s="6">
        <f>COUNTIF(Levels!B:B,A3292)</f>
        <v>1</v>
      </c>
      <c r="C3292" s="6">
        <f>IFERROR(AVERAGEIF(Levels!B:B,A3292,Levels!E:E),0)</f>
        <v>0</v>
      </c>
      <c r="D3292" s="6">
        <f>IFERROR(AVERAGEIF(Levels!B:B,A3292,Levels!F:F),0)</f>
        <v>5</v>
      </c>
      <c r="E3292" s="6">
        <f>_xlfn.MAXIFS(Levels!E:E,Levels!B:B,A3292)</f>
        <v>0</v>
      </c>
      <c r="F3292" s="6">
        <f>_xlfn.MAXIFS(Levels!F:F,Levels!B:B,A3292)</f>
        <v>5</v>
      </c>
    </row>
    <row r="3293" spans="1:6" x14ac:dyDescent="0.3">
      <c r="A3293" t="s">
        <v>14957</v>
      </c>
      <c r="B3293" s="9">
        <f>COUNTIF(Levels!B:B,A3293)</f>
        <v>1</v>
      </c>
      <c r="C3293" s="9">
        <f>IFERROR(AVERAGEIF(Levels!B:B,A3293,Levels!E:E),0)</f>
        <v>2.61</v>
      </c>
      <c r="D3293" s="9">
        <f>IFERROR(AVERAGEIF(Levels!B:B,A3293,Levels!F:F),0)</f>
        <v>7</v>
      </c>
      <c r="E3293" s="9">
        <f>_xlfn.MAXIFS(Levels!E:E,Levels!B:B,A3293)</f>
        <v>2.61</v>
      </c>
      <c r="F3293" s="9">
        <f>_xlfn.MAXIFS(Levels!F:F,Levels!B:B,A3293)</f>
        <v>7</v>
      </c>
    </row>
    <row r="3294" spans="1:6" x14ac:dyDescent="0.3">
      <c r="A3294" t="s">
        <v>14966</v>
      </c>
      <c r="B3294" s="6">
        <f>COUNTIF(Levels!B:B,A3294)</f>
        <v>1</v>
      </c>
      <c r="C3294" s="6">
        <f>IFERROR(AVERAGEIF(Levels!B:B,A3294,Levels!E:E),0)</f>
        <v>0</v>
      </c>
      <c r="D3294" s="6">
        <f>IFERROR(AVERAGEIF(Levels!B:B,A3294,Levels!F:F),0)</f>
        <v>0</v>
      </c>
      <c r="E3294" s="6">
        <f>_xlfn.MAXIFS(Levels!E:E,Levels!B:B,A3294)</f>
        <v>0</v>
      </c>
      <c r="F3294" s="6">
        <f>_xlfn.MAXIFS(Levels!F:F,Levels!B:B,A3294)</f>
        <v>0</v>
      </c>
    </row>
    <row r="3295" spans="1:6" x14ac:dyDescent="0.3">
      <c r="A3295" t="s">
        <v>14977</v>
      </c>
      <c r="B3295" s="9">
        <f>COUNTIF(Levels!B:B,A3295)</f>
        <v>1</v>
      </c>
      <c r="C3295" s="9">
        <f>IFERROR(AVERAGEIF(Levels!B:B,A3295,Levels!E:E),0)</f>
        <v>0</v>
      </c>
      <c r="D3295" s="9">
        <f>IFERROR(AVERAGEIF(Levels!B:B,A3295,Levels!F:F),0)</f>
        <v>7.14</v>
      </c>
      <c r="E3295" s="9">
        <f>_xlfn.MAXIFS(Levels!E:E,Levels!B:B,A3295)</f>
        <v>0</v>
      </c>
      <c r="F3295" s="9">
        <f>_xlfn.MAXIFS(Levels!F:F,Levels!B:B,A3295)</f>
        <v>7.14</v>
      </c>
    </row>
    <row r="3296" spans="1:6" x14ac:dyDescent="0.3">
      <c r="A3296" t="s">
        <v>14980</v>
      </c>
      <c r="B3296" s="6">
        <f>COUNTIF(Levels!B:B,A3296)</f>
        <v>1</v>
      </c>
      <c r="C3296" s="6">
        <f>IFERROR(AVERAGEIF(Levels!B:B,A3296,Levels!E:E),0)</f>
        <v>0</v>
      </c>
      <c r="D3296" s="6">
        <f>IFERROR(AVERAGEIF(Levels!B:B,A3296,Levels!F:F),0)</f>
        <v>8</v>
      </c>
      <c r="E3296" s="6">
        <f>_xlfn.MAXIFS(Levels!E:E,Levels!B:B,A3296)</f>
        <v>0</v>
      </c>
      <c r="F3296" s="6">
        <f>_xlfn.MAXIFS(Levels!F:F,Levels!B:B,A3296)</f>
        <v>8</v>
      </c>
    </row>
    <row r="3297" spans="1:6" x14ac:dyDescent="0.3">
      <c r="A3297" t="s">
        <v>14982</v>
      </c>
      <c r="B3297" s="9">
        <f>COUNTIF(Levels!B:B,A3297)</f>
        <v>1</v>
      </c>
      <c r="C3297" s="9">
        <f>IFERROR(AVERAGEIF(Levels!B:B,A3297,Levels!E:E),0)</f>
        <v>0</v>
      </c>
      <c r="D3297" s="9">
        <f>IFERROR(AVERAGEIF(Levels!B:B,A3297,Levels!F:F),0)</f>
        <v>4.26</v>
      </c>
      <c r="E3297" s="9">
        <f>_xlfn.MAXIFS(Levels!E:E,Levels!B:B,A3297)</f>
        <v>0</v>
      </c>
      <c r="F3297" s="9">
        <f>_xlfn.MAXIFS(Levels!F:F,Levels!B:B,A3297)</f>
        <v>4.26</v>
      </c>
    </row>
    <row r="3298" spans="1:6" x14ac:dyDescent="0.3">
      <c r="A3298" t="s">
        <v>14989</v>
      </c>
      <c r="B3298" s="6">
        <f>COUNTIF(Levels!B:B,A3298)</f>
        <v>2</v>
      </c>
      <c r="C3298" s="6">
        <f>IFERROR(AVERAGEIF(Levels!B:B,A3298,Levels!E:E),0)</f>
        <v>0</v>
      </c>
      <c r="D3298" s="6">
        <f>IFERROR(AVERAGEIF(Levels!B:B,A3298,Levels!F:F),0)</f>
        <v>6.3599999999999994</v>
      </c>
      <c r="E3298" s="6">
        <f>_xlfn.MAXIFS(Levels!E:E,Levels!B:B,A3298)</f>
        <v>0</v>
      </c>
      <c r="F3298" s="6">
        <f>_xlfn.MAXIFS(Levels!F:F,Levels!B:B,A3298)</f>
        <v>6.5</v>
      </c>
    </row>
    <row r="3299" spans="1:6" x14ac:dyDescent="0.3">
      <c r="A3299" t="s">
        <v>14992</v>
      </c>
      <c r="B3299" s="9">
        <f>COUNTIF(Levels!B:B,A3299)</f>
        <v>1</v>
      </c>
      <c r="C3299" s="9">
        <f>IFERROR(AVERAGEIF(Levels!B:B,A3299,Levels!E:E),0)</f>
        <v>0</v>
      </c>
      <c r="D3299" s="9">
        <f>IFERROR(AVERAGEIF(Levels!B:B,A3299,Levels!F:F),0)</f>
        <v>0</v>
      </c>
      <c r="E3299" s="9">
        <f>_xlfn.MAXIFS(Levels!E:E,Levels!B:B,A3299)</f>
        <v>0</v>
      </c>
      <c r="F3299" s="9">
        <f>_xlfn.MAXIFS(Levels!F:F,Levels!B:B,A3299)</f>
        <v>0</v>
      </c>
    </row>
    <row r="3300" spans="1:6" x14ac:dyDescent="0.3">
      <c r="A3300" t="s">
        <v>14994</v>
      </c>
      <c r="B3300" s="6">
        <f>COUNTIF(Levels!B:B,A3300)</f>
        <v>1</v>
      </c>
      <c r="C3300" s="6">
        <f>IFERROR(AVERAGEIF(Levels!B:B,A3300,Levels!E:E),0)</f>
        <v>2.35</v>
      </c>
      <c r="D3300" s="6">
        <f>IFERROR(AVERAGEIF(Levels!B:B,A3300,Levels!F:F),0)</f>
        <v>6.73</v>
      </c>
      <c r="E3300" s="6">
        <f>_xlfn.MAXIFS(Levels!E:E,Levels!B:B,A3300)</f>
        <v>2.35</v>
      </c>
      <c r="F3300" s="6">
        <f>_xlfn.MAXIFS(Levels!F:F,Levels!B:B,A3300)</f>
        <v>6.73</v>
      </c>
    </row>
    <row r="3301" spans="1:6" x14ac:dyDescent="0.3">
      <c r="A3301" t="s">
        <v>15004</v>
      </c>
      <c r="B3301" s="9">
        <f>COUNTIF(Levels!B:B,A3301)</f>
        <v>1</v>
      </c>
      <c r="C3301" s="9">
        <f>IFERROR(AVERAGEIF(Levels!B:B,A3301,Levels!E:E),0)</f>
        <v>5.9</v>
      </c>
      <c r="D3301" s="9">
        <f>IFERROR(AVERAGEIF(Levels!B:B,A3301,Levels!F:F),0)</f>
        <v>7.07</v>
      </c>
      <c r="E3301" s="9">
        <f>_xlfn.MAXIFS(Levels!E:E,Levels!B:B,A3301)</f>
        <v>5.9</v>
      </c>
      <c r="F3301" s="9">
        <f>_xlfn.MAXIFS(Levels!F:F,Levels!B:B,A3301)</f>
        <v>7.07</v>
      </c>
    </row>
    <row r="3302" spans="1:6" x14ac:dyDescent="0.3">
      <c r="A3302" t="s">
        <v>15008</v>
      </c>
      <c r="B3302" s="6">
        <f>COUNTIF(Levels!B:B,A3302)</f>
        <v>2</v>
      </c>
      <c r="C3302" s="6">
        <f>IFERROR(AVERAGEIF(Levels!B:B,A3302,Levels!E:E),0)</f>
        <v>17.29</v>
      </c>
      <c r="D3302" s="6">
        <f>IFERROR(AVERAGEIF(Levels!B:B,A3302,Levels!F:F),0)</f>
        <v>6.99</v>
      </c>
      <c r="E3302" s="6">
        <f>_xlfn.MAXIFS(Levels!E:E,Levels!B:B,A3302)</f>
        <v>20.14</v>
      </c>
      <c r="F3302" s="6">
        <f>_xlfn.MAXIFS(Levels!F:F,Levels!B:B,A3302)</f>
        <v>8.5500000000000007</v>
      </c>
    </row>
    <row r="3303" spans="1:6" x14ac:dyDescent="0.3">
      <c r="A3303" t="s">
        <v>15019</v>
      </c>
      <c r="B3303" s="9">
        <f>COUNTIF(Levels!B:B,A3303)</f>
        <v>1</v>
      </c>
      <c r="C3303" s="9">
        <f>IFERROR(AVERAGEIF(Levels!B:B,A3303,Levels!E:E),0)</f>
        <v>9.17</v>
      </c>
      <c r="D3303" s="9">
        <f>IFERROR(AVERAGEIF(Levels!B:B,A3303,Levels!F:F),0)</f>
        <v>6.78</v>
      </c>
      <c r="E3303" s="9">
        <f>_xlfn.MAXIFS(Levels!E:E,Levels!B:B,A3303)</f>
        <v>9.17</v>
      </c>
      <c r="F3303" s="9">
        <f>_xlfn.MAXIFS(Levels!F:F,Levels!B:B,A3303)</f>
        <v>6.78</v>
      </c>
    </row>
    <row r="3304" spans="1:6" x14ac:dyDescent="0.3">
      <c r="A3304" t="s">
        <v>15024</v>
      </c>
      <c r="B3304" s="6">
        <f>COUNTIF(Levels!B:B,A3304)</f>
        <v>1</v>
      </c>
      <c r="C3304" s="6">
        <f>IFERROR(AVERAGEIF(Levels!B:B,A3304,Levels!E:E),0)</f>
        <v>0</v>
      </c>
      <c r="D3304" s="6">
        <f>IFERROR(AVERAGEIF(Levels!B:B,A3304,Levels!F:F),0)</f>
        <v>7.15</v>
      </c>
      <c r="E3304" s="6">
        <f>_xlfn.MAXIFS(Levels!E:E,Levels!B:B,A3304)</f>
        <v>0</v>
      </c>
      <c r="F3304" s="6">
        <f>_xlfn.MAXIFS(Levels!F:F,Levels!B:B,A3304)</f>
        <v>7.15</v>
      </c>
    </row>
    <row r="3305" spans="1:6" x14ac:dyDescent="0.3">
      <c r="A3305" t="s">
        <v>15033</v>
      </c>
      <c r="B3305" s="9">
        <f>COUNTIF(Levels!B:B,A3305)</f>
        <v>2</v>
      </c>
      <c r="C3305" s="9">
        <f>IFERROR(AVERAGEIF(Levels!B:B,A3305,Levels!E:E),0)</f>
        <v>1.97</v>
      </c>
      <c r="D3305" s="9">
        <f>IFERROR(AVERAGEIF(Levels!B:B,A3305,Levels!F:F),0)</f>
        <v>9</v>
      </c>
      <c r="E3305" s="9">
        <f>_xlfn.MAXIFS(Levels!E:E,Levels!B:B,A3305)</f>
        <v>2</v>
      </c>
      <c r="F3305" s="9">
        <f>_xlfn.MAXIFS(Levels!F:F,Levels!B:B,A3305)</f>
        <v>10</v>
      </c>
    </row>
    <row r="3306" spans="1:6" x14ac:dyDescent="0.3">
      <c r="A3306" t="s">
        <v>15040</v>
      </c>
      <c r="B3306" s="6">
        <f>COUNTIF(Levels!B:B,A3306)</f>
        <v>1</v>
      </c>
      <c r="C3306" s="6">
        <f>IFERROR(AVERAGEIF(Levels!B:B,A3306,Levels!E:E),0)</f>
        <v>0</v>
      </c>
      <c r="D3306" s="6">
        <f>IFERROR(AVERAGEIF(Levels!B:B,A3306,Levels!F:F),0)</f>
        <v>7.73</v>
      </c>
      <c r="E3306" s="6">
        <f>_xlfn.MAXIFS(Levels!E:E,Levels!B:B,A3306)</f>
        <v>0</v>
      </c>
      <c r="F3306" s="6">
        <f>_xlfn.MAXIFS(Levels!F:F,Levels!B:B,A3306)</f>
        <v>7.73</v>
      </c>
    </row>
    <row r="3307" spans="1:6" x14ac:dyDescent="0.3">
      <c r="A3307" t="s">
        <v>15046</v>
      </c>
      <c r="B3307" s="9">
        <f>COUNTIF(Levels!B:B,A3307)</f>
        <v>1</v>
      </c>
      <c r="C3307" s="9">
        <f>IFERROR(AVERAGEIF(Levels!B:B,A3307,Levels!E:E),0)</f>
        <v>0</v>
      </c>
      <c r="D3307" s="9">
        <f>IFERROR(AVERAGEIF(Levels!B:B,A3307,Levels!F:F),0)</f>
        <v>7.33</v>
      </c>
      <c r="E3307" s="9">
        <f>_xlfn.MAXIFS(Levels!E:E,Levels!B:B,A3307)</f>
        <v>0</v>
      </c>
      <c r="F3307" s="9">
        <f>_xlfn.MAXIFS(Levels!F:F,Levels!B:B,A3307)</f>
        <v>7.33</v>
      </c>
    </row>
    <row r="3308" spans="1:6" x14ac:dyDescent="0.3">
      <c r="A3308" t="s">
        <v>15053</v>
      </c>
      <c r="B3308" s="6">
        <f>COUNTIF(Levels!B:B,A3308)</f>
        <v>1</v>
      </c>
      <c r="C3308" s="6">
        <f>IFERROR(AVERAGEIF(Levels!B:B,A3308,Levels!E:E),0)</f>
        <v>0</v>
      </c>
      <c r="D3308" s="6">
        <f>IFERROR(AVERAGEIF(Levels!B:B,A3308,Levels!F:F),0)</f>
        <v>0</v>
      </c>
      <c r="E3308" s="6">
        <f>_xlfn.MAXIFS(Levels!E:E,Levels!B:B,A3308)</f>
        <v>0</v>
      </c>
      <c r="F3308" s="6">
        <f>_xlfn.MAXIFS(Levels!F:F,Levels!B:B,A3308)</f>
        <v>0</v>
      </c>
    </row>
    <row r="3309" spans="1:6" x14ac:dyDescent="0.3">
      <c r="A3309" t="s">
        <v>15063</v>
      </c>
      <c r="B3309" s="9">
        <f>COUNTIF(Levels!B:B,A3309)</f>
        <v>1</v>
      </c>
      <c r="C3309" s="9">
        <f>IFERROR(AVERAGEIF(Levels!B:B,A3309,Levels!E:E),0)</f>
        <v>0</v>
      </c>
      <c r="D3309" s="9">
        <f>IFERROR(AVERAGEIF(Levels!B:B,A3309,Levels!F:F),0)</f>
        <v>0</v>
      </c>
      <c r="E3309" s="9">
        <f>_xlfn.MAXIFS(Levels!E:E,Levels!B:B,A3309)</f>
        <v>0</v>
      </c>
      <c r="F3309" s="9">
        <f>_xlfn.MAXIFS(Levels!F:F,Levels!B:B,A3309)</f>
        <v>0</v>
      </c>
    </row>
    <row r="3310" spans="1:6" x14ac:dyDescent="0.3">
      <c r="A3310" t="s">
        <v>15068</v>
      </c>
      <c r="B3310" s="6">
        <f>COUNTIF(Levels!B:B,A3310)</f>
        <v>1</v>
      </c>
      <c r="C3310" s="6">
        <f>IFERROR(AVERAGEIF(Levels!B:B,A3310,Levels!E:E),0)</f>
        <v>6.91</v>
      </c>
      <c r="D3310" s="6">
        <f>IFERROR(AVERAGEIF(Levels!B:B,A3310,Levels!F:F),0)</f>
        <v>6.73</v>
      </c>
      <c r="E3310" s="6">
        <f>_xlfn.MAXIFS(Levels!E:E,Levels!B:B,A3310)</f>
        <v>6.91</v>
      </c>
      <c r="F3310" s="6">
        <f>_xlfn.MAXIFS(Levels!F:F,Levels!B:B,A3310)</f>
        <v>6.73</v>
      </c>
    </row>
    <row r="3311" spans="1:6" x14ac:dyDescent="0.3">
      <c r="A3311" t="s">
        <v>15071</v>
      </c>
      <c r="B3311" s="9">
        <f>COUNTIF(Levels!B:B,A3311)</f>
        <v>1</v>
      </c>
      <c r="C3311" s="9">
        <f>IFERROR(AVERAGEIF(Levels!B:B,A3311,Levels!E:E),0)</f>
        <v>0</v>
      </c>
      <c r="D3311" s="9">
        <f>IFERROR(AVERAGEIF(Levels!B:B,A3311,Levels!F:F),0)</f>
        <v>0</v>
      </c>
      <c r="E3311" s="9">
        <f>_xlfn.MAXIFS(Levels!E:E,Levels!B:B,A3311)</f>
        <v>0</v>
      </c>
      <c r="F3311" s="9">
        <f>_xlfn.MAXIFS(Levels!F:F,Levels!B:B,A3311)</f>
        <v>0</v>
      </c>
    </row>
    <row r="3312" spans="1:6" x14ac:dyDescent="0.3">
      <c r="A3312" t="s">
        <v>15081</v>
      </c>
      <c r="B3312" s="6">
        <f>COUNTIF(Levels!B:B,A3312)</f>
        <v>1</v>
      </c>
      <c r="C3312" s="6">
        <f>IFERROR(AVERAGEIF(Levels!B:B,A3312,Levels!E:E),0)</f>
        <v>0</v>
      </c>
      <c r="D3312" s="6">
        <f>IFERROR(AVERAGEIF(Levels!B:B,A3312,Levels!F:F),0)</f>
        <v>0</v>
      </c>
      <c r="E3312" s="6">
        <f>_xlfn.MAXIFS(Levels!E:E,Levels!B:B,A3312)</f>
        <v>0</v>
      </c>
      <c r="F3312" s="6">
        <f>_xlfn.MAXIFS(Levels!F:F,Levels!B:B,A3312)</f>
        <v>0</v>
      </c>
    </row>
    <row r="3313" spans="1:6" x14ac:dyDescent="0.3">
      <c r="A3313" t="s">
        <v>15096</v>
      </c>
      <c r="B3313" s="9">
        <f>COUNTIF(Levels!B:B,A3313)</f>
        <v>1</v>
      </c>
      <c r="C3313" s="9">
        <f>IFERROR(AVERAGEIF(Levels!B:B,A3313,Levels!E:E),0)</f>
        <v>22</v>
      </c>
      <c r="D3313" s="9">
        <f>IFERROR(AVERAGEIF(Levels!B:B,A3313,Levels!F:F),0)</f>
        <v>8</v>
      </c>
      <c r="E3313" s="9">
        <f>_xlfn.MAXIFS(Levels!E:E,Levels!B:B,A3313)</f>
        <v>22</v>
      </c>
      <c r="F3313" s="9">
        <f>_xlfn.MAXIFS(Levels!F:F,Levels!B:B,A3313)</f>
        <v>8</v>
      </c>
    </row>
    <row r="3314" spans="1:6" x14ac:dyDescent="0.3">
      <c r="A3314" t="s">
        <v>15097</v>
      </c>
      <c r="B3314" s="6">
        <f>COUNTIF(Levels!B:B,A3314)</f>
        <v>1</v>
      </c>
      <c r="C3314" s="6">
        <f>IFERROR(AVERAGEIF(Levels!B:B,A3314,Levels!E:E),0)</f>
        <v>1.58</v>
      </c>
      <c r="D3314" s="6">
        <f>IFERROR(AVERAGEIF(Levels!B:B,A3314,Levels!F:F),0)</f>
        <v>8.8699999999999992</v>
      </c>
      <c r="E3314" s="6">
        <f>_xlfn.MAXIFS(Levels!E:E,Levels!B:B,A3314)</f>
        <v>1.58</v>
      </c>
      <c r="F3314" s="6">
        <f>_xlfn.MAXIFS(Levels!F:F,Levels!B:B,A3314)</f>
        <v>8.8699999999999992</v>
      </c>
    </row>
    <row r="3315" spans="1:6" x14ac:dyDescent="0.3">
      <c r="A3315" t="s">
        <v>15103</v>
      </c>
      <c r="B3315" s="9">
        <f>COUNTIF(Levels!B:B,A3315)</f>
        <v>1</v>
      </c>
      <c r="C3315" s="9">
        <f>IFERROR(AVERAGEIF(Levels!B:B,A3315,Levels!E:E),0)</f>
        <v>3.87</v>
      </c>
      <c r="D3315" s="9">
        <f>IFERROR(AVERAGEIF(Levels!B:B,A3315,Levels!F:F),0)</f>
        <v>6.72</v>
      </c>
      <c r="E3315" s="9">
        <f>_xlfn.MAXIFS(Levels!E:E,Levels!B:B,A3315)</f>
        <v>3.87</v>
      </c>
      <c r="F3315" s="9">
        <f>_xlfn.MAXIFS(Levels!F:F,Levels!B:B,A3315)</f>
        <v>6.72</v>
      </c>
    </row>
    <row r="3316" spans="1:6" x14ac:dyDescent="0.3">
      <c r="A3316" t="s">
        <v>15107</v>
      </c>
      <c r="B3316" s="6">
        <f>COUNTIF(Levels!B:B,A3316)</f>
        <v>1</v>
      </c>
      <c r="C3316" s="6">
        <f>IFERROR(AVERAGEIF(Levels!B:B,A3316,Levels!E:E),0)</f>
        <v>2.2200000000000002</v>
      </c>
      <c r="D3316" s="6">
        <f>IFERROR(AVERAGEIF(Levels!B:B,A3316,Levels!F:F),0)</f>
        <v>7.1</v>
      </c>
      <c r="E3316" s="6">
        <f>_xlfn.MAXIFS(Levels!E:E,Levels!B:B,A3316)</f>
        <v>2.2200000000000002</v>
      </c>
      <c r="F3316" s="6">
        <f>_xlfn.MAXIFS(Levels!F:F,Levels!B:B,A3316)</f>
        <v>7.1</v>
      </c>
    </row>
    <row r="3317" spans="1:6" x14ac:dyDescent="0.3">
      <c r="A3317" t="s">
        <v>15124</v>
      </c>
      <c r="B3317" s="9">
        <f>COUNTIF(Levels!B:B,A3317)</f>
        <v>2</v>
      </c>
      <c r="C3317" s="9">
        <f>IFERROR(AVERAGEIF(Levels!B:B,A3317,Levels!E:E),0)</f>
        <v>0</v>
      </c>
      <c r="D3317" s="9">
        <f>IFERROR(AVERAGEIF(Levels!B:B,A3317,Levels!F:F),0)</f>
        <v>8</v>
      </c>
      <c r="E3317" s="9">
        <f>_xlfn.MAXIFS(Levels!E:E,Levels!B:B,A3317)</f>
        <v>0</v>
      </c>
      <c r="F3317" s="9">
        <f>_xlfn.MAXIFS(Levels!F:F,Levels!B:B,A3317)</f>
        <v>8</v>
      </c>
    </row>
    <row r="3318" spans="1:6" x14ac:dyDescent="0.3">
      <c r="A3318" t="s">
        <v>15133</v>
      </c>
      <c r="B3318" s="6">
        <f>COUNTIF(Levels!B:B,A3318)</f>
        <v>1</v>
      </c>
      <c r="C3318" s="6">
        <f>IFERROR(AVERAGEIF(Levels!B:B,A3318,Levels!E:E),0)</f>
        <v>0</v>
      </c>
      <c r="D3318" s="6">
        <f>IFERROR(AVERAGEIF(Levels!B:B,A3318,Levels!F:F),0)</f>
        <v>8.33</v>
      </c>
      <c r="E3318" s="6">
        <f>_xlfn.MAXIFS(Levels!E:E,Levels!B:B,A3318)</f>
        <v>0</v>
      </c>
      <c r="F3318" s="6">
        <f>_xlfn.MAXIFS(Levels!F:F,Levels!B:B,A3318)</f>
        <v>8.33</v>
      </c>
    </row>
    <row r="3319" spans="1:6" x14ac:dyDescent="0.3">
      <c r="A3319" t="s">
        <v>15143</v>
      </c>
      <c r="B3319" s="9">
        <f>COUNTIF(Levels!B:B,A3319)</f>
        <v>1</v>
      </c>
      <c r="C3319" s="9">
        <f>IFERROR(AVERAGEIF(Levels!B:B,A3319,Levels!E:E),0)</f>
        <v>0</v>
      </c>
      <c r="D3319" s="9">
        <f>IFERROR(AVERAGEIF(Levels!B:B,A3319,Levels!F:F),0)</f>
        <v>4.8899999999999997</v>
      </c>
      <c r="E3319" s="9">
        <f>_xlfn.MAXIFS(Levels!E:E,Levels!B:B,A3319)</f>
        <v>0</v>
      </c>
      <c r="F3319" s="9">
        <f>_xlfn.MAXIFS(Levels!F:F,Levels!B:B,A3319)</f>
        <v>4.8899999999999997</v>
      </c>
    </row>
    <row r="3320" spans="1:6" x14ac:dyDescent="0.3">
      <c r="A3320" t="s">
        <v>15151</v>
      </c>
      <c r="B3320" s="6">
        <f>COUNTIF(Levels!B:B,A3320)</f>
        <v>1</v>
      </c>
      <c r="C3320" s="6">
        <f>IFERROR(AVERAGEIF(Levels!B:B,A3320,Levels!E:E),0)</f>
        <v>0</v>
      </c>
      <c r="D3320" s="6">
        <f>IFERROR(AVERAGEIF(Levels!B:B,A3320,Levels!F:F),0)</f>
        <v>4.5</v>
      </c>
      <c r="E3320" s="6">
        <f>_xlfn.MAXIFS(Levels!E:E,Levels!B:B,A3320)</f>
        <v>0</v>
      </c>
      <c r="F3320" s="6">
        <f>_xlfn.MAXIFS(Levels!F:F,Levels!B:B,A3320)</f>
        <v>4.5</v>
      </c>
    </row>
    <row r="3321" spans="1:6" x14ac:dyDescent="0.3">
      <c r="A3321" t="s">
        <v>15156</v>
      </c>
      <c r="B3321" s="9">
        <f>COUNTIF(Levels!B:B,A3321)</f>
        <v>1</v>
      </c>
      <c r="C3321" s="9">
        <f>IFERROR(AVERAGEIF(Levels!B:B,A3321,Levels!E:E),0)</f>
        <v>0</v>
      </c>
      <c r="D3321" s="9">
        <f>IFERROR(AVERAGEIF(Levels!B:B,A3321,Levels!F:F),0)</f>
        <v>0</v>
      </c>
      <c r="E3321" s="9">
        <f>_xlfn.MAXIFS(Levels!E:E,Levels!B:B,A3321)</f>
        <v>0</v>
      </c>
      <c r="F3321" s="9">
        <f>_xlfn.MAXIFS(Levels!F:F,Levels!B:B,A3321)</f>
        <v>0</v>
      </c>
    </row>
    <row r="3322" spans="1:6" x14ac:dyDescent="0.3">
      <c r="A3322" t="s">
        <v>15164</v>
      </c>
      <c r="B3322" s="6">
        <f>COUNTIF(Levels!B:B,A3322)</f>
        <v>1</v>
      </c>
      <c r="C3322" s="6">
        <f>IFERROR(AVERAGEIF(Levels!B:B,A3322,Levels!E:E),0)</f>
        <v>0</v>
      </c>
      <c r="D3322" s="6">
        <f>IFERROR(AVERAGEIF(Levels!B:B,A3322,Levels!F:F),0)</f>
        <v>7.5</v>
      </c>
      <c r="E3322" s="6">
        <f>_xlfn.MAXIFS(Levels!E:E,Levels!B:B,A3322)</f>
        <v>0</v>
      </c>
      <c r="F3322" s="6">
        <f>_xlfn.MAXIFS(Levels!F:F,Levels!B:B,A3322)</f>
        <v>7.5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86A3-78E8-4745-8424-3FF30DF753F8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84A94-2E9B-49B2-93BA-64E2EB96ABE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2A31-CCD4-41A2-A03A-1013D7F4605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Levels</vt:lpstr>
      <vt:lpstr>Creators</vt:lpstr>
      <vt:lpstr>Dashboard</vt:lpstr>
      <vt:lpstr>Featured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Zamora</dc:creator>
  <cp:lastModifiedBy>Angel Zamora</cp:lastModifiedBy>
  <dcterms:created xsi:type="dcterms:W3CDTF">2026-07-21T23:00:00Z</dcterms:created>
  <dcterms:modified xsi:type="dcterms:W3CDTF">2026-07-21T23:47:22Z</dcterms:modified>
</cp:coreProperties>
</file>